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destruction/Code/Chapter 2/Test code/IER-economic model/"/>
    </mc:Choice>
  </mc:AlternateContent>
  <xr:revisionPtr revIDLastSave="5" documentId="8_{541ABC50-AD7D-8042-A719-29117ED00EB4}" xr6:coauthVersionLast="47" xr6:coauthVersionMax="47" xr10:uidLastSave="{13A4B5BF-F059-AC44-A13B-81B2F59AD163}"/>
  <bookViews>
    <workbookView xWindow="0" yWindow="760" windowWidth="30240" windowHeight="17480" tabRatio="871" activeTab="3" xr2:uid="{00000000-000D-0000-FFFF-FFFF00000000}"/>
  </bookViews>
  <sheets>
    <sheet name="Title Page" sheetId="45" r:id="rId1"/>
    <sheet name="Index" sheetId="41" r:id="rId2"/>
    <sheet name="INPUT" sheetId="1" r:id="rId3"/>
    <sheet name="OUTPUT" sheetId="8" r:id="rId4"/>
    <sheet name="Critical Design Assumptions" sheetId="2" r:id="rId5"/>
    <sheet name="O&amp;M Assumptions" sheetId="23" r:id="rId6"/>
    <sheet name="Indirect Assumptions" sheetId="28" r:id="rId7"/>
    <sheet name="Vessel Constraints" sheetId="3" r:id="rId8"/>
    <sheet name="Backwash and Bed Life" sheetId="12" r:id="rId9"/>
    <sheet name="pH Adjust" sheetId="31" r:id="rId10"/>
    <sheet name="Pumps Pipe Structure" sheetId="4" r:id="rId11"/>
    <sheet name="Instrumentation and Control" sheetId="25" r:id="rId12"/>
    <sheet name="Residuals Management" sheetId="32" r:id="rId13"/>
    <sheet name="O&amp;M" sheetId="11" r:id="rId14"/>
    <sheet name="HVAC" sheetId="35" r:id="rId15"/>
    <sheet name="Indirect" sheetId="29" r:id="rId16"/>
    <sheet name="PFAS Reference" sheetId="40" r:id="rId17"/>
    <sheet name="Standard Inputs" sheetId="10" r:id="rId18"/>
    <sheet name="AutoSize" sheetId="30" r:id="rId19"/>
    <sheet name="Cost Equations" sheetId="14" r:id="rId20"/>
    <sheet name="Cost Coefficients" sheetId="44" r:id="rId21"/>
    <sheet name="Cost Data" sheetId="42"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4">'Critical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8" i="32" l="1"/>
  <c r="C210" i="32"/>
  <c r="C217" i="32" s="1"/>
  <c r="G426" i="8" s="1"/>
  <c r="E426" i="8" s="1"/>
  <c r="E407" i="8" l="1"/>
  <c r="G407" i="8" s="1"/>
  <c r="A59" i="36" l="1"/>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8" i="23" l="1"/>
  <c r="C7" i="32"/>
  <c r="C216" i="32" l="1"/>
  <c r="C213" i="32"/>
  <c r="C212" i="32"/>
  <c r="C209"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81"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C39" i="3"/>
  <c r="C16" i="12" s="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17" i="12"/>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C428" i="8"/>
  <c r="H428" i="8" s="1"/>
  <c r="C21" i="11"/>
  <c r="C397" i="8" s="1"/>
  <c r="E397" i="8" s="1"/>
  <c r="D80" i="14"/>
  <c r="C80" i="14" s="1"/>
  <c r="I109" i="8" s="1"/>
  <c r="H56" i="8"/>
  <c r="C56" i="8"/>
  <c r="F56" i="8"/>
  <c r="F55" i="8"/>
  <c r="H55" i="8"/>
  <c r="C55" i="8"/>
  <c r="C28" i="3"/>
  <c r="C16" i="11" s="1"/>
  <c r="C405" i="8" s="1"/>
  <c r="H405" i="8" s="1"/>
  <c r="C27" i="3"/>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G158" i="8" l="1"/>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C5" i="11" s="1"/>
  <c r="F68" i="1"/>
  <c r="C21" i="12"/>
  <c r="C23"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G182" i="8" l="1"/>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F37" i="1" s="1"/>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C38" i="32"/>
  <c r="G58" i="1"/>
  <c r="C27" i="12"/>
  <c r="C12" i="32"/>
  <c r="E100" i="14"/>
  <c r="E126" i="14"/>
  <c r="N126" i="14" l="1"/>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9" i="32" s="1"/>
  <c r="C35" i="8"/>
  <c r="C54" i="25"/>
  <c r="C280" i="8" s="1"/>
  <c r="J280" i="8" s="1"/>
  <c r="C29" i="25"/>
  <c r="C159" i="8" s="1"/>
  <c r="C45" i="12"/>
  <c r="C46" i="12"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K42" i="8" l="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W42" i="8"/>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C40" i="32"/>
  <c r="C17" i="11" s="1"/>
  <c r="C407" i="8" s="1"/>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C20"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C426" i="8"/>
  <c r="H426" i="8" s="1"/>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199" i="32"/>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C425" i="8"/>
  <c r="H425" i="8" s="1"/>
  <c r="D128" i="14"/>
  <c r="C128" i="14" s="1"/>
  <c r="C25" i="32"/>
  <c r="C55" i="32"/>
  <c r="C56" i="32" s="1"/>
  <c r="C57" i="32" s="1"/>
  <c r="C60" i="32" s="1"/>
  <c r="W115" i="8"/>
  <c r="W116" i="8"/>
  <c r="W117" i="8"/>
  <c r="C147" i="32"/>
  <c r="C149" i="32" s="1"/>
  <c r="C148" i="32" s="1"/>
  <c r="C151" i="32" s="1"/>
  <c r="W118" i="8"/>
  <c r="X118" i="8" s="1"/>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04" i="8"/>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I170" i="8"/>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I172" i="8"/>
  <c r="J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C113" i="14"/>
  <c r="C139" i="14"/>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G427" i="8" s="1"/>
  <c r="E427" i="8"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<sst xmlns="http://schemas.openxmlformats.org/spreadsheetml/2006/main" count="9441" uniqueCount="4386">
  <si>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</si>
  <si>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</si>
  <si>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</si>
  <si>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</si>
  <si>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</si>
  <si>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</si>
  <si>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</si>
  <si>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</si>
  <si>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</si>
  <si>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</si>
  <si>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</si>
  <si>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</si>
  <si>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</si>
  <si>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</si>
  <si>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</si>
  <si>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</si>
  <si>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</si>
  <si>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</si>
  <si>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</si>
  <si>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</si>
  <si>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</si>
  <si>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</si>
  <si>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</si>
  <si>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</si>
  <si>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</si>
  <si>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</si>
  <si>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</si>
  <si>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</si>
  <si>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</si>
  <si>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</si>
  <si>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</si>
  <si>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</si>
  <si>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</si>
  <si>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</si>
  <si>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</si>
  <si>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</si>
  <si>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</si>
  <si>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</si>
  <si>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</si>
  <si>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</si>
  <si>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</si>
  <si>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</si>
  <si>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</si>
  <si>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</si>
  <si>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</si>
  <si>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</si>
  <si>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</si>
  <si>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</si>
  <si>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</si>
  <si>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</si>
  <si>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</si>
  <si>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</si>
  <si>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</si>
  <si>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</si>
  <si>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</si>
  <si>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</si>
  <si>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</si>
  <si>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</si>
  <si>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</si>
  <si>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</si>
  <si>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</si>
  <si>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</si>
  <si>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</si>
  <si>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</si>
  <si>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</si>
  <si>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</si>
  <si>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</si>
  <si>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</si>
  <si>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</si>
  <si>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</si>
  <si>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</si>
  <si>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</si>
  <si>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</si>
  <si>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</si>
  <si>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</si>
  <si>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</si>
  <si>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</si>
  <si>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</si>
  <si>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</si>
  <si>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</si>
  <si>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</si>
  <si>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</si>
  <si>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</si>
  <si>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</si>
  <si>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</si>
  <si>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</si>
  <si>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</si>
  <si>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</si>
  <si>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</si>
  <si>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</si>
  <si>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</si>
  <si>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</si>
  <si>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</si>
  <si>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</si>
  <si>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</si>
  <si>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</si>
  <si>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</si>
  <si>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</si>
  <si>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</si>
  <si>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</si>
  <si>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</si>
  <si>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</si>
  <si>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</si>
  <si>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</si>
  <si>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</si>
  <si>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</si>
  <si>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</si>
  <si>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</si>
  <si>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</si>
  <si>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</si>
  <si>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</si>
  <si>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</si>
  <si>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</si>
  <si>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</si>
  <si>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</si>
  <si>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</si>
  <si>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</si>
  <si>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</si>
  <si>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</si>
  <si>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</si>
  <si>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</si>
  <si>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</si>
  <si>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</si>
  <si>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</si>
  <si>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</si>
  <si>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</si>
  <si>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</si>
  <si>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</si>
  <si>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</si>
  <si>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</si>
  <si>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</si>
  <si>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</si>
  <si>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</si>
  <si>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</si>
  <si>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</si>
  <si>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</si>
  <si>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</si>
  <si>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</si>
  <si>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</si>
  <si>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</si>
  <si>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</si>
  <si>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</si>
  <si>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</si>
  <si>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</si>
  <si>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</si>
  <si>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</si>
  <si>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</si>
  <si>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</si>
  <si>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</si>
  <si>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</si>
  <si>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</si>
  <si>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</si>
  <si>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</si>
  <si>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</si>
  <si>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</si>
  <si>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</si>
  <si>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</si>
  <si>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</si>
  <si>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</si>
  <si>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</si>
  <si>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</si>
  <si>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</si>
  <si>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</si>
  <si>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</si>
  <si>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</si>
  <si>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</si>
  <si>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</si>
  <si>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</si>
  <si>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</si>
  <si>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</si>
  <si>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</si>
  <si>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</si>
  <si>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</si>
  <si>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</si>
  <si>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</si>
  <si>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</si>
  <si>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</si>
  <si>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</si>
  <si>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</si>
  <si>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</si>
  <si>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</si>
  <si>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</si>
  <si>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</si>
  <si>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</si>
  <si>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</si>
  <si>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</si>
  <si>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</si>
  <si>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</si>
  <si>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</si>
  <si>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</si>
  <si>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</si>
  <si>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</si>
  <si>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</si>
  <si>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</si>
  <si>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</si>
  <si>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</si>
  <si>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</si>
  <si>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</si>
  <si>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</si>
  <si>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</si>
  <si>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</si>
  <si>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</si>
  <si>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</si>
  <si>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</si>
  <si>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</si>
  <si>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</si>
  <si>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</si>
  <si>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</si>
  <si>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</si>
  <si>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</si>
  <si>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</si>
  <si>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</si>
  <si>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</si>
  <si>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</si>
  <si>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</si>
  <si>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</si>
  <si>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</si>
  <si>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</si>
  <si>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</si>
  <si>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</si>
  <si>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</si>
  <si>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</si>
  <si>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</si>
  <si>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</si>
  <si>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</si>
  <si>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</si>
  <si>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</si>
  <si>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</si>
  <si>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</si>
  <si>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</si>
  <si>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</si>
  <si>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</si>
  <si>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</si>
  <si>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</si>
  <si>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</si>
  <si>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</si>
  <si>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</si>
  <si>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</si>
  <si>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</si>
  <si>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</si>
  <si>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</si>
  <si>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</si>
  <si>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</si>
  <si>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</si>
  <si>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</si>
  <si>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</si>
  <si>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</si>
  <si>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</si>
  <si>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</si>
  <si>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</si>
  <si>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</si>
  <si>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</si>
  <si>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</si>
  <si>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</si>
  <si>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</si>
  <si>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</si>
  <si>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</si>
  <si>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</si>
  <si>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</si>
  <si>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</si>
  <si>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</si>
  <si>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</si>
  <si>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</si>
  <si>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</si>
  <si>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</si>
  <si>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</si>
  <si>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</si>
  <si>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</si>
  <si>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</si>
  <si>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</si>
  <si>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</si>
  <si>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</si>
  <si>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</si>
  <si>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</si>
  <si>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</si>
  <si>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</si>
  <si>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</si>
  <si>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</si>
  <si>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</si>
  <si>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</si>
  <si>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</si>
  <si>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</si>
  <si>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</si>
  <si>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</si>
  <si>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</si>
  <si>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</si>
  <si>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</si>
  <si>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</si>
  <si>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</si>
  <si>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</si>
  <si>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</si>
  <si>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</si>
  <si>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</si>
  <si>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</si>
  <si>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</si>
  <si>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</si>
  <si>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</si>
  <si>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</si>
  <si>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</si>
  <si>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</si>
  <si>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</si>
  <si>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</si>
  <si>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</si>
  <si>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</si>
  <si>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</si>
  <si>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</si>
  <si>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</si>
  <si>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</si>
  <si>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</si>
  <si>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</si>
  <si>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</si>
  <si>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</si>
  <si>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</si>
  <si>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</si>
  <si>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</si>
  <si>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</si>
  <si>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</si>
  <si>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</si>
  <si>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</si>
  <si>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</si>
  <si>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</si>
  <si>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</si>
  <si>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</si>
  <si>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</si>
  <si>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</si>
  <si>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</si>
  <si>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</si>
  <si>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</si>
  <si>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</si>
  <si>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</si>
  <si>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</si>
  <si>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</si>
  <si>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</si>
  <si>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</si>
  <si>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</si>
  <si>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</si>
  <si>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</si>
  <si>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</si>
  <si>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</si>
  <si>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</si>
  <si>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</si>
  <si>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</si>
  <si>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</si>
  <si>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</si>
  <si>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</si>
  <si>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</si>
  <si>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</si>
  <si>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</si>
  <si>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</si>
  <si>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</si>
  <si>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</si>
  <si>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</si>
  <si>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</si>
  <si>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</si>
  <si>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</si>
  <si>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</si>
  <si>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</si>
  <si>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</si>
  <si>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</si>
  <si>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</si>
  <si>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</si>
  <si>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</si>
  <si>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</si>
  <si>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</si>
  <si>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</si>
  <si>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</si>
  <si>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</si>
  <si>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</si>
  <si>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</si>
  <si>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</si>
  <si>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</si>
  <si>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</si>
  <si>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</si>
  <si>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</si>
  <si>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</si>
  <si>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</si>
  <si>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</si>
  <si>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</si>
  <si>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</si>
  <si>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</si>
  <si>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</si>
  <si>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</si>
  <si>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</si>
  <si>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</si>
  <si>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</si>
  <si>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</si>
  <si>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</si>
  <si>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</si>
  <si>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</si>
  <si>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</si>
  <si>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</si>
  <si>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</si>
  <si>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</si>
  <si>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</si>
  <si>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</si>
  <si>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</si>
  <si>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</si>
  <si>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</si>
  <si>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</si>
  <si>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</si>
  <si>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</si>
  <si>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</si>
  <si>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</si>
  <si>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</si>
  <si>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</si>
  <si>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</si>
  <si>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</si>
  <si>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</si>
  <si>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</si>
  <si>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</si>
  <si>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</si>
  <si>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</si>
  <si>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</si>
  <si>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</si>
  <si>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</si>
  <si>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</si>
  <si>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</si>
  <si>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</si>
  <si>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</si>
  <si>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</si>
  <si>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</si>
  <si>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</si>
  <si>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</si>
  <si>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</si>
  <si>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</si>
  <si>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</si>
  <si>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</si>
  <si>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</si>
  <si>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</si>
  <si>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</si>
  <si>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</si>
  <si>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</si>
  <si>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</si>
  <si>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</si>
  <si>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</si>
  <si>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</si>
  <si>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</si>
  <si>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</si>
  <si>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</si>
  <si>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</si>
  <si>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</si>
  <si>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</si>
  <si>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</si>
  <si>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</si>
  <si>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</si>
  <si>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</si>
  <si>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</si>
  <si>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</si>
  <si>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</si>
  <si>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</si>
  <si>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</si>
  <si>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</si>
  <si>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</si>
  <si>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</si>
  <si>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</si>
  <si>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</si>
  <si>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</si>
  <si>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</si>
  <si>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</si>
  <si>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</si>
  <si>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</si>
  <si>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</si>
  <si>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</si>
  <si>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</si>
  <si>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</si>
  <si>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</si>
  <si>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</si>
  <si>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</si>
  <si>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</si>
  <si>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</si>
  <si>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</si>
  <si>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</si>
  <si>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</si>
  <si>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</si>
  <si>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</si>
  <si>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</si>
  <si>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</si>
  <si>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</si>
  <si>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</si>
  <si>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</si>
  <si>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</si>
  <si>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</si>
  <si>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</si>
  <si>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</si>
  <si>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</si>
  <si>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</si>
  <si>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</si>
  <si>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</si>
  <si>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</si>
  <si>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</si>
  <si>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</si>
  <si>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</si>
  <si>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</si>
  <si>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</si>
  <si>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</si>
  <si>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</si>
  <si>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</si>
  <si>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</si>
  <si>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</si>
  <si>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</si>
  <si>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</si>
  <si>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</si>
  <si>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</si>
  <si>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</si>
  <si>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</si>
  <si>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</si>
  <si>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</si>
  <si>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</si>
  <si>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</si>
  <si>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</si>
  <si>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</si>
  <si>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</si>
  <si>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</si>
  <si>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</si>
  <si>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</si>
  <si>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</si>
  <si>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</si>
  <si>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</si>
  <si>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</si>
  <si>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</si>
  <si>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</si>
  <si>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</si>
  <si>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</si>
  <si>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</si>
  <si>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</si>
  <si>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</si>
  <si>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</si>
  <si>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</si>
  <si>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</si>
  <si>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</si>
  <si>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</si>
  <si>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</si>
  <si>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</si>
  <si>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</si>
  <si>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</si>
  <si>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</si>
  <si>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</si>
  <si>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</si>
  <si>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</si>
  <si>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</si>
  <si>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</si>
  <si>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</si>
  <si>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</si>
  <si>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</si>
  <si>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</si>
  <si>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</si>
  <si>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</si>
  <si>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</si>
  <si>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</si>
  <si>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</si>
  <si>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</si>
  <si>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</si>
  <si>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</si>
  <si>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</si>
  <si>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</si>
  <si>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</si>
  <si>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</si>
  <si>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</si>
  <si>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</si>
  <si>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</si>
  <si>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</si>
  <si>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</si>
  <si>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</si>
  <si>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</si>
  <si>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</si>
  <si>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</si>
  <si>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</si>
  <si>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</si>
  <si>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</si>
  <si>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</si>
  <si>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</si>
  <si>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</si>
  <si>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</si>
  <si>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</si>
  <si>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</si>
  <si>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</si>
  <si>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</si>
  <si>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</si>
  <si>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</si>
  <si>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</si>
  <si>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</si>
  <si>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</si>
  <si>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</si>
  <si>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</si>
  <si>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</si>
  <si>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</si>
  <si>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</si>
  <si>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</si>
  <si>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</si>
  <si>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</si>
  <si>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</si>
  <si>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</si>
  <si>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</si>
  <si>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</si>
  <si>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</si>
  <si>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</si>
  <si>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</si>
  <si>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</si>
  <si>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</si>
  <si>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</si>
  <si>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</si>
  <si>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</si>
  <si>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</si>
  <si>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</si>
  <si>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</si>
  <si>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</si>
  <si>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</si>
  <si>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</si>
  <si>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</si>
  <si>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</si>
  <si>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</si>
  <si>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</si>
  <si>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</si>
  <si>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</si>
  <si>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</si>
  <si>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</si>
  <si>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</si>
  <si>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</si>
  <si>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</si>
  <si>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</si>
  <si>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</si>
  <si>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</si>
  <si>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</si>
  <si>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</si>
  <si>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</si>
  <si>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</si>
  <si>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</si>
  <si>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</si>
  <si>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</si>
  <si>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</si>
  <si>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</si>
  <si>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</si>
  <si>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</si>
  <si>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</si>
  <si>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</si>
  <si>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</si>
  <si>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</si>
  <si>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</si>
  <si>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</si>
  <si>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</si>
  <si>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</si>
  <si>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</si>
  <si>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</si>
  <si>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</si>
  <si>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</si>
  <si>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</si>
  <si>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</si>
  <si>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</si>
  <si>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</si>
  <si>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</si>
  <si>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</si>
  <si>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</si>
  <si>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</si>
  <si>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</si>
  <si>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</si>
  <si>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</si>
  <si>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</si>
  <si>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</si>
  <si>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</si>
  <si>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</si>
  <si>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</si>
  <si>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</si>
  <si>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</si>
  <si>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</si>
  <si>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</si>
  <si>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</si>
  <si>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</si>
  <si>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</si>
  <si>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</si>
  <si>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</si>
  <si>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</si>
  <si>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</si>
  <si>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</si>
  <si>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</si>
  <si>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</si>
  <si>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</si>
  <si>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</si>
  <si>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</si>
  <si>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</si>
  <si>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</si>
  <si>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</si>
  <si>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</si>
  <si>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</si>
  <si>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</si>
  <si>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</si>
  <si>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</si>
  <si>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</si>
  <si>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</si>
  <si>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</si>
  <si>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</si>
  <si>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</si>
  <si>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</si>
  <si>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</si>
  <si>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</si>
  <si>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</si>
  <si>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</si>
  <si>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</si>
  <si>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</si>
  <si>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</si>
  <si>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</si>
  <si>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</si>
  <si>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</si>
  <si>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</si>
  <si>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</si>
  <si>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</si>
  <si>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</si>
  <si>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</si>
  <si>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</si>
  <si>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</si>
  <si>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</si>
  <si>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</si>
  <si>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</si>
  <si>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</si>
  <si>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</si>
  <si>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</si>
  <si>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</si>
  <si>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</si>
  <si>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</si>
  <si>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</si>
  <si>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</si>
  <si>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</si>
  <si>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</si>
  <si>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</si>
  <si>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</si>
  <si>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</si>
  <si>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</si>
  <si>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</si>
  <si>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</si>
  <si>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</si>
  <si>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</si>
  <si>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</si>
  <si>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</si>
  <si>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</si>
  <si>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</si>
  <si>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</si>
  <si>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</si>
  <si>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</si>
  <si>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</si>
  <si>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</si>
  <si>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</si>
  <si>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</si>
  <si>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</si>
  <si>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</si>
  <si>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</si>
  <si>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</si>
  <si>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</si>
  <si>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</si>
  <si>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</si>
  <si>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</si>
  <si>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</si>
  <si>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</si>
  <si>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</si>
  <si>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</si>
  <si>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</si>
  <si>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</si>
  <si>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</si>
  <si>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</si>
  <si>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</si>
  <si>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</si>
  <si>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</si>
  <si>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</si>
  <si>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</si>
  <si>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</si>
  <si>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</si>
  <si>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</si>
  <si>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</si>
  <si>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</si>
  <si>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</si>
  <si>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</si>
  <si>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</si>
  <si>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</si>
  <si>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</si>
  <si>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</si>
  <si>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</si>
  <si>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</si>
  <si>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</si>
  <si>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</si>
  <si>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</si>
  <si>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</si>
  <si>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</si>
  <si>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</si>
  <si>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</si>
  <si>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</si>
  <si>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</si>
  <si>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</si>
  <si>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</si>
  <si>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</si>
  <si>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</si>
  <si>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</si>
  <si>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</si>
  <si>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</si>
  <si>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</si>
  <si>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</si>
  <si>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</si>
  <si>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</si>
  <si>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</si>
  <si>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</si>
  <si>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</si>
  <si>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</si>
  <si>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</si>
  <si>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</si>
  <si>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</si>
  <si>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</si>
  <si>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</si>
  <si>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</si>
  <si>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</si>
  <si>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</si>
  <si>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</si>
  <si>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</si>
  <si>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</si>
  <si>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</si>
  <si>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</si>
  <si>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</si>
  <si>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</si>
  <si>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</si>
  <si>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</si>
  <si>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</si>
  <si>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</si>
  <si>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</si>
  <si>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</si>
  <si>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</si>
  <si>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</si>
  <si>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</si>
  <si>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</si>
  <si>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</si>
  <si>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</si>
  <si>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</si>
  <si>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</si>
  <si>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</si>
  <si>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</si>
  <si>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</si>
  <si>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</si>
  <si>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</si>
  <si>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</si>
  <si>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</si>
  <si>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</si>
  <si>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</si>
  <si>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</si>
  <si>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</si>
  <si>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</si>
  <si>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</si>
  <si>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</si>
  <si>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</si>
  <si>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</si>
  <si>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</si>
  <si>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</si>
  <si>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</si>
  <si>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</si>
  <si>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</si>
  <si>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</si>
  <si>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</si>
  <si>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</si>
  <si>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</si>
  <si>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</si>
  <si>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</si>
  <si>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</si>
  <si>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</si>
  <si>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</si>
  <si>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</si>
  <si>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</si>
  <si>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</si>
  <si>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</si>
  <si>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</si>
  <si>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</si>
  <si>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</si>
  <si>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</si>
  <si>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</si>
  <si>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</si>
  <si>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</si>
  <si>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</si>
  <si>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</si>
  <si>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</si>
  <si>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</si>
  <si>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</si>
  <si>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</si>
  <si>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</si>
  <si>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</si>
  <si>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</si>
  <si>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</si>
  <si>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</si>
  <si>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</si>
  <si>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</si>
  <si>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</si>
  <si>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</si>
  <si>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</si>
  <si>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</si>
  <si>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</si>
  <si>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</si>
  <si>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</si>
  <si>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</si>
  <si>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</si>
  <si>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</si>
  <si>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</si>
  <si>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</si>
  <si>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</si>
  <si>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</si>
  <si>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</si>
  <si>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</si>
  <si>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</si>
  <si>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</si>
  <si>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</si>
  <si>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</si>
  <si>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</si>
  <si>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</si>
  <si>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</si>
  <si>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</si>
  <si>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</si>
  <si>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ground water</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</si>
  <si>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</si>
  <si>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</si>
  <si>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</si>
  <si>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</si>
  <si>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</si>
  <si>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</si>
  <si>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</si>
  <si>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</si>
  <si>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</si>
  <si>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</si>
  <si>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</si>
  <si>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</si>
  <si>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</si>
  <si>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</si>
  <si>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</si>
  <si>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</si>
  <si>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</si>
  <si>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</si>
  <si>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</si>
  <si>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</si>
  <si>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</si>
  <si>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</si>
  <si>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</si>
  <si>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</si>
  <si>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</si>
  <si>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</si>
  <si>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</si>
  <si>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</si>
  <si>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</si>
  <si>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</si>
  <si>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</si>
  <si>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</si>
  <si>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</si>
  <si>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</si>
  <si>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</si>
  <si>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</si>
  <si>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</si>
  <si>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</si>
  <si>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</si>
  <si>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</si>
  <si>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</si>
  <si>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</si>
  <si>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</si>
  <si>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</si>
  <si>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</si>
  <si>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</si>
  <si>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</si>
  <si>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</si>
  <si>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</si>
  <si>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</si>
  <si>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</si>
  <si>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</si>
  <si>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</si>
  <si>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</si>
  <si>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</si>
  <si>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</si>
  <si>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</si>
  <si>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</si>
  <si>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</si>
  <si>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</si>
  <si>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</si>
  <si>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</si>
  <si>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</si>
  <si>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</si>
  <si>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</si>
  <si>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</si>
  <si>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</si>
  <si>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</si>
  <si>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</si>
  <si>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</si>
  <si>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</si>
  <si>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</si>
  <si>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</si>
  <si>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</si>
  <si>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</si>
  <si>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</si>
  <si>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</si>
  <si>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</si>
  <si>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</si>
  <si>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</si>
  <si>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</si>
  <si>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</si>
  <si>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</si>
  <si>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</si>
  <si>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</si>
  <si>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</si>
  <si>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</si>
  <si>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</si>
  <si>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</si>
  <si>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</si>
  <si>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</si>
  <si>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</si>
  <si>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</si>
  <si>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</si>
  <si>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</si>
  <si>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</si>
  <si>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</si>
  <si>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</si>
  <si>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</si>
  <si>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</si>
  <si>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</si>
  <si>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</si>
  <si>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</si>
  <si>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</si>
  <si>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</si>
  <si>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</si>
  <si>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</si>
  <si>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</si>
  <si>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</si>
  <si>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</si>
  <si>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</si>
  <si>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</si>
  <si>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</si>
  <si>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</si>
  <si>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</si>
  <si>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</si>
  <si>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</si>
  <si>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</si>
  <si>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</si>
  <si>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</si>
  <si>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</si>
  <si>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</si>
  <si>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</si>
  <si>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</si>
  <si>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</si>
  <si>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</si>
  <si>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</si>
  <si>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</si>
  <si>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</si>
  <si>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</si>
  <si>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</si>
  <si>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</si>
  <si>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</si>
  <si>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</si>
  <si>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</si>
  <si>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</si>
  <si>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</si>
  <si>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</si>
  <si>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</si>
  <si>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</si>
  <si>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</si>
  <si>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</si>
  <si>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</si>
  <si>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</si>
  <si>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</si>
  <si>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</si>
  <si>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</si>
  <si>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</si>
  <si>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</si>
  <si>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</si>
  <si>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</si>
  <si>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</si>
  <si>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</si>
  <si>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</si>
  <si>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</si>
  <si>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</si>
  <si>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</si>
  <si>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</si>
  <si>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</si>
  <si>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</si>
  <si>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</si>
  <si>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</si>
  <si>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</si>
  <si>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</si>
  <si>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</si>
  <si>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</si>
  <si>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</si>
  <si>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</si>
  <si>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</si>
  <si>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</si>
  <si>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</si>
  <si>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</si>
  <si>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</si>
  <si>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</si>
  <si>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</si>
  <si>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</si>
  <si>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</si>
  <si>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</si>
  <si>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</si>
  <si>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</si>
  <si>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</si>
  <si>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</si>
  <si>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</si>
  <si>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</si>
  <si>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</si>
  <si>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</si>
  <si>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</si>
  <si>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</si>
  <si>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</si>
  <si>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</si>
  <si>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</si>
  <si>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</si>
  <si>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</si>
  <si>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</si>
  <si>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</si>
  <si>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</si>
  <si>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</si>
  <si>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</si>
  <si>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</si>
  <si>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</si>
  <si>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</si>
  <si>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</si>
  <si>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</si>
  <si>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</si>
  <si>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</si>
  <si>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</si>
  <si>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</si>
  <si>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</si>
  <si>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</si>
  <si>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</si>
  <si>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</si>
  <si>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</si>
  <si>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</si>
  <si>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</si>
  <si>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</si>
  <si>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</si>
  <si>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</si>
  <si>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</si>
  <si>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</si>
  <si>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</si>
  <si>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</si>
  <si>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</si>
  <si>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</si>
  <si>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</si>
  <si>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</si>
  <si>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Final surface area of contact material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</si>
  <si>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</si>
  <si>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</si>
  <si>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</si>
  <si>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</si>
  <si>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</si>
  <si>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</si>
  <si>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</si>
  <si>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</si>
  <si>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</si>
  <si>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</si>
  <si>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</si>
  <si>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</si>
  <si>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</si>
  <si>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</si>
  <si>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</si>
  <si>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</si>
  <si>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</si>
  <si>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</si>
  <si>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</si>
  <si>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</si>
  <si>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</si>
  <si>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</si>
  <si>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</si>
  <si>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</si>
  <si>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</si>
  <si>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</si>
  <si>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</si>
  <si>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</si>
  <si>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</si>
  <si>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</si>
  <si>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</si>
  <si>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</si>
  <si>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</si>
  <si>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</si>
  <si>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</si>
  <si>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</si>
  <si>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</si>
  <si>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</si>
  <si>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</si>
  <si>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</si>
  <si>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</si>
  <si>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</si>
  <si>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</si>
  <si>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</si>
  <si>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</si>
  <si>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</si>
  <si>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</si>
  <si>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</si>
  <si>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</si>
  <si>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</si>
  <si>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</si>
  <si>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</si>
  <si>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</si>
  <si>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</si>
  <si>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</si>
  <si>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</si>
  <si>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</si>
  <si>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</si>
  <si>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</si>
  <si>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</si>
  <si>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</si>
  <si>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</si>
  <si>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</si>
  <si>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</si>
  <si>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</si>
  <si>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</si>
  <si>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</si>
  <si>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</si>
  <si>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</si>
  <si>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</si>
  <si>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</si>
  <si>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</si>
  <si>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</si>
  <si>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</si>
  <si>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</si>
  <si>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</si>
  <si>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</si>
  <si>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</si>
  <si>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</si>
  <si>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</si>
  <si>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</si>
  <si>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</si>
  <si>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</si>
  <si>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</si>
  <si>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</si>
  <si>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</si>
  <si>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</si>
  <si>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</si>
  <si>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</si>
  <si>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</si>
  <si>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</si>
  <si>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</si>
  <si>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</si>
  <si>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</si>
  <si>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</si>
  <si>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</si>
  <si>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</si>
  <si>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</si>
  <si>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</si>
  <si>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</si>
  <si>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</si>
  <si>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</si>
  <si>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</si>
  <si>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</si>
  <si>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</si>
  <si>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</si>
  <si>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</si>
  <si>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</si>
  <si>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</si>
  <si>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</si>
  <si>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</si>
  <si>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</si>
  <si>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</si>
  <si>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</si>
  <si>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</si>
  <si>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</si>
  <si>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</si>
  <si>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</si>
  <si>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</si>
  <si>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</si>
  <si>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</si>
  <si>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</si>
  <si>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</si>
  <si>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</si>
  <si>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</si>
  <si>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</si>
  <si>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</si>
  <si>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</si>
  <si>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</si>
  <si>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</si>
  <si>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</si>
  <si>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</si>
  <si>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</si>
  <si>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</si>
  <si>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</si>
  <si>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</si>
  <si>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</si>
  <si>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</si>
  <si>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</si>
  <si>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</si>
  <si>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</si>
  <si>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</si>
  <si>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</si>
  <si>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</si>
  <si>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</si>
  <si>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</si>
  <si>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</si>
  <si>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</si>
  <si>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</si>
  <si>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</si>
  <si>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</si>
  <si>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</si>
  <si>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</si>
  <si>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</si>
  <si>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</si>
  <si>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</si>
  <si>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</si>
  <si>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</si>
  <si>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</si>
  <si>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</si>
  <si>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</si>
  <si>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</si>
  <si>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</si>
  <si>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</si>
  <si>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</si>
  <si>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</si>
  <si>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</si>
  <si>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</si>
  <si>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</si>
  <si>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</si>
  <si>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</si>
  <si>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</si>
  <si>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</si>
  <si>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</si>
  <si>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</si>
  <si>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</si>
  <si>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</si>
  <si>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</si>
  <si>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</si>
  <si>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</si>
  <si>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</si>
  <si>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</si>
  <si>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</si>
  <si>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</si>
  <si>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</si>
  <si>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</si>
  <si>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</si>
  <si>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</si>
  <si>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</si>
  <si>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</si>
  <si>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</si>
  <si>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</si>
  <si>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</si>
  <si>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</si>
  <si>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</si>
  <si>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</si>
  <si>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</si>
  <si>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</si>
  <si>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</si>
  <si>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</si>
  <si>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</si>
  <si>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</si>
  <si>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</si>
  <si>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</si>
  <si>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</si>
  <si>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</si>
  <si>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</si>
  <si>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</si>
  <si>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</si>
  <si>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</si>
  <si>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</si>
  <si>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</si>
  <si>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</si>
  <si>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</si>
  <si>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</si>
  <si>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</si>
  <si>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</si>
  <si>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</si>
  <si>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</si>
  <si>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</si>
  <si>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</si>
  <si>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</si>
  <si>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</si>
  <si>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</si>
  <si>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</si>
  <si>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</si>
  <si>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</si>
  <si>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</si>
  <si>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</si>
  <si>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</si>
  <si>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</si>
  <si>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</si>
  <si>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</si>
  <si>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</si>
  <si>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</si>
  <si>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</si>
  <si>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</si>
  <si>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</si>
  <si>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</si>
  <si>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</si>
  <si>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</si>
  <si>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</si>
  <si>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</si>
  <si>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</si>
  <si>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</si>
  <si>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</si>
  <si>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</si>
  <si>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</si>
  <si>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</si>
  <si>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</si>
  <si>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</si>
  <si>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</si>
  <si>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</si>
  <si>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</si>
  <si>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</si>
  <si>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</si>
  <si>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</si>
  <si>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</si>
  <si>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</si>
  <si>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</si>
  <si>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</si>
  <si>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</si>
  <si>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</si>
  <si>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</si>
  <si>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</si>
  <si>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</si>
  <si>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</si>
  <si>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</si>
  <si>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</si>
  <si>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</si>
  <si>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</si>
  <si>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</si>
  <si>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</si>
  <si>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</si>
  <si>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</si>
  <si>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</si>
  <si>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</si>
  <si>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</si>
  <si>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</si>
  <si>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</si>
  <si>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</si>
  <si>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</si>
  <si>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</si>
  <si>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</si>
  <si>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</si>
  <si>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</si>
  <si>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</si>
  <si>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</si>
  <si>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</si>
  <si>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</si>
  <si>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</si>
  <si>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</si>
  <si>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</si>
  <si>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</si>
  <si>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</si>
  <si>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</si>
  <si>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</si>
  <si>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</si>
  <si>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</si>
  <si>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</si>
  <si>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</si>
  <si>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</si>
  <si>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</si>
  <si>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</si>
  <si>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</si>
  <si>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</si>
  <si>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</si>
  <si>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</si>
  <si>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</si>
  <si>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</si>
  <si>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</si>
  <si>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</si>
  <si>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</si>
  <si>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</si>
  <si>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</si>
  <si>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</si>
  <si>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</si>
  <si>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</si>
  <si>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</si>
  <si>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</si>
  <si>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</si>
  <si>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</si>
  <si>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</si>
  <si>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</si>
  <si>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</si>
  <si>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</si>
  <si>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</si>
  <si>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</si>
  <si>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</si>
  <si>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</si>
  <si>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</si>
  <si>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</si>
  <si>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</si>
  <si>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</si>
  <si>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</si>
  <si>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</si>
  <si>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</si>
  <si>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</si>
  <si>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</si>
  <si>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</si>
  <si>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</si>
  <si>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</si>
  <si>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</si>
  <si>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</si>
  <si>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</si>
  <si>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</si>
  <si>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</si>
  <si>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</si>
  <si>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</si>
  <si>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</si>
  <si>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</si>
  <si>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</si>
  <si>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</si>
  <si>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</si>
  <si>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</si>
  <si>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</si>
  <si>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</si>
  <si>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</si>
  <si>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</si>
  <si>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</si>
  <si>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</si>
  <si>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</si>
  <si>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</si>
  <si>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</si>
  <si>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</si>
  <si>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</si>
  <si>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</si>
  <si>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</si>
  <si>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</si>
  <si>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</si>
  <si>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</si>
  <si>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</si>
  <si>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</si>
  <si>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</si>
  <si>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</si>
  <si>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</si>
  <si>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</si>
  <si>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</si>
  <si>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</si>
  <si>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</si>
  <si>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</si>
  <si>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</si>
  <si>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</si>
  <si>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</si>
  <si>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</si>
  <si>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</si>
  <si>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</si>
  <si>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</si>
  <si>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</si>
  <si>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</si>
  <si>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</si>
  <si>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</si>
  <si>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</si>
  <si>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</si>
  <si>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</si>
  <si>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</si>
  <si>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</si>
  <si>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</si>
  <si>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</si>
  <si>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</si>
  <si>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</si>
  <si>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</si>
  <si>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</si>
  <si>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</si>
  <si>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</si>
  <si>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</si>
  <si>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</si>
  <si>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</si>
  <si>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</si>
  <si>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</si>
  <si>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</si>
  <si>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</si>
  <si>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</si>
  <si>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</si>
  <si>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</si>
  <si>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</si>
  <si>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</si>
  <si>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</si>
  <si>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</si>
  <si>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</si>
  <si>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</si>
  <si>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</si>
  <si>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</si>
  <si>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</si>
  <si>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</si>
  <si>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</si>
  <si>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</si>
  <si>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</si>
  <si>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</si>
  <si>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</si>
  <si>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</si>
  <si>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</si>
  <si>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</si>
  <si>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</si>
  <si>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</si>
  <si>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</si>
  <si>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</si>
  <si>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</si>
  <si>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</si>
  <si>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</si>
  <si>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</si>
  <si>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</si>
  <si>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</si>
  <si>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</si>
  <si>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</si>
  <si>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</si>
  <si>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</si>
  <si>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</si>
  <si>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</si>
  <si>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</si>
  <si>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</si>
  <si>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</si>
  <si>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</si>
  <si>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</si>
  <si>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</si>
  <si>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</si>
  <si>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</si>
  <si>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</si>
  <si>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</si>
  <si>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</si>
  <si>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</si>
  <si>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</si>
  <si>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</si>
  <si>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</si>
  <si>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</si>
  <si>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</si>
  <si>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</si>
  <si>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</si>
  <si>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</si>
  <si>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</si>
  <si>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</si>
  <si>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</si>
  <si>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</si>
  <si>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</si>
  <si>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</si>
  <si>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</si>
  <si>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</si>
  <si>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</si>
  <si>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</si>
  <si>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</si>
  <si>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</si>
  <si>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</si>
  <si>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</si>
  <si>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</si>
  <si>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</si>
  <si>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</si>
  <si>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</si>
  <si>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</si>
  <si>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</si>
  <si>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</si>
  <si>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</si>
  <si>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</si>
  <si>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</si>
  <si>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</si>
  <si>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</si>
  <si>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</si>
  <si>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</si>
  <si>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</si>
  <si>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</si>
  <si>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</si>
  <si>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</si>
  <si>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</si>
  <si>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</si>
  <si>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</si>
  <si>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</si>
  <si>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</si>
  <si>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</si>
  <si>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</si>
  <si>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</si>
  <si>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</si>
  <si>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</si>
  <si>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</si>
  <si>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</si>
  <si>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</si>
  <si>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</si>
  <si>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</si>
  <si>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</si>
  <si>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</si>
  <si>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</si>
  <si>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</si>
  <si>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</si>
  <si>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</si>
  <si>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</si>
  <si>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</si>
  <si>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</si>
  <si>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</si>
  <si>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</si>
  <si>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</si>
  <si>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</si>
  <si>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</si>
  <si>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</si>
  <si>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</si>
  <si>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</si>
  <si>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</si>
  <si>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</si>
  <si>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</si>
  <si>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</si>
  <si>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</si>
  <si>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</si>
  <si>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</si>
  <si>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</si>
  <si>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</si>
  <si>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</si>
  <si>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</si>
  <si>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</si>
  <si>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</si>
  <si>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</si>
  <si>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</si>
  <si>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</si>
  <si>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</si>
  <si>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</si>
  <si>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</si>
  <si>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</si>
  <si>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</si>
  <si>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</si>
  <si>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</si>
  <si>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</si>
  <si>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</si>
  <si>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</si>
  <si>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</si>
  <si>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</si>
  <si>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</si>
  <si>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</si>
  <si>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</si>
  <si>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</si>
  <si>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</si>
  <si>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</si>
  <si>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</si>
  <si>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</si>
  <si>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</si>
  <si>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</si>
  <si>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</si>
  <si>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</si>
  <si>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</si>
  <si>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</si>
  <si>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</si>
  <si>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</si>
  <si>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</si>
  <si>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</si>
  <si>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</si>
  <si>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</si>
  <si>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</si>
  <si>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</si>
  <si>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</si>
  <si>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</si>
  <si>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</si>
  <si>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</si>
  <si>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</si>
  <si>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</si>
  <si>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</si>
  <si>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</si>
  <si>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</si>
  <si>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</si>
  <si>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</si>
  <si>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</si>
  <si>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</si>
  <si>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</si>
  <si>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</si>
  <si>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</si>
  <si>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</si>
  <si>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</si>
  <si>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</si>
  <si>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</si>
  <si>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</si>
  <si>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</si>
  <si>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</si>
  <si>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</si>
  <si>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</si>
  <si>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</si>
  <si>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</si>
  <si>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</si>
  <si>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</si>
  <si>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</si>
  <si>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</si>
  <si>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</si>
  <si>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</si>
  <si>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</si>
  <si>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</si>
  <si>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</si>
  <si>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</si>
  <si>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</si>
  <si>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</si>
  <si>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</si>
  <si>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</si>
  <si>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</si>
  <si>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</si>
  <si>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</si>
  <si>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</si>
  <si>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</si>
  <si>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</si>
  <si>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</si>
  <si>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</si>
  <si>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</si>
  <si>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</si>
  <si>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</si>
  <si>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</si>
  <si>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</si>
  <si>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</si>
  <si>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</si>
  <si>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</si>
  <si>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</si>
  <si>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</si>
  <si>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</si>
  <si>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</si>
  <si>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</si>
  <si>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</si>
  <si>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</si>
  <si>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</si>
  <si>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</si>
  <si>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</si>
  <si>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</si>
  <si>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</si>
  <si>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</si>
  <si>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</si>
  <si>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</si>
  <si>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</si>
  <si>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</si>
  <si>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</si>
  <si>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</si>
  <si>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</si>
  <si>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</si>
  <si>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</si>
  <si>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</si>
  <si>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</si>
  <si>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</si>
  <si>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</si>
  <si>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</si>
  <si>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</si>
  <si>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</si>
  <si>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</si>
  <si>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</si>
  <si>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</si>
  <si>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</si>
  <si>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</si>
  <si>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</si>
  <si>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</si>
  <si>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</si>
  <si>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</si>
  <si>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</si>
  <si>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</si>
  <si>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</si>
  <si>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</si>
  <si>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</si>
  <si>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</si>
  <si>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</si>
  <si>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</si>
  <si>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</si>
  <si>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</si>
  <si>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</si>
  <si>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</si>
  <si>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</si>
  <si>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</si>
  <si>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</si>
  <si>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</si>
  <si>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</si>
  <si>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</si>
  <si>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</si>
  <si>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</si>
  <si>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</si>
  <si>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</si>
  <si>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</si>
  <si>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</si>
  <si>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</si>
  <si>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</si>
  <si>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</si>
  <si>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</si>
  <si>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</si>
  <si>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</si>
  <si>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</si>
  <si>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</si>
  <si>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</si>
  <si>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</si>
  <si>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</si>
  <si>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</si>
  <si>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</si>
  <si>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</si>
  <si>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</si>
  <si>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</si>
  <si>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</si>
  <si>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</si>
  <si>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</si>
  <si>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</si>
  <si>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</si>
  <si>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</si>
  <si>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</si>
  <si>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</si>
  <si>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</si>
  <si>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</si>
  <si>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</si>
  <si>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</si>
  <si>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</si>
  <si>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</si>
  <si>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</si>
  <si>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</si>
  <si>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</si>
  <si>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</si>
  <si>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</si>
  <si>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</si>
  <si>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</si>
  <si>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</si>
  <si>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</si>
  <si>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</si>
  <si>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</si>
  <si>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</si>
  <si>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</si>
  <si>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</si>
  <si>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</si>
  <si>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</si>
  <si>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</si>
  <si>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</si>
  <si>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</si>
  <si>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</si>
  <si>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</si>
  <si>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</si>
  <si>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</si>
  <si>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</si>
  <si>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</si>
  <si>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</si>
  <si>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</si>
  <si>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</si>
  <si>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</si>
  <si>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</si>
  <si>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</si>
  <si>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</si>
  <si>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</si>
  <si>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</si>
  <si>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</si>
  <si>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</si>
  <si>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</si>
  <si>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</si>
  <si>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</si>
  <si>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</si>
  <si>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</si>
  <si>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</si>
  <si>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</si>
  <si>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</si>
  <si>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</si>
  <si>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</si>
  <si>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</si>
  <si>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</si>
  <si>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</si>
  <si>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</si>
  <si>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</si>
  <si>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</si>
  <si>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</si>
  <si>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</si>
  <si>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</si>
  <si>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</si>
  <si>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</si>
  <si>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</si>
  <si>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</si>
  <si>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</si>
  <si>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</si>
  <si>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</si>
  <si>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</si>
  <si>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</si>
  <si>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</si>
  <si>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</si>
  <si>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</si>
  <si>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</si>
  <si>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</si>
  <si>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</si>
  <si>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</si>
  <si>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</si>
  <si>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</si>
  <si>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</si>
  <si>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</si>
  <si>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</si>
  <si>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</si>
  <si>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</si>
  <si>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</si>
  <si>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</si>
  <si>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</si>
  <si>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</si>
  <si>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</si>
  <si>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</si>
  <si>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</si>
  <si>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</si>
  <si>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</si>
  <si>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</si>
  <si>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</si>
  <si>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</si>
  <si>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</si>
  <si>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</si>
  <si>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</si>
  <si>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</si>
  <si>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</si>
  <si>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</si>
  <si>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</si>
  <si>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</si>
  <si>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</si>
  <si>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</si>
  <si>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</si>
  <si>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</si>
  <si>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</si>
  <si>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</si>
  <si>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</si>
  <si>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</si>
  <si>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</si>
  <si>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</si>
  <si>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</si>
  <si>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</si>
  <si>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</si>
  <si>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</si>
  <si>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</si>
  <si>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</si>
  <si>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</si>
  <si>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</si>
  <si>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</si>
  <si>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</si>
  <si>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</si>
  <si>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</si>
  <si>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</si>
  <si>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</si>
  <si>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</si>
  <si>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</si>
  <si>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</si>
  <si>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</si>
  <si>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</si>
  <si>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</si>
  <si>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</si>
  <si>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</si>
  <si>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</si>
  <si>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</si>
  <si>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</si>
  <si>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</si>
  <si>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</si>
  <si>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</si>
  <si>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</si>
  <si>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</si>
  <si>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</si>
  <si>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</si>
  <si>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</si>
  <si>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</si>
  <si>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</si>
  <si>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</si>
  <si>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</si>
  <si>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</si>
  <si>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</si>
  <si>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</si>
  <si>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</si>
  <si>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</si>
  <si>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</si>
  <si>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</si>
  <si>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</si>
  <si>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</si>
  <si>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</si>
  <si>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</si>
  <si>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</si>
  <si>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</si>
  <si>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</si>
  <si>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</si>
  <si>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</si>
  <si>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</si>
  <si>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</si>
  <si>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</si>
  <si>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</si>
  <si>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</si>
  <si>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</si>
  <si>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</si>
  <si>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</si>
  <si>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</si>
  <si>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</si>
  <si>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</si>
  <si>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</si>
  <si>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</si>
  <si>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</si>
  <si>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</si>
  <si>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</si>
  <si>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</si>
  <si>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</si>
  <si>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</si>
  <si>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</si>
  <si>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</si>
  <si>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</si>
  <si>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</si>
  <si>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</si>
  <si>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</si>
  <si>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</si>
  <si>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</si>
  <si>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</si>
  <si>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</si>
  <si>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</si>
  <si>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</si>
  <si>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</si>
  <si>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</si>
  <si>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</si>
  <si>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</si>
  <si>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</si>
  <si>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</si>
  <si>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</si>
  <si>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</si>
  <si>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</si>
  <si>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</si>
  <si>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</si>
  <si>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</si>
  <si>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</si>
  <si>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</si>
  <si>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</si>
  <si>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</si>
  <si>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</si>
  <si>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</si>
  <si>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</si>
  <si>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</si>
  <si>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</si>
  <si>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</si>
  <si>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</si>
  <si>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</si>
  <si>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</si>
  <si>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</si>
  <si>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</si>
  <si>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</si>
  <si>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</si>
  <si>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</si>
  <si>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</si>
  <si>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</si>
  <si>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</si>
  <si>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</si>
  <si>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</si>
  <si>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</si>
  <si>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</si>
  <si>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</si>
  <si>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</si>
  <si>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</si>
  <si>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</si>
  <si>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</si>
  <si>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</si>
  <si>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</si>
  <si>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</si>
  <si>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</si>
  <si>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</si>
  <si>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</si>
  <si>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</si>
  <si>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</si>
  <si>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</si>
  <si>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</si>
  <si>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</si>
  <si>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</si>
  <si>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</si>
  <si>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</si>
  <si>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</si>
  <si>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</si>
  <si>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</si>
  <si>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</si>
  <si>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</si>
  <si>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</si>
  <si>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</si>
  <si>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</si>
  <si>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</si>
  <si>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</si>
  <si>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</si>
  <si>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</si>
  <si>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</si>
  <si>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</si>
  <si>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</si>
  <si>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</si>
  <si>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</si>
  <si>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</si>
  <si>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</si>
  <si>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</si>
  <si>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</si>
  <si>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</si>
  <si>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</si>
  <si>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</si>
  <si>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</si>
  <si>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</si>
  <si>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</si>
  <si>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</si>
  <si>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</si>
  <si>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</si>
  <si>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</si>
  <si>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</si>
  <si>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</si>
  <si>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</si>
  <si>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</si>
  <si>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</si>
  <si>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</si>
  <si>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</si>
  <si>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</si>
  <si>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</si>
  <si>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</si>
  <si>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</si>
  <si>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</si>
  <si>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</si>
  <si>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</si>
  <si>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</si>
  <si>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</si>
  <si>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</si>
  <si>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</si>
  <si>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</si>
  <si>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</si>
  <si>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</si>
  <si>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</si>
  <si>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</si>
  <si>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</si>
  <si>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</si>
  <si>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</si>
  <si>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</si>
  <si>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</si>
  <si>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</si>
  <si>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</si>
  <si>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</si>
  <si>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</si>
  <si>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</si>
  <si>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</si>
  <si>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</si>
  <si>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</si>
  <si>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</si>
  <si>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</si>
  <si>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</si>
  <si>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</si>
  <si>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</si>
  <si>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</si>
  <si>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</si>
  <si>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</si>
  <si>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</si>
  <si>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</si>
  <si>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</si>
  <si>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</si>
  <si>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</si>
  <si>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</si>
  <si>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</si>
  <si>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</si>
  <si>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</si>
  <si>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</si>
  <si>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</si>
  <si>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</si>
  <si>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</si>
  <si>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</si>
  <si>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</si>
  <si>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</si>
  <si>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</si>
  <si>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</si>
  <si>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</si>
  <si>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</si>
  <si>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</si>
  <si>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</si>
  <si>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</si>
  <si>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</si>
  <si>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</si>
  <si>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</si>
  <si>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</si>
  <si>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</si>
  <si>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</si>
  <si>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</si>
  <si>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</si>
  <si>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</si>
  <si>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</si>
  <si>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</si>
  <si>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</si>
  <si>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</si>
  <si>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</si>
  <si>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</si>
  <si>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</si>
  <si>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</si>
  <si>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</si>
  <si>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</si>
  <si>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</si>
  <si>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</si>
  <si>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</si>
  <si>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</si>
  <si>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</si>
  <si>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</si>
  <si>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</si>
  <si>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</si>
  <si>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</si>
  <si>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</si>
  <si>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</si>
  <si>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</si>
  <si>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</si>
  <si>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</si>
  <si>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</si>
  <si>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</si>
  <si>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</si>
  <si>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</si>
  <si>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</si>
  <si>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</si>
  <si>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</si>
  <si>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</si>
  <si>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</si>
  <si>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</si>
  <si>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</si>
  <si>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</si>
  <si>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</si>
  <si>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</si>
  <si>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</si>
  <si>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</si>
  <si>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</si>
  <si>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</si>
  <si>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</si>
  <si>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</si>
  <si>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</si>
  <si>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</si>
  <si>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</si>
  <si>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</si>
  <si>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</si>
  <si>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</si>
  <si>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</si>
  <si>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</si>
  <si>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</si>
  <si>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</si>
  <si>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</si>
  <si>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</si>
  <si>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</si>
  <si>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</si>
  <si>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</si>
  <si>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</si>
  <si>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</si>
  <si>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</si>
  <si>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</si>
  <si>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</si>
  <si>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</si>
  <si>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</si>
  <si>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</si>
  <si>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</si>
  <si>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</si>
  <si>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</si>
  <si>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</si>
  <si>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</si>
  <si>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</si>
  <si>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</si>
  <si>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</si>
  <si>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</si>
  <si>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</si>
  <si>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</si>
  <si>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</si>
  <si>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</si>
  <si>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</si>
  <si>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</si>
  <si>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</si>
  <si>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</si>
  <si>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</si>
  <si>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</si>
  <si>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</si>
  <si>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</si>
  <si>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</si>
  <si>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</si>
  <si>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</si>
  <si>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</si>
  <si>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</si>
  <si>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</si>
  <si>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</si>
  <si>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</si>
  <si>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</si>
  <si>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</si>
  <si>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</si>
  <si>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</si>
  <si>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</si>
  <si>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</si>
  <si>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</si>
  <si>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</si>
  <si>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</si>
  <si>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</si>
  <si>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</si>
  <si>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</si>
  <si>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</si>
  <si>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</si>
  <si>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</si>
  <si>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</si>
  <si>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</si>
  <si>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</si>
  <si>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</si>
  <si>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</si>
  <si>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</si>
  <si>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</si>
  <si>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</si>
  <si>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</si>
  <si>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</si>
  <si>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</si>
  <si>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</si>
  <si>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</si>
  <si>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</si>
  <si>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</si>
  <si>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</si>
  <si>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</si>
  <si>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</si>
  <si>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</si>
  <si>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</si>
  <si>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</si>
  <si>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</si>
  <si>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</si>
  <si>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</si>
  <si>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</si>
  <si>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</si>
  <si>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</si>
  <si>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</si>
  <si>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</si>
  <si>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</si>
  <si>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</si>
  <si>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</si>
  <si>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</si>
  <si>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</si>
  <si>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</si>
  <si>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</si>
  <si>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</si>
  <si>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</si>
  <si>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</si>
  <si>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</si>
  <si>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</si>
  <si>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</si>
  <si>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</si>
  <si>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</si>
  <si>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</si>
  <si>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</si>
  <si>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</si>
  <si>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</si>
  <si>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</si>
  <si>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</si>
  <si>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</si>
  <si>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</si>
  <si>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</si>
  <si>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</si>
  <si>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</si>
  <si>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</si>
  <si>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</si>
  <si>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</si>
  <si>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</si>
  <si>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</si>
  <si>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</si>
  <si>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</si>
  <si>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</si>
  <si>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</si>
  <si>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</si>
  <si>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</si>
  <si>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</si>
  <si>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</si>
  <si>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</si>
  <si>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</si>
  <si>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</si>
  <si>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</si>
  <si>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</si>
  <si>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</si>
  <si>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</si>
  <si>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</si>
  <si>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</si>
  <si>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</si>
  <si>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</si>
  <si>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</si>
  <si>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</si>
  <si>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</si>
  <si>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</si>
  <si>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</si>
  <si>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</si>
  <si>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</si>
  <si>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</si>
  <si>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</si>
  <si>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</si>
  <si>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</si>
  <si>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</si>
  <si>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</si>
  <si>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</si>
  <si>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</si>
  <si>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</si>
  <si>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</si>
  <si>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</si>
  <si>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</si>
  <si>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</si>
  <si>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</si>
  <si>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</si>
  <si>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</si>
  <si>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</si>
  <si>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</si>
  <si>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</si>
  <si>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</si>
  <si>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</si>
  <si>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</si>
  <si>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</si>
  <si>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</si>
  <si>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</si>
  <si>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</si>
  <si>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</si>
  <si>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</si>
  <si>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</si>
  <si>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</si>
  <si>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</si>
  <si>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</si>
  <si>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</si>
  <si>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</si>
  <si>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</si>
  <si>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</si>
  <si>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</si>
  <si>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</si>
  <si>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</si>
  <si>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</si>
  <si>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</si>
  <si>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</si>
  <si>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</si>
  <si>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</si>
  <si>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</si>
  <si>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</si>
  <si>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</si>
  <si>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</si>
  <si>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</si>
  <si>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</si>
  <si>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</si>
  <si>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</si>
  <si>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</si>
  <si>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</si>
  <si>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</si>
  <si>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</si>
  <si>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</si>
  <si>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</si>
  <si>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</si>
  <si>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</si>
  <si>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</si>
  <si>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</si>
  <si>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</si>
  <si>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</si>
  <si>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</si>
  <si>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</si>
  <si>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</si>
  <si>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</si>
  <si>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</si>
  <si>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</si>
  <si>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</si>
  <si>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</si>
  <si>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</si>
  <si>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</si>
  <si>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</si>
  <si>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</si>
  <si>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</si>
  <si>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</si>
  <si>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</si>
  <si>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</si>
  <si>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</si>
  <si>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</si>
  <si>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</si>
  <si>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</si>
  <si>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</si>
  <si>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</si>
  <si>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</si>
  <si>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</si>
  <si>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</si>
  <si>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</si>
  <si>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</si>
  <si>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</si>
  <si>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</si>
  <si>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</si>
  <si>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</si>
  <si>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</si>
  <si>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</si>
  <si>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</si>
  <si>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</si>
  <si>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</si>
  <si>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</si>
  <si>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</si>
  <si>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</si>
  <si>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</si>
  <si>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</si>
  <si>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</si>
  <si>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</si>
  <si>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</si>
  <si>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</si>
  <si>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</si>
  <si>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</si>
  <si>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</si>
  <si>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</si>
  <si>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</si>
  <si>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</si>
  <si>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</si>
  <si>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</si>
  <si>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</si>
  <si>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</si>
  <si>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</si>
  <si>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</si>
  <si>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</si>
  <si>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</si>
  <si>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</si>
  <si>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</si>
  <si>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</si>
  <si>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</si>
  <si>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</si>
  <si>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</si>
  <si>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</si>
  <si>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</si>
  <si>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</si>
  <si>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</si>
  <si>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</si>
  <si>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</si>
  <si>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</si>
  <si>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</si>
  <si>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</si>
  <si>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</si>
  <si>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</si>
  <si>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</si>
  <si>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</si>
  <si>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</si>
  <si>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</si>
  <si>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</si>
  <si>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</si>
  <si>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</si>
  <si>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</si>
  <si>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</si>
  <si>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</si>
  <si>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</si>
  <si>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</si>
  <si>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</si>
  <si>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</si>
  <si>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</si>
  <si>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</si>
  <si>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</si>
  <si>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</si>
  <si>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</si>
  <si>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</si>
  <si>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</si>
  <si>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</si>
  <si>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</si>
  <si>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</si>
  <si>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</si>
  <si>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</si>
  <si>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</si>
  <si>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</si>
  <si>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</si>
  <si>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</si>
  <si>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</si>
  <si>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</si>
  <si>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</si>
  <si>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</si>
  <si>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</si>
  <si>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</si>
  <si>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</si>
  <si>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</si>
  <si>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</si>
  <si>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</si>
  <si>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</si>
  <si>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</si>
  <si>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</si>
  <si>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</si>
  <si>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</si>
  <si>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</si>
  <si>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</si>
  <si>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</si>
  <si>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</si>
  <si>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</si>
  <si>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</si>
  <si>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</si>
  <si>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</si>
  <si>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</si>
  <si>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</si>
  <si>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</si>
  <si>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</si>
  <si>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</si>
  <si>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</si>
  <si>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</si>
  <si>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</si>
  <si>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</si>
  <si>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</si>
  <si>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</si>
  <si>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</si>
  <si>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</si>
  <si>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</si>
  <si>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</si>
  <si>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</si>
  <si>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</si>
  <si>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</si>
  <si>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</si>
  <si>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</si>
  <si>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</si>
  <si>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</si>
  <si>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</si>
  <si>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</si>
  <si>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</si>
  <si>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</si>
  <si>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</si>
  <si>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</si>
  <si>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</si>
  <si>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</si>
  <si>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</si>
  <si>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</si>
  <si>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</si>
  <si>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</si>
  <si>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</si>
  <si>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</si>
  <si>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</si>
  <si>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</si>
  <si>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</si>
  <si>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</si>
  <si>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</si>
  <si>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</si>
  <si>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</si>
  <si>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</si>
  <si>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</si>
  <si>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</si>
  <si>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</si>
  <si>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</si>
  <si>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</si>
  <si>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</si>
  <si>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</si>
  <si>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</si>
  <si>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</si>
  <si>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</si>
  <si>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</si>
  <si>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</si>
  <si>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</si>
  <si>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</si>
  <si>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</si>
  <si>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</si>
  <si>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</si>
  <si>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</si>
  <si>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</si>
  <si>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</si>
  <si>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</si>
  <si>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</si>
  <si>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</si>
  <si>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</si>
  <si>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</si>
  <si>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</si>
  <si>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</si>
  <si>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</si>
  <si>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</si>
  <si>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</si>
  <si>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</si>
  <si>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</si>
  <si>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</si>
  <si>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</si>
  <si>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</si>
  <si>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</si>
  <si>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</si>
  <si>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</si>
  <si>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</si>
  <si>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</si>
  <si>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</si>
  <si>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</si>
  <si>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</si>
  <si>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</si>
  <si>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</si>
  <si>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</si>
  <si>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</si>
  <si>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</si>
  <si>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</si>
  <si>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</si>
  <si>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</si>
  <si>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</si>
  <si>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</si>
  <si>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</si>
  <si>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</si>
  <si>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</si>
  <si>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</si>
  <si>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</si>
  <si>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</si>
  <si>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</si>
  <si>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</si>
  <si>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</si>
  <si>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</si>
  <si>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</si>
  <si>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</si>
  <si>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</si>
  <si>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</si>
  <si>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</si>
  <si>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</si>
  <si>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</si>
  <si>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</si>
  <si>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</si>
  <si>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</si>
  <si>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</si>
  <si>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</si>
  <si>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</si>
  <si>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</si>
  <si>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</si>
  <si>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</si>
  <si>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</si>
  <si>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</si>
  <si>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</si>
  <si>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</si>
  <si>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</si>
  <si>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</si>
  <si>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</si>
  <si>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</si>
  <si>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</si>
  <si>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</si>
  <si>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</si>
  <si>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</si>
  <si>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</si>
  <si>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</si>
  <si>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</si>
  <si>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</si>
  <si>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</si>
  <si>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</si>
  <si>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</si>
  <si>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</si>
  <si>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</si>
  <si>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</si>
  <si>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</si>
  <si>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</si>
  <si>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</si>
  <si>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</si>
  <si>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</si>
  <si>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</si>
  <si>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</si>
  <si>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</si>
  <si>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</si>
  <si>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</si>
  <si>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</si>
  <si>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</si>
  <si>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</si>
  <si>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</si>
  <si>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</si>
  <si>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</si>
  <si>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</si>
  <si>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</si>
  <si>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</si>
  <si>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</si>
  <si>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</si>
  <si>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</si>
  <si>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</si>
  <si>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</si>
  <si>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</si>
  <si>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</si>
  <si>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</si>
  <si>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</si>
  <si>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</si>
  <si>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</si>
  <si>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</si>
  <si>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</si>
  <si>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</si>
  <si>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</si>
  <si>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</si>
  <si>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</si>
  <si>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</si>
  <si>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</si>
  <si>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</si>
  <si>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</si>
  <si>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</si>
  <si>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</si>
  <si>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</si>
  <si>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</si>
  <si>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</si>
  <si>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</si>
  <si>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</si>
  <si>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</si>
  <si>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</si>
  <si>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</si>
  <si>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</si>
  <si>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</si>
  <si>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</si>
  <si>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</si>
  <si>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</si>
  <si>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</si>
  <si>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</si>
  <si>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</si>
  <si>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</si>
  <si>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</si>
  <si>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</si>
  <si>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</si>
  <si>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</si>
  <si>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</si>
  <si>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</si>
  <si>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</si>
  <si>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</si>
  <si>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</si>
  <si>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</si>
  <si>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</si>
  <si>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</si>
  <si>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</si>
  <si>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</si>
  <si>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</si>
  <si>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</si>
  <si>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</si>
  <si>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</si>
  <si>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</si>
  <si>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</si>
  <si>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</si>
  <si>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</si>
  <si>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</si>
  <si>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</si>
  <si>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</si>
  <si>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</si>
  <si>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</si>
  <si>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</si>
  <si>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</si>
  <si>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</si>
  <si>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</si>
  <si>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</si>
  <si>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</si>
  <si>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</si>
  <si>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</si>
  <si>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</si>
  <si>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</si>
  <si>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</si>
  <si>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</si>
  <si>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</si>
  <si>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</si>
  <si>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</si>
  <si>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</si>
  <si>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</si>
  <si>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</si>
  <si>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</si>
  <si>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</si>
  <si>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</si>
  <si>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</si>
  <si>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</si>
  <si>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</si>
  <si>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</si>
  <si>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</si>
  <si>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</si>
  <si>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</si>
  <si>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</si>
  <si>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</si>
  <si>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</si>
  <si>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</si>
  <si>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</si>
  <si>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</si>
  <si>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</si>
  <si>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</si>
  <si>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</si>
  <si>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</si>
  <si>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</si>
  <si>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</si>
  <si>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</si>
  <si>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</si>
  <si>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</si>
  <si>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</si>
  <si>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</si>
  <si>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</si>
  <si>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</si>
  <si>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</si>
  <si>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</si>
  <si>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</si>
  <si>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</si>
  <si>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</si>
  <si>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</si>
  <si>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</si>
  <si>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</si>
  <si>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</si>
  <si>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</si>
  <si>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</si>
  <si>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</si>
  <si>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</si>
  <si>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</si>
  <si>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</si>
  <si>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</si>
  <si>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</si>
  <si>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</si>
  <si>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</si>
  <si>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</si>
  <si>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</si>
  <si>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</si>
  <si>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</si>
  <si>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</si>
  <si>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</si>
  <si>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</si>
  <si>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</si>
  <si>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</si>
  <si>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</si>
  <si>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</si>
  <si>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</si>
  <si>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</si>
  <si>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</si>
  <si>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</si>
  <si>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</si>
  <si>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</si>
  <si>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</si>
  <si>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</si>
  <si>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</si>
  <si>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</si>
  <si>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</si>
  <si>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</si>
  <si>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</si>
  <si>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</si>
  <si>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</si>
  <si>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</si>
  <si>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</si>
  <si>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</si>
  <si>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</si>
  <si>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</si>
  <si>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</si>
  <si>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</si>
  <si>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</si>
  <si>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</si>
  <si>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</si>
  <si>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</si>
  <si>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</si>
  <si>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</si>
  <si>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</si>
  <si>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</si>
  <si>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</si>
  <si>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</si>
  <si>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</si>
  <si>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</si>
  <si>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</si>
  <si>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</si>
  <si>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</si>
  <si>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</si>
  <si>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</si>
  <si>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</si>
  <si>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</si>
  <si>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</si>
  <si>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</si>
  <si>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</si>
  <si>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</si>
  <si>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</si>
  <si>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</si>
  <si>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</si>
  <si>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</si>
  <si>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</si>
  <si>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</si>
  <si>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</si>
  <si>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</si>
  <si>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</si>
  <si>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</si>
  <si>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</si>
  <si>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</si>
  <si>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</si>
  <si>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</si>
  <si>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</si>
  <si>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</si>
  <si>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</si>
  <si>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</si>
  <si>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</si>
  <si>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</si>
  <si>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</si>
  <si>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</si>
  <si>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</si>
  <si>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</si>
  <si>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</si>
  <si>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</si>
  <si>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</si>
  <si>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</si>
  <si>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</si>
  <si>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</si>
  <si>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</si>
  <si>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</si>
  <si>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</si>
  <si>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</si>
  <si>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</si>
  <si>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</si>
  <si>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</si>
  <si>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</si>
  <si>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</si>
  <si>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</si>
  <si>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</si>
  <si>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</si>
  <si>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</si>
  <si>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</si>
  <si>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</si>
  <si>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</si>
  <si>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</si>
  <si>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</si>
  <si>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</si>
  <si>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</si>
  <si>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</si>
  <si>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</si>
  <si>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</si>
  <si>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</si>
  <si>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</si>
  <si>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</si>
  <si>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</si>
  <si>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</si>
  <si>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</si>
  <si>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</si>
  <si>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</si>
  <si>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</si>
  <si>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</si>
  <si>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</si>
  <si>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</si>
  <si>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</si>
  <si>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</si>
  <si>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</si>
  <si>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</si>
  <si>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</si>
  <si>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</si>
  <si>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</si>
  <si>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</si>
  <si>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</si>
  <si>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</si>
  <si>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</si>
  <si>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</si>
  <si>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</si>
  <si>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</si>
  <si>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</si>
  <si>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</si>
  <si>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</si>
  <si>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</si>
  <si>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</si>
  <si>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</si>
  <si>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</si>
  <si>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</si>
  <si>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</si>
  <si>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</si>
  <si>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</si>
  <si>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</si>
  <si>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</si>
  <si>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</si>
  <si>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</si>
  <si>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</si>
  <si>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</si>
  <si>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</si>
  <si>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</si>
  <si>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</si>
  <si>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</si>
  <si>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</si>
  <si>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</si>
  <si>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</si>
  <si>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</si>
  <si>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</si>
  <si>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</si>
  <si>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</si>
  <si>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</si>
  <si>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</si>
  <si>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</si>
  <si>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</si>
  <si>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</si>
  <si>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</si>
  <si>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</si>
  <si>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</si>
  <si>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</si>
  <si>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</si>
  <si>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</si>
  <si>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</si>
  <si>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</si>
  <si>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</si>
  <si>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</si>
  <si>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</si>
  <si>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</si>
  <si>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</si>
  <si>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</si>
  <si>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</si>
  <si>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</si>
  <si>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</si>
  <si>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</si>
  <si>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</si>
  <si>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</si>
  <si>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</si>
  <si>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</si>
  <si>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</si>
  <si>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</si>
  <si>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</si>
  <si>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</si>
  <si>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</si>
  <si>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</si>
  <si>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</si>
  <si>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</si>
  <si>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</si>
  <si>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</si>
  <si>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</si>
  <si>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</si>
  <si>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</si>
  <si>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</si>
  <si>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</si>
  <si>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</si>
  <si>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</si>
  <si>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</si>
  <si>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</si>
  <si>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</si>
  <si>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</si>
  <si>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</si>
  <si>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</si>
  <si>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</si>
  <si>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</si>
  <si>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</si>
  <si>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</si>
  <si>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</si>
  <si>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</si>
  <si>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</si>
  <si>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</si>
  <si>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</si>
  <si>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</si>
  <si>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</si>
  <si>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</si>
  <si>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</si>
  <si>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</si>
  <si>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</si>
  <si>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</si>
  <si>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</si>
  <si>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</si>
  <si>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</si>
  <si>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</si>
  <si>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</si>
  <si>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</si>
  <si>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</si>
  <si>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</si>
  <si>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</si>
  <si>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</si>
  <si>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</si>
  <si>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</si>
  <si>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</si>
  <si>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</si>
  <si>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</si>
  <si>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</si>
  <si>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</si>
  <si>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</si>
  <si>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</si>
  <si>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</si>
  <si>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</si>
  <si>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</si>
  <si>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</si>
  <si>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</si>
  <si>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</si>
  <si>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</si>
  <si>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</si>
  <si>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</si>
  <si>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</si>
  <si>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</si>
  <si>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</si>
  <si>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</si>
  <si>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</si>
  <si>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</si>
  <si>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</si>
  <si>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</si>
  <si>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</si>
  <si>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</si>
  <si>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</si>
  <si>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</si>
  <si>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</si>
  <si>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</si>
  <si>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</si>
  <si>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</si>
  <si>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</si>
  <si>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</si>
  <si>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</si>
  <si>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</si>
  <si>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</si>
  <si>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</si>
  <si>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</si>
  <si>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</si>
  <si>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</si>
  <si>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</si>
  <si>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</si>
  <si>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</si>
  <si>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</si>
  <si>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</si>
  <si>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</si>
  <si>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</si>
  <si>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</si>
  <si>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</si>
  <si>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</si>
  <si>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</si>
  <si>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</si>
  <si>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</si>
  <si>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</si>
  <si>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</si>
  <si>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</si>
  <si>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</si>
  <si>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</si>
  <si>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</si>
  <si>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</si>
  <si>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</si>
  <si>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</si>
  <si>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</si>
  <si>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</si>
  <si>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</si>
  <si>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</si>
  <si>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</si>
  <si>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</si>
  <si>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</si>
  <si>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</si>
  <si>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</si>
  <si>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</si>
  <si>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</si>
  <si>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</si>
  <si>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</si>
  <si>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</si>
  <si>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</si>
  <si>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</si>
  <si>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</si>
  <si>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</si>
  <si>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</si>
  <si>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</si>
  <si>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</si>
  <si>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</si>
  <si>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</si>
  <si>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</si>
  <si>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</si>
  <si>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</si>
  <si>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</si>
  <si>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</si>
  <si>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</si>
  <si>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</si>
  <si>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</si>
  <si>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</si>
  <si>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</si>
  <si>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</si>
  <si>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</si>
  <si>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</si>
  <si>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</si>
  <si>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</si>
  <si>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</si>
  <si>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</si>
  <si>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</si>
  <si>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</si>
  <si>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</si>
  <si>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</si>
  <si>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</si>
  <si>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</si>
  <si>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</si>
  <si>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</si>
  <si>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</si>
  <si>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</si>
  <si>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</si>
  <si>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</si>
  <si>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</si>
  <si>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</si>
  <si>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</si>
  <si>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</si>
  <si>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</si>
  <si>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</si>
  <si>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</si>
  <si>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</si>
  <si>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</si>
  <si>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</si>
  <si>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</si>
  <si>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</si>
  <si>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</si>
  <si>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</si>
  <si>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</si>
  <si>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</si>
  <si>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</si>
  <si>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</si>
  <si>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</si>
  <si>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</si>
  <si>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</si>
  <si>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</si>
  <si>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</si>
  <si>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</si>
  <si>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</si>
  <si>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</si>
  <si>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</si>
  <si>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</si>
  <si>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</si>
  <si>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</si>
  <si>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</si>
  <si>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</si>
  <si>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</si>
  <si>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</si>
  <si>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</si>
  <si>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</si>
  <si>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</si>
  <si>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</si>
  <si>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</si>
  <si>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</si>
  <si>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</si>
  <si>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</si>
  <si>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</si>
  <si>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</si>
  <si>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</si>
  <si>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</si>
  <si>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</si>
  <si>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</si>
  <si>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</si>
  <si>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</si>
  <si>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</si>
  <si>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</si>
  <si>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</si>
  <si>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</si>
  <si>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</si>
  <si>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</si>
  <si>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</si>
  <si>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</si>
  <si>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</si>
  <si>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</si>
  <si>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</si>
  <si>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</si>
  <si>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</si>
  <si>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</si>
  <si>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</si>
  <si>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</si>
  <si>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</si>
  <si>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</si>
  <si>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</si>
  <si>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</si>
  <si>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</si>
  <si>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</si>
  <si>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</si>
  <si>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</si>
  <si>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</si>
  <si>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</si>
  <si>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</si>
  <si>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</si>
  <si>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</si>
  <si>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</si>
  <si>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</si>
  <si>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</si>
  <si>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</si>
  <si>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</si>
  <si>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</si>
  <si>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</si>
  <si>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</si>
  <si>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</si>
  <si>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</si>
  <si>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</si>
  <si>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</si>
  <si>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</si>
  <si>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</si>
  <si>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</si>
  <si>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</si>
  <si>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</si>
  <si>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</si>
  <si>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</si>
  <si>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</si>
  <si>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</si>
  <si>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</si>
  <si>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</si>
  <si>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</si>
  <si>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</si>
  <si>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</si>
  <si>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</si>
  <si>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</si>
  <si>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</si>
  <si>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</si>
  <si>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</si>
  <si>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</si>
  <si>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</si>
  <si>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</si>
  <si>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</si>
  <si>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</si>
  <si>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</si>
  <si>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</si>
  <si>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</si>
  <si>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</si>
  <si>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</si>
  <si>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</si>
  <si>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</si>
  <si>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</si>
  <si>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</si>
  <si>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</si>
  <si>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</si>
  <si>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</si>
  <si>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</si>
  <si>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</si>
  <si>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</si>
  <si>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</si>
  <si>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</si>
  <si>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</si>
  <si>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</si>
  <si>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</si>
  <si>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</si>
  <si>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</si>
  <si>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</si>
  <si>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</si>
  <si>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</si>
  <si>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</si>
  <si>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</si>
  <si>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</si>
  <si>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</si>
  <si>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</si>
  <si>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</si>
  <si>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</si>
  <si>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</si>
  <si>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</si>
  <si>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</si>
  <si>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</si>
  <si>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</si>
  <si>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</si>
  <si>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</si>
  <si>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</si>
  <si>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</si>
  <si>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</si>
  <si>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</si>
  <si>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</si>
  <si>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</si>
  <si>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</si>
  <si>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</si>
  <si>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</si>
  <si>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</si>
  <si>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</si>
  <si>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</si>
  <si>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</si>
  <si>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</si>
  <si>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</si>
  <si>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</si>
  <si>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</si>
  <si>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</si>
  <si>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</si>
  <si>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</si>
  <si>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</si>
  <si>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</si>
  <si>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</si>
  <si>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</si>
  <si>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</si>
  <si>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</si>
  <si>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</si>
  <si>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</si>
  <si>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</si>
  <si>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</si>
  <si>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</si>
  <si>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</si>
  <si>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</si>
  <si>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</si>
  <si>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</si>
  <si>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</si>
  <si>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</si>
  <si>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</si>
  <si>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</si>
  <si>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</si>
  <si>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</si>
  <si>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</si>
  <si>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</si>
  <si>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</si>
  <si>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</si>
  <si>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</si>
  <si>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</si>
  <si>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</si>
  <si>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</si>
  <si>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</si>
  <si>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</si>
  <si>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</si>
  <si>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</si>
  <si>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</si>
  <si>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</si>
  <si>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</si>
  <si>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</si>
  <si>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</si>
  <si>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</si>
  <si>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</si>
  <si>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</si>
  <si>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</si>
  <si>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</si>
  <si>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</si>
  <si>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</si>
  <si>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</si>
  <si>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</si>
  <si>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</si>
  <si>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</si>
  <si>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</si>
  <si>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</si>
  <si>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</si>
  <si>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</si>
  <si>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</si>
  <si>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</si>
  <si>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</si>
  <si>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</si>
  <si>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</si>
  <si>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</si>
  <si>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</si>
  <si>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</si>
  <si>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</si>
  <si>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</si>
  <si>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</si>
  <si>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</si>
  <si>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</si>
  <si>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</si>
  <si>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</si>
  <si>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</si>
  <si>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</si>
  <si>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</si>
  <si>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</si>
  <si>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</si>
  <si>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</si>
  <si>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</si>
  <si>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</si>
  <si>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</si>
  <si>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</si>
  <si>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</si>
  <si>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</si>
  <si>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</si>
  <si>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</si>
  <si>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</si>
  <si>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</si>
  <si>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</si>
  <si>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</si>
  <si>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</si>
  <si>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</si>
  <si>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</si>
  <si>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</si>
  <si>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</si>
  <si>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Assume upper bound of unit cost above; in addition, residuals management sheet adds standard hazardous waste transportation cost to this unit cost</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</si>
  <si>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</si>
  <si>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</si>
  <si>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</si>
  <si>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</si>
  <si>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</si>
  <si>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</si>
  <si>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</si>
  <si>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</si>
  <si>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</si>
  <si>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</si>
  <si>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</si>
  <si>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</si>
  <si>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</si>
  <si>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</si>
  <si>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</si>
  <si>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</si>
  <si>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</si>
  <si>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</si>
  <si>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</si>
  <si>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</si>
  <si>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</si>
  <si>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</si>
  <si>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</si>
  <si>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</si>
  <si>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</si>
  <si>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</si>
  <si>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</si>
  <si>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</si>
  <si>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</si>
  <si>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</si>
  <si>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</si>
  <si>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</si>
  <si>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</si>
  <si>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</si>
  <si>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</si>
  <si>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</si>
  <si>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</si>
  <si>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</si>
  <si>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</si>
  <si>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</si>
  <si>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</si>
  <si>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</si>
  <si>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</si>
  <si>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</si>
  <si>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</si>
  <si>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</si>
  <si>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</si>
  <si>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</si>
  <si>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</si>
  <si>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</si>
  <si>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</si>
  <si>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</si>
  <si>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</si>
  <si>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</si>
  <si>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</si>
  <si>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</si>
  <si>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</si>
  <si>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</si>
  <si>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</si>
  <si>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</si>
  <si>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</si>
  <si>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</si>
  <si>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</si>
  <si>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</si>
  <si>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</si>
  <si>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</si>
  <si>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</si>
  <si>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</si>
  <si>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</si>
  <si>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</si>
  <si>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</si>
  <si>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</si>
  <si>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</si>
  <si>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</si>
  <si>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</si>
  <si>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</si>
  <si>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</si>
  <si>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</si>
  <si>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</si>
  <si>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</si>
  <si>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</si>
  <si>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</si>
  <si>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</si>
  <si>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</si>
  <si>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</si>
  <si>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</si>
  <si>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</si>
  <si>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</si>
  <si>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</si>
  <si>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</si>
  <si>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</si>
  <si>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</si>
  <si>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</si>
  <si>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</si>
  <si>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</si>
  <si>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</si>
  <si>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</si>
  <si>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</si>
  <si>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</si>
  <si>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</si>
  <si>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</si>
  <si>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</si>
  <si>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</si>
  <si>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</si>
  <si>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</si>
  <si>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</si>
  <si>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</si>
  <si>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</si>
  <si>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</si>
  <si>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</si>
  <si>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</si>
  <si>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</si>
  <si>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</si>
  <si>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</si>
  <si>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</si>
  <si>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</si>
  <si>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</si>
  <si>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</si>
  <si>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</si>
  <si>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</si>
  <si>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</si>
  <si>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</si>
  <si>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</si>
  <si>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</si>
  <si>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</si>
  <si>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</si>
  <si>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</si>
  <si>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</si>
  <si>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</si>
  <si>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</si>
  <si>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</si>
  <si>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</si>
  <si>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</si>
  <si>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</si>
  <si>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</si>
  <si>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</si>
  <si>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</si>
  <si>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</si>
  <si>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</si>
  <si>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</si>
  <si>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</si>
  <si>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</si>
  <si>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</si>
  <si>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</si>
  <si>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</si>
  <si>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</si>
  <si>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</si>
  <si>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</si>
  <si>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</si>
  <si>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</si>
  <si>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</si>
  <si>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</si>
  <si>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</si>
  <si>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</si>
  <si>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</si>
  <si>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</si>
  <si>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</si>
  <si>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</si>
  <si>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</si>
  <si>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</si>
  <si>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</si>
  <si>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</si>
  <si>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</si>
  <si>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</si>
  <si>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</si>
  <si>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</si>
  <si>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</si>
  <si>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</si>
  <si>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</si>
  <si>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</si>
  <si>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</si>
  <si>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</si>
  <si>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</si>
  <si>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</si>
  <si>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</si>
  <si>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</si>
  <si>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</si>
  <si>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</si>
  <si>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</si>
  <si>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</si>
  <si>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</si>
  <si>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</si>
  <si>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</si>
  <si>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</si>
  <si>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</si>
  <si>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</si>
  <si>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</si>
  <si>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</si>
  <si>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</si>
  <si>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</si>
  <si>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</si>
  <si>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</si>
  <si>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</si>
  <si>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</si>
  <si>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</si>
  <si>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</si>
  <si>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</si>
  <si>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</si>
  <si>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</si>
  <si>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</si>
  <si>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</si>
  <si>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</si>
  <si>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</si>
  <si>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</si>
  <si>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</si>
  <si>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</si>
  <si>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</si>
  <si>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</si>
  <si>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</si>
  <si>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</si>
  <si>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</si>
  <si>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</si>
  <si>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</si>
  <si>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</si>
  <si>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</si>
  <si>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</si>
  <si>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</si>
  <si>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</si>
  <si>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</si>
  <si>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</si>
  <si>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</si>
  <si>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</si>
  <si>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</si>
  <si>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</si>
  <si>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</si>
  <si>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</si>
  <si>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</si>
  <si>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</si>
  <si>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</si>
  <si>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</si>
  <si>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</si>
  <si>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</si>
  <si>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</si>
  <si>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</si>
  <si>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</si>
  <si>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</si>
  <si>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</si>
  <si>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</si>
  <si>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</si>
  <si>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</si>
  <si>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</si>
  <si>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</si>
  <si>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</si>
  <si>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</si>
  <si>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</si>
  <si>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</si>
  <si>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</si>
  <si>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</si>
  <si>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</si>
  <si>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</si>
  <si>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</si>
  <si>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</si>
  <si>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</si>
  <si>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</si>
  <si>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</si>
  <si>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</si>
  <si>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</si>
  <si>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</si>
  <si>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</si>
  <si>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</si>
  <si>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</si>
  <si>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</si>
  <si>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</si>
  <si>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</si>
  <si>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</si>
  <si>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</si>
  <si>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</si>
  <si>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</si>
  <si>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</si>
  <si>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</si>
  <si>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</si>
  <si>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</si>
  <si>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</si>
  <si>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</si>
  <si>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</si>
  <si>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</si>
  <si>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</si>
  <si>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</si>
  <si>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</si>
  <si>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</si>
  <si>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</si>
  <si>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</si>
  <si>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</si>
  <si>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</si>
  <si>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</si>
  <si>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</si>
  <si>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</si>
  <si>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</si>
  <si>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</si>
  <si>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</si>
  <si>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</si>
  <si>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</si>
  <si>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</si>
  <si>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</si>
  <si>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</si>
  <si>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</si>
  <si>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</si>
  <si>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</si>
  <si>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</si>
  <si>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</si>
  <si>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</si>
  <si>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</si>
  <si>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</si>
  <si>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</si>
  <si>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</si>
  <si>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</si>
  <si>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</si>
  <si>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</si>
  <si>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</si>
  <si>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</si>
  <si>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</si>
  <si>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</si>
  <si>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</si>
  <si>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</si>
  <si>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</si>
  <si>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</si>
  <si>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</si>
  <si>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</si>
  <si>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</si>
  <si>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</si>
  <si>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</si>
  <si>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</si>
  <si>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</si>
  <si>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</si>
  <si>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</si>
  <si>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</si>
  <si>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</si>
  <si>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</si>
  <si>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</si>
  <si>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</si>
  <si>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</si>
  <si>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</si>
  <si>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</si>
  <si>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</si>
  <si>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</si>
  <si>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</si>
  <si>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</si>
  <si>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</si>
  <si>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</si>
  <si>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</si>
  <si>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</si>
  <si>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</si>
  <si>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</si>
  <si>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</si>
  <si>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</si>
  <si>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</si>
  <si>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</si>
  <si>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</si>
  <si>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</si>
  <si>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</si>
  <si>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</si>
  <si>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</si>
  <si>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</si>
  <si>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</si>
  <si>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</si>
  <si>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</si>
  <si>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</si>
  <si>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</si>
  <si>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</si>
  <si>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</si>
  <si>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</si>
  <si>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</si>
  <si>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</si>
  <si>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</si>
  <si>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</si>
  <si>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</si>
  <si>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</si>
  <si>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</si>
  <si>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</si>
  <si>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</si>
  <si>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</si>
  <si>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</si>
  <si>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</si>
  <si>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</si>
  <si>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</si>
  <si>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</si>
  <si>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</si>
  <si>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</si>
  <si>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</si>
  <si>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</si>
  <si>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</si>
  <si>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</si>
  <si>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</si>
  <si>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</si>
  <si>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</si>
  <si>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</si>
  <si>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</si>
  <si>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</si>
  <si>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</si>
  <si>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</si>
  <si>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</si>
  <si>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</si>
  <si>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</si>
  <si>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</si>
  <si>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</si>
  <si>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</si>
  <si>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</si>
  <si>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</si>
  <si>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</si>
  <si>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</si>
  <si>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</si>
  <si>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</si>
  <si>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</si>
  <si>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</si>
  <si>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</si>
  <si>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</si>
  <si>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</si>
  <si>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</si>
  <si>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</si>
  <si>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</si>
  <si>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</si>
  <si>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</si>
  <si>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</si>
  <si>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</si>
  <si>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</si>
  <si>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</si>
  <si>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</si>
  <si>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</si>
  <si>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</si>
  <si>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</si>
  <si>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</si>
  <si>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</si>
  <si>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</si>
  <si>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</si>
  <si>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</si>
  <si>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</si>
  <si>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</si>
  <si>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</si>
  <si>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</si>
  <si>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</si>
  <si>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</si>
  <si>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</si>
  <si>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</si>
  <si>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</si>
  <si>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</si>
  <si>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</si>
  <si>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</si>
  <si>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</si>
  <si>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</si>
  <si>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</si>
  <si>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</si>
  <si>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</si>
  <si>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</si>
  <si>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</si>
  <si>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</si>
  <si>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</si>
  <si>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</si>
  <si>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</si>
  <si>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</si>
  <si>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</si>
  <si>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</si>
  <si>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</si>
  <si>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</si>
  <si>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</si>
  <si>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</si>
  <si>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</si>
  <si>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</si>
  <si>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</si>
  <si>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</si>
  <si>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</si>
  <si>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</si>
  <si>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</si>
  <si>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</si>
  <si>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</si>
  <si>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</si>
  <si>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</si>
  <si>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</si>
  <si>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</si>
  <si>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</si>
  <si>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</si>
  <si>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</si>
  <si>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</si>
  <si>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</si>
  <si>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</si>
  <si>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</si>
  <si>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</si>
  <si>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</si>
  <si>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</si>
  <si>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</si>
  <si>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</si>
  <si>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</si>
  <si>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</si>
  <si>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</si>
  <si>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</si>
  <si>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</si>
  <si>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</si>
  <si>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</si>
  <si>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</si>
  <si>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</si>
  <si>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</si>
  <si>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</si>
  <si>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</si>
  <si>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</si>
  <si>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</si>
  <si>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</si>
  <si>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</si>
  <si>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</si>
  <si>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</si>
  <si>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</si>
  <si>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</si>
  <si>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</si>
  <si>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</si>
  <si>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</si>
  <si>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</si>
  <si>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</si>
  <si>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</si>
  <si>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</si>
  <si>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</si>
  <si>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</si>
  <si>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</si>
  <si>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</si>
  <si>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</si>
  <si>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</si>
  <si>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</si>
  <si>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</si>
  <si>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</si>
  <si>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</si>
  <si>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</si>
  <si>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</si>
  <si>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</si>
  <si>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</si>
  <si>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</si>
  <si>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</si>
  <si>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</si>
  <si>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</si>
  <si>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</si>
  <si>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</si>
  <si>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</si>
  <si>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</si>
  <si>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</si>
  <si>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</si>
  <si>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</si>
  <si>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</si>
  <si>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</si>
  <si>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</si>
  <si>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</si>
  <si>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</si>
  <si>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</si>
  <si>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</si>
  <si>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</si>
  <si>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</si>
  <si>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</si>
  <si>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</si>
  <si>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</si>
  <si>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</si>
  <si>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</si>
  <si>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</si>
  <si>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</si>
  <si>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</si>
  <si>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</si>
  <si>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</si>
  <si>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</si>
  <si>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</si>
  <si>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</si>
  <si>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</si>
  <si>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</si>
  <si>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</si>
  <si>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</si>
  <si>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</si>
  <si>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</si>
  <si>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</si>
  <si>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</si>
  <si>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</si>
  <si>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</si>
  <si>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</si>
  <si>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</si>
  <si>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</si>
  <si>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</si>
  <si>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</si>
  <si>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</si>
  <si>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</si>
  <si>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</si>
  <si>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</si>
  <si>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</si>
  <si>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</si>
  <si>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</si>
  <si>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</si>
  <si>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</si>
  <si>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</si>
  <si>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</si>
  <si>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</si>
  <si>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</si>
  <si>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</si>
  <si>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</si>
  <si>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</si>
  <si>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</si>
  <si>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</si>
  <si>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</si>
  <si>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</si>
  <si>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</si>
  <si>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</si>
  <si>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</si>
  <si>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</si>
  <si>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</si>
  <si>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</si>
  <si>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</si>
  <si>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</si>
  <si>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</si>
  <si>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</si>
  <si>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</si>
  <si>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</si>
  <si>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</si>
  <si>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</si>
  <si>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</si>
  <si>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</si>
  <si>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</si>
  <si>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</si>
  <si>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</si>
  <si>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</si>
  <si>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</si>
  <si>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</si>
  <si>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</si>
  <si>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</si>
  <si>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</si>
  <si>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</si>
  <si>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</si>
  <si>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</si>
  <si>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</si>
  <si>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</si>
  <si>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</si>
  <si>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</si>
  <si>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</si>
  <si>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</si>
  <si>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</si>
  <si>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</si>
  <si>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</si>
  <si>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</si>
  <si>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</si>
  <si>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</si>
  <si>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</si>
  <si>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</si>
  <si>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</si>
  <si>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</si>
  <si>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</si>
  <si>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</si>
  <si>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</si>
  <si>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</si>
  <si>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</si>
  <si>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</si>
  <si>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</si>
  <si>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</si>
  <si>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</si>
  <si>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</si>
  <si>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</si>
  <si>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</si>
  <si>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</si>
  <si>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</si>
  <si>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</si>
  <si>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</si>
  <si>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</si>
  <si>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</si>
  <si>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</si>
  <si>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</si>
  <si>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</si>
  <si>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</si>
  <si>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</si>
  <si>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</si>
  <si>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</si>
  <si>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</si>
  <si>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</si>
  <si>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</si>
  <si>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</si>
  <si>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</si>
  <si>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</si>
  <si>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</si>
  <si>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</si>
  <si>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</si>
  <si>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</si>
  <si>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</si>
  <si>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</si>
  <si>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</si>
  <si>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</si>
  <si>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</si>
  <si>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</si>
  <si>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</si>
  <si>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</si>
  <si>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</si>
  <si>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</si>
  <si>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</si>
  <si>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</si>
  <si>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</si>
  <si>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</si>
  <si>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</si>
  <si>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</si>
  <si>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</si>
  <si>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</si>
  <si>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</si>
  <si>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</si>
  <si>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</si>
  <si>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</si>
  <si>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</si>
  <si>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</si>
  <si>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</si>
  <si>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</si>
  <si>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</si>
  <si>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</si>
  <si>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</si>
  <si>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</si>
  <si>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</si>
  <si>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</si>
  <si>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</si>
  <si>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</si>
  <si>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</si>
  <si>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</si>
  <si>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</si>
  <si>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</si>
  <si>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</si>
  <si>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</si>
  <si>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</si>
  <si>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</si>
  <si>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</si>
  <si>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</si>
  <si>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</si>
  <si>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</si>
  <si>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</si>
  <si>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</si>
  <si>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</si>
  <si>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</si>
  <si>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</si>
  <si>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</si>
  <si>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</si>
  <si>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</si>
  <si>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</si>
  <si>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</si>
  <si>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</si>
  <si>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</si>
  <si>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</si>
  <si>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</si>
  <si>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</si>
  <si>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</si>
  <si>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</si>
  <si>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</si>
  <si>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</si>
  <si>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</si>
  <si>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</si>
  <si>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</si>
  <si>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</si>
  <si>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</si>
  <si>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</si>
  <si>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</si>
  <si>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</si>
  <si>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</si>
  <si>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</si>
  <si>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</si>
  <si>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</si>
  <si>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</si>
  <si>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</si>
  <si>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</si>
  <si>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</si>
  <si>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</si>
  <si>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</si>
  <si>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</si>
  <si>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</si>
  <si>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</si>
  <si>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</si>
  <si>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</si>
  <si>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</si>
  <si>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</si>
  <si>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</si>
  <si>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</si>
  <si>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</si>
  <si>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</si>
  <si>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</si>
  <si>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</si>
  <si>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</si>
  <si>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</si>
  <si>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</si>
  <si>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</si>
  <si>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</si>
  <si>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</si>
  <si>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</si>
  <si>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</si>
  <si>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</si>
  <si>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</si>
  <si>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</si>
  <si>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</si>
  <si>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</si>
  <si>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</si>
  <si>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</si>
  <si>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</si>
  <si>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</si>
  <si>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</si>
  <si>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</si>
  <si>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</si>
  <si>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</si>
  <si>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</si>
  <si>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</si>
  <si>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</si>
  <si>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</si>
  <si>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</si>
  <si>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</si>
  <si>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</si>
  <si>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</si>
  <si>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</si>
  <si>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</si>
  <si>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</si>
  <si>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</si>
  <si>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</si>
  <si>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</si>
  <si>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</si>
  <si>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</si>
  <si>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</si>
  <si>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</si>
  <si>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</si>
  <si>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</si>
  <si>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</si>
  <si>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</si>
  <si>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</si>
  <si>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</si>
  <si>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</si>
  <si>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</si>
  <si>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</si>
  <si>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</si>
  <si>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</si>
  <si>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</si>
  <si>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</si>
  <si>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</si>
  <si>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</si>
  <si>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</si>
  <si>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</si>
  <si>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</si>
  <si>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</si>
  <si>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</si>
  <si>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</si>
  <si>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</si>
  <si>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</si>
  <si>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</si>
  <si>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</si>
  <si>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</si>
  <si>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</si>
  <si>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</si>
  <si>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</si>
  <si>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</si>
  <si>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</si>
  <si>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</si>
  <si>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</si>
  <si>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</si>
  <si>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</si>
  <si>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</si>
  <si>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</si>
  <si>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</si>
  <si>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</si>
  <si>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</si>
  <si>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</si>
  <si>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</si>
  <si>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</si>
  <si>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</si>
  <si>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</si>
  <si>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</si>
  <si>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</si>
  <si>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</si>
  <si>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</si>
  <si>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</si>
  <si>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</si>
  <si>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hazardous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</si>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</sst>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 #,##0.0_);_(* \(#,##0.0\);_(* &quot;-&quot;??_);_(@_)"/>
    <numFmt numFmtId="165" formatCode="_(* #,##0_);_(* \(#,##0\);_(* &quot;-&quot;??_);_(@_)"/>
    <numFmt numFmtId="166" formatCode="0.000"/>
    <numFmt numFmtId="167" formatCode="_(&quot;$&quot;* #,##0_);_(&quot;$&quot;* \(#,##0\);_(&quot;$&quot;* &quot;-&quot;??_);_(@_)"/>
    <numFmt numFmtId="168" formatCode="&quot;$&quot;#,##0"/>
    <numFmt numFmtId="169" formatCode="0.0"/>
    <numFmt numFmtId="170" formatCode="_(* #,##0.000_);_(* \(#,##0.000\);_(* &quot;-&quot;??_);_(@_)"/>
    <numFmt numFmtId="171" formatCode="0.0%"/>
    <numFmt numFmtId="172" formatCode="&quot;$&quot;#,##0.00"/>
    <numFmt numFmtId="173" formatCode="#,##0.0"/>
    <numFmt numFmtId="174" formatCode="_(&quot;$&quot;* #,##0.000_);_(&quot;$&quot;* \(#,##0.000\);_(&quot;$&quot;* &quot;-&quot;??_);_(@_)"/>
    <numFmt numFmtId="175" formatCode="#,##0.000"/>
    <numFmt numFmtId="176" formatCode="#,###"/>
    <numFmt numFmtId="177" formatCode="#,###.0"/>
    <numFmt numFmtId="178" formatCode="#,##0.0_);\(#,##0.0\)"/>
    <numFmt numFmtId="179" formatCode="0.0000"/>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Calibri"/>
      <family val="2"/>
      <scheme val="minor"/>
    </font>
    <font>
      <sz val="10"/>
      <name val="Symbol"/>
      <family val="1"/>
      <charset val="2"/>
    </font>
    <font>
      <sz val="10"/>
      <name val="Times New Roman"/>
      <family val="1"/>
    </font>
    <font>
      <u/>
      <sz val="10"/>
      <color indexed="12"/>
      <name val="Symbol"/>
      <family val="1"/>
      <charset val="2"/>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23">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67" fontId="0" fillId="0" borderId="0" xfId="8" applyNumberFormat="1" applyFont="1"/>
    <xf numFmtId="0" fontId="0" fillId="0" borderId="0" xfId="0" applyAlignment="1">
      <alignment horizontal="center"/>
    </xf>
    <xf numFmtId="169" fontId="0" fillId="0" borderId="0" xfId="0" applyNumberFormat="1"/>
    <xf numFmtId="171"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65" fontId="0" fillId="0" borderId="0" xfId="6" applyNumberFormat="1" applyFont="1" applyProtection="1">
      <protection hidden="1"/>
    </xf>
    <xf numFmtId="169"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67"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73" fontId="11" fillId="0" borderId="0" xfId="0" applyNumberFormat="1" applyFont="1" applyProtection="1">
      <protection hidden="1"/>
    </xf>
    <xf numFmtId="172" fontId="11" fillId="0" borderId="0" xfId="0" applyNumberFormat="1" applyFont="1" applyProtection="1">
      <protection hidden="1"/>
    </xf>
    <xf numFmtId="165"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65"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69" fontId="24" fillId="0" borderId="0" xfId="0" applyNumberFormat="1" applyFont="1"/>
    <xf numFmtId="0" fontId="9" fillId="0" borderId="0" xfId="0" applyFont="1" applyAlignment="1">
      <alignment horizontal="left"/>
    </xf>
    <xf numFmtId="0" fontId="0" fillId="0" borderId="0" xfId="0" applyAlignment="1">
      <alignment wrapText="1"/>
    </xf>
    <xf numFmtId="165" fontId="0" fillId="0" borderId="0" xfId="6" applyNumberFormat="1" applyFont="1"/>
    <xf numFmtId="9" fontId="11" fillId="0" borderId="0" xfId="0" applyNumberFormat="1" applyFont="1"/>
    <xf numFmtId="171" fontId="11" fillId="0" borderId="0" xfId="0" applyNumberFormat="1" applyFont="1"/>
    <xf numFmtId="2" fontId="11" fillId="0" borderId="0" xfId="0" applyNumberFormat="1" applyFont="1" applyProtection="1">
      <protection hidden="1"/>
    </xf>
    <xf numFmtId="165" fontId="0" fillId="0" borderId="0" xfId="6" applyNumberFormat="1" applyFont="1" applyFill="1"/>
    <xf numFmtId="9" fontId="0" fillId="0" borderId="0" xfId="26" applyFont="1" applyFill="1"/>
    <xf numFmtId="169" fontId="0" fillId="0" borderId="0" xfId="6" applyNumberFormat="1" applyFont="1" applyFill="1"/>
    <xf numFmtId="165" fontId="0" fillId="0" borderId="0" xfId="6" quotePrefix="1" applyNumberFormat="1" applyFont="1" applyProtection="1">
      <protection hidden="1"/>
    </xf>
    <xf numFmtId="165"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44"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67" fontId="0" fillId="0" borderId="0" xfId="0" applyNumberFormat="1"/>
    <xf numFmtId="165" fontId="11" fillId="0" borderId="0" xfId="6" applyNumberFormat="1" applyFont="1" applyProtection="1">
      <protection hidden="1"/>
    </xf>
    <xf numFmtId="0" fontId="0" fillId="0" borderId="0" xfId="0" applyAlignment="1">
      <alignment horizontal="left"/>
    </xf>
    <xf numFmtId="165" fontId="11" fillId="0" borderId="0" xfId="6" applyNumberFormat="1" applyFont="1" applyFill="1" applyProtection="1">
      <protection hidden="1"/>
    </xf>
    <xf numFmtId="165" fontId="11" fillId="0" borderId="0" xfId="6" applyNumberFormat="1" applyFont="1" applyFill="1" applyAlignment="1" applyProtection="1">
      <alignment horizontal="right"/>
      <protection hidden="1"/>
    </xf>
    <xf numFmtId="0" fontId="28" fillId="0" borderId="0" xfId="0" applyFont="1" applyAlignment="1">
      <alignment horizontal="left"/>
    </xf>
    <xf numFmtId="44" fontId="0" fillId="0" borderId="0" xfId="8" applyFont="1"/>
    <xf numFmtId="0" fontId="6" fillId="0" borderId="0" xfId="25"/>
    <xf numFmtId="165" fontId="0" fillId="0" borderId="0" xfId="0" applyNumberFormat="1"/>
    <xf numFmtId="169" fontId="6" fillId="0" borderId="0" xfId="25" applyNumberFormat="1"/>
    <xf numFmtId="2" fontId="6" fillId="0" borderId="0" xfId="25" applyNumberFormat="1"/>
    <xf numFmtId="44"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64" fontId="0" fillId="0" borderId="0" xfId="6" applyNumberFormat="1" applyFont="1" applyProtection="1">
      <protection hidden="1"/>
    </xf>
    <xf numFmtId="170" fontId="0" fillId="0" borderId="0" xfId="6" applyNumberFormat="1" applyFont="1" applyProtection="1">
      <protection hidden="1"/>
    </xf>
    <xf numFmtId="0" fontId="11" fillId="6" borderId="0" xfId="0" applyFont="1" applyFill="1" applyProtection="1">
      <protection locked="0"/>
    </xf>
    <xf numFmtId="165"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64" fontId="11" fillId="0" borderId="0" xfId="6" applyNumberFormat="1" applyFont="1" applyFill="1" applyAlignment="1" applyProtection="1">
      <alignment horizontal="right"/>
      <protection hidden="1"/>
    </xf>
    <xf numFmtId="43" fontId="0" fillId="0" borderId="0" xfId="6" applyFont="1"/>
    <xf numFmtId="44"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69"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67" fontId="0" fillId="4" borderId="0" xfId="8" applyNumberFormat="1" applyFont="1" applyFill="1"/>
    <xf numFmtId="169" fontId="0" fillId="4" borderId="0" xfId="0" applyNumberFormat="1" applyFill="1"/>
    <xf numFmtId="165"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65" fontId="0" fillId="2" borderId="0" xfId="6" applyNumberFormat="1" applyFont="1" applyFill="1"/>
    <xf numFmtId="164" fontId="0" fillId="2" borderId="0" xfId="6" applyNumberFormat="1" applyFont="1" applyFill="1"/>
    <xf numFmtId="0" fontId="11" fillId="2" borderId="0" xfId="0" applyFont="1" applyFill="1" applyProtection="1">
      <protection locked="0"/>
    </xf>
    <xf numFmtId="169" fontId="0" fillId="2" borderId="0" xfId="0" applyNumberFormat="1" applyFill="1"/>
    <xf numFmtId="44"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68"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67" fontId="9" fillId="0" borderId="0" xfId="8" applyNumberFormat="1" applyFont="1" applyBorder="1"/>
    <xf numFmtId="9" fontId="0" fillId="2" borderId="37" xfId="26" applyFont="1" applyFill="1" applyBorder="1" applyProtection="1">
      <protection locked="0"/>
    </xf>
    <xf numFmtId="167"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44" fontId="0" fillId="0" borderId="0" xfId="8" applyFont="1" applyFill="1"/>
    <xf numFmtId="0" fontId="27" fillId="4" borderId="15" xfId="0" applyFont="1" applyFill="1" applyBorder="1"/>
    <xf numFmtId="167"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67"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67" fontId="0" fillId="0" borderId="0" xfId="8" applyNumberFormat="1" applyFont="1" applyFill="1" applyBorder="1" applyProtection="1">
      <protection locked="0"/>
    </xf>
    <xf numFmtId="167" fontId="39" fillId="0" borderId="41" xfId="0" applyNumberFormat="1" applyFont="1" applyBorder="1"/>
    <xf numFmtId="0" fontId="7" fillId="4" borderId="20" xfId="0" applyFont="1" applyFill="1" applyBorder="1" applyProtection="1">
      <protection hidden="1"/>
    </xf>
    <xf numFmtId="167"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65"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65"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67" fontId="0" fillId="6" borderId="0" xfId="8" applyNumberFormat="1" applyFont="1" applyFill="1" applyBorder="1" applyProtection="1">
      <protection hidden="1"/>
    </xf>
    <xf numFmtId="167"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67"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67" fontId="0" fillId="5" borderId="0" xfId="8" applyNumberFormat="1" applyFont="1" applyFill="1" applyBorder="1" applyAlignment="1" applyProtection="1">
      <alignment horizontal="right"/>
      <protection hidden="1"/>
    </xf>
    <xf numFmtId="167"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67"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68" fontId="39" fillId="4" borderId="0" xfId="0" applyNumberFormat="1" applyFont="1" applyFill="1"/>
    <xf numFmtId="9" fontId="0" fillId="0" borderId="20" xfId="26" applyFont="1" applyBorder="1" applyProtection="1">
      <protection locked="0"/>
    </xf>
    <xf numFmtId="167" fontId="0" fillId="0" borderId="0" xfId="26" applyNumberFormat="1" applyFont="1" applyBorder="1" applyProtection="1">
      <protection locked="0"/>
    </xf>
    <xf numFmtId="167" fontId="0" fillId="0" borderId="15" xfId="8" applyNumberFormat="1" applyFont="1" applyBorder="1" applyProtection="1">
      <protection locked="0"/>
    </xf>
    <xf numFmtId="0" fontId="17" fillId="4" borderId="20" xfId="0" applyFont="1" applyFill="1" applyBorder="1" applyProtection="1">
      <protection hidden="1"/>
    </xf>
    <xf numFmtId="167"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67"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67" fontId="0" fillId="4" borderId="37" xfId="8" applyNumberFormat="1" applyFont="1" applyFill="1" applyBorder="1" applyProtection="1">
      <protection locked="0"/>
    </xf>
    <xf numFmtId="167" fontId="0" fillId="0" borderId="37" xfId="26" applyNumberFormat="1" applyFont="1" applyBorder="1" applyProtection="1">
      <protection locked="0"/>
    </xf>
    <xf numFmtId="167" fontId="0" fillId="0" borderId="41" xfId="0" applyNumberFormat="1" applyBorder="1" applyProtection="1">
      <protection hidden="1"/>
    </xf>
    <xf numFmtId="167"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67" fontId="0" fillId="4" borderId="0" xfId="0" applyNumberFormat="1" applyFill="1" applyProtection="1">
      <protection hidden="1"/>
    </xf>
    <xf numFmtId="165"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66"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66"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65" fontId="0" fillId="4" borderId="0" xfId="6" applyNumberFormat="1" applyFont="1" applyFill="1" applyBorder="1" applyAlignment="1" applyProtection="1">
      <alignment horizontal="right"/>
      <protection hidden="1"/>
    </xf>
    <xf numFmtId="44" fontId="0" fillId="4" borderId="0" xfId="8" applyFont="1" applyFill="1" applyBorder="1" applyAlignment="1" applyProtection="1">
      <alignment horizontal="right"/>
      <protection hidden="1"/>
    </xf>
    <xf numFmtId="167"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67" fontId="0" fillId="0" borderId="45" xfId="0" applyNumberFormat="1" applyBorder="1" applyProtection="1">
      <protection hidden="1"/>
    </xf>
    <xf numFmtId="9" fontId="0" fillId="0" borderId="50" xfId="26" applyFont="1" applyFill="1" applyBorder="1" applyProtection="1">
      <protection locked="0"/>
    </xf>
    <xf numFmtId="167"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67"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67"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66" fontId="7" fillId="4" borderId="46" xfId="0" applyNumberFormat="1" applyFont="1" applyFill="1" applyBorder="1" applyProtection="1">
      <protection locked="0"/>
    </xf>
    <xf numFmtId="166"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66" fontId="14" fillId="4" borderId="0" xfId="0" applyNumberFormat="1" applyFont="1" applyFill="1" applyProtection="1">
      <protection locked="0"/>
    </xf>
    <xf numFmtId="166" fontId="35" fillId="4" borderId="2" xfId="0" applyNumberFormat="1" applyFont="1" applyFill="1" applyBorder="1" applyAlignment="1" applyProtection="1">
      <alignment horizontal="left"/>
      <protection locked="0"/>
    </xf>
    <xf numFmtId="171"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65" fontId="7" fillId="0" borderId="0" xfId="6" applyNumberFormat="1" applyFont="1" applyBorder="1" applyProtection="1">
      <protection hidden="1"/>
    </xf>
    <xf numFmtId="167" fontId="7" fillId="0" borderId="0" xfId="8" applyNumberFormat="1" applyFont="1" applyBorder="1" applyAlignment="1" applyProtection="1">
      <alignment horizontal="right"/>
      <protection hidden="1"/>
    </xf>
    <xf numFmtId="167"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44"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65" fontId="7" fillId="0" borderId="0" xfId="6" applyNumberFormat="1" applyFont="1" applyBorder="1" applyAlignment="1">
      <alignment horizontal="right"/>
    </xf>
    <xf numFmtId="167" fontId="7" fillId="0" borderId="0" xfId="8" applyNumberFormat="1" applyFont="1" applyBorder="1" applyAlignment="1">
      <alignment horizontal="right"/>
    </xf>
    <xf numFmtId="165" fontId="7" fillId="0" borderId="0" xfId="6" applyNumberFormat="1" applyFont="1" applyBorder="1" applyAlignment="1" applyProtection="1">
      <alignment horizontal="right"/>
      <protection hidden="1"/>
    </xf>
    <xf numFmtId="49" fontId="7" fillId="0" borderId="1" xfId="0" applyNumberFormat="1" applyFont="1" applyBorder="1"/>
    <xf numFmtId="167"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44" fontId="7" fillId="0" borderId="0" xfId="8" applyFont="1" applyBorder="1" applyProtection="1">
      <protection hidden="1"/>
    </xf>
    <xf numFmtId="0" fontId="7" fillId="0" borderId="2" xfId="0" applyFont="1" applyBorder="1" applyAlignment="1">
      <alignment horizontal="right"/>
    </xf>
    <xf numFmtId="167"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67" fontId="7" fillId="0" borderId="0" xfId="0" applyNumberFormat="1" applyFont="1" applyAlignment="1">
      <alignment horizontal="right"/>
    </xf>
    <xf numFmtId="0" fontId="7" fillId="6" borderId="0" xfId="0" applyFont="1" applyFill="1"/>
    <xf numFmtId="0" fontId="20" fillId="6" borderId="0" xfId="0" applyFont="1" applyFill="1"/>
    <xf numFmtId="165" fontId="7" fillId="6" borderId="0" xfId="6" applyNumberFormat="1" applyFont="1" applyFill="1" applyBorder="1" applyAlignment="1">
      <alignment horizontal="right"/>
    </xf>
    <xf numFmtId="167" fontId="7" fillId="6" borderId="0" xfId="8" applyNumberFormat="1" applyFont="1" applyFill="1" applyBorder="1" applyAlignment="1">
      <alignment horizontal="right"/>
    </xf>
    <xf numFmtId="167"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65" fontId="7" fillId="0" borderId="43" xfId="6" applyNumberFormat="1" applyFont="1" applyBorder="1" applyAlignment="1" applyProtection="1">
      <alignment horizontal="right"/>
      <protection hidden="1"/>
    </xf>
    <xf numFmtId="44" fontId="7" fillId="0" borderId="43" xfId="8" applyFont="1" applyBorder="1" applyAlignment="1" applyProtection="1">
      <alignment horizontal="right"/>
      <protection hidden="1"/>
    </xf>
    <xf numFmtId="167"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67"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65"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44" fontId="7" fillId="0" borderId="0" xfId="8" applyFont="1" applyBorder="1" applyAlignment="1" applyProtection="1">
      <alignment vertical="center"/>
      <protection hidden="1"/>
    </xf>
    <xf numFmtId="167"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65" fontId="7" fillId="6" borderId="0" xfId="6" applyNumberFormat="1" applyFont="1" applyFill="1" applyBorder="1" applyProtection="1">
      <protection hidden="1"/>
    </xf>
    <xf numFmtId="44" fontId="7" fillId="6" borderId="0" xfId="8" applyFont="1" applyFill="1" applyBorder="1" applyProtection="1">
      <protection hidden="1"/>
    </xf>
    <xf numFmtId="0" fontId="7" fillId="6" borderId="0" xfId="0" quotePrefix="1" applyFont="1" applyFill="1" applyProtection="1">
      <protection hidden="1"/>
    </xf>
    <xf numFmtId="167" fontId="7" fillId="6" borderId="0" xfId="0" applyNumberFormat="1" applyFont="1" applyFill="1" applyProtection="1">
      <protection hidden="1"/>
    </xf>
    <xf numFmtId="167"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74"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64" fontId="11" fillId="0" borderId="0" xfId="6" applyNumberFormat="1" applyFont="1"/>
    <xf numFmtId="0" fontId="7" fillId="0" borderId="0" xfId="0" applyFont="1" applyAlignment="1">
      <alignment vertical="center"/>
    </xf>
    <xf numFmtId="9" fontId="0" fillId="0" borderId="0" xfId="26" applyFont="1" applyAlignment="1"/>
    <xf numFmtId="171" fontId="0" fillId="0" borderId="0" xfId="26" applyNumberFormat="1" applyFont="1" applyAlignment="1"/>
    <xf numFmtId="0" fontId="48" fillId="0" borderId="0" xfId="27">
      <alignment vertical="center"/>
    </xf>
    <xf numFmtId="44" fontId="0" fillId="0" borderId="0" xfId="8" applyFont="1" applyAlignment="1"/>
    <xf numFmtId="0" fontId="0" fillId="0" borderId="34" xfId="0" applyBorder="1" applyProtection="1">
      <protection hidden="1"/>
    </xf>
    <xf numFmtId="0" fontId="20" fillId="0" borderId="43" xfId="0" applyFont="1" applyBorder="1" applyProtection="1">
      <protection hidden="1"/>
    </xf>
    <xf numFmtId="44"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64"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67"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42" fontId="0" fillId="0" borderId="0" xfId="0" applyNumberFormat="1" applyProtection="1">
      <protection hidden="1"/>
    </xf>
    <xf numFmtId="0" fontId="0" fillId="6" borderId="1" xfId="0" applyFill="1" applyBorder="1"/>
    <xf numFmtId="167"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71" fontId="0" fillId="0" borderId="0" xfId="26" applyNumberFormat="1" applyFont="1"/>
    <xf numFmtId="164"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65"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67" fontId="34" fillId="4" borderId="0" xfId="0" applyNumberFormat="1" applyFont="1" applyFill="1" applyProtection="1">
      <protection hidden="1"/>
    </xf>
    <xf numFmtId="0" fontId="6" fillId="0" borderId="0" xfId="0" applyFont="1"/>
    <xf numFmtId="167"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64" fontId="6" fillId="4" borderId="6" xfId="6" applyNumberFormat="1" applyFont="1" applyFill="1" applyBorder="1"/>
    <xf numFmtId="164" fontId="6" fillId="0" borderId="52" xfId="6" applyNumberFormat="1" applyFont="1" applyFill="1" applyBorder="1" applyAlignment="1">
      <alignment horizontal="right"/>
    </xf>
    <xf numFmtId="8" fontId="11" fillId="4" borderId="6" xfId="0" applyNumberFormat="1" applyFont="1" applyFill="1" applyBorder="1"/>
    <xf numFmtId="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64" fontId="0" fillId="0" borderId="0" xfId="6" applyNumberFormat="1" applyFont="1" applyFill="1"/>
    <xf numFmtId="0" fontId="9" fillId="0" borderId="0" xfId="27" applyFont="1">
      <alignment vertical="center"/>
    </xf>
    <xf numFmtId="166" fontId="0" fillId="0" borderId="0" xfId="0" quotePrefix="1" applyNumberFormat="1"/>
    <xf numFmtId="2" fontId="0" fillId="0" borderId="0" xfId="0" quotePrefix="1" applyNumberFormat="1"/>
    <xf numFmtId="1" fontId="0" fillId="0" borderId="0" xfId="0" quotePrefix="1" applyNumberFormat="1"/>
    <xf numFmtId="165" fontId="7" fillId="0" borderId="0" xfId="6" quotePrefix="1" applyNumberFormat="1" applyFont="1" applyBorder="1" applyAlignment="1" applyProtection="1">
      <alignment horizontal="right"/>
      <protection hidden="1"/>
    </xf>
    <xf numFmtId="167" fontId="7" fillId="0" borderId="0" xfId="8" quotePrefix="1" applyNumberFormat="1" applyFont="1" applyBorder="1" applyAlignment="1" applyProtection="1">
      <alignment horizontal="right"/>
      <protection hidden="1"/>
    </xf>
    <xf numFmtId="167"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66" fontId="7" fillId="0" borderId="0" xfId="0" quotePrefix="1" applyNumberFormat="1" applyFont="1" applyAlignment="1" applyProtection="1">
      <alignment horizontal="right"/>
      <protection hidden="1"/>
    </xf>
    <xf numFmtId="169"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67" fontId="11" fillId="0" borderId="0" xfId="9" applyNumberFormat="1" applyFont="1" applyFill="1" applyProtection="1">
      <protection hidden="1"/>
    </xf>
    <xf numFmtId="167" fontId="11" fillId="0" borderId="0" xfId="24" applyNumberFormat="1"/>
    <xf numFmtId="0" fontId="8" fillId="0" borderId="0" xfId="24" applyFont="1"/>
    <xf numFmtId="0" fontId="11" fillId="0" borderId="0" xfId="24" applyProtection="1">
      <protection hidden="1"/>
    </xf>
    <xf numFmtId="44" fontId="11" fillId="0" borderId="0" xfId="9" applyFont="1" applyFill="1" applyAlignment="1" applyProtection="1">
      <alignment horizontal="right"/>
      <protection hidden="1"/>
    </xf>
    <xf numFmtId="43" fontId="11" fillId="0" borderId="0" xfId="7" applyFont="1" applyFill="1"/>
    <xf numFmtId="167" fontId="11" fillId="0" borderId="0" xfId="9" applyNumberFormat="1" applyFont="1" applyFill="1"/>
    <xf numFmtId="3" fontId="11" fillId="0" borderId="0" xfId="24" applyNumberFormat="1"/>
    <xf numFmtId="173" fontId="11" fillId="0" borderId="0" xfId="24" applyNumberFormat="1"/>
    <xf numFmtId="0" fontId="11" fillId="0" borderId="0" xfId="24" quotePrefix="1" applyProtection="1">
      <protection hidden="1"/>
    </xf>
    <xf numFmtId="44" fontId="11" fillId="0" borderId="0" xfId="9" applyFont="1" applyFill="1" applyProtection="1">
      <protection hidden="1"/>
    </xf>
    <xf numFmtId="165" fontId="11" fillId="0" borderId="0" xfId="7" applyNumberFormat="1" applyFont="1" applyFill="1"/>
    <xf numFmtId="3" fontId="11" fillId="0" borderId="0" xfId="7" applyNumberFormat="1" applyFont="1" applyFill="1"/>
    <xf numFmtId="1" fontId="11" fillId="0" borderId="0" xfId="7" applyNumberFormat="1" applyFont="1" applyFill="1"/>
    <xf numFmtId="173" fontId="11" fillId="0" borderId="0" xfId="7" applyNumberFormat="1" applyFont="1" applyFill="1"/>
    <xf numFmtId="165" fontId="11" fillId="0" borderId="0" xfId="7" applyNumberFormat="1" applyFont="1" applyFill="1" applyProtection="1">
      <protection hidden="1"/>
    </xf>
    <xf numFmtId="0" fontId="7" fillId="0" borderId="0" xfId="24" applyFont="1"/>
    <xf numFmtId="165" fontId="0" fillId="0" borderId="0" xfId="7" applyNumberFormat="1" applyFont="1"/>
    <xf numFmtId="165"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65" fontId="7" fillId="0" borderId="0" xfId="7" applyNumberFormat="1" applyFont="1" applyBorder="1" applyAlignment="1">
      <alignment horizontal="right"/>
    </xf>
    <xf numFmtId="1" fontId="7" fillId="0" borderId="0" xfId="0" applyNumberFormat="1" applyFont="1"/>
    <xf numFmtId="44"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67" fontId="7" fillId="0" borderId="0" xfId="9" applyNumberFormat="1" applyFont="1" applyBorder="1" applyAlignment="1">
      <alignment horizontal="right"/>
    </xf>
    <xf numFmtId="169"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70" fontId="0" fillId="0" borderId="0" xfId="6" applyNumberFormat="1" applyFont="1"/>
    <xf numFmtId="175"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65"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65" fontId="0" fillId="6" borderId="0" xfId="0" applyNumberFormat="1" applyFill="1"/>
    <xf numFmtId="165" fontId="0" fillId="6" borderId="0" xfId="7" applyNumberFormat="1" applyFont="1" applyFill="1" applyBorder="1" applyAlignment="1">
      <alignment horizontal="right"/>
    </xf>
    <xf numFmtId="165" fontId="7" fillId="0" borderId="0" xfId="0" applyNumberFormat="1" applyFont="1" applyAlignment="1">
      <alignment horizontal="right"/>
    </xf>
    <xf numFmtId="44" fontId="7" fillId="0" borderId="0" xfId="9" applyFont="1" applyAlignment="1">
      <alignment horizontal="right"/>
    </xf>
    <xf numFmtId="0" fontId="0" fillId="6" borderId="1" xfId="0" quotePrefix="1" applyFill="1" applyBorder="1" applyAlignment="1">
      <alignment horizontal="left"/>
    </xf>
    <xf numFmtId="165" fontId="0" fillId="6" borderId="0" xfId="0" applyNumberFormat="1" applyFill="1" applyAlignment="1">
      <alignment horizontal="right"/>
    </xf>
    <xf numFmtId="165" fontId="0" fillId="6" borderId="0" xfId="0" applyNumberFormat="1" applyFill="1" applyProtection="1">
      <protection hidden="1"/>
    </xf>
    <xf numFmtId="170" fontId="0" fillId="6" borderId="0" xfId="7" applyNumberFormat="1" applyFont="1" applyFill="1" applyAlignment="1">
      <alignment horizontal="right"/>
    </xf>
    <xf numFmtId="165" fontId="0" fillId="6" borderId="0" xfId="7" applyNumberFormat="1" applyFont="1" applyFill="1" applyAlignment="1">
      <alignment horizontal="right"/>
    </xf>
    <xf numFmtId="167" fontId="0" fillId="6" borderId="0" xfId="9" applyNumberFormat="1" applyFont="1" applyFill="1" applyAlignment="1">
      <alignment horizontal="right"/>
    </xf>
    <xf numFmtId="167"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65"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69" fontId="6" fillId="0" borderId="0" xfId="24" applyNumberFormat="1" applyFont="1"/>
    <xf numFmtId="167" fontId="6" fillId="0" borderId="0" xfId="9" applyNumberFormat="1" applyFont="1" applyFill="1"/>
    <xf numFmtId="167"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44"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67" fontId="6" fillId="10" borderId="0" xfId="8" applyNumberFormat="1" applyFont="1" applyFill="1" applyBorder="1" applyProtection="1">
      <protection hidden="1"/>
    </xf>
    <xf numFmtId="0" fontId="18" fillId="10" borderId="0" xfId="10" applyFill="1" applyBorder="1" applyAlignment="1" applyProtection="1">
      <protection hidden="1"/>
    </xf>
    <xf numFmtId="167" fontId="11" fillId="10" borderId="0" xfId="8" applyNumberFormat="1" applyFont="1" applyFill="1" applyBorder="1" applyProtection="1">
      <protection hidden="1"/>
    </xf>
    <xf numFmtId="44"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67"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67"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68"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69"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65"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67"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69"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67"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6" fontId="7" fillId="4" borderId="52" xfId="0" applyNumberFormat="1" applyFont="1" applyFill="1" applyBorder="1"/>
    <xf numFmtId="0" fontId="7" fillId="4" borderId="53" xfId="0" applyFont="1" applyFill="1" applyBorder="1"/>
    <xf numFmtId="6" fontId="7" fillId="4" borderId="53" xfId="0" applyNumberFormat="1" applyFont="1" applyFill="1" applyBorder="1"/>
    <xf numFmtId="0" fontId="43" fillId="4" borderId="66" xfId="0" applyFont="1" applyFill="1" applyBorder="1"/>
    <xf numFmtId="6" fontId="50" fillId="4" borderId="66" xfId="0" applyNumberFormat="1" applyFont="1" applyFill="1" applyBorder="1"/>
    <xf numFmtId="0" fontId="6" fillId="4" borderId="0" xfId="0" quotePrefix="1" applyFont="1" applyFill="1"/>
    <xf numFmtId="0" fontId="6" fillId="4" borderId="15" xfId="0" quotePrefix="1" applyFont="1" applyFill="1" applyBorder="1"/>
    <xf numFmtId="167"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68"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65"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67" fontId="0" fillId="0" borderId="45" xfId="26" applyNumberFormat="1" applyFont="1" applyBorder="1" applyProtection="1">
      <protection locked="0"/>
    </xf>
    <xf numFmtId="167"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66"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67" fontId="0" fillId="0" borderId="45" xfId="8" applyNumberFormat="1" applyFont="1" applyBorder="1" applyProtection="1">
      <protection locked="0"/>
    </xf>
    <xf numFmtId="167"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72" fontId="6" fillId="0" borderId="0" xfId="0" applyNumberFormat="1" applyFont="1" applyProtection="1">
      <protection hidden="1"/>
    </xf>
    <xf numFmtId="0" fontId="73" fillId="0" borderId="0" xfId="32" applyNumberFormat="1" applyFont="1"/>
    <xf numFmtId="165" fontId="59" fillId="0" borderId="0" xfId="32" applyNumberFormat="1" applyFont="1"/>
    <xf numFmtId="0" fontId="59" fillId="0" borderId="0" xfId="32" applyNumberFormat="1" applyFont="1" applyAlignment="1">
      <alignment horizontal="left" indent="1"/>
    </xf>
    <xf numFmtId="165" fontId="59" fillId="15" borderId="20" xfId="32" applyNumberFormat="1" applyFont="1" applyFill="1" applyBorder="1"/>
    <xf numFmtId="165" fontId="59" fillId="15" borderId="0" xfId="32" applyNumberFormat="1" applyFont="1" applyFill="1"/>
    <xf numFmtId="165" fontId="73" fillId="0" borderId="18" xfId="32" applyNumberFormat="1" applyFont="1" applyFill="1" applyBorder="1" applyAlignment="1">
      <alignment horizontal="center" vertical="center" wrapText="1"/>
    </xf>
    <xf numFmtId="165" fontId="73" fillId="0" borderId="15" xfId="32" applyNumberFormat="1" applyFont="1" applyFill="1" applyBorder="1" applyAlignment="1">
      <alignment horizontal="center" vertical="center"/>
    </xf>
    <xf numFmtId="165" fontId="73" fillId="0" borderId="16" xfId="32" applyNumberFormat="1" applyFont="1" applyFill="1" applyBorder="1" applyAlignment="1">
      <alignment horizontal="center" vertical="center"/>
    </xf>
    <xf numFmtId="165" fontId="73" fillId="0" borderId="15" xfId="32" applyNumberFormat="1" applyFont="1" applyFill="1" applyBorder="1" applyAlignment="1">
      <alignment horizontal="center" vertical="center" wrapText="1"/>
    </xf>
    <xf numFmtId="165" fontId="59" fillId="15" borderId="15" xfId="32" applyNumberFormat="1" applyFont="1" applyFill="1" applyBorder="1"/>
    <xf numFmtId="0" fontId="59" fillId="0" borderId="16" xfId="32" applyNumberFormat="1" applyFont="1" applyBorder="1"/>
    <xf numFmtId="176" fontId="59" fillId="0" borderId="15" xfId="32" applyNumberFormat="1" applyFont="1" applyBorder="1" applyAlignment="1">
      <alignment horizontal="center"/>
    </xf>
    <xf numFmtId="2" fontId="59" fillId="0" borderId="16" xfId="32" applyNumberFormat="1" applyFont="1" applyBorder="1" applyAlignment="1">
      <alignment horizontal="center"/>
    </xf>
    <xf numFmtId="176" fontId="59" fillId="0" borderId="18" xfId="32" applyNumberFormat="1" applyFont="1" applyBorder="1" applyAlignment="1">
      <alignment horizontal="center"/>
    </xf>
    <xf numFmtId="176" fontId="59" fillId="0" borderId="16" xfId="32" applyNumberFormat="1" applyFont="1" applyBorder="1" applyAlignment="1">
      <alignment horizontal="center"/>
    </xf>
    <xf numFmtId="0" fontId="59" fillId="0" borderId="15" xfId="32" applyNumberFormat="1" applyFont="1" applyBorder="1"/>
    <xf numFmtId="165" fontId="59" fillId="0" borderId="15" xfId="32" applyNumberFormat="1" applyFont="1" applyBorder="1"/>
    <xf numFmtId="0" fontId="59" fillId="0" borderId="25" xfId="32" applyNumberFormat="1" applyFont="1" applyBorder="1"/>
    <xf numFmtId="176" fontId="59" fillId="0" borderId="20" xfId="32" applyNumberFormat="1" applyFont="1" applyBorder="1" applyAlignment="1">
      <alignment horizontal="center"/>
    </xf>
    <xf numFmtId="169" fontId="59" fillId="0" borderId="25" xfId="32" applyNumberFormat="1" applyFont="1" applyBorder="1" applyAlignment="1">
      <alignment horizontal="center"/>
    </xf>
    <xf numFmtId="176" fontId="59" fillId="0" borderId="17" xfId="32" applyNumberFormat="1" applyFont="1" applyBorder="1" applyAlignment="1">
      <alignment horizontal="center"/>
    </xf>
    <xf numFmtId="176"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65" fontId="59" fillId="0" borderId="20" xfId="32" applyNumberFormat="1" applyFont="1" applyBorder="1"/>
    <xf numFmtId="169"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76"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76" fontId="59" fillId="0" borderId="0" xfId="32" applyNumberFormat="1" applyFont="1" applyBorder="1" applyAlignment="1">
      <alignment horizontal="center"/>
    </xf>
    <xf numFmtId="176" fontId="59" fillId="0" borderId="2" xfId="32" applyNumberFormat="1" applyFont="1" applyBorder="1" applyAlignment="1">
      <alignment horizontal="center"/>
    </xf>
    <xf numFmtId="176"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77"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66"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67" fontId="6" fillId="0" borderId="0" xfId="8" applyNumberFormat="1" applyFont="1" applyFill="1" applyBorder="1"/>
    <xf numFmtId="0" fontId="0" fillId="15" borderId="0" xfId="0" applyFill="1"/>
    <xf numFmtId="178" fontId="6" fillId="2" borderId="0" xfId="6" applyNumberFormat="1" applyFont="1" applyFill="1"/>
    <xf numFmtId="0" fontId="16" fillId="4" borderId="0" xfId="0" applyFont="1" applyFill="1"/>
    <xf numFmtId="169"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69"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44" fontId="6" fillId="0" borderId="0" xfId="8" applyFont="1" applyFill="1"/>
    <xf numFmtId="0" fontId="6" fillId="12" borderId="0" xfId="0" applyFont="1" applyFill="1" applyAlignment="1">
      <alignment horizontal="left"/>
    </xf>
    <xf numFmtId="0" fontId="0" fillId="10" borderId="73" xfId="0" applyFill="1" applyBorder="1" applyProtection="1">
      <protection hidden="1"/>
    </xf>
    <xf numFmtId="173" fontId="11" fillId="10" borderId="0" xfId="6" applyNumberFormat="1" applyFont="1" applyFill="1" applyBorder="1" applyProtection="1">
      <protection hidden="1"/>
    </xf>
    <xf numFmtId="0" fontId="59" fillId="2" borderId="0" xfId="0" applyFont="1" applyFill="1"/>
    <xf numFmtId="165" fontId="59" fillId="2" borderId="0" xfId="6" applyNumberFormat="1" applyFont="1" applyFill="1"/>
    <xf numFmtId="9" fontId="59" fillId="2" borderId="0" xfId="26" applyFont="1" applyFill="1"/>
    <xf numFmtId="169"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67"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67"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72" fontId="21" fillId="19" borderId="20" xfId="0" applyNumberFormat="1" applyFont="1" applyFill="1" applyBorder="1"/>
    <xf numFmtId="8" fontId="0" fillId="0" borderId="15" xfId="0" applyNumberFormat="1" applyBorder="1"/>
    <xf numFmtId="2" fontId="0" fillId="0" borderId="0" xfId="0" applyNumberFormat="1" applyAlignment="1">
      <alignment horizontal="center" vertical="center"/>
    </xf>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74"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67" fontId="6" fillId="0" borderId="0" xfId="8" applyNumberFormat="1" applyFill="1"/>
    <xf numFmtId="171"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69" fontId="0" fillId="0" borderId="0" xfId="0" applyNumberFormat="1" applyAlignment="1">
      <alignment horizontal="center"/>
    </xf>
    <xf numFmtId="1" fontId="0" fillId="0" borderId="0" xfId="0" applyNumberFormat="1" applyAlignment="1">
      <alignment horizontal="center"/>
    </xf>
    <xf numFmtId="179" fontId="0" fillId="0" borderId="0" xfId="0" applyNumberFormat="1"/>
    <xf numFmtId="10" fontId="7" fillId="0" borderId="0" xfId="0" applyNumberFormat="1" applyFont="1"/>
    <xf numFmtId="10" fontId="8" fillId="0" borderId="0" xfId="0" applyNumberFormat="1" applyFont="1"/>
    <xf numFmtId="179" fontId="8" fillId="0" borderId="0" xfId="0" applyNumberFormat="1" applyFont="1"/>
    <xf numFmtId="1" fontId="0" fillId="0" borderId="0" xfId="6" applyNumberFormat="1" applyFont="1" applyFill="1"/>
    <xf numFmtId="10" fontId="6" fillId="0" borderId="0" xfId="0" applyNumberFormat="1" applyFont="1"/>
    <xf numFmtId="179" fontId="6" fillId="0" borderId="0" xfId="0" applyNumberFormat="1" applyFont="1"/>
    <xf numFmtId="22" fontId="0" fillId="0" borderId="0" xfId="0" applyNumberFormat="1"/>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65" fontId="73" fillId="15" borderId="25" xfId="32" applyNumberFormat="1" applyFont="1" applyFill="1" applyBorder="1" applyAlignment="1">
      <alignment horizontal="center" vertical="center"/>
    </xf>
    <xf numFmtId="165" fontId="73" fillId="15" borderId="2" xfId="32" applyNumberFormat="1" applyFont="1" applyFill="1" applyBorder="1" applyAlignment="1">
      <alignment horizontal="center" vertical="center"/>
    </xf>
    <xf numFmtId="165" fontId="73" fillId="15" borderId="20" xfId="32" applyNumberFormat="1" applyFont="1" applyFill="1" applyBorder="1" applyAlignment="1">
      <alignment horizontal="center" vertical="center" wrapText="1"/>
    </xf>
    <xf numFmtId="165" fontId="73" fillId="15" borderId="0" xfId="32" applyNumberFormat="1" applyFont="1" applyFill="1" applyBorder="1" applyAlignment="1">
      <alignment horizontal="center" vertical="center" wrapText="1"/>
    </xf>
    <xf numFmtId="165" fontId="73" fillId="15" borderId="15" xfId="32" applyNumberFormat="1" applyFont="1" applyFill="1" applyBorder="1" applyAlignment="1">
      <alignment horizontal="center" vertical="center" wrapText="1"/>
    </xf>
    <xf numFmtId="165" fontId="73" fillId="15" borderId="25" xfId="32" applyNumberFormat="1" applyFont="1" applyFill="1" applyBorder="1" applyAlignment="1">
      <alignment horizontal="center" vertical="center" wrapText="1"/>
    </xf>
    <xf numFmtId="165" fontId="73" fillId="15" borderId="2" xfId="32" applyNumberFormat="1" applyFont="1" applyFill="1" applyBorder="1" applyAlignment="1">
      <alignment horizontal="center" vertical="center" wrapText="1"/>
    </xf>
    <xf numFmtId="165" fontId="73" fillId="0" borderId="1" xfId="32" applyNumberFormat="1" applyFont="1" applyFill="1" applyBorder="1" applyAlignment="1">
      <alignment horizontal="center"/>
    </xf>
    <xf numFmtId="165" fontId="73" fillId="0" borderId="0" xfId="32" applyNumberFormat="1" applyFont="1" applyFill="1" applyBorder="1" applyAlignment="1">
      <alignment horizontal="center"/>
    </xf>
    <xf numFmtId="165"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65" fontId="73" fillId="15" borderId="17" xfId="32" applyNumberFormat="1" applyFont="1" applyFill="1" applyBorder="1" applyAlignment="1">
      <alignment horizontal="left" vertical="center"/>
    </xf>
    <xf numFmtId="165"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69" fontId="19" fillId="6" borderId="1" xfId="0" applyNumberFormat="1" applyFont="1" applyFill="1" applyBorder="1" applyAlignment="1">
      <alignment horizontal="center"/>
    </xf>
    <xf numFmtId="169" fontId="19" fillId="6" borderId="0" xfId="0" applyNumberFormat="1" applyFont="1" applyFill="1" applyAlignment="1">
      <alignment horizontal="center"/>
    </xf>
    <xf numFmtId="169"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xfId="6" builtinId="3"/>
    <cellStyle name="Comma 2" xfId="7" xr:uid="{00000000-0005-0000-0000-000006000000}"/>
    <cellStyle name="Comma 3" xfId="32" xr:uid="{00000000-0005-0000-0000-000007000000}"/>
    <cellStyle name="Comma 4" xfId="30" xr:uid="{00000000-0005-0000-0000-000008000000}"/>
    <cellStyle name="Currency" xfId="8" builtinId="4"/>
    <cellStyle name="Currency 2" xfId="9" xr:uid="{00000000-0005-0000-0000-00000A000000}"/>
    <cellStyle name="Hyperlink" xfId="10" builtinId="8"/>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xfId="0" builtinId="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Percent" xfId="26" builtinId="5"/>
    <cellStyle name="Range Name" xfId="27" xr:uid="{00000000-0005-0000-0000-000020000000}"/>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1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workbookViewId="0"/>
  </sheetViews>
  <sheetFormatPr baseColWidth="10" defaultColWidth="9.1640625" defaultRowHeight="13" x14ac:dyDescent="0.15"/>
  <cols>
    <col min="1" max="1" width="122.6640625" style="940" customWidth="1"/>
    <col min="2" max="16384" width="9.1640625" style="940"/>
  </cols>
  <sheetData>
    <row r="1" spans="1:1" ht="16" customHeight="1" x14ac:dyDescent="0.15">
      <c r="A1" s="939" t="s">
        <v>4362</v>
      </c>
    </row>
    <row r="2" spans="1:1" ht="16" customHeight="1" x14ac:dyDescent="0.15">
      <c r="A2" s="939" t="s">
        <v>4374</v>
      </c>
    </row>
    <row r="3" spans="1:1" ht="16" customHeight="1" x14ac:dyDescent="0.15">
      <c r="A3" s="941" t="s">
        <v>4383</v>
      </c>
    </row>
    <row r="4" spans="1:1" ht="20" customHeight="1" x14ac:dyDescent="0.15">
      <c r="A4" s="942" t="s">
        <v>4363</v>
      </c>
    </row>
    <row r="5" spans="1:1" ht="20" customHeight="1" x14ac:dyDescent="0.15">
      <c r="A5" s="943" t="s">
        <v>4364</v>
      </c>
    </row>
    <row r="6" spans="1:1" ht="20" customHeight="1" x14ac:dyDescent="0.15">
      <c r="A6" s="943" t="s">
        <v>4365</v>
      </c>
    </row>
    <row r="7" spans="1:1" ht="20" customHeight="1" x14ac:dyDescent="0.15">
      <c r="A7" s="943" t="s">
        <v>4366</v>
      </c>
    </row>
    <row r="8" spans="1:1" ht="20" customHeight="1" x14ac:dyDescent="0.15">
      <c r="A8" s="943" t="s">
        <v>4367</v>
      </c>
    </row>
    <row r="9" spans="1:1" ht="33.75" customHeight="1" x14ac:dyDescent="0.15">
      <c r="A9" s="944" t="s">
        <v>4368</v>
      </c>
    </row>
    <row r="10" spans="1:1" ht="20" customHeight="1" x14ac:dyDescent="0.15">
      <c r="A10" s="943" t="s">
        <v>4369</v>
      </c>
    </row>
    <row r="11" spans="1:1" ht="20" customHeight="1" x14ac:dyDescent="0.15">
      <c r="A11" s="943" t="s">
        <v>4370</v>
      </c>
    </row>
    <row r="12" spans="1:1" ht="20" customHeight="1" x14ac:dyDescent="0.15">
      <c r="A12" s="943" t="s">
        <v>4371</v>
      </c>
    </row>
    <row r="13" spans="1:1" ht="20" customHeight="1" x14ac:dyDescent="0.15">
      <c r="A13" s="943" t="s">
        <v>4372</v>
      </c>
    </row>
    <row r="14" spans="1:1" ht="20" customHeight="1" x14ac:dyDescent="0.15">
      <c r="A14" s="945" t="s">
        <v>4375</v>
      </c>
    </row>
    <row r="15" spans="1:1" ht="20" customHeight="1" x14ac:dyDescent="0.15">
      <c r="A15" s="946" t="s">
        <v>4373</v>
      </c>
    </row>
    <row r="16" spans="1:1" ht="16" customHeight="1" x14ac:dyDescent="0.15">
      <c r="A16" s="943"/>
    </row>
  </sheetData>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326" activePane="bottomLeft" state="frozen"/>
      <selection pane="bottomLeft" activeCell="B344" sqref="B344"/>
    </sheetView>
  </sheetViews>
  <sheetFormatPr baseColWidth="10" defaultColWidth="9.1640625" defaultRowHeight="13" x14ac:dyDescent="0.15"/>
  <cols>
    <col min="1" max="1" width="80.6640625" style="875" customWidth="1"/>
    <col min="2" max="2" width="23.6640625" style="875" customWidth="1"/>
    <col min="3" max="16384" width="9.1640625" style="875"/>
  </cols>
  <sheetData>
    <row r="1" spans="1:2" x14ac:dyDescent="0.15">
      <c r="A1" s="874" t="s">
        <v>3552</v>
      </c>
    </row>
    <row r="2" spans="1:2" x14ac:dyDescent="0.15">
      <c r="A2" s="876" t="s">
        <v>3553</v>
      </c>
    </row>
    <row r="4" spans="1:2" x14ac:dyDescent="0.15">
      <c r="A4" s="874" t="s">
        <v>3554</v>
      </c>
      <c r="B4" s="874" t="s">
        <v>3555</v>
      </c>
    </row>
    <row r="5" spans="1:2" x14ac:dyDescent="0.15">
      <c r="A5" s="875" t="s">
        <v>2405</v>
      </c>
      <c r="B5" s="730" t="s">
        <v>2404</v>
      </c>
    </row>
    <row r="6" spans="1:2" x14ac:dyDescent="0.15">
      <c r="A6" s="875" t="s">
        <v>1827</v>
      </c>
      <c r="B6" s="730" t="s">
        <v>1828</v>
      </c>
    </row>
    <row r="7" spans="1:2" x14ac:dyDescent="0.15">
      <c r="A7" s="875" t="s">
        <v>1829</v>
      </c>
      <c r="B7" s="730" t="s">
        <v>1830</v>
      </c>
    </row>
    <row r="8" spans="1:2" x14ac:dyDescent="0.15">
      <c r="A8" s="875" t="s">
        <v>3560</v>
      </c>
      <c r="B8" s="730" t="s">
        <v>258</v>
      </c>
    </row>
    <row r="9" spans="1:2" x14ac:dyDescent="0.15">
      <c r="A9" s="875" t="s">
        <v>1180</v>
      </c>
      <c r="B9" s="730" t="s">
        <v>1181</v>
      </c>
    </row>
    <row r="10" spans="1:2" x14ac:dyDescent="0.15">
      <c r="A10" s="875" t="s">
        <v>2873</v>
      </c>
      <c r="B10" s="730" t="s">
        <v>2874</v>
      </c>
    </row>
    <row r="11" spans="1:2" x14ac:dyDescent="0.15">
      <c r="A11" s="875" t="s">
        <v>1760</v>
      </c>
      <c r="B11" s="730" t="s">
        <v>1449</v>
      </c>
    </row>
    <row r="12" spans="1:2" x14ac:dyDescent="0.15">
      <c r="A12" s="875" t="s">
        <v>3135</v>
      </c>
      <c r="B12" s="730" t="s">
        <v>3136</v>
      </c>
    </row>
    <row r="13" spans="1:2" x14ac:dyDescent="0.15">
      <c r="A13" s="875" t="s">
        <v>3562</v>
      </c>
      <c r="B13" s="730" t="s">
        <v>1285</v>
      </c>
    </row>
    <row r="14" spans="1:2" x14ac:dyDescent="0.15">
      <c r="A14" s="875" t="s">
        <v>804</v>
      </c>
      <c r="B14" s="730" t="s">
        <v>805</v>
      </c>
    </row>
    <row r="15" spans="1:2" x14ac:dyDescent="0.15">
      <c r="A15" s="875" t="s">
        <v>1446</v>
      </c>
      <c r="B15" s="730" t="s">
        <v>2301</v>
      </c>
    </row>
    <row r="16" spans="1:2" x14ac:dyDescent="0.15">
      <c r="A16" s="875" t="s">
        <v>3581</v>
      </c>
      <c r="B16" s="730" t="s">
        <v>1141</v>
      </c>
    </row>
    <row r="17" spans="1:2" x14ac:dyDescent="0.15">
      <c r="A17" s="875" t="s">
        <v>2307</v>
      </c>
      <c r="B17" s="730" t="s">
        <v>2521</v>
      </c>
    </row>
    <row r="18" spans="1:2" x14ac:dyDescent="0.15">
      <c r="A18" s="875" t="s">
        <v>2273</v>
      </c>
      <c r="B18" s="730" t="s">
        <v>2274</v>
      </c>
    </row>
    <row r="19" spans="1:2" x14ac:dyDescent="0.15">
      <c r="A19" s="875" t="s">
        <v>2256</v>
      </c>
      <c r="B19" s="730" t="s">
        <v>2257</v>
      </c>
    </row>
    <row r="20" spans="1:2" x14ac:dyDescent="0.15">
      <c r="A20" s="875" t="s">
        <v>2250</v>
      </c>
      <c r="B20" s="730" t="s">
        <v>2251</v>
      </c>
    </row>
    <row r="21" spans="1:2" x14ac:dyDescent="0.15">
      <c r="A21" s="875" t="s">
        <v>1553</v>
      </c>
      <c r="B21" s="730" t="s">
        <v>1554</v>
      </c>
    </row>
    <row r="22" spans="1:2" x14ac:dyDescent="0.15">
      <c r="A22" s="875" t="s">
        <v>827</v>
      </c>
      <c r="B22" s="730" t="s">
        <v>2880</v>
      </c>
    </row>
    <row r="23" spans="1:2" x14ac:dyDescent="0.15">
      <c r="A23" s="875" t="s">
        <v>2884</v>
      </c>
      <c r="B23" s="730" t="s">
        <v>2885</v>
      </c>
    </row>
    <row r="24" spans="1:2" x14ac:dyDescent="0.15">
      <c r="A24" s="875" t="s">
        <v>2882</v>
      </c>
      <c r="B24" s="730" t="s">
        <v>2883</v>
      </c>
    </row>
    <row r="25" spans="1:2" x14ac:dyDescent="0.15">
      <c r="A25" s="875" t="s">
        <v>988</v>
      </c>
      <c r="B25" s="730" t="s">
        <v>989</v>
      </c>
    </row>
    <row r="26" spans="1:2" x14ac:dyDescent="0.15">
      <c r="A26" s="875" t="s">
        <v>995</v>
      </c>
      <c r="B26" s="730" t="s">
        <v>996</v>
      </c>
    </row>
    <row r="27" spans="1:2" x14ac:dyDescent="0.15">
      <c r="A27" s="875" t="s">
        <v>55</v>
      </c>
      <c r="B27" s="730" t="s">
        <v>56</v>
      </c>
    </row>
    <row r="28" spans="1:2" x14ac:dyDescent="0.15">
      <c r="A28" s="875" t="s">
        <v>1422</v>
      </c>
      <c r="B28" s="730" t="s">
        <v>2122</v>
      </c>
    </row>
    <row r="29" spans="1:2" x14ac:dyDescent="0.15">
      <c r="A29" s="875" t="s">
        <v>2865</v>
      </c>
      <c r="B29" s="730" t="s">
        <v>138</v>
      </c>
    </row>
    <row r="30" spans="1:2" x14ac:dyDescent="0.15">
      <c r="A30" s="875" t="s">
        <v>3489</v>
      </c>
      <c r="B30" s="730" t="s">
        <v>3490</v>
      </c>
    </row>
    <row r="31" spans="1:2" x14ac:dyDescent="0.15">
      <c r="A31" s="875" t="s">
        <v>137</v>
      </c>
      <c r="B31" s="730" t="s">
        <v>139</v>
      </c>
    </row>
    <row r="32" spans="1:2" x14ac:dyDescent="0.15">
      <c r="A32" s="875" t="s">
        <v>2130</v>
      </c>
      <c r="B32" s="730" t="s">
        <v>1035</v>
      </c>
    </row>
    <row r="33" spans="1:2" x14ac:dyDescent="0.15">
      <c r="A33" s="875" t="s">
        <v>2131</v>
      </c>
      <c r="B33" s="730" t="s">
        <v>1883</v>
      </c>
    </row>
    <row r="34" spans="1:2" x14ac:dyDescent="0.15">
      <c r="A34" s="875" t="s">
        <v>479</v>
      </c>
      <c r="B34" s="730" t="s">
        <v>480</v>
      </c>
    </row>
    <row r="35" spans="1:2" x14ac:dyDescent="0.15">
      <c r="A35" s="875" t="s">
        <v>59</v>
      </c>
      <c r="B35" s="730" t="s">
        <v>65</v>
      </c>
    </row>
    <row r="36" spans="1:2" x14ac:dyDescent="0.15">
      <c r="A36" s="875" t="s">
        <v>3423</v>
      </c>
      <c r="B36" s="730" t="s">
        <v>2678</v>
      </c>
    </row>
    <row r="37" spans="1:2" x14ac:dyDescent="0.15">
      <c r="A37" s="875" t="s">
        <v>3565</v>
      </c>
      <c r="B37" s="730" t="s">
        <v>3427</v>
      </c>
    </row>
    <row r="38" spans="1:2" x14ac:dyDescent="0.15">
      <c r="A38" s="875" t="s">
        <v>1621</v>
      </c>
      <c r="B38" s="730" t="s">
        <v>1622</v>
      </c>
    </row>
    <row r="39" spans="1:2" x14ac:dyDescent="0.15">
      <c r="A39" s="875" t="s">
        <v>1623</v>
      </c>
      <c r="B39" s="730" t="s">
        <v>1624</v>
      </c>
    </row>
    <row r="40" spans="1:2" x14ac:dyDescent="0.15">
      <c r="A40" s="875" t="s">
        <v>477</v>
      </c>
      <c r="B40" s="730" t="s">
        <v>478</v>
      </c>
    </row>
    <row r="41" spans="1:2" x14ac:dyDescent="0.15">
      <c r="A41" s="875" t="s">
        <v>475</v>
      </c>
      <c r="B41" s="730" t="s">
        <v>476</v>
      </c>
    </row>
    <row r="42" spans="1:2" x14ac:dyDescent="0.15">
      <c r="A42" s="875" t="s">
        <v>474</v>
      </c>
      <c r="B42" s="730" t="s">
        <v>483</v>
      </c>
    </row>
    <row r="43" spans="1:2" x14ac:dyDescent="0.15">
      <c r="A43" s="875" t="s">
        <v>2712</v>
      </c>
      <c r="B43" s="730" t="s">
        <v>2713</v>
      </c>
    </row>
    <row r="44" spans="1:2" x14ac:dyDescent="0.15">
      <c r="A44" s="875" t="s">
        <v>2714</v>
      </c>
      <c r="B44" s="730" t="s">
        <v>2715</v>
      </c>
    </row>
    <row r="45" spans="1:2" x14ac:dyDescent="0.15">
      <c r="A45" s="875" t="s">
        <v>660</v>
      </c>
      <c r="B45" s="730" t="s">
        <v>2201</v>
      </c>
    </row>
    <row r="46" spans="1:2" x14ac:dyDescent="0.15">
      <c r="A46" s="875" t="s">
        <v>1782</v>
      </c>
      <c r="B46" s="730" t="s">
        <v>1783</v>
      </c>
    </row>
    <row r="47" spans="1:2" x14ac:dyDescent="0.15">
      <c r="A47" s="875" t="s">
        <v>2558</v>
      </c>
      <c r="B47" s="730" t="s">
        <v>2559</v>
      </c>
    </row>
    <row r="48" spans="1:2" x14ac:dyDescent="0.15">
      <c r="A48" s="875" t="s">
        <v>1202</v>
      </c>
      <c r="B48" s="730" t="s">
        <v>1203</v>
      </c>
    </row>
    <row r="49" spans="1:2" x14ac:dyDescent="0.15">
      <c r="A49" s="875" t="s">
        <v>3487</v>
      </c>
      <c r="B49" s="730" t="s">
        <v>3488</v>
      </c>
    </row>
    <row r="50" spans="1:2" x14ac:dyDescent="0.15">
      <c r="A50" s="875" t="s">
        <v>2175</v>
      </c>
      <c r="B50" s="730" t="s">
        <v>2205</v>
      </c>
    </row>
    <row r="51" spans="1:2" x14ac:dyDescent="0.15">
      <c r="A51" s="875" t="s">
        <v>3491</v>
      </c>
      <c r="B51" s="730" t="s">
        <v>3492</v>
      </c>
    </row>
    <row r="52" spans="1:2" x14ac:dyDescent="0.15">
      <c r="A52" s="875" t="s">
        <v>3142</v>
      </c>
      <c r="B52" s="730" t="s">
        <v>3143</v>
      </c>
    </row>
    <row r="53" spans="1:2" x14ac:dyDescent="0.15">
      <c r="A53" s="875" t="s">
        <v>1362</v>
      </c>
      <c r="B53" s="730" t="s">
        <v>1432</v>
      </c>
    </row>
    <row r="54" spans="1:2" x14ac:dyDescent="0.15">
      <c r="A54" s="875" t="s">
        <v>2526</v>
      </c>
      <c r="B54" s="730" t="s">
        <v>2527</v>
      </c>
    </row>
    <row r="55" spans="1:2" x14ac:dyDescent="0.15">
      <c r="A55" s="875" t="s">
        <v>3471</v>
      </c>
      <c r="B55" s="730" t="s">
        <v>3574</v>
      </c>
    </row>
    <row r="56" spans="1:2" x14ac:dyDescent="0.15">
      <c r="A56" s="875" t="s">
        <v>3472</v>
      </c>
      <c r="B56" s="730" t="s">
        <v>3575</v>
      </c>
    </row>
    <row r="57" spans="1:2" x14ac:dyDescent="0.15">
      <c r="A57" s="875" t="s">
        <v>440</v>
      </c>
      <c r="B57" s="730" t="s">
        <v>1095</v>
      </c>
    </row>
    <row r="58" spans="1:2" x14ac:dyDescent="0.15">
      <c r="A58" s="875" t="s">
        <v>1888</v>
      </c>
      <c r="B58" s="730" t="s">
        <v>1889</v>
      </c>
    </row>
    <row r="59" spans="1:2" x14ac:dyDescent="0.15">
      <c r="A59" s="875" t="s">
        <v>1617</v>
      </c>
      <c r="B59" s="730" t="s">
        <v>1618</v>
      </c>
    </row>
    <row r="60" spans="1:2" x14ac:dyDescent="0.15">
      <c r="A60" s="875" t="s">
        <v>158</v>
      </c>
      <c r="B60" s="730" t="s">
        <v>1036</v>
      </c>
    </row>
    <row r="61" spans="1:2" x14ac:dyDescent="0.15">
      <c r="A61" s="875" t="s">
        <v>3563</v>
      </c>
      <c r="B61" s="730" t="s">
        <v>417</v>
      </c>
    </row>
    <row r="62" spans="1:2" x14ac:dyDescent="0.15">
      <c r="A62" s="875" t="s">
        <v>2500</v>
      </c>
      <c r="B62" s="730" t="s">
        <v>2501</v>
      </c>
    </row>
    <row r="63" spans="1:2" x14ac:dyDescent="0.15">
      <c r="A63" s="875" t="s">
        <v>2502</v>
      </c>
      <c r="B63" s="730" t="s">
        <v>2503</v>
      </c>
    </row>
    <row r="64" spans="1:2" x14ac:dyDescent="0.15">
      <c r="A64" s="875" t="s">
        <v>462</v>
      </c>
      <c r="B64" s="730" t="s">
        <v>461</v>
      </c>
    </row>
    <row r="65" spans="1:2" x14ac:dyDescent="0.15">
      <c r="A65" s="875" t="s">
        <v>1447</v>
      </c>
      <c r="B65" s="730" t="s">
        <v>1448</v>
      </c>
    </row>
    <row r="66" spans="1:2" x14ac:dyDescent="0.15">
      <c r="A66" s="877" t="s">
        <v>3572</v>
      </c>
      <c r="B66" s="730" t="s">
        <v>2315</v>
      </c>
    </row>
    <row r="67" spans="1:2" x14ac:dyDescent="0.15">
      <c r="A67" s="877" t="s">
        <v>3573</v>
      </c>
      <c r="B67" s="730" t="s">
        <v>2316</v>
      </c>
    </row>
    <row r="68" spans="1:2" x14ac:dyDescent="0.15">
      <c r="A68" s="875" t="s">
        <v>2261</v>
      </c>
      <c r="B68" s="730" t="s">
        <v>2262</v>
      </c>
    </row>
    <row r="69" spans="1:2" x14ac:dyDescent="0.15">
      <c r="A69" s="875" t="s">
        <v>281</v>
      </c>
      <c r="B69" s="730" t="s">
        <v>1209</v>
      </c>
    </row>
    <row r="70" spans="1:2" x14ac:dyDescent="0.15">
      <c r="A70" s="875" t="s">
        <v>929</v>
      </c>
      <c r="B70" s="730" t="s">
        <v>2735</v>
      </c>
    </row>
    <row r="71" spans="1:2" x14ac:dyDescent="0.15">
      <c r="A71" s="875" t="s">
        <v>2568</v>
      </c>
      <c r="B71" s="730" t="s">
        <v>2569</v>
      </c>
    </row>
    <row r="72" spans="1:2" x14ac:dyDescent="0.15">
      <c r="A72" s="875" t="s">
        <v>1077</v>
      </c>
      <c r="B72" s="730" t="s">
        <v>1078</v>
      </c>
    </row>
    <row r="73" spans="1:2" x14ac:dyDescent="0.15">
      <c r="A73" s="875" t="s">
        <v>430</v>
      </c>
      <c r="B73" s="730" t="s">
        <v>431</v>
      </c>
    </row>
    <row r="74" spans="1:2" x14ac:dyDescent="0.15">
      <c r="A74" s="875" t="s">
        <v>53</v>
      </c>
      <c r="B74" s="730" t="s">
        <v>52</v>
      </c>
    </row>
    <row r="75" spans="1:2" x14ac:dyDescent="0.15">
      <c r="A75" s="875" t="s">
        <v>167</v>
      </c>
      <c r="B75" s="730" t="s">
        <v>169</v>
      </c>
    </row>
    <row r="76" spans="1:2" x14ac:dyDescent="0.15">
      <c r="A76" s="875" t="s">
        <v>1455</v>
      </c>
      <c r="B76" s="730" t="s">
        <v>3016</v>
      </c>
    </row>
    <row r="77" spans="1:2" x14ac:dyDescent="0.15">
      <c r="A77" s="875" t="s">
        <v>2751</v>
      </c>
      <c r="B77" s="730" t="s">
        <v>2749</v>
      </c>
    </row>
    <row r="78" spans="1:2" x14ac:dyDescent="0.15">
      <c r="A78" s="875" t="s">
        <v>3557</v>
      </c>
      <c r="B78" s="730" t="s">
        <v>2202</v>
      </c>
    </row>
    <row r="79" spans="1:2" x14ac:dyDescent="0.15">
      <c r="A79" s="875" t="s">
        <v>2479</v>
      </c>
      <c r="B79" s="730" t="s">
        <v>2480</v>
      </c>
    </row>
    <row r="80" spans="1:2" x14ac:dyDescent="0.15">
      <c r="A80" s="875" t="s">
        <v>356</v>
      </c>
      <c r="B80" s="730" t="s">
        <v>357</v>
      </c>
    </row>
    <row r="81" spans="1:2" x14ac:dyDescent="0.15">
      <c r="A81" s="875" t="s">
        <v>1644</v>
      </c>
      <c r="B81" s="730" t="s">
        <v>979</v>
      </c>
    </row>
    <row r="82" spans="1:2" x14ac:dyDescent="0.15">
      <c r="A82" s="875" t="s">
        <v>1643</v>
      </c>
      <c r="B82" s="730" t="s">
        <v>978</v>
      </c>
    </row>
    <row r="83" spans="1:2" x14ac:dyDescent="0.15">
      <c r="A83" s="875" t="s">
        <v>1640</v>
      </c>
      <c r="B83" s="730" t="s">
        <v>1834</v>
      </c>
    </row>
    <row r="84" spans="1:2" x14ac:dyDescent="0.15">
      <c r="A84" s="875" t="s">
        <v>1642</v>
      </c>
      <c r="B84" s="730" t="s">
        <v>1653</v>
      </c>
    </row>
    <row r="85" spans="1:2" x14ac:dyDescent="0.15">
      <c r="A85" s="875" t="s">
        <v>1641</v>
      </c>
      <c r="B85" s="730" t="s">
        <v>954</v>
      </c>
    </row>
    <row r="86" spans="1:2" x14ac:dyDescent="0.15">
      <c r="A86" s="875" t="s">
        <v>2133</v>
      </c>
      <c r="B86" s="730" t="s">
        <v>310</v>
      </c>
    </row>
    <row r="87" spans="1:2" x14ac:dyDescent="0.15">
      <c r="A87" s="875" t="s">
        <v>2263</v>
      </c>
      <c r="B87" s="730" t="s">
        <v>2264</v>
      </c>
    </row>
    <row r="88" spans="1:2" x14ac:dyDescent="0.15">
      <c r="A88" s="875" t="s">
        <v>1015</v>
      </c>
      <c r="B88" s="730" t="s">
        <v>1016</v>
      </c>
    </row>
    <row r="89" spans="1:2" x14ac:dyDescent="0.15">
      <c r="A89" s="875" t="s">
        <v>1026</v>
      </c>
      <c r="B89" s="730" t="s">
        <v>1027</v>
      </c>
    </row>
    <row r="90" spans="1:2" x14ac:dyDescent="0.15">
      <c r="A90" s="875" t="s">
        <v>1024</v>
      </c>
      <c r="B90" s="730" t="s">
        <v>1025</v>
      </c>
    </row>
    <row r="91" spans="1:2" x14ac:dyDescent="0.15">
      <c r="A91" s="875" t="s">
        <v>1021</v>
      </c>
      <c r="B91" s="730" t="s">
        <v>1022</v>
      </c>
    </row>
    <row r="92" spans="1:2" x14ac:dyDescent="0.15">
      <c r="A92" s="875" t="s">
        <v>297</v>
      </c>
      <c r="B92" s="730" t="s">
        <v>1727</v>
      </c>
    </row>
    <row r="93" spans="1:2" x14ac:dyDescent="0.15">
      <c r="A93" s="875" t="s">
        <v>2324</v>
      </c>
      <c r="B93" s="730" t="s">
        <v>2325</v>
      </c>
    </row>
    <row r="94" spans="1:2" x14ac:dyDescent="0.15">
      <c r="A94" s="875" t="s">
        <v>808</v>
      </c>
      <c r="B94" s="730" t="s">
        <v>809</v>
      </c>
    </row>
    <row r="95" spans="1:2" x14ac:dyDescent="0.15">
      <c r="A95" s="875" t="s">
        <v>283</v>
      </c>
      <c r="B95" s="730" t="s">
        <v>284</v>
      </c>
    </row>
    <row r="96" spans="1:2" x14ac:dyDescent="0.15">
      <c r="A96" s="875" t="s">
        <v>2322</v>
      </c>
      <c r="B96" s="730" t="s">
        <v>2323</v>
      </c>
    </row>
    <row r="97" spans="1:2" x14ac:dyDescent="0.15">
      <c r="A97" s="875" t="s">
        <v>1880</v>
      </c>
      <c r="B97" s="730" t="s">
        <v>1881</v>
      </c>
    </row>
    <row r="98" spans="1:2" x14ac:dyDescent="0.15">
      <c r="A98" s="875" t="s">
        <v>992</v>
      </c>
      <c r="B98" s="730" t="s">
        <v>993</v>
      </c>
    </row>
    <row r="99" spans="1:2" x14ac:dyDescent="0.15">
      <c r="A99" s="875" t="s">
        <v>495</v>
      </c>
      <c r="B99" s="730" t="s">
        <v>2589</v>
      </c>
    </row>
    <row r="100" spans="1:2" x14ac:dyDescent="0.15">
      <c r="A100" s="875" t="s">
        <v>496</v>
      </c>
      <c r="B100" s="730" t="s">
        <v>2767</v>
      </c>
    </row>
    <row r="101" spans="1:2" x14ac:dyDescent="0.15">
      <c r="A101" s="875" t="s">
        <v>3313</v>
      </c>
      <c r="B101" s="730" t="s">
        <v>3314</v>
      </c>
    </row>
    <row r="102" spans="1:2" x14ac:dyDescent="0.15">
      <c r="A102" s="875" t="s">
        <v>3312</v>
      </c>
      <c r="B102" s="730" t="s">
        <v>2590</v>
      </c>
    </row>
    <row r="103" spans="1:2" x14ac:dyDescent="0.15">
      <c r="A103" s="875" t="s">
        <v>591</v>
      </c>
      <c r="B103" s="730" t="s">
        <v>592</v>
      </c>
    </row>
    <row r="104" spans="1:2" x14ac:dyDescent="0.15">
      <c r="A104" s="875" t="s">
        <v>555</v>
      </c>
      <c r="B104" s="730" t="s">
        <v>556</v>
      </c>
    </row>
    <row r="105" spans="1:2" x14ac:dyDescent="0.15">
      <c r="A105" s="875" t="s">
        <v>1109</v>
      </c>
      <c r="B105" s="730" t="s">
        <v>1110</v>
      </c>
    </row>
    <row r="106" spans="1:2" x14ac:dyDescent="0.15">
      <c r="A106" s="875" t="s">
        <v>2292</v>
      </c>
      <c r="B106" s="730" t="s">
        <v>1439</v>
      </c>
    </row>
    <row r="107" spans="1:2" x14ac:dyDescent="0.15">
      <c r="A107" s="875" t="s">
        <v>3468</v>
      </c>
      <c r="B107" s="730" t="s">
        <v>1754</v>
      </c>
    </row>
    <row r="108" spans="1:2" x14ac:dyDescent="0.15">
      <c r="A108" s="875" t="s">
        <v>2291</v>
      </c>
      <c r="B108" s="730" t="s">
        <v>1756</v>
      </c>
    </row>
    <row r="109" spans="1:2" x14ac:dyDescent="0.15">
      <c r="A109" s="875" t="s">
        <v>819</v>
      </c>
      <c r="B109" s="730" t="s">
        <v>820</v>
      </c>
    </row>
    <row r="110" spans="1:2" x14ac:dyDescent="0.15">
      <c r="A110" s="875" t="s">
        <v>2565</v>
      </c>
      <c r="B110" s="730" t="s">
        <v>2512</v>
      </c>
    </row>
    <row r="111" spans="1:2" x14ac:dyDescent="0.15">
      <c r="A111" s="875" t="s">
        <v>2777</v>
      </c>
      <c r="B111" s="730" t="s">
        <v>2778</v>
      </c>
    </row>
    <row r="112" spans="1:2" x14ac:dyDescent="0.15">
      <c r="A112" s="875" t="s">
        <v>3527</v>
      </c>
      <c r="B112" s="730" t="s">
        <v>3528</v>
      </c>
    </row>
    <row r="113" spans="1:2" x14ac:dyDescent="0.15">
      <c r="A113" s="875" t="s">
        <v>1291</v>
      </c>
      <c r="B113" s="730" t="s">
        <v>1292</v>
      </c>
    </row>
    <row r="114" spans="1:2" x14ac:dyDescent="0.15">
      <c r="A114" s="875" t="s">
        <v>800</v>
      </c>
      <c r="B114" s="730" t="s">
        <v>801</v>
      </c>
    </row>
    <row r="115" spans="1:2" x14ac:dyDescent="0.15">
      <c r="A115" s="875" t="s">
        <v>3580</v>
      </c>
      <c r="B115" s="730" t="s">
        <v>1140</v>
      </c>
    </row>
    <row r="116" spans="1:2" x14ac:dyDescent="0.15">
      <c r="A116" s="875" t="s">
        <v>2275</v>
      </c>
      <c r="B116" s="730" t="s">
        <v>2276</v>
      </c>
    </row>
    <row r="117" spans="1:2" x14ac:dyDescent="0.15">
      <c r="A117" s="875" t="s">
        <v>2265</v>
      </c>
      <c r="B117" s="730" t="s">
        <v>2266</v>
      </c>
    </row>
    <row r="118" spans="1:2" x14ac:dyDescent="0.15">
      <c r="A118" s="875" t="s">
        <v>10</v>
      </c>
      <c r="B118" s="730" t="s">
        <v>606</v>
      </c>
    </row>
    <row r="119" spans="1:2" x14ac:dyDescent="0.15">
      <c r="A119" s="877" t="s">
        <v>3570</v>
      </c>
      <c r="B119" s="730" t="s">
        <v>2313</v>
      </c>
    </row>
    <row r="120" spans="1:2" x14ac:dyDescent="0.15">
      <c r="A120" s="877" t="s">
        <v>3571</v>
      </c>
      <c r="B120" s="730" t="s">
        <v>2314</v>
      </c>
    </row>
    <row r="121" spans="1:2" x14ac:dyDescent="0.15">
      <c r="A121" s="875" t="s">
        <v>2258</v>
      </c>
      <c r="B121" s="730" t="s">
        <v>2259</v>
      </c>
    </row>
    <row r="122" spans="1:2" x14ac:dyDescent="0.15">
      <c r="A122" s="875" t="s">
        <v>1759</v>
      </c>
      <c r="B122" s="730" t="s">
        <v>1513</v>
      </c>
    </row>
    <row r="123" spans="1:2" x14ac:dyDescent="0.15">
      <c r="A123" s="875" t="s">
        <v>821</v>
      </c>
      <c r="B123" s="730" t="s">
        <v>822</v>
      </c>
    </row>
    <row r="124" spans="1:2" x14ac:dyDescent="0.15">
      <c r="A124" s="875" t="s">
        <v>1309</v>
      </c>
      <c r="B124" s="730" t="s">
        <v>1308</v>
      </c>
    </row>
    <row r="125" spans="1:2" x14ac:dyDescent="0.15">
      <c r="A125" s="875" t="s">
        <v>1046</v>
      </c>
      <c r="B125" s="730" t="s">
        <v>2828</v>
      </c>
    </row>
    <row r="126" spans="1:2" x14ac:dyDescent="0.15">
      <c r="A126" s="875" t="s">
        <v>432</v>
      </c>
      <c r="B126" s="730" t="s">
        <v>433</v>
      </c>
    </row>
    <row r="127" spans="1:2" x14ac:dyDescent="0.15">
      <c r="A127" s="875" t="s">
        <v>435</v>
      </c>
      <c r="B127" s="730" t="s">
        <v>436</v>
      </c>
    </row>
    <row r="128" spans="1:2" x14ac:dyDescent="0.15">
      <c r="A128" s="875" t="s">
        <v>3556</v>
      </c>
      <c r="B128" s="730" t="s">
        <v>2203</v>
      </c>
    </row>
    <row r="129" spans="1:2" x14ac:dyDescent="0.15">
      <c r="A129" s="875" t="s">
        <v>307</v>
      </c>
      <c r="B129" s="730" t="s">
        <v>308</v>
      </c>
    </row>
    <row r="130" spans="1:2" x14ac:dyDescent="0.15">
      <c r="A130" s="875" t="s">
        <v>441</v>
      </c>
      <c r="B130" s="730" t="s">
        <v>839</v>
      </c>
    </row>
    <row r="131" spans="1:2" x14ac:dyDescent="0.15">
      <c r="A131" s="875" t="s">
        <v>437</v>
      </c>
      <c r="B131" s="730" t="s">
        <v>2454</v>
      </c>
    </row>
    <row r="132" spans="1:2" x14ac:dyDescent="0.15">
      <c r="A132" s="875" t="s">
        <v>439</v>
      </c>
      <c r="B132" s="730" t="s">
        <v>1094</v>
      </c>
    </row>
    <row r="133" spans="1:2" x14ac:dyDescent="0.15">
      <c r="A133" s="875" t="s">
        <v>438</v>
      </c>
      <c r="B133" s="730" t="s">
        <v>2455</v>
      </c>
    </row>
    <row r="134" spans="1:2" x14ac:dyDescent="0.15">
      <c r="A134" s="875" t="s">
        <v>1917</v>
      </c>
      <c r="B134" s="730" t="s">
        <v>2809</v>
      </c>
    </row>
    <row r="135" spans="1:2" x14ac:dyDescent="0.15">
      <c r="A135" s="877" t="s">
        <v>3568</v>
      </c>
      <c r="B135" s="730" t="s">
        <v>3569</v>
      </c>
    </row>
    <row r="136" spans="1:2" x14ac:dyDescent="0.15">
      <c r="A136" s="875" t="s">
        <v>3561</v>
      </c>
      <c r="B136" s="730" t="s">
        <v>2525</v>
      </c>
    </row>
    <row r="137" spans="1:2" x14ac:dyDescent="0.15">
      <c r="A137" s="875" t="s">
        <v>545</v>
      </c>
      <c r="B137" s="730" t="s">
        <v>546</v>
      </c>
    </row>
    <row r="138" spans="1:2" x14ac:dyDescent="0.15">
      <c r="A138" s="875" t="s">
        <v>933</v>
      </c>
      <c r="B138" s="730" t="s">
        <v>932</v>
      </c>
    </row>
    <row r="139" spans="1:2" x14ac:dyDescent="0.15">
      <c r="A139" s="875" t="s">
        <v>3184</v>
      </c>
      <c r="B139" s="730" t="s">
        <v>3185</v>
      </c>
    </row>
    <row r="140" spans="1:2" x14ac:dyDescent="0.15">
      <c r="A140" s="875" t="s">
        <v>1274</v>
      </c>
      <c r="B140" s="730" t="s">
        <v>1275</v>
      </c>
    </row>
    <row r="141" spans="1:2" x14ac:dyDescent="0.15">
      <c r="A141" s="875" t="s">
        <v>1894</v>
      </c>
      <c r="B141" s="730" t="s">
        <v>1895</v>
      </c>
    </row>
    <row r="142" spans="1:2" x14ac:dyDescent="0.15">
      <c r="A142" s="875" t="s">
        <v>1832</v>
      </c>
      <c r="B142" s="730" t="s">
        <v>1833</v>
      </c>
    </row>
    <row r="143" spans="1:2" x14ac:dyDescent="0.15">
      <c r="A143" s="875" t="s">
        <v>1898</v>
      </c>
      <c r="B143" s="730" t="s">
        <v>1899</v>
      </c>
    </row>
    <row r="144" spans="1:2" x14ac:dyDescent="0.15">
      <c r="A144" s="875" t="s">
        <v>553</v>
      </c>
      <c r="B144" s="730" t="s">
        <v>554</v>
      </c>
    </row>
    <row r="145" spans="1:2" x14ac:dyDescent="0.15">
      <c r="A145" s="875" t="s">
        <v>549</v>
      </c>
      <c r="B145" s="730" t="s">
        <v>550</v>
      </c>
    </row>
    <row r="146" spans="1:2" x14ac:dyDescent="0.15">
      <c r="A146" s="875" t="s">
        <v>551</v>
      </c>
      <c r="B146" s="730" t="s">
        <v>552</v>
      </c>
    </row>
    <row r="147" spans="1:2" x14ac:dyDescent="0.15">
      <c r="A147" s="875" t="s">
        <v>174</v>
      </c>
      <c r="B147" s="730" t="s">
        <v>175</v>
      </c>
    </row>
    <row r="148" spans="1:2" x14ac:dyDescent="0.15">
      <c r="A148" s="875" t="s">
        <v>1011</v>
      </c>
      <c r="B148" s="730" t="s">
        <v>1012</v>
      </c>
    </row>
    <row r="149" spans="1:2" x14ac:dyDescent="0.15">
      <c r="A149" s="875" t="s">
        <v>1007</v>
      </c>
      <c r="B149" s="730" t="s">
        <v>1008</v>
      </c>
    </row>
    <row r="150" spans="1:2" x14ac:dyDescent="0.15">
      <c r="A150" s="875" t="s">
        <v>1009</v>
      </c>
      <c r="B150" s="730" t="s">
        <v>1010</v>
      </c>
    </row>
    <row r="151" spans="1:2" x14ac:dyDescent="0.15">
      <c r="A151" s="875" t="s">
        <v>171</v>
      </c>
      <c r="B151" s="730" t="s">
        <v>172</v>
      </c>
    </row>
    <row r="152" spans="1:2" x14ac:dyDescent="0.15">
      <c r="A152" s="875" t="s">
        <v>3187</v>
      </c>
      <c r="B152" s="730" t="s">
        <v>3188</v>
      </c>
    </row>
    <row r="153" spans="1:2" x14ac:dyDescent="0.15">
      <c r="A153" s="875" t="s">
        <v>3190</v>
      </c>
      <c r="B153" s="730" t="s">
        <v>3191</v>
      </c>
    </row>
    <row r="154" spans="1:2" x14ac:dyDescent="0.15">
      <c r="A154" s="875" t="s">
        <v>3116</v>
      </c>
      <c r="B154" s="730" t="s">
        <v>3117</v>
      </c>
    </row>
    <row r="155" spans="1:2" x14ac:dyDescent="0.15">
      <c r="A155" s="875" t="s">
        <v>3440</v>
      </c>
      <c r="B155" s="730" t="s">
        <v>883</v>
      </c>
    </row>
    <row r="156" spans="1:2" x14ac:dyDescent="0.15">
      <c r="A156" s="875" t="s">
        <v>2561</v>
      </c>
      <c r="B156" s="730" t="s">
        <v>2562</v>
      </c>
    </row>
    <row r="157" spans="1:2" x14ac:dyDescent="0.15">
      <c r="A157" s="875" t="s">
        <v>2594</v>
      </c>
      <c r="B157" s="730" t="s">
        <v>2595</v>
      </c>
    </row>
    <row r="158" spans="1:2" x14ac:dyDescent="0.15">
      <c r="A158" s="875" t="s">
        <v>2596</v>
      </c>
      <c r="B158" s="730" t="s">
        <v>2597</v>
      </c>
    </row>
    <row r="159" spans="1:2" x14ac:dyDescent="0.15">
      <c r="A159" s="875" t="s">
        <v>3129</v>
      </c>
      <c r="B159" s="730" t="s">
        <v>3130</v>
      </c>
    </row>
    <row r="160" spans="1:2" x14ac:dyDescent="0.15">
      <c r="A160" s="875" t="s">
        <v>1003</v>
      </c>
      <c r="B160" s="730" t="s">
        <v>1004</v>
      </c>
    </row>
    <row r="161" spans="1:2" x14ac:dyDescent="0.15">
      <c r="A161" s="875" t="s">
        <v>547</v>
      </c>
      <c r="B161" s="730" t="s">
        <v>548</v>
      </c>
    </row>
    <row r="162" spans="1:2" x14ac:dyDescent="0.15">
      <c r="A162" s="875" t="s">
        <v>1013</v>
      </c>
      <c r="B162" s="730" t="s">
        <v>1014</v>
      </c>
    </row>
    <row r="163" spans="1:2" x14ac:dyDescent="0.15">
      <c r="A163" s="875" t="s">
        <v>1005</v>
      </c>
      <c r="B163" s="730" t="s">
        <v>1006</v>
      </c>
    </row>
    <row r="164" spans="1:2" x14ac:dyDescent="0.15">
      <c r="A164" s="875" t="s">
        <v>3482</v>
      </c>
      <c r="B164" s="730" t="s">
        <v>3483</v>
      </c>
    </row>
    <row r="165" spans="1:2" x14ac:dyDescent="0.15">
      <c r="A165" s="875" t="s">
        <v>3018</v>
      </c>
      <c r="B165" s="730" t="s">
        <v>3019</v>
      </c>
    </row>
    <row r="166" spans="1:2" x14ac:dyDescent="0.15">
      <c r="A166" s="875" t="s">
        <v>2606</v>
      </c>
      <c r="B166" s="730" t="s">
        <v>2607</v>
      </c>
    </row>
    <row r="167" spans="1:2" x14ac:dyDescent="0.15">
      <c r="A167" s="875" t="s">
        <v>1018</v>
      </c>
      <c r="B167" s="730" t="s">
        <v>1019</v>
      </c>
    </row>
    <row r="168" spans="1:2" x14ac:dyDescent="0.15">
      <c r="A168" s="875" t="s">
        <v>1298</v>
      </c>
      <c r="B168" s="730" t="s">
        <v>1299</v>
      </c>
    </row>
    <row r="169" spans="1:2" x14ac:dyDescent="0.15">
      <c r="A169" s="875" t="s">
        <v>968</v>
      </c>
      <c r="B169" s="730" t="s">
        <v>969</v>
      </c>
    </row>
    <row r="170" spans="1:2" x14ac:dyDescent="0.15">
      <c r="A170" s="875" t="s">
        <v>1757</v>
      </c>
      <c r="B170" s="730" t="s">
        <v>145</v>
      </c>
    </row>
    <row r="171" spans="1:2" x14ac:dyDescent="0.15">
      <c r="A171" s="875" t="s">
        <v>3584</v>
      </c>
      <c r="B171" s="730" t="s">
        <v>2790</v>
      </c>
    </row>
    <row r="172" spans="1:2" x14ac:dyDescent="0.15">
      <c r="A172" s="875" t="s">
        <v>1294</v>
      </c>
      <c r="B172" s="730" t="s">
        <v>1295</v>
      </c>
    </row>
    <row r="173" spans="1:2" x14ac:dyDescent="0.15">
      <c r="A173" s="875" t="s">
        <v>118</v>
      </c>
      <c r="B173" s="730" t="s">
        <v>119</v>
      </c>
    </row>
    <row r="174" spans="1:2" x14ac:dyDescent="0.15">
      <c r="A174" s="875" t="s">
        <v>113</v>
      </c>
      <c r="B174" s="730" t="s">
        <v>114</v>
      </c>
    </row>
    <row r="175" spans="1:2" x14ac:dyDescent="0.15">
      <c r="A175" s="875" t="s">
        <v>116</v>
      </c>
      <c r="B175" s="730" t="s">
        <v>117</v>
      </c>
    </row>
    <row r="176" spans="1:2" x14ac:dyDescent="0.15">
      <c r="A176" s="875" t="s">
        <v>2717</v>
      </c>
      <c r="B176" s="730" t="s">
        <v>2718</v>
      </c>
    </row>
    <row r="177" spans="1:2" x14ac:dyDescent="0.15">
      <c r="A177" s="875" t="s">
        <v>1058</v>
      </c>
      <c r="B177" s="730" t="s">
        <v>1067</v>
      </c>
    </row>
    <row r="178" spans="1:2" x14ac:dyDescent="0.15">
      <c r="A178" s="875" t="s">
        <v>2671</v>
      </c>
      <c r="B178" s="730" t="s">
        <v>1066</v>
      </c>
    </row>
    <row r="179" spans="1:2" x14ac:dyDescent="0.15">
      <c r="A179" s="875" t="s">
        <v>3579</v>
      </c>
      <c r="B179" s="730" t="s">
        <v>317</v>
      </c>
    </row>
    <row r="180" spans="1:2" x14ac:dyDescent="0.15">
      <c r="A180" s="875" t="s">
        <v>3576</v>
      </c>
      <c r="B180" s="730" t="s">
        <v>129</v>
      </c>
    </row>
    <row r="181" spans="1:2" x14ac:dyDescent="0.15">
      <c r="A181" s="875" t="s">
        <v>3577</v>
      </c>
      <c r="B181" s="730" t="s">
        <v>132</v>
      </c>
    </row>
    <row r="182" spans="1:2" x14ac:dyDescent="0.15">
      <c r="A182" s="875" t="s">
        <v>3578</v>
      </c>
      <c r="B182" s="730" t="s">
        <v>313</v>
      </c>
    </row>
    <row r="183" spans="1:2" x14ac:dyDescent="0.15">
      <c r="A183" s="875" t="s">
        <v>3512</v>
      </c>
      <c r="B183" s="730" t="s">
        <v>2204</v>
      </c>
    </row>
    <row r="184" spans="1:2" x14ac:dyDescent="0.15">
      <c r="A184" s="875" t="s">
        <v>2518</v>
      </c>
      <c r="B184" s="730" t="s">
        <v>2519</v>
      </c>
    </row>
    <row r="185" spans="1:2" x14ac:dyDescent="0.15">
      <c r="A185" s="875" t="s">
        <v>2910</v>
      </c>
      <c r="B185" s="730" t="s">
        <v>2911</v>
      </c>
    </row>
    <row r="186" spans="1:2" x14ac:dyDescent="0.15">
      <c r="A186" s="875" t="s">
        <v>2912</v>
      </c>
      <c r="B186" s="730" t="s">
        <v>2913</v>
      </c>
    </row>
    <row r="187" spans="1:2" x14ac:dyDescent="0.15">
      <c r="A187" s="875" t="s">
        <v>80</v>
      </c>
      <c r="B187" s="730" t="s">
        <v>81</v>
      </c>
    </row>
    <row r="188" spans="1:2" x14ac:dyDescent="0.15">
      <c r="A188" s="875" t="s">
        <v>3138</v>
      </c>
      <c r="B188" s="730" t="s">
        <v>3139</v>
      </c>
    </row>
    <row r="189" spans="1:2" x14ac:dyDescent="0.15">
      <c r="A189" s="875" t="s">
        <v>286</v>
      </c>
      <c r="B189" s="730" t="s">
        <v>287</v>
      </c>
    </row>
    <row r="190" spans="1:2" x14ac:dyDescent="0.15">
      <c r="A190" s="875" t="s">
        <v>981</v>
      </c>
      <c r="B190" s="730" t="s">
        <v>982</v>
      </c>
    </row>
    <row r="191" spans="1:2" x14ac:dyDescent="0.15">
      <c r="A191" s="875" t="s">
        <v>1551</v>
      </c>
      <c r="B191" s="730" t="s">
        <v>1552</v>
      </c>
    </row>
    <row r="192" spans="1:2" x14ac:dyDescent="0.15">
      <c r="A192" s="875" t="s">
        <v>2471</v>
      </c>
      <c r="B192" s="730" t="s">
        <v>2477</v>
      </c>
    </row>
    <row r="193" spans="1:2" x14ac:dyDescent="0.15">
      <c r="A193" s="875" t="s">
        <v>2472</v>
      </c>
      <c r="B193" s="730" t="s">
        <v>2473</v>
      </c>
    </row>
    <row r="194" spans="1:2" x14ac:dyDescent="0.15">
      <c r="A194" s="875" t="s">
        <v>620</v>
      </c>
      <c r="B194" s="730" t="s">
        <v>1926</v>
      </c>
    </row>
    <row r="195" spans="1:2" x14ac:dyDescent="0.15">
      <c r="A195" s="875" t="s">
        <v>2862</v>
      </c>
      <c r="B195" s="730" t="s">
        <v>222</v>
      </c>
    </row>
    <row r="196" spans="1:2" x14ac:dyDescent="0.15">
      <c r="A196" s="875" t="s">
        <v>224</v>
      </c>
      <c r="B196" s="730" t="s">
        <v>225</v>
      </c>
    </row>
    <row r="197" spans="1:2" x14ac:dyDescent="0.15">
      <c r="A197" s="875" t="s">
        <v>1502</v>
      </c>
      <c r="B197" s="730" t="s">
        <v>3014</v>
      </c>
    </row>
    <row r="198" spans="1:2" x14ac:dyDescent="0.15">
      <c r="A198" s="875" t="s">
        <v>1916</v>
      </c>
      <c r="B198" s="730" t="s">
        <v>2272</v>
      </c>
    </row>
    <row r="199" spans="1:2" x14ac:dyDescent="0.15">
      <c r="A199" s="875" t="s">
        <v>986</v>
      </c>
      <c r="B199" s="730" t="s">
        <v>987</v>
      </c>
    </row>
    <row r="200" spans="1:2" x14ac:dyDescent="0.15">
      <c r="A200" s="875" t="s">
        <v>983</v>
      </c>
      <c r="B200" s="730" t="s">
        <v>984</v>
      </c>
    </row>
    <row r="201" spans="1:2" x14ac:dyDescent="0.15">
      <c r="A201" s="875" t="s">
        <v>2474</v>
      </c>
      <c r="B201" s="730" t="s">
        <v>2478</v>
      </c>
    </row>
    <row r="202" spans="1:2" x14ac:dyDescent="0.15">
      <c r="A202" s="875" t="s">
        <v>2475</v>
      </c>
      <c r="B202" s="730" t="s">
        <v>2476</v>
      </c>
    </row>
    <row r="203" spans="1:2" x14ac:dyDescent="0.15">
      <c r="A203" s="875" t="s">
        <v>2875</v>
      </c>
      <c r="B203" s="730" t="s">
        <v>2876</v>
      </c>
    </row>
    <row r="204" spans="1:2" x14ac:dyDescent="0.15">
      <c r="A204" s="875" t="s">
        <v>78</v>
      </c>
      <c r="B204" s="730" t="s">
        <v>79</v>
      </c>
    </row>
    <row r="205" spans="1:2" x14ac:dyDescent="0.15">
      <c r="A205" s="875" t="s">
        <v>3120</v>
      </c>
      <c r="B205" s="730" t="s">
        <v>3121</v>
      </c>
    </row>
    <row r="206" spans="1:2" x14ac:dyDescent="0.15">
      <c r="A206" s="875" t="s">
        <v>3114</v>
      </c>
      <c r="B206" s="730" t="s">
        <v>3115</v>
      </c>
    </row>
    <row r="207" spans="1:2" x14ac:dyDescent="0.15">
      <c r="A207" s="875" t="s">
        <v>3119</v>
      </c>
      <c r="B207" s="730" t="s">
        <v>3118</v>
      </c>
    </row>
    <row r="208" spans="1:2" x14ac:dyDescent="0.15">
      <c r="A208" s="875" t="s">
        <v>2710</v>
      </c>
      <c r="B208" s="730" t="s">
        <v>2711</v>
      </c>
    </row>
    <row r="209" spans="1:2" x14ac:dyDescent="0.15">
      <c r="A209" s="875" t="s">
        <v>1277</v>
      </c>
      <c r="B209" s="730" t="s">
        <v>1278</v>
      </c>
    </row>
    <row r="210" spans="1:2" x14ac:dyDescent="0.15">
      <c r="A210" s="875" t="s">
        <v>288</v>
      </c>
      <c r="B210" s="730" t="s">
        <v>289</v>
      </c>
    </row>
    <row r="211" spans="1:2" x14ac:dyDescent="0.15">
      <c r="A211" s="875" t="s">
        <v>1506</v>
      </c>
      <c r="B211" s="730" t="s">
        <v>1504</v>
      </c>
    </row>
    <row r="212" spans="1:2" x14ac:dyDescent="0.15">
      <c r="A212" s="875" t="s">
        <v>1542</v>
      </c>
      <c r="B212" s="730" t="s">
        <v>1543</v>
      </c>
    </row>
    <row r="213" spans="1:2" x14ac:dyDescent="0.15">
      <c r="A213" s="875" t="s">
        <v>1400</v>
      </c>
      <c r="B213" s="730" t="s">
        <v>1401</v>
      </c>
    </row>
    <row r="214" spans="1:2" x14ac:dyDescent="0.15">
      <c r="A214" s="875" t="s">
        <v>1891</v>
      </c>
      <c r="B214" s="730" t="s">
        <v>1892</v>
      </c>
    </row>
    <row r="215" spans="1:2" x14ac:dyDescent="0.15">
      <c r="A215" s="875" t="s">
        <v>2779</v>
      </c>
      <c r="B215" s="730" t="s">
        <v>2780</v>
      </c>
    </row>
    <row r="216" spans="1:2" x14ac:dyDescent="0.15">
      <c r="A216" s="875" t="s">
        <v>2304</v>
      </c>
      <c r="B216" s="730" t="s">
        <v>2807</v>
      </c>
    </row>
    <row r="217" spans="1:2" x14ac:dyDescent="0.15">
      <c r="A217" s="875" t="s">
        <v>1134</v>
      </c>
      <c r="B217" s="730" t="s">
        <v>2804</v>
      </c>
    </row>
    <row r="218" spans="1:2" x14ac:dyDescent="0.15">
      <c r="A218" s="875" t="s">
        <v>828</v>
      </c>
      <c r="B218" s="730" t="s">
        <v>2805</v>
      </c>
    </row>
    <row r="219" spans="1:2" x14ac:dyDescent="0.15">
      <c r="A219" s="875" t="s">
        <v>1420</v>
      </c>
      <c r="B219" s="730" t="s">
        <v>2808</v>
      </c>
    </row>
    <row r="220" spans="1:2" x14ac:dyDescent="0.15">
      <c r="A220" s="875" t="s">
        <v>2802</v>
      </c>
      <c r="B220" s="730" t="s">
        <v>2806</v>
      </c>
    </row>
    <row r="221" spans="1:2" x14ac:dyDescent="0.15">
      <c r="A221" s="875" t="s">
        <v>1028</v>
      </c>
      <c r="B221" s="730" t="s">
        <v>1029</v>
      </c>
    </row>
    <row r="222" spans="1:2" x14ac:dyDescent="0.15">
      <c r="A222" s="875" t="s">
        <v>1787</v>
      </c>
      <c r="B222" s="730" t="s">
        <v>271</v>
      </c>
    </row>
    <row r="223" spans="1:2" x14ac:dyDescent="0.15">
      <c r="A223" s="875" t="s">
        <v>2604</v>
      </c>
      <c r="B223" s="730" t="s">
        <v>2605</v>
      </c>
    </row>
    <row r="224" spans="1:2" x14ac:dyDescent="0.15">
      <c r="A224" s="875" t="s">
        <v>2602</v>
      </c>
      <c r="B224" s="730" t="s">
        <v>2603</v>
      </c>
    </row>
    <row r="225" spans="1:2" x14ac:dyDescent="0.15">
      <c r="A225" s="875" t="s">
        <v>2599</v>
      </c>
      <c r="B225" s="730" t="s">
        <v>2600</v>
      </c>
    </row>
    <row r="226" spans="1:2" x14ac:dyDescent="0.15">
      <c r="A226" s="875" t="s">
        <v>2269</v>
      </c>
      <c r="B226" s="730" t="s">
        <v>2270</v>
      </c>
    </row>
    <row r="227" spans="1:2" x14ac:dyDescent="0.15">
      <c r="A227" s="875" t="s">
        <v>2267</v>
      </c>
      <c r="B227" s="730" t="s">
        <v>2268</v>
      </c>
    </row>
    <row r="228" spans="1:2" x14ac:dyDescent="0.15">
      <c r="A228" s="875" t="s">
        <v>1107</v>
      </c>
      <c r="B228" s="730" t="s">
        <v>1108</v>
      </c>
    </row>
    <row r="229" spans="1:2" x14ac:dyDescent="0.15">
      <c r="A229" s="875" t="s">
        <v>3515</v>
      </c>
      <c r="B229" s="730" t="s">
        <v>1481</v>
      </c>
    </row>
    <row r="230" spans="1:2" x14ac:dyDescent="0.15">
      <c r="A230" s="875" t="s">
        <v>226</v>
      </c>
      <c r="B230" s="730" t="s">
        <v>1033</v>
      </c>
    </row>
    <row r="231" spans="1:2" x14ac:dyDescent="0.15">
      <c r="A231" s="875" t="s">
        <v>1752</v>
      </c>
      <c r="B231" s="730" t="s">
        <v>1753</v>
      </c>
    </row>
    <row r="232" spans="1:2" x14ac:dyDescent="0.15">
      <c r="A232" s="875" t="s">
        <v>182</v>
      </c>
      <c r="B232" s="730" t="s">
        <v>183</v>
      </c>
    </row>
    <row r="233" spans="1:2" x14ac:dyDescent="0.15">
      <c r="A233" s="875" t="s">
        <v>3585</v>
      </c>
      <c r="B233" s="730" t="s">
        <v>2791</v>
      </c>
    </row>
    <row r="234" spans="1:2" x14ac:dyDescent="0.15">
      <c r="A234" s="875" t="s">
        <v>1043</v>
      </c>
      <c r="B234" s="730" t="s">
        <v>1044</v>
      </c>
    </row>
    <row r="235" spans="1:2" x14ac:dyDescent="0.15">
      <c r="A235" s="875" t="s">
        <v>3315</v>
      </c>
      <c r="B235" s="730" t="s">
        <v>3316</v>
      </c>
    </row>
    <row r="236" spans="1:2" x14ac:dyDescent="0.15">
      <c r="A236" s="875" t="s">
        <v>423</v>
      </c>
      <c r="B236" s="730" t="s">
        <v>424</v>
      </c>
    </row>
    <row r="237" spans="1:2" x14ac:dyDescent="0.15">
      <c r="A237" s="875" t="s">
        <v>1365</v>
      </c>
      <c r="B237" s="730" t="s">
        <v>1366</v>
      </c>
    </row>
    <row r="238" spans="1:2" x14ac:dyDescent="0.15">
      <c r="A238" s="875" t="s">
        <v>675</v>
      </c>
      <c r="B238" s="730" t="s">
        <v>676</v>
      </c>
    </row>
    <row r="239" spans="1:2" x14ac:dyDescent="0.15">
      <c r="A239" s="875" t="s">
        <v>673</v>
      </c>
      <c r="B239" s="730" t="s">
        <v>674</v>
      </c>
    </row>
    <row r="240" spans="1:2" x14ac:dyDescent="0.15">
      <c r="A240" s="875" t="s">
        <v>1766</v>
      </c>
      <c r="B240" s="730" t="s">
        <v>1494</v>
      </c>
    </row>
    <row r="241" spans="1:2" x14ac:dyDescent="0.15">
      <c r="A241" s="875" t="s">
        <v>806</v>
      </c>
      <c r="B241" s="730" t="s">
        <v>1039</v>
      </c>
    </row>
    <row r="242" spans="1:2" x14ac:dyDescent="0.15">
      <c r="A242" s="875" t="s">
        <v>3469</v>
      </c>
      <c r="B242" s="730" t="s">
        <v>1751</v>
      </c>
    </row>
    <row r="243" spans="1:2" x14ac:dyDescent="0.15">
      <c r="A243" s="875" t="s">
        <v>2746</v>
      </c>
      <c r="B243" s="730" t="s">
        <v>680</v>
      </c>
    </row>
    <row r="244" spans="1:2" x14ac:dyDescent="0.15">
      <c r="A244" s="875" t="s">
        <v>1528</v>
      </c>
      <c r="B244" s="730" t="s">
        <v>1529</v>
      </c>
    </row>
    <row r="245" spans="1:2" x14ac:dyDescent="0.15">
      <c r="A245" s="875" t="s">
        <v>1523</v>
      </c>
      <c r="B245" s="730" t="s">
        <v>1524</v>
      </c>
    </row>
    <row r="246" spans="1:2" x14ac:dyDescent="0.15">
      <c r="A246" s="875" t="s">
        <v>1517</v>
      </c>
      <c r="B246" s="730" t="s">
        <v>1518</v>
      </c>
    </row>
    <row r="247" spans="1:2" x14ac:dyDescent="0.15">
      <c r="A247" s="875" t="s">
        <v>1525</v>
      </c>
      <c r="B247" s="730" t="s">
        <v>1526</v>
      </c>
    </row>
    <row r="248" spans="1:2" x14ac:dyDescent="0.15">
      <c r="A248" s="875" t="s">
        <v>1520</v>
      </c>
      <c r="B248" s="730" t="s">
        <v>1521</v>
      </c>
    </row>
    <row r="249" spans="1:2" x14ac:dyDescent="0.15">
      <c r="A249" s="875" t="s">
        <v>1515</v>
      </c>
      <c r="B249" s="730" t="s">
        <v>1516</v>
      </c>
    </row>
    <row r="250" spans="1:2" x14ac:dyDescent="0.15">
      <c r="A250" s="875" t="s">
        <v>1282</v>
      </c>
      <c r="B250" s="730" t="s">
        <v>1283</v>
      </c>
    </row>
    <row r="251" spans="1:2" x14ac:dyDescent="0.15">
      <c r="A251" s="875" t="s">
        <v>498</v>
      </c>
      <c r="B251" s="730" t="s">
        <v>497</v>
      </c>
    </row>
    <row r="252" spans="1:2" x14ac:dyDescent="0.15">
      <c r="A252" s="875" t="s">
        <v>238</v>
      </c>
      <c r="B252" s="730" t="s">
        <v>239</v>
      </c>
    </row>
    <row r="253" spans="1:2" x14ac:dyDescent="0.15">
      <c r="A253" s="875" t="s">
        <v>236</v>
      </c>
      <c r="B253" s="730" t="s">
        <v>237</v>
      </c>
    </row>
    <row r="254" spans="1:2" x14ac:dyDescent="0.15">
      <c r="A254" s="875" t="s">
        <v>1031</v>
      </c>
      <c r="B254" s="730" t="s">
        <v>1034</v>
      </c>
    </row>
    <row r="255" spans="1:2" x14ac:dyDescent="0.15">
      <c r="A255" s="875" t="s">
        <v>2721</v>
      </c>
      <c r="B255" s="730" t="s">
        <v>2722</v>
      </c>
    </row>
    <row r="256" spans="1:2" x14ac:dyDescent="0.15">
      <c r="A256" s="875" t="s">
        <v>849</v>
      </c>
      <c r="B256" s="730" t="s">
        <v>850</v>
      </c>
    </row>
    <row r="257" spans="1:2" x14ac:dyDescent="0.15">
      <c r="A257" s="875" t="s">
        <v>849</v>
      </c>
      <c r="B257" s="730" t="s">
        <v>2491</v>
      </c>
    </row>
    <row r="258" spans="1:2" x14ac:dyDescent="0.15">
      <c r="A258" s="875" t="s">
        <v>1767</v>
      </c>
      <c r="B258" s="730" t="s">
        <v>1728</v>
      </c>
    </row>
    <row r="259" spans="1:2" x14ac:dyDescent="0.15">
      <c r="A259" s="875" t="s">
        <v>797</v>
      </c>
      <c r="B259" s="730" t="s">
        <v>2564</v>
      </c>
    </row>
    <row r="260" spans="1:2" x14ac:dyDescent="0.15">
      <c r="A260" s="875" t="s">
        <v>811</v>
      </c>
      <c r="B260" s="730" t="s">
        <v>812</v>
      </c>
    </row>
    <row r="261" spans="1:2" x14ac:dyDescent="0.15">
      <c r="A261" s="875" t="s">
        <v>463</v>
      </c>
      <c r="B261" s="730" t="s">
        <v>464</v>
      </c>
    </row>
    <row r="262" spans="1:2" x14ac:dyDescent="0.15">
      <c r="A262" s="875" t="s">
        <v>383</v>
      </c>
      <c r="B262" s="730" t="s">
        <v>384</v>
      </c>
    </row>
    <row r="263" spans="1:2" x14ac:dyDescent="0.15">
      <c r="A263" s="875" t="s">
        <v>381</v>
      </c>
      <c r="B263" s="730" t="s">
        <v>382</v>
      </c>
    </row>
    <row r="264" spans="1:2" x14ac:dyDescent="0.15">
      <c r="A264" s="875" t="s">
        <v>1629</v>
      </c>
      <c r="B264" s="730" t="s">
        <v>1630</v>
      </c>
    </row>
    <row r="265" spans="1:2" x14ac:dyDescent="0.15">
      <c r="A265" s="875" t="s">
        <v>598</v>
      </c>
      <c r="B265" s="730" t="s">
        <v>599</v>
      </c>
    </row>
    <row r="266" spans="1:2" x14ac:dyDescent="0.15">
      <c r="A266" s="875" t="s">
        <v>490</v>
      </c>
      <c r="B266" s="730" t="s">
        <v>491</v>
      </c>
    </row>
    <row r="267" spans="1:2" x14ac:dyDescent="0.15">
      <c r="A267" s="875" t="s">
        <v>493</v>
      </c>
      <c r="B267" s="730" t="s">
        <v>494</v>
      </c>
    </row>
    <row r="268" spans="1:2" x14ac:dyDescent="0.15">
      <c r="A268" s="875" t="s">
        <v>1364</v>
      </c>
      <c r="B268" s="730" t="s">
        <v>492</v>
      </c>
    </row>
    <row r="269" spans="1:2" x14ac:dyDescent="0.15">
      <c r="A269" s="875" t="s">
        <v>825</v>
      </c>
      <c r="B269" s="730" t="s">
        <v>826</v>
      </c>
    </row>
    <row r="270" spans="1:2" x14ac:dyDescent="0.15">
      <c r="A270" s="875" t="s">
        <v>858</v>
      </c>
      <c r="B270" s="730" t="s">
        <v>859</v>
      </c>
    </row>
    <row r="271" spans="1:2" x14ac:dyDescent="0.15">
      <c r="A271" s="875" t="s">
        <v>934</v>
      </c>
      <c r="B271" s="730" t="s">
        <v>935</v>
      </c>
    </row>
    <row r="272" spans="1:2" x14ac:dyDescent="0.15">
      <c r="A272" s="875" t="s">
        <v>3564</v>
      </c>
      <c r="B272" s="730" t="s">
        <v>2369</v>
      </c>
    </row>
    <row r="273" spans="1:2" x14ac:dyDescent="0.15">
      <c r="A273" s="875" t="s">
        <v>3485</v>
      </c>
      <c r="B273" s="730" t="s">
        <v>3486</v>
      </c>
    </row>
    <row r="274" spans="1:2" x14ac:dyDescent="0.15">
      <c r="A274" s="875" t="s">
        <v>928</v>
      </c>
      <c r="B274" s="730" t="s">
        <v>931</v>
      </c>
    </row>
    <row r="275" spans="1:2" x14ac:dyDescent="0.15">
      <c r="A275" s="875" t="s">
        <v>622</v>
      </c>
      <c r="B275" s="730" t="s">
        <v>623</v>
      </c>
    </row>
    <row r="276" spans="1:2" x14ac:dyDescent="0.15">
      <c r="A276" s="875" t="s">
        <v>181</v>
      </c>
      <c r="B276" s="730" t="s">
        <v>930</v>
      </c>
    </row>
    <row r="277" spans="1:2" x14ac:dyDescent="0.15">
      <c r="A277" s="875" t="s">
        <v>2574</v>
      </c>
      <c r="B277" s="730" t="s">
        <v>2575</v>
      </c>
    </row>
    <row r="278" spans="1:2" x14ac:dyDescent="0.15">
      <c r="A278" s="875" t="s">
        <v>124</v>
      </c>
      <c r="B278" s="730" t="s">
        <v>125</v>
      </c>
    </row>
    <row r="279" spans="1:2" x14ac:dyDescent="0.15">
      <c r="A279" s="875" t="s">
        <v>1619</v>
      </c>
      <c r="B279" s="730" t="s">
        <v>1620</v>
      </c>
    </row>
    <row r="280" spans="1:2" x14ac:dyDescent="0.15">
      <c r="A280" s="875" t="s">
        <v>1167</v>
      </c>
      <c r="B280" s="730" t="s">
        <v>1168</v>
      </c>
    </row>
    <row r="281" spans="1:2" x14ac:dyDescent="0.15">
      <c r="A281" s="875" t="s">
        <v>1175</v>
      </c>
      <c r="B281" s="730" t="s">
        <v>1174</v>
      </c>
    </row>
    <row r="282" spans="1:2" x14ac:dyDescent="0.15">
      <c r="A282" s="875" t="s">
        <v>1135</v>
      </c>
      <c r="B282" s="730" t="s">
        <v>1136</v>
      </c>
    </row>
    <row r="283" spans="1:2" x14ac:dyDescent="0.15">
      <c r="A283" s="875" t="s">
        <v>843</v>
      </c>
      <c r="B283" s="730" t="s">
        <v>844</v>
      </c>
    </row>
    <row r="284" spans="1:2" x14ac:dyDescent="0.15">
      <c r="A284" s="875" t="s">
        <v>3222</v>
      </c>
      <c r="B284" s="730" t="s">
        <v>2863</v>
      </c>
    </row>
    <row r="285" spans="1:2" x14ac:dyDescent="0.15">
      <c r="A285" s="875" t="s">
        <v>2834</v>
      </c>
      <c r="B285" s="730" t="s">
        <v>2835</v>
      </c>
    </row>
    <row r="286" spans="1:2" x14ac:dyDescent="0.15">
      <c r="A286" s="875" t="s">
        <v>1645</v>
      </c>
      <c r="B286" s="730" t="s">
        <v>1646</v>
      </c>
    </row>
    <row r="287" spans="1:2" x14ac:dyDescent="0.15">
      <c r="A287" s="875" t="s">
        <v>190</v>
      </c>
      <c r="B287" s="730" t="s">
        <v>191</v>
      </c>
    </row>
    <row r="288" spans="1:2" x14ac:dyDescent="0.15">
      <c r="A288" s="875" t="s">
        <v>3493</v>
      </c>
      <c r="B288" s="730" t="s">
        <v>3494</v>
      </c>
    </row>
    <row r="289" spans="1:2" x14ac:dyDescent="0.15">
      <c r="A289" s="875" t="s">
        <v>1260</v>
      </c>
      <c r="B289" s="730" t="s">
        <v>1261</v>
      </c>
    </row>
    <row r="290" spans="1:2" x14ac:dyDescent="0.15">
      <c r="A290" s="875" t="s">
        <v>771</v>
      </c>
      <c r="B290" s="730" t="s">
        <v>2240</v>
      </c>
    </row>
    <row r="291" spans="1:2" x14ac:dyDescent="0.15">
      <c r="A291" s="875" t="s">
        <v>62</v>
      </c>
      <c r="B291" s="730" t="s">
        <v>66</v>
      </c>
    </row>
    <row r="292" spans="1:2" x14ac:dyDescent="0.15">
      <c r="A292" s="875" t="s">
        <v>1471</v>
      </c>
      <c r="B292" s="730" t="s">
        <v>1473</v>
      </c>
    </row>
    <row r="293" spans="1:2" x14ac:dyDescent="0.15">
      <c r="A293" s="875" t="s">
        <v>2248</v>
      </c>
      <c r="B293" s="730" t="s">
        <v>2249</v>
      </c>
    </row>
    <row r="294" spans="1:2" x14ac:dyDescent="0.15">
      <c r="A294" s="875" t="s">
        <v>668</v>
      </c>
      <c r="B294" s="730" t="s">
        <v>669</v>
      </c>
    </row>
    <row r="295" spans="1:2" x14ac:dyDescent="0.15">
      <c r="A295" s="875" t="s">
        <v>231</v>
      </c>
      <c r="B295" s="730" t="s">
        <v>232</v>
      </c>
    </row>
    <row r="296" spans="1:2" x14ac:dyDescent="0.15">
      <c r="A296" s="875" t="s">
        <v>589</v>
      </c>
      <c r="B296" s="730" t="s">
        <v>590</v>
      </c>
    </row>
    <row r="297" spans="1:2" x14ac:dyDescent="0.15">
      <c r="A297" s="875" t="s">
        <v>1429</v>
      </c>
      <c r="B297" s="730" t="s">
        <v>1430</v>
      </c>
    </row>
    <row r="298" spans="1:2" x14ac:dyDescent="0.15">
      <c r="A298" s="875" t="s">
        <v>956</v>
      </c>
      <c r="B298" s="730" t="s">
        <v>957</v>
      </c>
    </row>
    <row r="299" spans="1:2" x14ac:dyDescent="0.15">
      <c r="A299" s="875" t="s">
        <v>802</v>
      </c>
      <c r="B299" s="730" t="s">
        <v>803</v>
      </c>
    </row>
    <row r="300" spans="1:2" x14ac:dyDescent="0.15">
      <c r="A300" s="875" t="s">
        <v>1788</v>
      </c>
      <c r="B300" s="730" t="s">
        <v>1789</v>
      </c>
    </row>
    <row r="301" spans="1:2" x14ac:dyDescent="0.15">
      <c r="A301" s="875" t="s">
        <v>419</v>
      </c>
      <c r="B301" s="730" t="s">
        <v>420</v>
      </c>
    </row>
    <row r="302" spans="1:2" x14ac:dyDescent="0.15">
      <c r="A302" s="875" t="s">
        <v>1485</v>
      </c>
      <c r="B302" s="730" t="s">
        <v>1486</v>
      </c>
    </row>
    <row r="303" spans="1:2" x14ac:dyDescent="0.15">
      <c r="A303" s="875" t="s">
        <v>2782</v>
      </c>
      <c r="B303" s="730" t="s">
        <v>2783</v>
      </c>
    </row>
    <row r="304" spans="1:2" x14ac:dyDescent="0.15">
      <c r="A304" s="875" t="s">
        <v>1915</v>
      </c>
      <c r="B304" s="730" t="s">
        <v>2271</v>
      </c>
    </row>
    <row r="305" spans="1:2" x14ac:dyDescent="0.15">
      <c r="A305" s="875" t="s">
        <v>1171</v>
      </c>
      <c r="B305" s="730" t="s">
        <v>2198</v>
      </c>
    </row>
    <row r="306" spans="1:2" x14ac:dyDescent="0.15">
      <c r="A306" s="875" t="s">
        <v>82</v>
      </c>
      <c r="B306" s="730" t="s">
        <v>83</v>
      </c>
    </row>
    <row r="307" spans="1:2" x14ac:dyDescent="0.15">
      <c r="A307" s="875" t="s">
        <v>86</v>
      </c>
      <c r="B307" s="730" t="s">
        <v>87</v>
      </c>
    </row>
    <row r="308" spans="1:2" x14ac:dyDescent="0.15">
      <c r="A308" s="875" t="s">
        <v>84</v>
      </c>
      <c r="B308" s="730" t="s">
        <v>85</v>
      </c>
    </row>
    <row r="309" spans="1:2" x14ac:dyDescent="0.15">
      <c r="A309" s="875" t="s">
        <v>164</v>
      </c>
      <c r="B309" s="730" t="s">
        <v>165</v>
      </c>
    </row>
    <row r="310" spans="1:2" x14ac:dyDescent="0.15">
      <c r="A310" s="875" t="s">
        <v>1718</v>
      </c>
      <c r="B310" s="730" t="s">
        <v>1719</v>
      </c>
    </row>
    <row r="311" spans="1:2" x14ac:dyDescent="0.15">
      <c r="A311" s="875" t="s">
        <v>798</v>
      </c>
      <c r="B311" s="730" t="s">
        <v>799</v>
      </c>
    </row>
    <row r="312" spans="1:2" x14ac:dyDescent="0.15">
      <c r="A312" s="875" t="s">
        <v>3583</v>
      </c>
      <c r="B312" s="730" t="s">
        <v>1143</v>
      </c>
    </row>
    <row r="313" spans="1:2" x14ac:dyDescent="0.15">
      <c r="A313" s="875" t="s">
        <v>1714</v>
      </c>
      <c r="B313" s="730" t="s">
        <v>1715</v>
      </c>
    </row>
    <row r="314" spans="1:2" x14ac:dyDescent="0.15">
      <c r="A314" s="875" t="s">
        <v>235</v>
      </c>
      <c r="B314" s="730" t="s">
        <v>1711</v>
      </c>
    </row>
    <row r="315" spans="1:2" x14ac:dyDescent="0.15">
      <c r="A315" s="875" t="s">
        <v>1712</v>
      </c>
      <c r="B315" s="730" t="s">
        <v>1713</v>
      </c>
    </row>
    <row r="316" spans="1:2" x14ac:dyDescent="0.15">
      <c r="A316" s="875" t="s">
        <v>1507</v>
      </c>
      <c r="B316" s="730" t="s">
        <v>1505</v>
      </c>
    </row>
    <row r="317" spans="1:2" x14ac:dyDescent="0.15">
      <c r="A317" s="875" t="s">
        <v>2676</v>
      </c>
      <c r="B317" s="730" t="s">
        <v>2677</v>
      </c>
    </row>
    <row r="318" spans="1:2" x14ac:dyDescent="0.15">
      <c r="A318" s="875" t="s">
        <v>193</v>
      </c>
      <c r="B318" s="730" t="s">
        <v>194</v>
      </c>
    </row>
    <row r="319" spans="1:2" x14ac:dyDescent="0.15">
      <c r="A319" s="875" t="s">
        <v>2513</v>
      </c>
      <c r="B319" s="730" t="s">
        <v>4</v>
      </c>
    </row>
    <row r="320" spans="1:2" x14ac:dyDescent="0.15">
      <c r="A320" s="875" t="s">
        <v>3496</v>
      </c>
      <c r="B320" s="730" t="s">
        <v>3017</v>
      </c>
    </row>
    <row r="321" spans="1:2" x14ac:dyDescent="0.15">
      <c r="A321" s="875" t="s">
        <v>924</v>
      </c>
      <c r="B321" s="730" t="s">
        <v>3015</v>
      </c>
    </row>
    <row r="322" spans="1:2" x14ac:dyDescent="0.15">
      <c r="A322" s="875" t="s">
        <v>2748</v>
      </c>
      <c r="B322" s="730" t="s">
        <v>927</v>
      </c>
    </row>
    <row r="323" spans="1:2" x14ac:dyDescent="0.15">
      <c r="A323" s="875" t="s">
        <v>1626</v>
      </c>
      <c r="B323" s="730" t="s">
        <v>1627</v>
      </c>
    </row>
    <row r="324" spans="1:2" x14ac:dyDescent="0.15">
      <c r="A324" s="875" t="s">
        <v>9</v>
      </c>
      <c r="B324" s="730" t="s">
        <v>612</v>
      </c>
    </row>
    <row r="325" spans="1:2" x14ac:dyDescent="0.15">
      <c r="A325" s="875" t="s">
        <v>823</v>
      </c>
      <c r="B325" s="730" t="s">
        <v>824</v>
      </c>
    </row>
    <row r="326" spans="1:2" x14ac:dyDescent="0.15">
      <c r="A326" s="875" t="s">
        <v>2299</v>
      </c>
      <c r="B326" s="730" t="s">
        <v>2300</v>
      </c>
    </row>
    <row r="327" spans="1:2" x14ac:dyDescent="0.15">
      <c r="A327" s="875" t="s">
        <v>3582</v>
      </c>
      <c r="B327" s="730" t="s">
        <v>1142</v>
      </c>
    </row>
    <row r="328" spans="1:2" x14ac:dyDescent="0.15">
      <c r="A328" s="875" t="s">
        <v>487</v>
      </c>
      <c r="B328" s="730" t="s">
        <v>488</v>
      </c>
    </row>
    <row r="329" spans="1:2" x14ac:dyDescent="0.15">
      <c r="A329" s="875" t="s">
        <v>1096</v>
      </c>
      <c r="B329" s="730" t="s">
        <v>1097</v>
      </c>
    </row>
    <row r="330" spans="1:2" x14ac:dyDescent="0.15">
      <c r="A330" s="875" t="s">
        <v>2756</v>
      </c>
      <c r="B330" s="730" t="s">
        <v>1729</v>
      </c>
    </row>
    <row r="331" spans="1:2" x14ac:dyDescent="0.15">
      <c r="A331" s="877" t="s">
        <v>3566</v>
      </c>
      <c r="B331" s="730" t="s">
        <v>3567</v>
      </c>
    </row>
    <row r="332" spans="1:2" x14ac:dyDescent="0.15">
      <c r="A332" s="875" t="s">
        <v>2226</v>
      </c>
      <c r="B332" s="730" t="s">
        <v>2227</v>
      </c>
    </row>
    <row r="333" spans="1:2" x14ac:dyDescent="0.15">
      <c r="A333" s="875" t="s">
        <v>2666</v>
      </c>
      <c r="B333" s="730" t="s">
        <v>2667</v>
      </c>
    </row>
    <row r="334" spans="1:2" x14ac:dyDescent="0.15">
      <c r="A334" s="875" t="s">
        <v>1934</v>
      </c>
      <c r="B334" s="730" t="s">
        <v>1935</v>
      </c>
    </row>
    <row r="335" spans="1:2" x14ac:dyDescent="0.15">
      <c r="A335" s="875" t="s">
        <v>2669</v>
      </c>
      <c r="B335" s="730" t="s">
        <v>2670</v>
      </c>
    </row>
    <row r="336" spans="1:2" x14ac:dyDescent="0.15">
      <c r="A336" s="875" t="s">
        <v>3559</v>
      </c>
      <c r="B336" s="730" t="s">
        <v>741</v>
      </c>
    </row>
    <row r="337" spans="1:2" x14ac:dyDescent="0.15">
      <c r="A337" s="875" t="s">
        <v>160</v>
      </c>
      <c r="B337" s="730" t="s">
        <v>595</v>
      </c>
    </row>
    <row r="338" spans="1:2" x14ac:dyDescent="0.15">
      <c r="A338" s="875" t="s">
        <v>3558</v>
      </c>
      <c r="B338" s="730" t="s">
        <v>740</v>
      </c>
    </row>
    <row r="339" spans="1:2" x14ac:dyDescent="0.15">
      <c r="A339" s="875" t="s">
        <v>2566</v>
      </c>
      <c r="B339" s="730" t="s">
        <v>742</v>
      </c>
    </row>
    <row r="340" spans="1:2" x14ac:dyDescent="0.15">
      <c r="A340" s="875" t="s">
        <v>3131</v>
      </c>
      <c r="B340" s="730" t="s">
        <v>3132</v>
      </c>
    </row>
    <row r="341" spans="1:2" x14ac:dyDescent="0.15">
      <c r="A341" s="875" t="s">
        <v>3133</v>
      </c>
      <c r="B341" s="730" t="s">
        <v>3134</v>
      </c>
    </row>
    <row r="342" spans="1:2" x14ac:dyDescent="0.15">
      <c r="A342" s="875" t="s">
        <v>1785</v>
      </c>
      <c r="B342" s="730" t="s">
        <v>1786</v>
      </c>
    </row>
    <row r="343" spans="1:2" x14ac:dyDescent="0.15">
      <c r="A343" s="875" t="s">
        <v>1797</v>
      </c>
      <c r="B343" s="730" t="s">
        <v>1798</v>
      </c>
    </row>
    <row r="344" spans="1:2" x14ac:dyDescent="0.15">
      <c r="A344" s="875" t="s">
        <v>3514</v>
      </c>
      <c r="B344" s="730" t="s">
        <v>3518</v>
      </c>
    </row>
  </sheetData>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54" zoomScaleNormal="100" zoomScaleSheetLayoutView="75" workbookViewId="0">
      <selection activeCell="G28" sqref="G28"/>
    </sheetView>
  </sheetViews>
  <sheetFormatPr baseColWidth="10" defaultColWidth="9.1640625" defaultRowHeight="13" x14ac:dyDescent="0.15"/>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x14ac:dyDescent="0.15">
      <c r="A1" s="656" t="s">
        <v>3259</v>
      </c>
      <c r="B1" s="21"/>
      <c r="D1" s="116"/>
      <c r="E1" s="116"/>
      <c r="F1" s="116"/>
      <c r="G1" s="116"/>
      <c r="H1" s="116"/>
      <c r="I1" s="116"/>
      <c r="J1" s="116"/>
      <c r="K1" s="116"/>
      <c r="L1" s="116"/>
      <c r="M1" s="116"/>
      <c r="N1" s="116"/>
      <c r="O1" s="116"/>
      <c r="P1" s="116"/>
    </row>
    <row r="2" spans="1:16" ht="16" x14ac:dyDescent="0.2">
      <c r="C2" s="313"/>
      <c r="D2" s="116"/>
      <c r="E2" s="116"/>
      <c r="F2" s="116"/>
      <c r="G2" s="116"/>
      <c r="H2" s="116"/>
      <c r="I2" s="116"/>
      <c r="J2" s="116"/>
      <c r="K2" s="116"/>
      <c r="L2" s="116"/>
      <c r="M2" s="116"/>
      <c r="N2" s="116"/>
      <c r="O2" s="116"/>
      <c r="P2" s="116"/>
    </row>
    <row r="3" spans="1:16" ht="16" x14ac:dyDescent="0.2">
      <c r="C3" s="313"/>
      <c r="D3" s="118" t="s">
        <v>1113</v>
      </c>
      <c r="E3" s="116"/>
      <c r="F3" s="116"/>
      <c r="G3" s="116"/>
      <c r="H3" s="116"/>
      <c r="I3" s="116"/>
      <c r="J3" s="116"/>
      <c r="K3" s="116"/>
      <c r="L3" s="116"/>
      <c r="M3" s="116"/>
      <c r="N3" s="116"/>
      <c r="O3" s="116"/>
      <c r="P3" s="116"/>
    </row>
    <row r="4" spans="1:16" ht="16" x14ac:dyDescent="0.2">
      <c r="C4" s="313"/>
      <c r="D4" s="775" t="s">
        <v>3210</v>
      </c>
      <c r="E4" s="116"/>
      <c r="F4" s="116"/>
      <c r="G4" s="737" t="str">
        <f>IF(contam_type&lt;&gt;7,"","For other contaminants, the buttons shown in Step 2 will enter flows only, and clear all other inputs. Advanced users can change this behavior by entering inputs on the Standard Inputs sheet")</f>
        <v/>
      </c>
      <c r="H4" s="116"/>
      <c r="I4" s="116"/>
      <c r="J4" s="116"/>
      <c r="K4" s="116"/>
      <c r="L4" s="116"/>
      <c r="M4" s="116"/>
      <c r="N4" s="116"/>
      <c r="O4" s="116"/>
      <c r="P4" s="116"/>
    </row>
    <row r="5" spans="1:16" ht="16" x14ac:dyDescent="0.2">
      <c r="C5" s="313"/>
      <c r="D5" s="119"/>
      <c r="E5" s="116"/>
      <c r="F5" s="116"/>
      <c r="G5" s="116"/>
      <c r="H5" s="116"/>
      <c r="I5" s="116"/>
      <c r="J5" s="116"/>
      <c r="K5" s="116"/>
      <c r="L5" s="116"/>
      <c r="M5" s="116"/>
      <c r="N5" s="116"/>
      <c r="O5" s="116"/>
      <c r="P5" s="116"/>
    </row>
    <row r="6" spans="1:16" ht="25.5" customHeight="1" x14ac:dyDescent="0.2">
      <c r="C6" s="313"/>
      <c r="D6" s="120" t="s">
        <v>1114</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3124</v>
      </c>
      <c r="I6" s="116"/>
      <c r="J6" s="116"/>
      <c r="K6" s="116"/>
      <c r="L6" s="116"/>
      <c r="M6" s="116"/>
      <c r="N6" s="116"/>
      <c r="O6" s="116"/>
      <c r="P6" s="116"/>
    </row>
    <row r="7" spans="1:16" ht="25.5" customHeight="1" x14ac:dyDescent="0.2">
      <c r="C7" s="313"/>
      <c r="D7" s="735" t="s">
        <v>3123</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x14ac:dyDescent="0.2">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x14ac:dyDescent="0.2">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x14ac:dyDescent="0.2">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x14ac:dyDescent="0.2">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x14ac:dyDescent="0.2">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x14ac:dyDescent="0.2">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x14ac:dyDescent="0.2">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x14ac:dyDescent="0.2">
      <c r="C15" s="313"/>
      <c r="D15" s="123" t="s">
        <v>1115</v>
      </c>
      <c r="E15" s="116"/>
      <c r="F15" s="116"/>
      <c r="G15" s="116"/>
      <c r="H15" s="116"/>
      <c r="I15" s="116"/>
      <c r="J15" s="116"/>
      <c r="K15" s="116"/>
      <c r="L15" s="116"/>
      <c r="M15" s="116"/>
      <c r="N15" s="116"/>
      <c r="O15" s="116"/>
      <c r="P15" s="116"/>
    </row>
    <row r="16" spans="1:16" ht="16" x14ac:dyDescent="0.2">
      <c r="C16" s="313"/>
      <c r="D16" s="124" t="s">
        <v>1116</v>
      </c>
      <c r="E16" s="116"/>
      <c r="F16" s="964" t="str">
        <f>IF(input_complete,IF('Standard Inputs'!AG67,"Input Complete -- Results Ready","Input Complete -- Press 'Generate Results'"),"Input Incomplete -- Check for Error Messages Below")</f>
        <v>Input Complete -- Results Ready</v>
      </c>
      <c r="G16" s="965"/>
      <c r="H16" s="968" t="str">
        <f>IF(AND(C52,C54,C53,C55,C57),"","Fill in all gold cells below. If errors persist, consider using AutoSize button.")</f>
        <v/>
      </c>
      <c r="I16" s="116"/>
      <c r="J16" s="116"/>
      <c r="K16" s="116"/>
      <c r="L16" s="116"/>
      <c r="M16" s="116"/>
      <c r="N16" s="116"/>
      <c r="O16" s="116"/>
      <c r="P16" s="116"/>
    </row>
    <row r="17" spans="1:24" ht="28" x14ac:dyDescent="0.15">
      <c r="C17" s="526" t="b">
        <f>AND(C32,C38,C52,C53,C54,C55,C57,C65,C83)</f>
        <v>1</v>
      </c>
      <c r="D17" s="325" t="s">
        <v>2709</v>
      </c>
      <c r="E17" s="116"/>
      <c r="F17" s="966"/>
      <c r="G17" s="967"/>
      <c r="H17" s="969"/>
      <c r="I17" s="116"/>
      <c r="J17" s="116"/>
      <c r="K17" s="116"/>
      <c r="L17" s="116"/>
      <c r="M17" s="116"/>
      <c r="N17" s="116"/>
      <c r="O17" s="116"/>
      <c r="P17" s="116"/>
    </row>
    <row r="18" spans="1:24" ht="16" x14ac:dyDescent="0.2">
      <c r="C18" s="313"/>
      <c r="E18" s="116"/>
      <c r="F18" s="116"/>
      <c r="G18" s="116"/>
      <c r="H18" s="322"/>
      <c r="I18" s="116"/>
      <c r="J18" s="116"/>
      <c r="K18" s="116"/>
      <c r="L18" s="116"/>
      <c r="M18" s="116"/>
      <c r="N18" s="116"/>
      <c r="O18" s="116"/>
      <c r="P18" s="116"/>
    </row>
    <row r="19" spans="1:24" ht="16" x14ac:dyDescent="0.2">
      <c r="C19" s="313"/>
      <c r="D19" s="123" t="s">
        <v>2619</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x14ac:dyDescent="0.15">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$817,120</v>
      </c>
      <c r="I20" s="541"/>
      <c r="J20" s="541"/>
      <c r="K20" s="541"/>
      <c r="L20" s="541"/>
      <c r="M20" s="541"/>
      <c r="N20" s="541"/>
      <c r="O20" s="541"/>
      <c r="P20" s="541"/>
      <c r="Q20" s="541"/>
      <c r="R20" s="541"/>
      <c r="S20" s="541"/>
      <c r="T20" s="541"/>
      <c r="U20" s="541"/>
      <c r="V20" s="541"/>
      <c r="W20" s="541"/>
      <c r="X20" s="541"/>
    </row>
    <row r="21" spans="1:24" s="779" customFormat="1" x14ac:dyDescent="0.15">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$1,388,629</v>
      </c>
      <c r="I21" s="541"/>
      <c r="J21" s="541"/>
      <c r="K21" s="541"/>
      <c r="L21" s="541"/>
      <c r="M21" s="541"/>
      <c r="N21" s="541"/>
      <c r="O21" s="541"/>
      <c r="P21" s="541"/>
      <c r="Q21" s="541"/>
      <c r="R21" s="541"/>
      <c r="S21" s="541"/>
      <c r="T21" s="541"/>
      <c r="U21" s="541"/>
      <c r="V21" s="541"/>
      <c r="W21" s="541"/>
      <c r="X21" s="541"/>
    </row>
    <row r="22" spans="1:24" s="779" customFormat="1" x14ac:dyDescent="0.15">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$114,412 per year (over 28 years at 7%)</v>
      </c>
      <c r="I22" s="541"/>
      <c r="J22" s="541"/>
      <c r="K22" s="541"/>
      <c r="L22" s="541"/>
      <c r="M22" s="541"/>
      <c r="N22" s="541"/>
      <c r="O22" s="541"/>
      <c r="P22" s="541"/>
      <c r="Q22" s="541"/>
      <c r="R22" s="541"/>
      <c r="S22" s="541"/>
      <c r="T22" s="541"/>
      <c r="U22" s="541"/>
      <c r="V22" s="541"/>
      <c r="W22" s="541"/>
      <c r="X22" s="541"/>
    </row>
    <row r="23" spans="1:24" s="779" customFormat="1" x14ac:dyDescent="0.15">
      <c r="A23" s="541"/>
      <c r="B23" s="526"/>
      <c r="C23" s="1"/>
      <c r="D23" s="653"/>
      <c r="E23" s="541"/>
      <c r="F23" s="541"/>
      <c r="G23" s="541"/>
      <c r="H23" s="652" t="str">
        <f>"Annual O&amp;M Cost: "&amp;IF(input_status&lt;&gt;"Input Complete -- Results Ready",input_status,IF(ISERROR(OM_cost),"Calculation error!",TEXT(OM_cost,"$0,0")&amp;" per year"))</f>
        <v>Annual O&amp;M Cost: $739,593 per year</v>
      </c>
      <c r="I23" s="541"/>
      <c r="J23" s="541"/>
      <c r="K23" s="541"/>
      <c r="L23" s="541"/>
      <c r="M23" s="541"/>
      <c r="N23" s="541"/>
      <c r="O23" s="541"/>
      <c r="P23" s="541"/>
      <c r="Q23" s="541"/>
      <c r="R23" s="541"/>
      <c r="S23" s="541"/>
      <c r="T23" s="541"/>
      <c r="U23" s="541"/>
      <c r="V23" s="541"/>
      <c r="W23" s="541"/>
      <c r="X23" s="541"/>
    </row>
    <row r="24" spans="1:24" ht="13.5" customHeight="1" x14ac:dyDescent="0.2">
      <c r="C24" s="313"/>
      <c r="D24" s="130" t="s">
        <v>2620</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$854,005 per year (13% capital, 87% O&amp;M)</v>
      </c>
      <c r="I24" s="116"/>
      <c r="J24" s="116"/>
      <c r="K24" s="116"/>
      <c r="L24" s="116"/>
      <c r="M24" s="116"/>
      <c r="N24" s="116"/>
      <c r="O24" s="116"/>
      <c r="P24" s="116"/>
    </row>
    <row r="25" spans="1:24" ht="13.5" customHeight="1" x14ac:dyDescent="0.2">
      <c r="C25" s="313"/>
      <c r="D25" s="131" t="s">
        <v>1499</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x14ac:dyDescent="0.15">
      <c r="D26" s="136"/>
      <c r="E26" s="116"/>
      <c r="F26" s="116"/>
      <c r="G26" s="129" t="s">
        <v>1500</v>
      </c>
      <c r="H26" s="137"/>
      <c r="I26" s="137"/>
      <c r="J26" s="137"/>
      <c r="K26" s="138"/>
      <c r="L26" s="116"/>
      <c r="M26" s="116"/>
      <c r="N26" s="116"/>
      <c r="O26" s="116"/>
      <c r="P26" s="116"/>
    </row>
    <row r="27" spans="1:24" x14ac:dyDescent="0.15">
      <c r="D27" s="134" t="s">
        <v>53</v>
      </c>
      <c r="E27" s="132" t="s">
        <v>52</v>
      </c>
      <c r="F27" s="326">
        <v>2.1520000000000001</v>
      </c>
      <c r="G27" s="327" t="s">
        <v>51</v>
      </c>
      <c r="H27" s="137"/>
      <c r="I27" s="139"/>
      <c r="J27" s="140"/>
      <c r="K27" s="116"/>
      <c r="L27" s="116"/>
      <c r="M27" s="116"/>
      <c r="N27" s="116"/>
      <c r="O27" s="116"/>
      <c r="P27" s="116"/>
    </row>
    <row r="28" spans="1:24" x14ac:dyDescent="0.15">
      <c r="D28" s="135" t="s">
        <v>55</v>
      </c>
      <c r="E28" s="3" t="s">
        <v>56</v>
      </c>
      <c r="F28" s="328">
        <v>2.1520000000000001</v>
      </c>
      <c r="G28" s="329" t="s">
        <v>51</v>
      </c>
      <c r="H28" s="116"/>
      <c r="I28" s="137"/>
      <c r="J28" s="116"/>
      <c r="K28" s="116"/>
      <c r="L28" s="116"/>
      <c r="M28" s="116"/>
      <c r="N28" s="116"/>
      <c r="O28" s="116"/>
      <c r="P28" s="116"/>
    </row>
    <row r="29" spans="1:24" x14ac:dyDescent="0.15">
      <c r="D29" s="358" t="s">
        <v>1923</v>
      </c>
      <c r="E29" s="359"/>
      <c r="F29" s="360"/>
      <c r="G29" s="361"/>
      <c r="H29" s="211"/>
      <c r="I29" s="137"/>
      <c r="J29" s="116"/>
      <c r="K29" s="116"/>
      <c r="L29" s="116"/>
      <c r="M29" s="116"/>
      <c r="N29" s="116"/>
      <c r="O29" s="116"/>
      <c r="P29" s="116"/>
    </row>
    <row r="30" spans="1:24" x14ac:dyDescent="0.15">
      <c r="D30" s="362" t="s">
        <v>1924</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x14ac:dyDescent="0.15">
      <c r="D31" s="362" t="s">
        <v>1925</v>
      </c>
      <c r="E31" s="131"/>
      <c r="F31" s="363">
        <f>IF(ISERROR(design_flow),"",IF(df_units="gpm",bp_flow_rate, bp_flow_rate*60*24/10^6))</f>
        <v>0</v>
      </c>
      <c r="G31" s="364" t="str">
        <f>df_units</f>
        <v>MGD</v>
      </c>
      <c r="H31" s="382" t="s">
        <v>2610</v>
      </c>
      <c r="I31" s="137"/>
      <c r="J31" s="116"/>
      <c r="K31" s="116"/>
      <c r="L31" s="116"/>
      <c r="M31" s="116"/>
      <c r="N31" s="116"/>
      <c r="O31" s="116"/>
      <c r="P31" s="116"/>
    </row>
    <row r="32" spans="1:24" x14ac:dyDescent="0.15">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x14ac:dyDescent="0.15">
      <c r="D33" s="116"/>
      <c r="E33" s="131"/>
      <c r="F33" s="147"/>
      <c r="G33" s="148"/>
      <c r="H33" s="116"/>
      <c r="I33" s="116"/>
      <c r="J33" s="116"/>
      <c r="K33" s="116"/>
      <c r="L33" s="116"/>
      <c r="M33" s="116"/>
      <c r="N33" s="116"/>
      <c r="O33" s="116"/>
      <c r="P33" s="116"/>
    </row>
    <row r="34" spans="2:16" ht="32.25" customHeight="1" x14ac:dyDescent="0.15">
      <c r="D34" s="149" t="s">
        <v>1502</v>
      </c>
      <c r="E34" s="132" t="s">
        <v>3014</v>
      </c>
      <c r="F34" s="150" t="s">
        <v>1503</v>
      </c>
      <c r="G34" s="151" t="s">
        <v>1501</v>
      </c>
      <c r="H34" s="780" t="s">
        <v>3218</v>
      </c>
      <c r="I34" s="116"/>
      <c r="J34" s="116"/>
      <c r="K34" s="116"/>
      <c r="L34" s="116"/>
      <c r="M34" s="116"/>
      <c r="N34" s="116"/>
      <c r="O34" s="116"/>
      <c r="P34" s="116"/>
    </row>
    <row r="35" spans="2:16" ht="34.5" customHeight="1" x14ac:dyDescent="0.15">
      <c r="D35" s="332" t="s">
        <v>3423</v>
      </c>
      <c r="E35" s="3" t="s">
        <v>2678</v>
      </c>
      <c r="F35" s="152">
        <v>86800</v>
      </c>
      <c r="G35" s="848" t="s">
        <v>2679</v>
      </c>
      <c r="H35" s="157" t="s">
        <v>3422</v>
      </c>
      <c r="I35" s="116"/>
      <c r="J35" s="116"/>
      <c r="K35" s="116"/>
      <c r="L35" s="116"/>
      <c r="M35" s="116"/>
      <c r="N35" s="116"/>
      <c r="O35" s="116"/>
      <c r="P35" s="116"/>
    </row>
    <row r="36" spans="2:16" x14ac:dyDescent="0.15">
      <c r="D36" s="358" t="s">
        <v>1923</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x14ac:dyDescent="0.15">
      <c r="D37" s="362" t="s">
        <v>3423</v>
      </c>
      <c r="E37" s="131"/>
      <c r="F37" s="862" t="str">
        <f>IF(BV_units="bed volumes",IF(ISERROR(regen_months),"",TEXT(regen_months,"#,##0.0")),IF(ISERROR(BV_regen_calculated),"",TEXT(BV_regen_calculated,"#,###")))</f>
        <v>3.2</v>
      </c>
      <c r="G37" s="790" t="s">
        <v>3235</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x14ac:dyDescent="0.15">
      <c r="C38" t="b">
        <f>IF(G38="Bed Life Input OK",TRUE)</f>
        <v>1</v>
      </c>
      <c r="D38" s="330"/>
      <c r="E38" s="141"/>
      <c r="F38" s="331"/>
      <c r="G38" s="791" t="str">
        <f>IF(OR(throwaway_I="",BV_regen=0,BV_units=""),"Input incomplete","Bed Life Input OK")</f>
        <v>Bed Life Input OK</v>
      </c>
      <c r="H38" s="840" t="s">
        <v>3311</v>
      </c>
      <c r="I38" s="116"/>
      <c r="J38" s="116"/>
      <c r="K38" s="116"/>
      <c r="L38" s="116"/>
      <c r="M38" s="116"/>
      <c r="N38" s="116"/>
      <c r="O38" s="116"/>
      <c r="P38" s="116"/>
    </row>
    <row r="39" spans="2:16" ht="6" customHeight="1" x14ac:dyDescent="0.15">
      <c r="D39" s="116"/>
      <c r="E39" s="131"/>
      <c r="F39" s="144"/>
      <c r="G39" s="145"/>
      <c r="H39" s="116"/>
      <c r="I39" s="116"/>
      <c r="J39" s="116"/>
      <c r="K39" s="116"/>
      <c r="L39" s="116"/>
      <c r="M39" s="116"/>
      <c r="N39" s="116"/>
      <c r="O39" s="116"/>
      <c r="P39" s="116"/>
    </row>
    <row r="40" spans="2:16" ht="52.5" customHeight="1" x14ac:dyDescent="0.15">
      <c r="D40" s="149" t="s">
        <v>1506</v>
      </c>
      <c r="E40" s="132" t="s">
        <v>1504</v>
      </c>
      <c r="F40" s="168">
        <v>2</v>
      </c>
      <c r="G40" s="169" t="s">
        <v>1509</v>
      </c>
      <c r="H40" s="116"/>
      <c r="I40" s="116"/>
      <c r="J40" s="116"/>
      <c r="K40" s="116"/>
      <c r="L40" s="116"/>
      <c r="M40" s="116"/>
      <c r="N40" s="116"/>
      <c r="O40" s="116"/>
      <c r="P40" s="116"/>
    </row>
    <row r="41" spans="2:16" ht="39.75" customHeight="1" x14ac:dyDescent="0.15">
      <c r="D41" s="154" t="s">
        <v>1507</v>
      </c>
      <c r="E41" s="153" t="s">
        <v>1505</v>
      </c>
      <c r="F41" s="152">
        <v>3</v>
      </c>
      <c r="G41" s="156" t="s">
        <v>60</v>
      </c>
      <c r="H41" s="116"/>
      <c r="I41" s="116"/>
      <c r="J41" s="116"/>
      <c r="K41" s="116"/>
      <c r="L41" s="116"/>
      <c r="M41" s="116"/>
      <c r="N41" s="116"/>
      <c r="O41" s="116"/>
      <c r="P41" s="116"/>
    </row>
    <row r="42" spans="2:16" ht="13.5" customHeight="1" x14ac:dyDescent="0.15">
      <c r="B42" s="526"/>
      <c r="C42" s="526" t="s">
        <v>3414</v>
      </c>
      <c r="D42" s="155" t="s">
        <v>1508</v>
      </c>
      <c r="E42" s="131"/>
      <c r="F42" s="158">
        <f>IF(ISERROR(EBCT_tank),"",EBCT_tank)</f>
        <v>1.5</v>
      </c>
      <c r="G42" s="159" t="s">
        <v>60</v>
      </c>
      <c r="H42" s="116"/>
      <c r="I42" s="116"/>
      <c r="J42" s="116"/>
      <c r="K42" s="116"/>
      <c r="L42" s="116"/>
      <c r="M42" s="116"/>
      <c r="N42" s="116"/>
      <c r="O42" s="116"/>
      <c r="P42" s="116"/>
    </row>
    <row r="43" spans="2:16" ht="13.5" customHeight="1" x14ac:dyDescent="0.15">
      <c r="D43" s="160" t="s">
        <v>594</v>
      </c>
      <c r="E43" s="131"/>
      <c r="F43" s="144"/>
      <c r="G43" s="175"/>
      <c r="H43" s="116"/>
      <c r="I43" s="116"/>
      <c r="J43" s="116"/>
      <c r="K43" s="116"/>
      <c r="L43" s="116"/>
      <c r="M43" s="116"/>
      <c r="N43" s="116"/>
      <c r="O43" s="116"/>
      <c r="P43" s="116"/>
    </row>
    <row r="44" spans="2:16" ht="15.75" customHeight="1" x14ac:dyDescent="0.15">
      <c r="D44" s="176" t="s">
        <v>59</v>
      </c>
      <c r="E44" s="3" t="s">
        <v>65</v>
      </c>
      <c r="F44" s="333">
        <v>2.4</v>
      </c>
      <c r="G44" s="334" t="s">
        <v>61</v>
      </c>
      <c r="H44" s="116"/>
      <c r="I44" s="116"/>
      <c r="J44" s="116"/>
      <c r="K44" s="116"/>
      <c r="L44" s="116"/>
      <c r="M44" s="116"/>
      <c r="N44" s="116"/>
      <c r="O44" s="116"/>
      <c r="P44" s="116"/>
    </row>
    <row r="45" spans="2:16" ht="15.75" customHeight="1" x14ac:dyDescent="0.15">
      <c r="D45" s="161" t="s">
        <v>160</v>
      </c>
      <c r="E45" s="3" t="s">
        <v>595</v>
      </c>
      <c r="F45" s="164" t="s">
        <v>3538</v>
      </c>
      <c r="G45" s="172" t="s">
        <v>1501</v>
      </c>
      <c r="H45" s="116"/>
      <c r="I45" s="116"/>
      <c r="J45" s="116"/>
      <c r="K45" s="116"/>
      <c r="L45" s="116"/>
      <c r="M45" s="116"/>
      <c r="N45" s="116"/>
      <c r="O45" s="116"/>
      <c r="P45" s="116"/>
    </row>
    <row r="46" spans="2:16" ht="12" customHeight="1" x14ac:dyDescent="0.15">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x14ac:dyDescent="0.15">
      <c r="D47" s="163" t="s">
        <v>1354</v>
      </c>
      <c r="E47" s="3" t="s">
        <v>741</v>
      </c>
      <c r="F47" s="335">
        <v>13</v>
      </c>
      <c r="G47" s="156" t="str">
        <f>IF(tank_geom&lt;&gt;"","feet","")</f>
        <v>feet</v>
      </c>
      <c r="H47" s="116"/>
      <c r="I47" s="116"/>
      <c r="J47" s="116"/>
      <c r="K47" s="116"/>
      <c r="L47" s="116"/>
      <c r="M47" s="116"/>
      <c r="N47" s="116"/>
      <c r="O47" s="116"/>
      <c r="P47" s="116"/>
    </row>
    <row r="48" spans="2:16" ht="13.5" customHeight="1" x14ac:dyDescent="0.15">
      <c r="D48" s="155" t="s">
        <v>596</v>
      </c>
      <c r="E48" s="131"/>
      <c r="F48" s="146"/>
      <c r="G48" s="159"/>
      <c r="H48" s="116"/>
      <c r="I48" s="116"/>
      <c r="J48" s="116"/>
      <c r="K48" s="116"/>
      <c r="L48" s="116"/>
      <c r="M48" s="116"/>
      <c r="N48" s="116"/>
      <c r="O48" s="116"/>
      <c r="P48" s="116"/>
    </row>
    <row r="49" spans="3:16" ht="13.5" customHeight="1" x14ac:dyDescent="0.15">
      <c r="D49" s="165" t="s">
        <v>653</v>
      </c>
      <c r="E49" s="131"/>
      <c r="F49" s="158">
        <f>IF(ISERROR(num_treat_lines),"",num_treat_lines)</f>
        <v>1</v>
      </c>
      <c r="G49" s="159" t="s">
        <v>656</v>
      </c>
      <c r="H49" s="116"/>
      <c r="I49" s="116"/>
      <c r="J49" s="116"/>
      <c r="K49" s="116"/>
      <c r="L49" s="116"/>
      <c r="M49" s="116"/>
      <c r="N49" s="116"/>
      <c r="O49" s="116"/>
      <c r="P49" s="116"/>
    </row>
    <row r="50" spans="3:16" ht="13.5" customHeight="1" x14ac:dyDescent="0.15">
      <c r="D50" s="165" t="s">
        <v>654</v>
      </c>
      <c r="E50" s="131"/>
      <c r="F50" s="158">
        <f>IF(ISERROR(op_num_tanks),"",op_num_tanks)</f>
        <v>2</v>
      </c>
      <c r="G50" s="159" t="s">
        <v>657</v>
      </c>
      <c r="H50" s="116"/>
      <c r="I50" s="116"/>
      <c r="J50" s="116"/>
      <c r="K50" s="116"/>
      <c r="L50" s="116"/>
      <c r="M50" s="116"/>
      <c r="N50" s="116"/>
      <c r="O50" s="116"/>
      <c r="P50" s="116"/>
    </row>
    <row r="51" spans="3:16" ht="13.5" customHeight="1" x14ac:dyDescent="0.15">
      <c r="D51" s="166" t="s">
        <v>655</v>
      </c>
      <c r="E51" s="131"/>
      <c r="F51" s="158">
        <f>IF(ISERROR(final_num_tanks),"",final_num_tanks)</f>
        <v>3</v>
      </c>
      <c r="G51" s="159" t="s">
        <v>657</v>
      </c>
      <c r="H51" s="116"/>
      <c r="I51" s="116"/>
      <c r="J51" s="116"/>
      <c r="K51" s="116"/>
      <c r="L51" s="116"/>
      <c r="M51" s="116"/>
      <c r="N51" s="116"/>
      <c r="O51" s="116"/>
      <c r="P51" s="116"/>
    </row>
    <row r="52" spans="3:16" ht="13.5" customHeight="1" x14ac:dyDescent="0.15">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2611</v>
      </c>
      <c r="I52" s="116"/>
      <c r="J52" s="116"/>
      <c r="K52" s="116"/>
      <c r="L52" s="116"/>
      <c r="M52" s="116"/>
      <c r="N52" s="116"/>
      <c r="O52" s="116"/>
      <c r="P52" s="116"/>
    </row>
    <row r="53" spans="3:16" ht="13.5" customHeight="1" x14ac:dyDescent="0.15">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2612</v>
      </c>
      <c r="I53" s="116"/>
      <c r="J53" s="116"/>
      <c r="K53" s="116"/>
      <c r="L53" s="116"/>
      <c r="M53" s="116"/>
      <c r="N53" s="116"/>
      <c r="O53" s="116"/>
      <c r="P53" s="116"/>
    </row>
    <row r="54" spans="3:16" x14ac:dyDescent="0.15">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x14ac:dyDescent="0.15">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x14ac:dyDescent="0.15">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x14ac:dyDescent="0.15">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2613</v>
      </c>
      <c r="I57" s="116"/>
      <c r="J57" s="116"/>
      <c r="K57" s="116"/>
      <c r="L57" s="116"/>
      <c r="M57" s="116"/>
      <c r="N57" s="116"/>
      <c r="O57" s="116"/>
      <c r="P57" s="116"/>
    </row>
    <row r="58" spans="3:16" x14ac:dyDescent="0.15">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x14ac:dyDescent="0.15">
      <c r="D59" s="116"/>
      <c r="E59" s="116"/>
      <c r="F59" s="116"/>
      <c r="G59" s="148"/>
      <c r="H59" s="116"/>
      <c r="I59" s="116"/>
      <c r="J59" s="116"/>
      <c r="K59" s="116"/>
      <c r="L59" s="116"/>
      <c r="M59" s="116"/>
      <c r="N59" s="116"/>
      <c r="O59" s="116"/>
      <c r="P59" s="116"/>
    </row>
    <row r="60" spans="3:16" ht="27" customHeight="1" x14ac:dyDescent="0.15">
      <c r="D60" s="149" t="s">
        <v>660</v>
      </c>
      <c r="E60" s="339" t="s">
        <v>2201</v>
      </c>
      <c r="F60" s="177" t="s">
        <v>4385</v>
      </c>
      <c r="G60" s="151" t="str">
        <f>IF(regen_type=2,"not required","&lt;-- pick one")</f>
        <v>not required</v>
      </c>
      <c r="H60" s="116"/>
      <c r="I60" s="116"/>
      <c r="J60" s="116"/>
      <c r="K60" s="116"/>
      <c r="L60" s="116"/>
      <c r="M60" s="116"/>
      <c r="N60" s="116"/>
      <c r="O60" s="116"/>
      <c r="P60" s="116"/>
    </row>
    <row r="61" spans="3:16" ht="27" customHeight="1" x14ac:dyDescent="0.15">
      <c r="D61" s="338" t="str">
        <f>"Discharge option for "&amp;IF(regen_type=2,"spent backwash/rinse","spent regenerant")</f>
        <v>Discharge option for spent backwash/rinse</v>
      </c>
      <c r="E61" s="340" t="s">
        <v>2202</v>
      </c>
      <c r="F61" s="179" t="s">
        <v>1545</v>
      </c>
      <c r="G61" s="180" t="s">
        <v>1501</v>
      </c>
      <c r="H61" s="737" t="s">
        <v>3219</v>
      </c>
      <c r="I61" s="116"/>
      <c r="J61" s="116"/>
      <c r="K61" s="116"/>
      <c r="L61" s="116"/>
      <c r="M61" s="116"/>
      <c r="N61" s="116"/>
      <c r="O61" s="116"/>
      <c r="P61" s="116"/>
    </row>
    <row r="62" spans="3:16" ht="27" customHeight="1" x14ac:dyDescent="0.15">
      <c r="D62" s="338" t="str">
        <f>"Holding tank for "&amp;IF(regen_type=2,"spent backwash/rinse","spent regenerant")</f>
        <v>Holding tank for spent backwash/rinse</v>
      </c>
      <c r="E62" s="340" t="s">
        <v>2203</v>
      </c>
      <c r="F62" s="179">
        <v>0</v>
      </c>
      <c r="G62" s="180" t="str">
        <f>IF(res_s2_opt=3,"not required",IF(res_s2_opt=4,"required","&lt;--pick one"))</f>
        <v>required</v>
      </c>
      <c r="H62" s="383" t="s">
        <v>3220</v>
      </c>
      <c r="I62" s="116"/>
      <c r="J62" s="116"/>
      <c r="K62" s="116"/>
      <c r="L62" s="116"/>
      <c r="M62" s="116"/>
      <c r="N62" s="116"/>
      <c r="O62" s="116"/>
      <c r="P62" s="116"/>
    </row>
    <row r="63" spans="3:16" ht="27" customHeight="1" x14ac:dyDescent="0.15">
      <c r="D63" s="338" t="s">
        <v>3512</v>
      </c>
      <c r="E63" s="340" t="s">
        <v>2204</v>
      </c>
      <c r="F63" s="178" t="s">
        <v>3531</v>
      </c>
      <c r="G63" s="180" t="s">
        <v>1501</v>
      </c>
      <c r="H63" s="116"/>
      <c r="I63" s="116"/>
      <c r="J63" s="116"/>
      <c r="K63" s="116"/>
      <c r="L63" s="116"/>
      <c r="M63" s="116"/>
      <c r="N63" s="116"/>
      <c r="O63" s="116"/>
      <c r="P63" s="116"/>
    </row>
    <row r="64" spans="3:16" ht="27" customHeight="1" x14ac:dyDescent="0.15">
      <c r="D64" s="332" t="str">
        <f>IF(res_s2_opt=3,"Characteristics of evaporation pond solids","Characteristics of holding tank solids")</f>
        <v>Characteristics of holding tank solids</v>
      </c>
      <c r="E64" s="340" t="s">
        <v>2205</v>
      </c>
      <c r="F64" s="179" t="s">
        <v>4384</v>
      </c>
      <c r="G64" s="180" t="str">
        <f>IF(OR(res_s1_opt=2,res_s2_opt=2),"not required","&lt;-- pick one")</f>
        <v>&lt;-- pick one</v>
      </c>
      <c r="H64" s="116"/>
      <c r="I64" s="116"/>
      <c r="J64" s="116"/>
      <c r="K64" s="116"/>
      <c r="L64" s="116"/>
      <c r="M64" s="116"/>
      <c r="N64" s="116"/>
      <c r="O64" s="116"/>
      <c r="P64" s="116"/>
    </row>
    <row r="65" spans="3:16" ht="20.25" customHeight="1" x14ac:dyDescent="0.15">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x14ac:dyDescent="0.15">
      <c r="D66" s="116"/>
      <c r="E66" s="116"/>
      <c r="F66" s="116"/>
      <c r="G66" s="148"/>
      <c r="H66" s="116"/>
      <c r="I66" s="116"/>
      <c r="J66" s="116"/>
      <c r="K66" s="116"/>
      <c r="L66" s="116"/>
      <c r="M66" s="116"/>
      <c r="N66" s="116"/>
      <c r="O66" s="116"/>
      <c r="P66" s="116"/>
    </row>
    <row r="67" spans="3:16" ht="27" customHeight="1" x14ac:dyDescent="0.15">
      <c r="D67" s="181" t="s">
        <v>226</v>
      </c>
      <c r="E67" s="132" t="s">
        <v>1033</v>
      </c>
      <c r="F67" s="185"/>
      <c r="G67" s="196" t="s">
        <v>68</v>
      </c>
      <c r="H67" s="970" t="s">
        <v>560</v>
      </c>
      <c r="I67" s="971"/>
      <c r="J67" s="971"/>
      <c r="K67" s="971"/>
      <c r="L67" s="971"/>
      <c r="M67" s="971"/>
      <c r="N67" s="116"/>
      <c r="O67" s="116"/>
      <c r="P67" s="116"/>
    </row>
    <row r="68" spans="3:16" ht="16.5" customHeight="1" x14ac:dyDescent="0.15">
      <c r="D68" s="182" t="s">
        <v>2206</v>
      </c>
      <c r="E68" s="184"/>
      <c r="F68" s="184">
        <f>IF(ISERROR(booster_pumps),"",booster_pumps)</f>
        <v>1</v>
      </c>
      <c r="G68" s="197" t="s">
        <v>68</v>
      </c>
      <c r="H68" s="116"/>
      <c r="I68" s="116"/>
      <c r="J68" s="116"/>
      <c r="K68" s="116"/>
      <c r="L68" s="116"/>
      <c r="M68" s="116"/>
      <c r="N68" s="116"/>
      <c r="O68" s="116"/>
      <c r="P68" s="116"/>
    </row>
    <row r="69" spans="3:16" ht="14" x14ac:dyDescent="0.15">
      <c r="D69" s="154" t="s">
        <v>1031</v>
      </c>
      <c r="E69" s="3" t="s">
        <v>1034</v>
      </c>
      <c r="F69" s="337"/>
      <c r="G69" s="156" t="s">
        <v>64</v>
      </c>
      <c r="H69" s="336" t="s">
        <v>255</v>
      </c>
      <c r="I69" s="116"/>
      <c r="J69" s="116"/>
      <c r="K69" s="116"/>
      <c r="L69" s="116"/>
      <c r="M69" s="116"/>
      <c r="N69" s="116"/>
      <c r="O69" s="116"/>
      <c r="P69" s="116"/>
    </row>
    <row r="70" spans="3:16" ht="18.75" customHeight="1" x14ac:dyDescent="0.15">
      <c r="D70" s="182" t="s">
        <v>1032</v>
      </c>
      <c r="F70" s="184">
        <f>IF(ISERROR(NRD),"",NRD)</f>
        <v>1</v>
      </c>
      <c r="G70" s="170"/>
      <c r="H70" s="116"/>
      <c r="I70" s="116"/>
      <c r="J70" s="116"/>
      <c r="K70" s="116"/>
      <c r="L70" s="116"/>
      <c r="M70" s="116"/>
      <c r="N70" s="116"/>
      <c r="O70" s="116"/>
      <c r="P70" s="116"/>
    </row>
    <row r="71" spans="3:16" ht="20.25" customHeight="1" x14ac:dyDescent="0.15">
      <c r="D71" s="183" t="s">
        <v>924</v>
      </c>
      <c r="E71" s="3" t="s">
        <v>3015</v>
      </c>
      <c r="F71" s="198"/>
      <c r="G71" s="156" t="s">
        <v>1038</v>
      </c>
      <c r="H71" s="201" t="s">
        <v>2762</v>
      </c>
      <c r="I71" s="116"/>
      <c r="J71" s="116"/>
      <c r="K71" s="116"/>
      <c r="L71" s="116"/>
      <c r="M71" s="116"/>
      <c r="N71" s="116"/>
      <c r="O71" s="116"/>
      <c r="P71" s="116"/>
    </row>
    <row r="72" spans="3:16" ht="19.5" customHeight="1" x14ac:dyDescent="0.15">
      <c r="D72" s="183" t="s">
        <v>2130</v>
      </c>
      <c r="E72" s="522" t="s">
        <v>1035</v>
      </c>
      <c r="F72" s="198" t="s">
        <v>2893</v>
      </c>
      <c r="G72" s="156" t="s">
        <v>1038</v>
      </c>
      <c r="H72" s="201" t="s">
        <v>1608</v>
      </c>
      <c r="I72" s="116"/>
      <c r="J72" s="116"/>
      <c r="K72" s="116"/>
      <c r="L72" s="116"/>
      <c r="M72" s="116"/>
      <c r="N72" s="116"/>
      <c r="O72" s="116"/>
      <c r="P72" s="116"/>
    </row>
    <row r="73" spans="3:16" ht="19.5" customHeight="1" x14ac:dyDescent="0.15">
      <c r="D73" s="183" t="s">
        <v>2131</v>
      </c>
      <c r="E73" s="522" t="s">
        <v>1883</v>
      </c>
      <c r="F73" s="198" t="s">
        <v>2898</v>
      </c>
      <c r="G73" s="156" t="s">
        <v>1038</v>
      </c>
      <c r="H73" s="201" t="s">
        <v>542</v>
      </c>
      <c r="I73" s="116"/>
      <c r="J73" s="116"/>
      <c r="K73" s="116"/>
      <c r="L73" s="116"/>
      <c r="M73" s="116"/>
      <c r="N73" s="116"/>
      <c r="O73" s="116"/>
      <c r="P73" s="116"/>
    </row>
    <row r="74" spans="3:16" x14ac:dyDescent="0.15">
      <c r="D74" s="558" t="s">
        <v>543</v>
      </c>
      <c r="E74" s="340"/>
      <c r="F74" s="554">
        <f>IF(ISERROR(backwash_pumps),"",backwash_pumps)</f>
        <v>2</v>
      </c>
      <c r="G74" s="556" t="s">
        <v>64</v>
      </c>
      <c r="H74" s="157"/>
      <c r="I74" s="116"/>
      <c r="J74" s="116"/>
      <c r="K74" s="116"/>
      <c r="L74" s="116"/>
      <c r="M74" s="116"/>
      <c r="N74" s="116"/>
      <c r="O74" s="116"/>
      <c r="P74" s="116"/>
    </row>
    <row r="75" spans="3:16" ht="19.5" customHeight="1" x14ac:dyDescent="0.15">
      <c r="D75" s="559" t="s">
        <v>544</v>
      </c>
      <c r="E75" s="340"/>
      <c r="F75" s="555">
        <f>IF(ISERROR(back_tanks),"",back_tanks)</f>
        <v>1</v>
      </c>
      <c r="G75" s="557" t="s">
        <v>64</v>
      </c>
      <c r="H75" s="157"/>
      <c r="I75" s="116"/>
      <c r="J75" s="116"/>
      <c r="K75" s="116"/>
      <c r="L75" s="116"/>
      <c r="M75" s="116"/>
      <c r="N75" s="116"/>
      <c r="O75" s="116"/>
      <c r="P75" s="116"/>
    </row>
    <row r="76" spans="3:16" x14ac:dyDescent="0.15">
      <c r="D76" s="135" t="s">
        <v>158</v>
      </c>
      <c r="E76" s="3" t="s">
        <v>1036</v>
      </c>
      <c r="F76" s="199"/>
      <c r="G76" s="156" t="s">
        <v>1038</v>
      </c>
      <c r="H76" s="200" t="s">
        <v>1185</v>
      </c>
      <c r="I76" s="116"/>
      <c r="J76" s="116"/>
      <c r="K76" s="116"/>
      <c r="L76" s="116"/>
      <c r="M76" s="116"/>
      <c r="N76" s="116"/>
      <c r="O76" s="116"/>
      <c r="P76" s="116"/>
    </row>
    <row r="77" spans="3:16" x14ac:dyDescent="0.15">
      <c r="D77" s="202" t="s">
        <v>1171</v>
      </c>
      <c r="E77" s="3" t="s">
        <v>2198</v>
      </c>
      <c r="F77" s="203"/>
      <c r="G77" s="156" t="s">
        <v>1038</v>
      </c>
      <c r="H77" s="201" t="s">
        <v>1186</v>
      </c>
      <c r="I77" s="116"/>
      <c r="J77" s="116"/>
      <c r="K77" s="116"/>
      <c r="L77" s="116"/>
      <c r="M77" s="116"/>
      <c r="N77" s="116"/>
      <c r="O77" s="116"/>
      <c r="P77" s="116"/>
    </row>
    <row r="78" spans="3:16" x14ac:dyDescent="0.15">
      <c r="D78" s="759" t="s">
        <v>3184</v>
      </c>
      <c r="E78" s="760" t="s">
        <v>3185</v>
      </c>
      <c r="F78" s="761" t="s">
        <v>2904</v>
      </c>
      <c r="G78" s="762" t="s">
        <v>1038</v>
      </c>
      <c r="H78" s="200" t="s">
        <v>3186</v>
      </c>
      <c r="I78" s="116"/>
      <c r="J78" s="116"/>
      <c r="K78" s="116"/>
      <c r="L78" s="116"/>
      <c r="M78" s="116"/>
      <c r="N78" s="116"/>
      <c r="O78" s="116"/>
      <c r="P78" s="116"/>
    </row>
    <row r="79" spans="3:16" x14ac:dyDescent="0.15">
      <c r="D79" s="763" t="s">
        <v>3187</v>
      </c>
      <c r="E79" s="764" t="s">
        <v>3188</v>
      </c>
      <c r="F79" s="761"/>
      <c r="G79" s="765" t="s">
        <v>1038</v>
      </c>
      <c r="H79" s="200" t="s">
        <v>3189</v>
      </c>
      <c r="I79" s="116"/>
      <c r="J79" s="116"/>
      <c r="K79" s="116"/>
      <c r="L79" s="116"/>
      <c r="M79" s="116"/>
      <c r="N79" s="116"/>
      <c r="O79" s="116"/>
      <c r="P79" s="116"/>
    </row>
    <row r="80" spans="3:16" x14ac:dyDescent="0.15">
      <c r="D80" s="759" t="s">
        <v>3190</v>
      </c>
      <c r="E80" s="760" t="s">
        <v>3191</v>
      </c>
      <c r="F80" s="761" t="s">
        <v>2904</v>
      </c>
      <c r="G80" s="762" t="s">
        <v>1038</v>
      </c>
      <c r="H80" s="200" t="s">
        <v>3192</v>
      </c>
      <c r="I80" s="116"/>
      <c r="J80" s="116"/>
      <c r="K80" s="116"/>
      <c r="L80" s="116"/>
      <c r="M80" s="116"/>
      <c r="N80" s="116"/>
      <c r="O80" s="116"/>
      <c r="P80" s="116"/>
    </row>
    <row r="81" spans="3:16" ht="14" x14ac:dyDescent="0.15">
      <c r="D81" s="648" t="s">
        <v>2933</v>
      </c>
      <c r="F81" s="649" t="str">
        <f>IF(component_level=2,"high cost",IF(component_level=1,"mid cost","low cost"))</f>
        <v>low cost</v>
      </c>
      <c r="G81" s="180"/>
      <c r="H81" s="201"/>
      <c r="I81" s="116"/>
      <c r="J81" s="116"/>
      <c r="K81" s="116"/>
      <c r="L81" s="116"/>
      <c r="M81" s="116"/>
      <c r="N81" s="116"/>
      <c r="O81" s="116"/>
      <c r="P81" s="116"/>
    </row>
    <row r="82" spans="3:16" ht="14" x14ac:dyDescent="0.15">
      <c r="D82" s="165" t="s">
        <v>2934</v>
      </c>
      <c r="F82" s="158" t="str">
        <f>IF(manual=1,"manual",IF(manual=2,"semi-automated",IF(manual=3,"fully automated")))</f>
        <v>manual</v>
      </c>
      <c r="G82" s="175"/>
      <c r="H82" s="116"/>
      <c r="I82" s="116"/>
      <c r="J82" s="116"/>
      <c r="K82" s="116"/>
      <c r="L82" s="116"/>
      <c r="M82" s="116"/>
      <c r="N82" s="116"/>
      <c r="O82" s="116"/>
      <c r="P82" s="116"/>
    </row>
    <row r="83" spans="3:16" x14ac:dyDescent="0.15">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x14ac:dyDescent="0.15">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x14ac:dyDescent="0.15">
      <c r="D85" s="116"/>
      <c r="E85" s="116"/>
      <c r="F85" s="116"/>
      <c r="G85" s="116"/>
      <c r="H85" s="116"/>
      <c r="I85" s="116"/>
      <c r="J85" s="116"/>
      <c r="K85" s="116"/>
      <c r="L85" s="116"/>
      <c r="M85" s="116"/>
      <c r="N85" s="116"/>
      <c r="O85" s="116"/>
      <c r="P85" s="116"/>
    </row>
    <row r="86" spans="3:16" x14ac:dyDescent="0.15">
      <c r="D86" s="116"/>
      <c r="E86" s="116"/>
      <c r="F86" s="116"/>
      <c r="G86" s="116"/>
      <c r="H86" s="116"/>
      <c r="I86" s="116"/>
      <c r="J86" s="116"/>
      <c r="K86" s="116"/>
      <c r="L86" s="116"/>
      <c r="M86" s="116"/>
      <c r="N86" s="116"/>
      <c r="O86" s="116"/>
      <c r="P86" s="116"/>
    </row>
    <row r="87" spans="3:16" x14ac:dyDescent="0.15">
      <c r="D87" s="116"/>
      <c r="E87" s="116"/>
      <c r="F87" s="116"/>
      <c r="G87" s="116"/>
      <c r="H87" s="116"/>
      <c r="I87" s="116"/>
      <c r="J87" s="116"/>
      <c r="K87" s="116"/>
      <c r="L87" s="116"/>
      <c r="M87" s="116"/>
      <c r="N87" s="116"/>
      <c r="O87" s="116"/>
      <c r="P87" s="116"/>
    </row>
    <row r="88" spans="3:16" x14ac:dyDescent="0.15">
      <c r="D88" s="116"/>
      <c r="E88" s="116"/>
      <c r="F88" s="116"/>
      <c r="G88" s="116"/>
      <c r="H88" s="116"/>
      <c r="I88" s="116"/>
      <c r="J88" s="116"/>
      <c r="K88" s="116"/>
      <c r="L88" s="116"/>
      <c r="M88" s="116"/>
      <c r="N88" s="116"/>
      <c r="O88" s="116"/>
      <c r="P88" s="116"/>
    </row>
    <row r="89" spans="3:16" x14ac:dyDescent="0.15">
      <c r="D89" s="116"/>
      <c r="E89" s="116"/>
      <c r="F89" s="116"/>
      <c r="G89" s="116"/>
      <c r="H89" s="116"/>
      <c r="I89" s="116"/>
      <c r="J89" s="116"/>
      <c r="K89" s="116"/>
      <c r="L89" s="116"/>
      <c r="M89" s="116"/>
      <c r="N89" s="116"/>
      <c r="O89" s="116"/>
      <c r="P89" s="116"/>
    </row>
    <row r="90" spans="3:16" x14ac:dyDescent="0.15">
      <c r="D90" s="116"/>
      <c r="E90" s="116"/>
      <c r="F90" s="116"/>
      <c r="G90" s="116"/>
      <c r="H90" s="116"/>
      <c r="I90" s="116"/>
      <c r="J90" s="116"/>
      <c r="K90" s="116"/>
      <c r="L90" s="116"/>
      <c r="M90" s="116"/>
      <c r="N90" s="116"/>
      <c r="O90" s="116"/>
      <c r="P90" s="116"/>
    </row>
    <row r="91" spans="3:16" x14ac:dyDescent="0.15">
      <c r="D91" s="116"/>
      <c r="E91" s="116"/>
      <c r="F91" s="116"/>
      <c r="G91" s="116"/>
      <c r="H91" s="116"/>
      <c r="I91" s="116"/>
      <c r="J91" s="116"/>
      <c r="K91" s="116"/>
      <c r="L91" s="116"/>
      <c r="M91" s="116"/>
      <c r="N91" s="116"/>
      <c r="O91" s="116"/>
      <c r="P91" s="116"/>
    </row>
    <row r="92" spans="3:16" x14ac:dyDescent="0.15">
      <c r="D92" s="116"/>
      <c r="E92" s="116"/>
      <c r="F92" s="116"/>
      <c r="G92" s="116"/>
      <c r="H92" s="116"/>
      <c r="I92" s="116"/>
      <c r="J92" s="116"/>
      <c r="K92" s="116"/>
      <c r="L92" s="116"/>
      <c r="M92" s="116"/>
      <c r="N92" s="116"/>
      <c r="O92" s="116"/>
      <c r="P92" s="116"/>
    </row>
    <row r="93" spans="3:16" x14ac:dyDescent="0.15">
      <c r="D93" s="116"/>
      <c r="E93" s="116"/>
      <c r="F93" s="116"/>
      <c r="G93" s="116"/>
      <c r="H93" s="116"/>
      <c r="I93" s="116"/>
      <c r="J93" s="116"/>
      <c r="K93" s="116"/>
      <c r="L93" s="116"/>
      <c r="M93" s="116"/>
      <c r="N93" s="116"/>
      <c r="O93" s="116"/>
      <c r="P93" s="116"/>
    </row>
    <row r="94" spans="3:16" x14ac:dyDescent="0.15">
      <c r="D94" s="116"/>
      <c r="E94" s="116"/>
      <c r="F94" s="116"/>
      <c r="G94" s="116"/>
      <c r="H94" s="116"/>
      <c r="I94" s="116"/>
      <c r="J94" s="116"/>
      <c r="K94" s="116"/>
      <c r="L94" s="116"/>
      <c r="M94" s="116"/>
      <c r="N94" s="116"/>
      <c r="O94" s="116"/>
      <c r="P94" s="116"/>
    </row>
    <row r="95" spans="3:16" x14ac:dyDescent="0.15">
      <c r="D95" s="116"/>
      <c r="E95" s="116"/>
      <c r="F95" s="116"/>
      <c r="G95" s="116"/>
      <c r="H95" s="116"/>
      <c r="I95" s="116"/>
      <c r="J95" s="116"/>
      <c r="K95" s="116"/>
      <c r="L95" s="116"/>
      <c r="M95" s="116"/>
      <c r="N95" s="116"/>
      <c r="O95" s="116"/>
      <c r="P95" s="116"/>
    </row>
    <row r="96" spans="3:16" x14ac:dyDescent="0.15">
      <c r="D96" s="116"/>
      <c r="E96" s="116"/>
      <c r="F96" s="116"/>
      <c r="G96" s="116"/>
      <c r="H96" s="116"/>
      <c r="I96" s="116"/>
      <c r="J96" s="116"/>
      <c r="K96" s="116"/>
      <c r="L96" s="116"/>
      <c r="M96" s="116"/>
      <c r="N96" s="116"/>
      <c r="O96" s="116"/>
      <c r="P96" s="116"/>
    </row>
    <row r="97" spans="4:16" x14ac:dyDescent="0.15">
      <c r="D97" s="116"/>
      <c r="E97" s="116"/>
      <c r="F97" s="116"/>
      <c r="G97" s="116"/>
      <c r="H97" s="116"/>
      <c r="I97" s="116"/>
      <c r="J97" s="116"/>
      <c r="K97" s="116"/>
      <c r="L97" s="116"/>
      <c r="M97" s="116"/>
      <c r="N97" s="116"/>
      <c r="O97" s="116"/>
      <c r="P97" s="116"/>
    </row>
    <row r="98" spans="4:16" x14ac:dyDescent="0.15">
      <c r="D98" s="116"/>
      <c r="E98" s="116"/>
      <c r="F98" s="116"/>
      <c r="G98" s="116"/>
      <c r="H98" s="116"/>
      <c r="I98" s="116"/>
      <c r="J98" s="116"/>
      <c r="K98" s="116"/>
      <c r="L98" s="116"/>
      <c r="M98" s="116"/>
      <c r="N98" s="116"/>
      <c r="O98" s="116"/>
      <c r="P98" s="116"/>
    </row>
    <row r="99" spans="4:16" x14ac:dyDescent="0.15">
      <c r="D99" s="116"/>
      <c r="E99" s="116"/>
      <c r="F99" s="116"/>
      <c r="G99" s="116"/>
      <c r="H99" s="116"/>
      <c r="I99" s="116"/>
      <c r="J99" s="116"/>
      <c r="K99" s="116"/>
      <c r="L99" s="116"/>
      <c r="M99" s="116"/>
      <c r="N99" s="116"/>
      <c r="O99" s="116"/>
      <c r="P99" s="116"/>
    </row>
    <row r="100" spans="4:16" x14ac:dyDescent="0.15">
      <c r="D100" s="116"/>
      <c r="E100" s="116"/>
      <c r="F100" s="116"/>
      <c r="G100" s="116"/>
      <c r="H100" s="116"/>
      <c r="I100" s="116"/>
      <c r="J100" s="116"/>
      <c r="K100" s="116"/>
      <c r="L100" s="116"/>
      <c r="M100" s="116"/>
      <c r="N100" s="116"/>
      <c r="O100" s="116"/>
      <c r="P100" s="116"/>
    </row>
    <row r="101" spans="4:16" x14ac:dyDescent="0.15">
      <c r="D101" s="116"/>
      <c r="E101" s="116"/>
      <c r="F101" s="116"/>
      <c r="G101" s="116"/>
      <c r="H101" s="116"/>
      <c r="I101" s="116"/>
      <c r="J101" s="116"/>
      <c r="K101" s="116"/>
      <c r="L101" s="116"/>
      <c r="M101" s="116"/>
      <c r="N101" s="116"/>
      <c r="O101" s="116"/>
      <c r="P101" s="116"/>
    </row>
    <row r="102" spans="4:16" x14ac:dyDescent="0.15">
      <c r="D102" s="116"/>
      <c r="E102" s="116"/>
      <c r="F102" s="116"/>
      <c r="G102" s="116"/>
      <c r="H102" s="116"/>
      <c r="I102" s="116"/>
      <c r="J102" s="116"/>
      <c r="K102" s="116"/>
      <c r="L102" s="116"/>
      <c r="M102" s="116"/>
      <c r="N102" s="116"/>
      <c r="O102" s="116"/>
      <c r="P102" s="116"/>
    </row>
    <row r="103" spans="4:16" x14ac:dyDescent="0.15">
      <c r="D103" s="116"/>
      <c r="E103" s="116"/>
      <c r="F103" s="116"/>
      <c r="G103" s="116"/>
      <c r="H103" s="116"/>
      <c r="I103" s="116"/>
      <c r="J103" s="116"/>
      <c r="K103" s="116"/>
      <c r="L103" s="116"/>
      <c r="M103" s="116"/>
      <c r="N103" s="116"/>
      <c r="O103" s="116"/>
      <c r="P103" s="116"/>
    </row>
    <row r="104" spans="4:16" x14ac:dyDescent="0.15">
      <c r="D104" s="116"/>
      <c r="E104" s="116"/>
      <c r="F104" s="116"/>
      <c r="G104" s="116"/>
      <c r="H104" s="116"/>
      <c r="I104" s="116"/>
      <c r="J104" s="116"/>
      <c r="K104" s="116"/>
      <c r="L104" s="116"/>
      <c r="M104" s="116"/>
      <c r="N104" s="116"/>
      <c r="O104" s="116"/>
      <c r="P104" s="116"/>
    </row>
    <row r="105" spans="4:16" x14ac:dyDescent="0.15">
      <c r="D105" s="116"/>
      <c r="E105" s="116"/>
      <c r="F105" s="116"/>
      <c r="G105" s="116"/>
      <c r="H105" s="116"/>
      <c r="I105" s="116"/>
      <c r="J105" s="116"/>
      <c r="K105" s="116"/>
      <c r="L105" s="116"/>
      <c r="M105" s="116"/>
      <c r="N105" s="116"/>
      <c r="O105" s="116"/>
      <c r="P105" s="116"/>
    </row>
    <row r="106" spans="4:16" x14ac:dyDescent="0.15">
      <c r="D106" s="116"/>
      <c r="E106" s="116"/>
      <c r="F106" s="116"/>
      <c r="G106" s="116"/>
      <c r="H106" s="116"/>
      <c r="I106" s="116"/>
      <c r="J106" s="116"/>
      <c r="K106" s="116"/>
      <c r="L106" s="116"/>
      <c r="M106" s="116"/>
      <c r="N106" s="116"/>
      <c r="O106" s="116"/>
      <c r="P106" s="116"/>
    </row>
    <row r="107" spans="4:16" x14ac:dyDescent="0.15">
      <c r="D107" s="116"/>
      <c r="E107" s="116"/>
      <c r="F107" s="116"/>
      <c r="G107" s="116"/>
      <c r="H107" s="116"/>
      <c r="I107" s="116"/>
      <c r="J107" s="116"/>
      <c r="K107" s="116"/>
      <c r="L107" s="116"/>
      <c r="M107" s="116"/>
      <c r="N107" s="116"/>
      <c r="O107" s="116"/>
      <c r="P107" s="116"/>
    </row>
    <row r="108" spans="4:16" x14ac:dyDescent="0.15">
      <c r="D108" s="116"/>
      <c r="E108" s="116"/>
      <c r="F108" s="116"/>
      <c r="G108" s="116"/>
      <c r="H108" s="116"/>
      <c r="I108" s="116"/>
      <c r="J108" s="116"/>
      <c r="K108" s="116"/>
      <c r="L108" s="116"/>
      <c r="M108" s="116"/>
      <c r="N108" s="116"/>
      <c r="O108" s="116"/>
      <c r="P108" s="116"/>
    </row>
    <row r="109" spans="4:16" x14ac:dyDescent="0.15">
      <c r="D109" s="116"/>
      <c r="E109" s="116"/>
      <c r="F109" s="116"/>
      <c r="G109" s="116"/>
      <c r="H109" s="116"/>
      <c r="I109" s="116"/>
      <c r="J109" s="116"/>
      <c r="K109" s="116"/>
      <c r="L109" s="116"/>
      <c r="M109" s="116"/>
      <c r="N109" s="116"/>
      <c r="O109" s="116"/>
      <c r="P109" s="116"/>
    </row>
    <row r="110" spans="4:16" x14ac:dyDescent="0.15">
      <c r="D110" s="116"/>
      <c r="E110" s="116"/>
      <c r="F110" s="116"/>
      <c r="G110" s="116"/>
      <c r="H110" s="116"/>
      <c r="I110" s="116"/>
      <c r="J110" s="116"/>
      <c r="K110" s="116"/>
      <c r="L110" s="116"/>
      <c r="M110" s="116"/>
      <c r="N110" s="116"/>
      <c r="O110" s="116"/>
      <c r="P110" s="116"/>
    </row>
    <row r="111" spans="4:16" x14ac:dyDescent="0.15">
      <c r="D111" s="116"/>
      <c r="E111" s="116"/>
      <c r="F111" s="116"/>
      <c r="G111" s="116"/>
      <c r="H111" s="116"/>
      <c r="I111" s="116"/>
      <c r="J111" s="116"/>
      <c r="K111" s="116"/>
      <c r="L111" s="116"/>
      <c r="M111" s="116"/>
      <c r="N111" s="116"/>
      <c r="O111" s="116"/>
      <c r="P111" s="116"/>
    </row>
    <row r="112" spans="4:16" x14ac:dyDescent="0.15">
      <c r="D112" s="116"/>
      <c r="E112" s="116"/>
      <c r="F112" s="116"/>
      <c r="G112" s="116"/>
      <c r="H112" s="116"/>
      <c r="I112" s="116"/>
      <c r="J112" s="116"/>
      <c r="K112" s="116"/>
      <c r="L112" s="116"/>
      <c r="M112" s="116"/>
      <c r="N112" s="116"/>
      <c r="O112" s="116"/>
      <c r="P112" s="116"/>
    </row>
    <row r="113" spans="4:16" x14ac:dyDescent="0.15">
      <c r="D113" s="116"/>
      <c r="E113" s="116"/>
      <c r="F113" s="116"/>
      <c r="G113" s="116"/>
      <c r="H113" s="116"/>
      <c r="I113" s="116"/>
      <c r="J113" s="116"/>
      <c r="K113" s="116"/>
      <c r="L113" s="116"/>
      <c r="M113" s="116"/>
      <c r="N113" s="116"/>
      <c r="O113" s="116"/>
      <c r="P113" s="116"/>
    </row>
    <row r="114" spans="4:16" x14ac:dyDescent="0.15">
      <c r="D114" s="116"/>
      <c r="E114" s="116"/>
      <c r="F114" s="116"/>
      <c r="G114" s="116"/>
      <c r="H114" s="116"/>
      <c r="I114" s="116"/>
      <c r="J114" s="116"/>
      <c r="K114" s="116"/>
      <c r="L114" s="116"/>
      <c r="M114" s="116"/>
      <c r="N114" s="116"/>
      <c r="O114" s="116"/>
      <c r="P114" s="116"/>
    </row>
    <row r="115" spans="4:16" x14ac:dyDescent="0.15">
      <c r="D115" s="116"/>
      <c r="E115" s="116"/>
      <c r="F115" s="116"/>
      <c r="G115" s="116"/>
      <c r="H115" s="116"/>
      <c r="I115" s="116"/>
      <c r="J115" s="116"/>
      <c r="K115" s="116"/>
      <c r="L115" s="116"/>
      <c r="M115" s="116"/>
      <c r="N115" s="116"/>
      <c r="O115" s="116"/>
      <c r="P115" s="116"/>
    </row>
    <row r="116" spans="4:16" x14ac:dyDescent="0.15">
      <c r="D116" s="116"/>
      <c r="E116" s="116"/>
      <c r="F116" s="116"/>
      <c r="G116" s="116"/>
      <c r="H116" s="116"/>
      <c r="I116" s="116"/>
      <c r="J116" s="116"/>
      <c r="K116" s="116"/>
      <c r="L116" s="116"/>
      <c r="M116" s="116"/>
      <c r="N116" s="116"/>
      <c r="O116" s="116"/>
      <c r="P116" s="116"/>
    </row>
    <row r="117" spans="4:16" x14ac:dyDescent="0.15">
      <c r="D117" s="116"/>
      <c r="E117" s="116"/>
      <c r="F117" s="116"/>
      <c r="G117" s="116"/>
      <c r="H117" s="116"/>
      <c r="I117" s="116"/>
      <c r="J117" s="116"/>
      <c r="K117" s="116"/>
      <c r="L117" s="116"/>
      <c r="M117" s="116"/>
      <c r="N117" s="116"/>
      <c r="O117" s="116"/>
      <c r="P117" s="116"/>
    </row>
    <row r="118" spans="4:16" x14ac:dyDescent="0.15">
      <c r="D118" s="116"/>
      <c r="E118" s="116"/>
      <c r="F118" s="116"/>
      <c r="G118" s="116"/>
      <c r="H118" s="116"/>
      <c r="I118" s="116"/>
      <c r="J118" s="116"/>
      <c r="K118" s="116"/>
      <c r="L118" s="116"/>
      <c r="M118" s="116"/>
      <c r="N118" s="116"/>
      <c r="O118" s="116"/>
      <c r="P118" s="116"/>
    </row>
    <row r="119" spans="4:16" x14ac:dyDescent="0.15">
      <c r="D119" s="116"/>
      <c r="E119" s="116"/>
      <c r="F119" s="116"/>
      <c r="G119" s="116"/>
      <c r="H119" s="116"/>
      <c r="I119" s="116"/>
      <c r="J119" s="116"/>
      <c r="K119" s="116"/>
      <c r="L119" s="116"/>
      <c r="M119" s="116"/>
      <c r="N119" s="116"/>
      <c r="O119" s="116"/>
      <c r="P119" s="116"/>
    </row>
    <row r="120" spans="4:16" x14ac:dyDescent="0.15">
      <c r="D120" s="116"/>
      <c r="E120" s="116"/>
      <c r="F120" s="116"/>
      <c r="G120" s="116"/>
      <c r="H120" s="116"/>
      <c r="I120" s="116"/>
      <c r="J120" s="116"/>
      <c r="K120" s="116"/>
      <c r="L120" s="116"/>
      <c r="M120" s="116"/>
      <c r="N120" s="116"/>
      <c r="O120" s="116"/>
      <c r="P120" s="116"/>
    </row>
    <row r="121" spans="4:16" x14ac:dyDescent="0.15">
      <c r="D121" s="116"/>
      <c r="E121" s="116"/>
      <c r="F121" s="116"/>
      <c r="G121" s="116"/>
      <c r="H121" s="116"/>
      <c r="I121" s="116"/>
      <c r="J121" s="116"/>
      <c r="K121" s="116"/>
      <c r="L121" s="116"/>
      <c r="M121" s="116"/>
      <c r="N121" s="116"/>
      <c r="O121" s="116"/>
      <c r="P121" s="116"/>
    </row>
    <row r="122" spans="4:16" x14ac:dyDescent="0.15">
      <c r="D122" s="116"/>
      <c r="E122" s="116"/>
      <c r="F122" s="116"/>
      <c r="G122" s="116"/>
      <c r="H122" s="116"/>
      <c r="I122" s="116"/>
      <c r="J122" s="116"/>
      <c r="K122" s="116"/>
      <c r="L122" s="116"/>
      <c r="M122" s="116"/>
      <c r="N122" s="116"/>
      <c r="O122" s="116"/>
      <c r="P122" s="116"/>
    </row>
    <row r="123" spans="4:16" x14ac:dyDescent="0.15">
      <c r="D123" s="116"/>
      <c r="E123" s="116"/>
      <c r="F123" s="116"/>
      <c r="G123" s="116"/>
      <c r="H123" s="116"/>
      <c r="I123" s="116"/>
      <c r="J123" s="116"/>
      <c r="K123" s="116"/>
      <c r="L123" s="116"/>
      <c r="M123" s="116"/>
      <c r="N123" s="116"/>
      <c r="O123" s="116"/>
      <c r="P123" s="116"/>
    </row>
    <row r="124" spans="4:16" x14ac:dyDescent="0.15">
      <c r="D124" s="116"/>
      <c r="E124" s="116"/>
      <c r="F124" s="116"/>
      <c r="G124" s="116"/>
      <c r="H124" s="116"/>
      <c r="I124" s="116"/>
      <c r="J124" s="116"/>
      <c r="K124" s="116"/>
      <c r="L124" s="116"/>
      <c r="M124" s="116"/>
      <c r="N124" s="116"/>
      <c r="O124" s="116"/>
      <c r="P124" s="116"/>
    </row>
    <row r="125" spans="4:16" x14ac:dyDescent="0.15">
      <c r="D125" s="116"/>
      <c r="E125" s="116"/>
      <c r="F125" s="116"/>
      <c r="G125" s="116"/>
      <c r="H125" s="116"/>
      <c r="I125" s="116"/>
      <c r="J125" s="116"/>
      <c r="K125" s="116"/>
      <c r="L125" s="116"/>
      <c r="M125" s="116"/>
      <c r="N125" s="116"/>
      <c r="O125" s="116"/>
      <c r="P125" s="116"/>
    </row>
    <row r="126" spans="4:16" x14ac:dyDescent="0.15">
      <c r="D126" s="116"/>
      <c r="E126" s="116"/>
      <c r="F126" s="116"/>
      <c r="G126" s="116"/>
      <c r="H126" s="116"/>
      <c r="I126" s="116"/>
      <c r="J126" s="116"/>
      <c r="K126" s="116"/>
      <c r="L126" s="116"/>
      <c r="M126" s="116"/>
      <c r="N126" s="116"/>
      <c r="O126" s="116"/>
      <c r="P126" s="116"/>
    </row>
    <row r="127" spans="4:16" x14ac:dyDescent="0.15">
      <c r="D127" s="116"/>
      <c r="E127" s="116"/>
      <c r="F127" s="116"/>
      <c r="G127" s="116"/>
      <c r="H127" s="116"/>
      <c r="I127" s="116"/>
      <c r="J127" s="116"/>
      <c r="K127" s="116"/>
      <c r="L127" s="116"/>
      <c r="M127" s="116"/>
      <c r="N127" s="116"/>
      <c r="O127" s="116"/>
      <c r="P127" s="116"/>
    </row>
    <row r="128" spans="4:16" x14ac:dyDescent="0.15">
      <c r="D128" s="116"/>
      <c r="E128" s="116"/>
      <c r="F128" s="116"/>
      <c r="G128" s="116"/>
      <c r="H128" s="116"/>
      <c r="I128" s="116"/>
      <c r="J128" s="116"/>
      <c r="K128" s="116"/>
      <c r="L128" s="116"/>
      <c r="M128" s="116"/>
      <c r="N128" s="116"/>
      <c r="O128" s="116"/>
      <c r="P128" s="116"/>
    </row>
    <row r="129" spans="4:16" x14ac:dyDescent="0.15">
      <c r="D129" s="116"/>
      <c r="E129" s="116"/>
      <c r="F129" s="116"/>
      <c r="G129" s="116"/>
      <c r="H129" s="116"/>
      <c r="I129" s="116"/>
      <c r="J129" s="116"/>
      <c r="K129" s="116"/>
      <c r="L129" s="116"/>
      <c r="M129" s="116"/>
      <c r="N129" s="116"/>
      <c r="O129" s="116"/>
      <c r="P129" s="116"/>
    </row>
    <row r="130" spans="4:16" x14ac:dyDescent="0.15">
      <c r="D130" s="116"/>
      <c r="E130" s="116"/>
      <c r="F130" s="116"/>
      <c r="G130" s="116"/>
      <c r="H130" s="116"/>
      <c r="I130" s="116"/>
      <c r="J130" s="116"/>
      <c r="K130" s="116"/>
      <c r="L130" s="116"/>
      <c r="M130" s="116"/>
      <c r="N130" s="116"/>
      <c r="O130" s="116"/>
      <c r="P130" s="116"/>
    </row>
    <row r="131" spans="4:16" x14ac:dyDescent="0.15">
      <c r="D131" s="116"/>
      <c r="E131" s="116"/>
      <c r="F131" s="116"/>
      <c r="G131" s="116"/>
      <c r="H131" s="116"/>
      <c r="I131" s="116"/>
      <c r="J131" s="116"/>
      <c r="K131" s="116"/>
      <c r="L131" s="116"/>
      <c r="M131" s="116"/>
      <c r="N131" s="116"/>
      <c r="O131" s="116"/>
      <c r="P131" s="116"/>
    </row>
    <row r="132" spans="4:16" x14ac:dyDescent="0.15">
      <c r="D132" s="116"/>
      <c r="E132" s="116"/>
      <c r="F132" s="116"/>
      <c r="G132" s="116"/>
      <c r="H132" s="116"/>
      <c r="I132" s="116"/>
      <c r="J132" s="116"/>
      <c r="K132" s="116"/>
      <c r="L132" s="116"/>
      <c r="M132" s="116"/>
      <c r="N132" s="116"/>
      <c r="O132" s="116"/>
      <c r="P132" s="116"/>
    </row>
    <row r="133" spans="4:16" x14ac:dyDescent="0.15">
      <c r="D133" s="116"/>
      <c r="E133" s="116"/>
      <c r="F133" s="116"/>
      <c r="G133" s="116"/>
      <c r="H133" s="116"/>
      <c r="I133" s="116"/>
      <c r="J133" s="116"/>
      <c r="K133" s="116"/>
      <c r="L133" s="116"/>
      <c r="M133" s="116"/>
      <c r="N133" s="116"/>
      <c r="O133" s="116"/>
      <c r="P133" s="116"/>
    </row>
    <row r="134" spans="4:16" x14ac:dyDescent="0.15">
      <c r="D134" s="116"/>
      <c r="E134" s="116"/>
      <c r="F134" s="116"/>
      <c r="G134" s="116"/>
      <c r="H134" s="116"/>
      <c r="I134" s="116"/>
      <c r="J134" s="116"/>
      <c r="K134" s="116"/>
      <c r="L134" s="116"/>
      <c r="M134" s="116"/>
      <c r="N134" s="116"/>
      <c r="O134" s="116"/>
      <c r="P134" s="116"/>
    </row>
    <row r="135" spans="4:16" x14ac:dyDescent="0.15">
      <c r="D135" s="116"/>
      <c r="E135" s="116"/>
      <c r="F135" s="116"/>
      <c r="G135" s="116"/>
      <c r="H135" s="116"/>
      <c r="I135" s="116"/>
      <c r="J135" s="116"/>
      <c r="K135" s="116"/>
      <c r="L135" s="116"/>
      <c r="M135" s="116"/>
      <c r="N135" s="116"/>
      <c r="O135" s="116"/>
      <c r="P135" s="116"/>
    </row>
    <row r="136" spans="4:16" x14ac:dyDescent="0.15">
      <c r="D136" s="116"/>
      <c r="E136" s="116"/>
      <c r="F136" s="116"/>
      <c r="G136" s="116"/>
      <c r="H136" s="116"/>
      <c r="I136" s="116"/>
      <c r="J136" s="116"/>
      <c r="K136" s="116"/>
      <c r="L136" s="116"/>
      <c r="M136" s="116"/>
      <c r="N136" s="116"/>
      <c r="O136" s="116"/>
      <c r="P136" s="116"/>
    </row>
    <row r="137" spans="4:16" x14ac:dyDescent="0.15">
      <c r="D137" s="116"/>
      <c r="E137" s="116"/>
      <c r="F137" s="116"/>
      <c r="G137" s="116"/>
      <c r="H137" s="116"/>
      <c r="I137" s="116"/>
      <c r="J137" s="116"/>
      <c r="K137" s="116"/>
      <c r="L137" s="116"/>
      <c r="M137" s="116"/>
      <c r="N137" s="116"/>
      <c r="O137" s="116"/>
      <c r="P137" s="116"/>
    </row>
    <row r="138" spans="4:16" x14ac:dyDescent="0.15">
      <c r="D138" s="116"/>
      <c r="E138" s="116"/>
      <c r="F138" s="116"/>
      <c r="G138" s="116"/>
      <c r="H138" s="116"/>
      <c r="I138" s="116"/>
      <c r="J138" s="116"/>
      <c r="K138" s="116"/>
      <c r="L138" s="116"/>
      <c r="M138" s="116"/>
      <c r="N138" s="116"/>
      <c r="O138" s="116"/>
      <c r="P138" s="116"/>
    </row>
    <row r="139" spans="4:16" x14ac:dyDescent="0.15">
      <c r="D139" s="116"/>
      <c r="E139" s="116"/>
      <c r="F139" s="116"/>
      <c r="G139" s="116"/>
      <c r="H139" s="116"/>
      <c r="I139" s="116"/>
      <c r="J139" s="116"/>
      <c r="K139" s="116"/>
      <c r="L139" s="116"/>
      <c r="M139" s="116"/>
      <c r="N139" s="116"/>
      <c r="O139" s="116"/>
      <c r="P139" s="116"/>
    </row>
    <row r="140" spans="4:16" x14ac:dyDescent="0.15">
      <c r="D140" s="116"/>
      <c r="E140" s="116"/>
      <c r="F140" s="116"/>
      <c r="G140" s="116"/>
      <c r="H140" s="116"/>
      <c r="I140" s="116"/>
      <c r="J140" s="116"/>
      <c r="K140" s="116"/>
      <c r="L140" s="116"/>
      <c r="M140" s="116"/>
      <c r="N140" s="116"/>
      <c r="O140" s="116"/>
      <c r="P140" s="116"/>
    </row>
    <row r="141" spans="4:16" x14ac:dyDescent="0.15">
      <c r="D141" s="116"/>
      <c r="E141" s="116"/>
      <c r="F141" s="116"/>
      <c r="G141" s="116"/>
      <c r="H141" s="116"/>
      <c r="I141" s="116"/>
      <c r="J141" s="116"/>
      <c r="K141" s="116"/>
      <c r="L141" s="116"/>
      <c r="M141" s="116"/>
      <c r="N141" s="116"/>
      <c r="O141" s="116"/>
      <c r="P141" s="116"/>
    </row>
    <row r="142" spans="4:16" x14ac:dyDescent="0.15">
      <c r="D142" s="116"/>
      <c r="E142" s="116"/>
      <c r="F142" s="116"/>
      <c r="G142" s="116"/>
      <c r="H142" s="116"/>
      <c r="I142" s="116"/>
      <c r="J142" s="116"/>
      <c r="K142" s="116"/>
      <c r="L142" s="116"/>
      <c r="M142" s="116"/>
      <c r="N142" s="116"/>
      <c r="O142" s="116"/>
      <c r="P142" s="116"/>
    </row>
    <row r="143" spans="4:16" x14ac:dyDescent="0.15">
      <c r="D143" s="116"/>
      <c r="E143" s="116"/>
      <c r="F143" s="116"/>
      <c r="G143" s="116"/>
      <c r="H143" s="116"/>
      <c r="I143" s="116"/>
      <c r="J143" s="116"/>
      <c r="K143" s="116"/>
      <c r="L143" s="116"/>
      <c r="M143" s="116"/>
      <c r="N143" s="116"/>
      <c r="O143" s="116"/>
      <c r="P143" s="116"/>
    </row>
    <row r="144" spans="4:16" x14ac:dyDescent="0.15">
      <c r="D144" s="116"/>
      <c r="E144" s="116"/>
      <c r="F144" s="116"/>
      <c r="G144" s="116"/>
      <c r="H144" s="116"/>
      <c r="I144" s="116"/>
      <c r="J144" s="116"/>
      <c r="K144" s="116"/>
      <c r="L144" s="116"/>
      <c r="M144" s="116"/>
      <c r="N144" s="116"/>
      <c r="O144" s="116"/>
      <c r="P144" s="116"/>
    </row>
    <row r="145" spans="4:16" x14ac:dyDescent="0.15">
      <c r="D145" s="116"/>
      <c r="E145" s="116"/>
      <c r="F145" s="116"/>
      <c r="G145" s="116"/>
      <c r="H145" s="116"/>
      <c r="I145" s="116"/>
      <c r="J145" s="116"/>
      <c r="K145" s="116"/>
      <c r="L145" s="116"/>
      <c r="M145" s="116"/>
      <c r="N145" s="116"/>
      <c r="O145" s="116"/>
      <c r="P145" s="116"/>
    </row>
    <row r="146" spans="4:16" x14ac:dyDescent="0.15">
      <c r="D146" s="116"/>
      <c r="E146" s="116"/>
      <c r="F146" s="116"/>
      <c r="G146" s="116"/>
      <c r="H146" s="116"/>
      <c r="I146" s="116"/>
      <c r="J146" s="116"/>
      <c r="K146" s="116"/>
      <c r="L146" s="116"/>
      <c r="M146" s="116"/>
      <c r="N146" s="116"/>
      <c r="O146" s="116"/>
      <c r="P146" s="116"/>
    </row>
    <row r="147" spans="4:16" x14ac:dyDescent="0.15">
      <c r="D147" s="116"/>
      <c r="E147" s="116"/>
      <c r="F147" s="116"/>
      <c r="G147" s="116"/>
      <c r="H147" s="116"/>
      <c r="I147" s="116"/>
      <c r="J147" s="116"/>
      <c r="K147" s="116"/>
      <c r="L147" s="116"/>
      <c r="M147" s="116"/>
      <c r="N147" s="116"/>
      <c r="O147" s="116"/>
      <c r="P147" s="116"/>
    </row>
    <row r="148" spans="4:16" x14ac:dyDescent="0.15">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tabSelected="1" topLeftCell="A388" zoomScaleNormal="100" zoomScaleSheetLayoutView="50" workbookViewId="0">
      <selection activeCell="G402" sqref="G402"/>
    </sheetView>
  </sheetViews>
  <sheetFormatPr baseColWidth="10" defaultColWidth="9.1640625" defaultRowHeight="13" x14ac:dyDescent="0.15"/>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2" customWidth="1"/>
    <col min="15" max="22" width="7.6640625" style="882" customWidth="1"/>
    <col min="23" max="23" width="9.1640625" style="216"/>
    <col min="24" max="24" width="11.33203125" style="216" customWidth="1"/>
    <col min="25" max="16384" width="9.1640625" style="216"/>
  </cols>
  <sheetData>
    <row r="1" spans="1:22" s="667" customFormat="1" ht="16" x14ac:dyDescent="0.2">
      <c r="A1" s="687" t="s">
        <v>2154</v>
      </c>
      <c r="B1" s="668"/>
      <c r="D1" s="669"/>
      <c r="N1" s="798"/>
      <c r="O1" s="798"/>
      <c r="P1" s="798"/>
      <c r="Q1" s="798"/>
      <c r="R1" s="798"/>
      <c r="S1" s="798"/>
      <c r="T1" s="798"/>
      <c r="U1" s="798"/>
      <c r="V1" s="798"/>
    </row>
    <row r="2" spans="1:22" s="664" customFormat="1" x14ac:dyDescent="0.15">
      <c r="A2" s="800"/>
      <c r="B2" s="801" t="s">
        <v>2968</v>
      </c>
      <c r="C2" s="802" t="s">
        <v>278</v>
      </c>
      <c r="D2" s="801" t="s">
        <v>279</v>
      </c>
      <c r="E2" s="803"/>
      <c r="N2" s="779"/>
      <c r="O2" s="779"/>
      <c r="P2" s="779"/>
      <c r="Q2" s="779"/>
      <c r="R2" s="779"/>
      <c r="S2" s="779"/>
      <c r="T2" s="779"/>
      <c r="U2" s="779"/>
      <c r="V2" s="779"/>
    </row>
    <row r="3" spans="1:22" s="667" customFormat="1" x14ac:dyDescent="0.15">
      <c r="A3" s="676"/>
      <c r="B3" s="677" t="s">
        <v>2842</v>
      </c>
      <c r="C3" s="677" t="s">
        <v>2843</v>
      </c>
      <c r="D3" s="678"/>
      <c r="E3" s="679"/>
      <c r="J3" s="688"/>
      <c r="L3" s="689"/>
      <c r="M3" s="689"/>
      <c r="N3" s="798"/>
      <c r="O3" s="798"/>
      <c r="P3" s="798"/>
      <c r="Q3" s="798"/>
      <c r="R3" s="798"/>
      <c r="S3" s="798"/>
      <c r="T3" s="798"/>
      <c r="U3" s="798"/>
      <c r="V3" s="798"/>
    </row>
    <row r="4" spans="1:22" s="667" customFormat="1" x14ac:dyDescent="0.15">
      <c r="A4" s="680"/>
      <c r="B4" s="670" t="s">
        <v>1329</v>
      </c>
      <c r="C4" s="668" t="str">
        <f>IF(design_flow&lt;1,"small","large")</f>
        <v>large</v>
      </c>
      <c r="D4" s="668"/>
      <c r="E4" s="681"/>
      <c r="N4" s="878"/>
      <c r="O4" s="798"/>
      <c r="P4" s="798"/>
      <c r="Q4" s="798"/>
      <c r="R4" s="798"/>
      <c r="S4" s="798"/>
      <c r="T4" s="798"/>
      <c r="U4" s="798"/>
      <c r="V4" s="798"/>
    </row>
    <row r="5" spans="1:22" s="667" customFormat="1" x14ac:dyDescent="0.15">
      <c r="A5" s="680"/>
      <c r="B5" s="779" t="s">
        <v>3217</v>
      </c>
      <c r="C5" s="668" t="str">
        <f>VLOOKUP(contam_type,contam_lookup,2)</f>
        <v>Perfluorooctane Sulfonate (PFOS)</v>
      </c>
      <c r="D5" s="669"/>
      <c r="E5" s="681"/>
      <c r="N5" s="878"/>
      <c r="O5" s="798"/>
      <c r="P5" s="798"/>
      <c r="Q5" s="798"/>
      <c r="R5" s="798"/>
      <c r="S5" s="798"/>
      <c r="T5" s="798"/>
      <c r="U5" s="798"/>
      <c r="V5" s="798"/>
    </row>
    <row r="6" spans="1:22" s="667" customFormat="1" x14ac:dyDescent="0.15">
      <c r="A6" s="680"/>
      <c r="B6" s="670" t="s">
        <v>55</v>
      </c>
      <c r="C6" s="668">
        <f>average_flow</f>
        <v>2.1520000000000001</v>
      </c>
      <c r="D6" s="798" t="s">
        <v>2163</v>
      </c>
      <c r="E6" s="799"/>
      <c r="F6" s="668"/>
      <c r="G6" s="670"/>
      <c r="H6" s="668"/>
      <c r="N6" s="878"/>
      <c r="O6" s="798"/>
      <c r="P6" s="798"/>
      <c r="Q6" s="798"/>
      <c r="R6" s="798"/>
      <c r="S6" s="798"/>
      <c r="T6" s="798"/>
      <c r="U6" s="798"/>
      <c r="V6" s="798"/>
    </row>
    <row r="7" spans="1:22" s="667" customFormat="1" x14ac:dyDescent="0.15">
      <c r="A7" s="680"/>
      <c r="B7" s="670" t="s">
        <v>2160</v>
      </c>
      <c r="C7" s="668">
        <f>num_treat_lines</f>
        <v>1</v>
      </c>
      <c r="D7" s="798" t="s">
        <v>656</v>
      </c>
      <c r="E7" s="799"/>
      <c r="F7" s="668"/>
      <c r="G7" s="670"/>
      <c r="H7" s="668"/>
      <c r="N7" s="878"/>
      <c r="O7" s="798"/>
      <c r="P7" s="798"/>
      <c r="Q7" s="798"/>
      <c r="R7" s="798"/>
      <c r="S7" s="798"/>
      <c r="T7" s="798"/>
      <c r="U7" s="798"/>
      <c r="V7" s="798"/>
    </row>
    <row r="8" spans="1:22" s="667" customFormat="1" x14ac:dyDescent="0.15">
      <c r="A8" s="680"/>
      <c r="B8" s="670" t="s">
        <v>2161</v>
      </c>
      <c r="C8" s="668">
        <f>Num_tanks</f>
        <v>2</v>
      </c>
      <c r="D8" s="670" t="s">
        <v>2164</v>
      </c>
      <c r="E8" s="682"/>
      <c r="F8" s="668"/>
      <c r="G8" s="670"/>
      <c r="H8" s="668"/>
      <c r="N8" s="878"/>
      <c r="O8" s="798"/>
      <c r="P8" s="798"/>
      <c r="Q8" s="798"/>
      <c r="R8" s="798"/>
      <c r="S8" s="798"/>
      <c r="T8" s="798"/>
      <c r="U8" s="798"/>
      <c r="V8" s="798"/>
    </row>
    <row r="9" spans="1:22" s="667" customFormat="1" x14ac:dyDescent="0.15">
      <c r="A9" s="680"/>
      <c r="B9" s="670" t="s">
        <v>2162</v>
      </c>
      <c r="C9" s="668">
        <f>EBCT</f>
        <v>3</v>
      </c>
      <c r="D9" s="779" t="s">
        <v>3539</v>
      </c>
      <c r="E9" s="683"/>
      <c r="F9" s="668"/>
      <c r="G9" s="670"/>
      <c r="H9" s="668"/>
      <c r="N9" s="878"/>
      <c r="O9" s="798"/>
      <c r="P9" s="798"/>
      <c r="Q9" s="798"/>
      <c r="R9" s="798"/>
      <c r="S9" s="798"/>
      <c r="T9" s="798"/>
      <c r="U9" s="798"/>
      <c r="V9" s="798"/>
    </row>
    <row r="10" spans="1:22" s="667" customFormat="1" x14ac:dyDescent="0.15">
      <c r="A10" s="680"/>
      <c r="B10" s="670" t="s">
        <v>1065</v>
      </c>
      <c r="C10" s="668">
        <f>EBCT_tank</f>
        <v>1.5</v>
      </c>
      <c r="D10" s="779" t="s">
        <v>3539</v>
      </c>
      <c r="E10" s="683"/>
      <c r="F10" s="668"/>
      <c r="G10" s="670"/>
      <c r="H10" s="668"/>
      <c r="N10" s="878"/>
      <c r="O10" s="798"/>
      <c r="P10" s="798"/>
      <c r="Q10" s="798"/>
      <c r="R10" s="798"/>
      <c r="S10" s="798"/>
      <c r="T10" s="798"/>
      <c r="U10" s="798"/>
      <c r="V10" s="798"/>
    </row>
    <row r="11" spans="1:22" s="667" customFormat="1" x14ac:dyDescent="0.15">
      <c r="A11" s="868"/>
      <c r="B11" s="779" t="s">
        <v>3423</v>
      </c>
      <c r="C11" s="869">
        <f>regen_months</f>
        <v>3.2036541741283888</v>
      </c>
      <c r="D11" s="779" t="s">
        <v>3235</v>
      </c>
      <c r="E11" s="683"/>
      <c r="F11" s="668"/>
      <c r="G11" s="670"/>
      <c r="H11" s="668"/>
      <c r="N11" s="878"/>
      <c r="O11" s="798"/>
      <c r="P11" s="798"/>
      <c r="Q11" s="798"/>
      <c r="R11" s="798"/>
      <c r="S11" s="798"/>
      <c r="T11" s="798"/>
      <c r="U11" s="798"/>
      <c r="V11" s="798"/>
    </row>
    <row r="12" spans="1:22" s="667" customFormat="1" x14ac:dyDescent="0.15">
      <c r="A12" s="680"/>
      <c r="B12" s="670" t="s">
        <v>59</v>
      </c>
      <c r="C12" s="668">
        <f>bed_depth</f>
        <v>2.4</v>
      </c>
      <c r="D12" s="670" t="s">
        <v>61</v>
      </c>
      <c r="E12" s="683"/>
      <c r="F12" s="668"/>
      <c r="G12" s="670"/>
      <c r="H12" s="668"/>
      <c r="N12" s="878"/>
      <c r="O12" s="798"/>
      <c r="P12" s="798"/>
      <c r="Q12" s="798"/>
      <c r="R12" s="798"/>
      <c r="S12" s="798"/>
      <c r="T12" s="798"/>
      <c r="U12" s="798"/>
      <c r="V12" s="798"/>
    </row>
    <row r="13" spans="1:22" s="667" customFormat="1" x14ac:dyDescent="0.15">
      <c r="A13" s="680"/>
      <c r="B13" s="670" t="s">
        <v>160</v>
      </c>
      <c r="C13" s="671" t="str">
        <f>tank_geom_I</f>
        <v>upright</v>
      </c>
      <c r="D13" s="670"/>
      <c r="E13" s="683"/>
      <c r="F13" s="668"/>
      <c r="G13" s="670"/>
      <c r="H13" s="668"/>
      <c r="N13" s="878"/>
      <c r="O13" s="798"/>
      <c r="P13" s="798"/>
      <c r="Q13" s="798"/>
      <c r="R13" s="798"/>
      <c r="S13" s="798"/>
      <c r="T13" s="798"/>
      <c r="U13" s="798"/>
      <c r="V13" s="798"/>
    </row>
    <row r="14" spans="1:22" s="667" customFormat="1" x14ac:dyDescent="0.15">
      <c r="A14" s="680"/>
      <c r="B14" s="670" t="str">
        <f>IF(tank_geom=1,"Height (straight)",IF(tank_geom=2,"Length (straight)",""))</f>
        <v>Height (straight)</v>
      </c>
      <c r="C14" s="668">
        <f>comm_height_length</f>
        <v>6</v>
      </c>
      <c r="D14" s="670" t="s">
        <v>61</v>
      </c>
      <c r="E14" s="683"/>
      <c r="F14" s="668"/>
      <c r="G14" s="670"/>
      <c r="H14" s="668"/>
      <c r="N14" s="878"/>
      <c r="O14" s="798"/>
      <c r="P14" s="798"/>
      <c r="Q14" s="798"/>
      <c r="R14" s="798"/>
      <c r="S14" s="798"/>
      <c r="T14" s="798"/>
      <c r="U14" s="798"/>
      <c r="V14" s="798"/>
    </row>
    <row r="15" spans="1:22" s="667" customFormat="1" x14ac:dyDescent="0.15">
      <c r="A15" s="680"/>
      <c r="B15" s="670" t="s">
        <v>1354</v>
      </c>
      <c r="C15" s="668">
        <f>comm_diam</f>
        <v>13</v>
      </c>
      <c r="D15" s="670" t="s">
        <v>61</v>
      </c>
      <c r="E15" s="683"/>
      <c r="F15" s="668"/>
      <c r="G15" s="670"/>
      <c r="H15" s="668"/>
      <c r="N15" s="878"/>
      <c r="O15" s="798"/>
      <c r="P15" s="798"/>
      <c r="Q15" s="798"/>
      <c r="R15" s="798"/>
      <c r="S15" s="798"/>
      <c r="T15" s="798"/>
      <c r="U15" s="798"/>
      <c r="V15" s="798"/>
    </row>
    <row r="16" spans="1:22" s="667" customFormat="1" x14ac:dyDescent="0.15">
      <c r="A16" s="868"/>
      <c r="B16" s="779" t="s">
        <v>158</v>
      </c>
      <c r="C16" s="671" t="str">
        <f>IF(component_level=2,"high cost",IF(component_level=1,"mid cost","low cost"))</f>
        <v>low cost</v>
      </c>
      <c r="D16" s="670"/>
      <c r="E16" s="683"/>
      <c r="F16" s="668"/>
      <c r="G16" s="670"/>
      <c r="H16" s="668"/>
      <c r="N16" s="878"/>
      <c r="O16" s="798"/>
      <c r="P16" s="798"/>
      <c r="Q16" s="798"/>
      <c r="R16" s="798"/>
      <c r="S16" s="798"/>
      <c r="T16" s="798"/>
      <c r="U16" s="798"/>
      <c r="V16" s="798"/>
    </row>
    <row r="17" spans="1:24" s="667" customFormat="1" x14ac:dyDescent="0.15">
      <c r="A17" s="868"/>
      <c r="B17" s="779" t="s">
        <v>1171</v>
      </c>
      <c r="C17" s="671" t="str">
        <f>IF(manual=1,"manual",IF(manual=2,"semi-automated",IF(manual=3,"fully automated")))</f>
        <v>manual</v>
      </c>
      <c r="D17" s="670"/>
      <c r="E17" s="683"/>
      <c r="F17" s="668"/>
      <c r="G17" s="670"/>
      <c r="H17" s="668"/>
      <c r="N17" s="878"/>
      <c r="O17" s="798"/>
      <c r="P17" s="798"/>
      <c r="Q17" s="798"/>
      <c r="R17" s="798"/>
      <c r="S17" s="798"/>
      <c r="T17" s="798"/>
      <c r="U17" s="798"/>
      <c r="V17" s="798"/>
    </row>
    <row r="18" spans="1:24" s="667" customFormat="1" x14ac:dyDescent="0.15">
      <c r="A18" s="680"/>
      <c r="B18" s="666" t="str">
        <f>"Resulting Costs (in year "&amp;TEXT(current_year_cl,0)&amp;" dollars)"</f>
        <v>Resulting Costs (in year 2021 dollars)</v>
      </c>
      <c r="C18" s="668"/>
      <c r="D18" s="669"/>
      <c r="E18" s="681"/>
      <c r="H18" s="668"/>
      <c r="N18" s="878"/>
      <c r="O18" s="798"/>
      <c r="P18" s="798"/>
      <c r="Q18" s="798"/>
      <c r="R18" s="798"/>
      <c r="S18" s="798"/>
      <c r="T18" s="798"/>
      <c r="U18" s="798"/>
      <c r="V18" s="798"/>
    </row>
    <row r="19" spans="1:24" s="667" customFormat="1" x14ac:dyDescent="0.15">
      <c r="A19" s="680"/>
      <c r="B19" s="670" t="s">
        <v>2155</v>
      </c>
      <c r="C19" s="672">
        <f>IF(input_status&lt;&gt;"input complete -- results ready","Action required",IF(Missing_Cost,"Missing cost!",IF(cost_buildup_error,"Error in buildup!",direct_cost)))</f>
        <v>817120.04967921181</v>
      </c>
      <c r="D19" s="673" t="s">
        <v>2578</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8"/>
      <c r="O19" s="798"/>
      <c r="P19" s="798"/>
      <c r="Q19" s="798"/>
      <c r="R19" s="798"/>
      <c r="S19" s="798"/>
      <c r="T19" s="798"/>
      <c r="U19" s="798"/>
      <c r="V19" s="798"/>
    </row>
    <row r="20" spans="1:24" s="667" customFormat="1" x14ac:dyDescent="0.15">
      <c r="A20" s="680"/>
      <c r="B20" s="670" t="s">
        <v>2156</v>
      </c>
      <c r="C20" s="672">
        <f>IF(input_status&lt;&gt;"input complete -- results ready","Action required",addon_cost)</f>
        <v>70452.836495493655</v>
      </c>
      <c r="D20" s="673" t="s">
        <v>2578</v>
      </c>
      <c r="E20" s="681"/>
      <c r="H20" s="668"/>
      <c r="N20" s="878"/>
      <c r="O20" s="798"/>
      <c r="P20" s="798"/>
      <c r="Q20" s="798"/>
      <c r="R20" s="798"/>
      <c r="S20" s="798"/>
      <c r="T20" s="798"/>
      <c r="U20" s="798"/>
      <c r="V20" s="798"/>
    </row>
    <row r="21" spans="1:24" s="667" customFormat="1" x14ac:dyDescent="0.15">
      <c r="A21" s="680"/>
      <c r="B21" s="743" t="s">
        <v>2157</v>
      </c>
      <c r="C21" s="744">
        <f>IF(input_status&lt;&gt;"input complete -- results ready","Action required",indirect_cost)</f>
        <v>501056.00263810687</v>
      </c>
      <c r="D21" s="673" t="s">
        <v>2578</v>
      </c>
      <c r="E21" s="681"/>
      <c r="H21" s="668"/>
      <c r="N21" s="878"/>
      <c r="O21" s="798"/>
      <c r="P21" s="798"/>
      <c r="Q21" s="798"/>
      <c r="R21" s="798"/>
      <c r="S21" s="798"/>
      <c r="T21" s="798"/>
      <c r="U21" s="798"/>
      <c r="V21" s="798"/>
    </row>
    <row r="22" spans="1:24" s="667" customFormat="1" x14ac:dyDescent="0.15">
      <c r="A22" s="680"/>
      <c r="B22" s="665" t="s">
        <v>2158</v>
      </c>
      <c r="C22" s="672">
        <f>IF(input_status&lt;&gt;"input complete -- results ready","Action required",IF(Missing_Cost,"Missing cost!",IF(cost_buildup_error,"Error in buildup!",system_cost)))</f>
        <v>1388628.8888128123</v>
      </c>
      <c r="D22" s="673" t="s">
        <v>2578</v>
      </c>
      <c r="E22" s="681"/>
      <c r="H22" s="668"/>
      <c r="N22" s="878"/>
      <c r="O22" s="798"/>
      <c r="P22" s="798"/>
      <c r="Q22" s="798"/>
      <c r="R22" s="798"/>
      <c r="S22" s="798"/>
      <c r="T22" s="798"/>
      <c r="U22" s="798"/>
      <c r="V22" s="798"/>
    </row>
    <row r="23" spans="1:24" s="667" customFormat="1" x14ac:dyDescent="0.15">
      <c r="A23" s="680"/>
      <c r="B23" s="541" t="str">
        <f>"Annualized Capital Cost "&amp;IF(OR(input_status&lt;&gt;"input complete -- results ready",Missing_Cost,cost_buildup_error),"","(per year over "&amp;useful_life&amp;" years at "&amp;Discount_rate*100&amp;"%)")</f>
        <v>Annualized Capital Cost (per year over 28 years at 7%)</v>
      </c>
      <c r="C23" s="755">
        <f>IF(input_status&lt;&gt;"input complete -- results ready","Action required",Annualized_Capital_Cost)</f>
        <v>114411.81184681605</v>
      </c>
      <c r="D23" s="673" t="s">
        <v>2578</v>
      </c>
      <c r="E23" s="681"/>
      <c r="H23" s="668"/>
      <c r="N23" s="878"/>
      <c r="O23" s="798"/>
      <c r="P23" s="798"/>
      <c r="Q23" s="798"/>
      <c r="R23" s="798"/>
      <c r="S23" s="798"/>
      <c r="T23" s="798"/>
      <c r="U23" s="798"/>
      <c r="V23" s="798"/>
    </row>
    <row r="24" spans="1:24" s="667" customFormat="1" x14ac:dyDescent="0.15">
      <c r="A24" s="680"/>
      <c r="B24" s="117" t="s">
        <v>3127</v>
      </c>
      <c r="C24" s="672">
        <f>IF(input_status&lt;&gt;"input complete -- results ready","Action required",OM_cost)</f>
        <v>739593.05235560169</v>
      </c>
      <c r="D24" s="673" t="s">
        <v>2578</v>
      </c>
      <c r="E24" s="683"/>
      <c r="F24" s="668"/>
      <c r="G24" s="670"/>
      <c r="H24" s="668"/>
      <c r="J24" s="688"/>
      <c r="N24" s="798"/>
      <c r="O24" s="798"/>
      <c r="P24" s="798"/>
      <c r="Q24" s="798"/>
      <c r="R24" s="798"/>
      <c r="S24" s="798"/>
      <c r="T24" s="798"/>
      <c r="U24" s="798"/>
      <c r="V24" s="798"/>
    </row>
    <row r="25" spans="1:24" s="667" customFormat="1" x14ac:dyDescent="0.15">
      <c r="A25" s="680"/>
      <c r="B25" s="117" t="str">
        <f>"Total Annualized Cost (per year"&amp;IF(OR(input_status&lt;&gt;"input complete -- results ready",ISERROR(OR(TAC_pct_cap,TAC_pct_OM))),"",", "&amp;TEXT(TAC_pct_cap,"0%")&amp;" capital, "&amp;TEXT(TAC_pct_OM,"0%")&amp;" O&amp;M")&amp;")"</f>
        <v>Total Annualized Cost (per year, 13% capital, 87% O&amp;M)</v>
      </c>
      <c r="C25" s="674">
        <f>IF(input_status&lt;&gt;"input complete -- results ready","Action required",IF(Missing_Cost,"Missing cost!",IF(cost_buildup_error,"Error in buildup!",Annualized_Cost)))</f>
        <v>854004.86420241778</v>
      </c>
      <c r="D25" s="673" t="s">
        <v>2578</v>
      </c>
      <c r="E25" s="683"/>
      <c r="F25" s="670"/>
      <c r="G25" s="670"/>
      <c r="H25" s="670"/>
      <c r="J25" s="688"/>
      <c r="N25" s="798"/>
      <c r="O25" s="798"/>
      <c r="P25" s="798"/>
      <c r="Q25" s="798"/>
      <c r="R25" s="798"/>
      <c r="S25" s="798"/>
      <c r="T25" s="798"/>
      <c r="U25" s="798"/>
      <c r="V25" s="798"/>
    </row>
    <row r="26" spans="1:24" s="667" customFormat="1" x14ac:dyDescent="0.15">
      <c r="A26" s="680"/>
      <c r="B26" s="859" t="s">
        <v>30</v>
      </c>
      <c r="C26" s="675">
        <f>IF(input_status&lt;&gt;"input complete -- results ready","Action required",IF(Missing_Cost,"Missing cost!",IF(cost_buildup_error,"Error in buildup!",C444)))</f>
        <v>1.0872394767561462</v>
      </c>
      <c r="D26" s="670"/>
      <c r="E26" s="683"/>
      <c r="F26" s="670"/>
      <c r="G26" s="670"/>
      <c r="H26" s="670"/>
      <c r="J26" s="688"/>
      <c r="N26" s="798"/>
      <c r="O26" s="798"/>
      <c r="P26" s="798"/>
      <c r="Q26" s="798"/>
      <c r="R26" s="798"/>
      <c r="S26" s="798"/>
      <c r="T26" s="798"/>
      <c r="U26" s="798"/>
      <c r="V26" s="798"/>
    </row>
    <row r="27" spans="1:24" s="667" customFormat="1" x14ac:dyDescent="0.15">
      <c r="A27" s="684"/>
      <c r="B27" s="717" t="s">
        <v>3480</v>
      </c>
      <c r="C27" s="888">
        <f>IF(input_status&lt;&gt;"input complete -- results ready","Action required",IF(Missing_Cost,"Missing cost!",IF(cost_buildup_error,"Error in buildup!",C445)))</f>
        <v>150.28594633460162</v>
      </c>
      <c r="D27" s="743"/>
      <c r="E27" s="718"/>
      <c r="F27" s="670"/>
      <c r="G27" s="670"/>
      <c r="H27" s="670"/>
      <c r="J27" s="688"/>
      <c r="N27" s="798"/>
      <c r="O27" s="798"/>
      <c r="P27" s="798"/>
      <c r="Q27" s="798"/>
      <c r="R27" s="798"/>
      <c r="S27" s="798"/>
      <c r="T27" s="798"/>
      <c r="U27" s="798"/>
      <c r="V27" s="798"/>
    </row>
    <row r="28" spans="1:24" s="667" customFormat="1" x14ac:dyDescent="0.15">
      <c r="A28" s="684"/>
      <c r="B28" s="663"/>
      <c r="C28" s="685"/>
      <c r="D28" s="686"/>
      <c r="E28" s="685"/>
      <c r="F28" s="668"/>
      <c r="G28" s="668"/>
      <c r="H28" s="668"/>
      <c r="J28" s="688"/>
      <c r="N28" s="798"/>
      <c r="O28" s="798"/>
      <c r="P28" s="798"/>
      <c r="Q28" s="798"/>
      <c r="R28" s="798"/>
      <c r="S28" s="798"/>
      <c r="T28" s="798"/>
      <c r="U28" s="798"/>
      <c r="V28" s="798"/>
    </row>
    <row r="29" spans="1:24" s="16" customFormat="1" ht="18" customHeight="1" x14ac:dyDescent="0.2">
      <c r="A29" s="217" t="s">
        <v>2969</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x14ac:dyDescent="0.15">
      <c r="A30" s="972" t="s">
        <v>1911</v>
      </c>
      <c r="B30" s="975" t="s">
        <v>1912</v>
      </c>
      <c r="C30" s="975" t="s">
        <v>2972</v>
      </c>
      <c r="D30" s="975"/>
      <c r="E30" s="975" t="s">
        <v>2973</v>
      </c>
      <c r="F30" s="975"/>
      <c r="G30" s="987" t="s">
        <v>2579</v>
      </c>
      <c r="H30" s="987"/>
      <c r="I30" s="975" t="s">
        <v>2580</v>
      </c>
      <c r="J30" s="975" t="s">
        <v>2581</v>
      </c>
      <c r="K30" s="975" t="s">
        <v>2582</v>
      </c>
      <c r="L30" s="984" t="s">
        <v>2849</v>
      </c>
      <c r="M30" s="979" t="s">
        <v>2971</v>
      </c>
      <c r="N30" s="978" t="s">
        <v>2970</v>
      </c>
      <c r="O30" s="978"/>
      <c r="P30" s="978"/>
      <c r="Q30" s="978"/>
      <c r="R30" s="978"/>
      <c r="S30" s="978"/>
      <c r="T30" s="978"/>
      <c r="U30" s="978"/>
      <c r="V30" s="978"/>
      <c r="W30" s="978" t="s">
        <v>2582</v>
      </c>
      <c r="X30" s="978"/>
    </row>
    <row r="31" spans="1:24" s="16" customFormat="1" ht="18" customHeight="1" x14ac:dyDescent="0.15">
      <c r="A31" s="973"/>
      <c r="B31" s="976"/>
      <c r="C31" s="976"/>
      <c r="D31" s="976"/>
      <c r="E31" s="976"/>
      <c r="F31" s="976"/>
      <c r="G31" s="988"/>
      <c r="H31" s="988"/>
      <c r="I31" s="976"/>
      <c r="J31" s="976"/>
      <c r="K31" s="976"/>
      <c r="L31" s="985"/>
      <c r="M31" s="980"/>
      <c r="N31" s="879" t="s">
        <v>1321</v>
      </c>
      <c r="O31" s="879"/>
      <c r="P31" s="879"/>
      <c r="Q31" s="879" t="s">
        <v>1322</v>
      </c>
      <c r="R31" s="879"/>
      <c r="S31" s="879"/>
      <c r="T31" s="879" t="s">
        <v>1323</v>
      </c>
      <c r="U31" s="879"/>
      <c r="V31" s="879"/>
      <c r="W31" s="978"/>
      <c r="X31" s="978"/>
    </row>
    <row r="32" spans="1:24" s="16" customFormat="1" ht="18" customHeight="1" x14ac:dyDescent="0.15">
      <c r="A32" s="974"/>
      <c r="B32" s="977"/>
      <c r="C32" s="977"/>
      <c r="D32" s="977"/>
      <c r="E32" s="977"/>
      <c r="F32" s="977"/>
      <c r="G32" s="989"/>
      <c r="H32" s="989"/>
      <c r="I32" s="977"/>
      <c r="J32" s="977"/>
      <c r="K32" s="977"/>
      <c r="L32" s="986"/>
      <c r="M32" s="980"/>
      <c r="N32" s="528" t="s">
        <v>1324</v>
      </c>
      <c r="O32" s="528" t="s">
        <v>1325</v>
      </c>
      <c r="P32" s="528" t="s">
        <v>1326</v>
      </c>
      <c r="Q32" s="528" t="s">
        <v>1324</v>
      </c>
      <c r="R32" s="528" t="s">
        <v>1325</v>
      </c>
      <c r="S32" s="528" t="s">
        <v>1326</v>
      </c>
      <c r="T32" s="528" t="s">
        <v>1324</v>
      </c>
      <c r="U32" s="528" t="s">
        <v>1325</v>
      </c>
      <c r="V32" s="528" t="s">
        <v>1326</v>
      </c>
      <c r="W32" s="526" t="s">
        <v>19</v>
      </c>
      <c r="X32" s="528" t="s">
        <v>20</v>
      </c>
    </row>
    <row r="33" spans="1:25" s="16" customFormat="1" x14ac:dyDescent="0.15">
      <c r="A33" s="483">
        <v>1</v>
      </c>
      <c r="B33" s="28" t="s">
        <v>2583</v>
      </c>
      <c r="C33" s="28"/>
      <c r="D33" s="253"/>
      <c r="E33" s="28"/>
      <c r="F33" s="28"/>
      <c r="G33" s="28"/>
      <c r="H33" s="28"/>
      <c r="I33" s="28"/>
      <c r="J33" s="28"/>
      <c r="K33" s="28"/>
      <c r="L33" s="254"/>
      <c r="M33" s="216"/>
      <c r="N33" s="651"/>
      <c r="O33" s="651"/>
      <c r="P33" s="651"/>
      <c r="Q33" s="651"/>
      <c r="R33" s="651"/>
      <c r="S33" s="651"/>
      <c r="T33" s="651"/>
      <c r="U33" s="651"/>
      <c r="V33" s="651"/>
    </row>
    <row r="34" spans="1:25" s="16" customFormat="1" x14ac:dyDescent="0.15">
      <c r="A34" s="484">
        <v>1.1000000000000001</v>
      </c>
      <c r="B34" s="388" t="s">
        <v>2584</v>
      </c>
      <c r="C34" s="21">
        <f>final_num_tanks</f>
        <v>3</v>
      </c>
      <c r="D34" s="389" t="s">
        <v>64</v>
      </c>
      <c r="E34" s="390">
        <f>comm_vol_gal</f>
        <v>5957.0251578838952</v>
      </c>
      <c r="F34" s="21" t="s">
        <v>1132</v>
      </c>
      <c r="G34" s="390">
        <f>IF(curve=1,comm_vol_gal,VLOOKUP(comm_vol_gal,ss_pv_cost_cl,2))</f>
        <v>5957.0251578838952</v>
      </c>
      <c r="H34" s="21" t="s">
        <v>1132</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x14ac:dyDescent="0.15">
      <c r="A35" s="484">
        <v>1.1000000000000001</v>
      </c>
      <c r="B35" s="388" t="s">
        <v>1208</v>
      </c>
      <c r="C35" s="21">
        <f>final_num_tanks</f>
        <v>3</v>
      </c>
      <c r="D35" s="389" t="s">
        <v>64</v>
      </c>
      <c r="E35" s="390">
        <f>comm_vol_gal</f>
        <v>5957.0251578838952</v>
      </c>
      <c r="F35" s="21" t="s">
        <v>1132</v>
      </c>
      <c r="G35" s="390">
        <f>IF(curve=1,comm_vol_gal,VLOOKUP(comm_vol_gal,cs_pv_cost_cl,2))</f>
        <v>5957.0251578838952</v>
      </c>
      <c r="H35" s="21" t="s">
        <v>1132</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x14ac:dyDescent="0.15">
      <c r="A36" s="484">
        <v>1.1000000000000001</v>
      </c>
      <c r="B36" s="388" t="s">
        <v>47</v>
      </c>
      <c r="C36" s="21">
        <f>final_num_tanks</f>
        <v>3</v>
      </c>
      <c r="D36" s="389" t="s">
        <v>64</v>
      </c>
      <c r="E36" s="390">
        <f>comm_vol_gal</f>
        <v>5957.0251578838952</v>
      </c>
      <c r="F36" s="21" t="s">
        <v>1132</v>
      </c>
      <c r="G36" s="390">
        <f>IF(curve=1,comm_vol_gal,VLOOKUP(comm_vol_gal,csp_pv_cost_cl,2))</f>
        <v>5957.0251578838952</v>
      </c>
      <c r="H36" s="21" t="s">
        <v>1132</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x14ac:dyDescent="0.15">
      <c r="A37" s="484">
        <v>1.1000000000000001</v>
      </c>
      <c r="B37" s="388" t="s">
        <v>1328</v>
      </c>
      <c r="C37" s="21">
        <f>final_num_tanks</f>
        <v>3</v>
      </c>
      <c r="D37" s="389" t="s">
        <v>64</v>
      </c>
      <c r="E37" s="390">
        <f>comm_vol_gal</f>
        <v>5957.0251578838952</v>
      </c>
      <c r="F37" s="21" t="s">
        <v>1132</v>
      </c>
      <c r="G37" s="390">
        <f>IF(curve=1,comm_vol_gal,VLOOKUP(comm_vol_gal,fg_pv_cost_cl,2))</f>
        <v>5957.0251578838952</v>
      </c>
      <c r="H37" s="21" t="s">
        <v>1132</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x14ac:dyDescent="0.15">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x14ac:dyDescent="0.15">
      <c r="A39" s="484">
        <v>2.1</v>
      </c>
      <c r="B39" s="388" t="s">
        <v>3215</v>
      </c>
      <c r="C39" s="390">
        <f>resin_volume_total</f>
        <v>955.6724852220151</v>
      </c>
      <c r="D39" s="389" t="s">
        <v>1100</v>
      </c>
      <c r="E39" s="394" t="s">
        <v>1345</v>
      </c>
      <c r="F39" s="21"/>
      <c r="G39" s="394" t="s">
        <v>1345</v>
      </c>
      <c r="H39" s="21"/>
      <c r="I39" s="395">
        <f>VLOOKUP(B39,sba_res_cost_cl,3,FALSE)</f>
        <v>346.35702669178897</v>
      </c>
      <c r="J39" s="392">
        <f>IF(I39="contact vendor","--",C39*I39)</f>
        <v>331003.88047264976</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x14ac:dyDescent="0.15">
      <c r="A40" s="483">
        <v>3</v>
      </c>
      <c r="B40" s="28" t="s">
        <v>2586</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x14ac:dyDescent="0.15">
      <c r="A41" s="485">
        <v>3.1</v>
      </c>
      <c r="B41" s="29" t="s">
        <v>2126</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x14ac:dyDescent="0.15">
      <c r="A42" s="252" t="s">
        <v>2406</v>
      </c>
      <c r="B42" s="21" t="s">
        <v>1336</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x14ac:dyDescent="0.15">
      <c r="A43" s="252" t="s">
        <v>2406</v>
      </c>
      <c r="B43" s="21" t="s">
        <v>1328</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x14ac:dyDescent="0.15">
      <c r="A44" s="252" t="s">
        <v>2406</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x14ac:dyDescent="0.15">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x14ac:dyDescent="0.15">
      <c r="A46" s="252" t="s">
        <v>2407</v>
      </c>
      <c r="B46" s="21" t="s">
        <v>2940</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x14ac:dyDescent="0.15">
      <c r="A47" s="252" t="s">
        <v>2407</v>
      </c>
      <c r="B47" s="21" t="s">
        <v>1328</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x14ac:dyDescent="0.15">
      <c r="A48" s="252" t="s">
        <v>2407</v>
      </c>
      <c r="B48" s="21" t="s">
        <v>2584</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x14ac:dyDescent="0.15">
      <c r="A49" s="252" t="s">
        <v>3175</v>
      </c>
      <c r="B49" s="21" t="s">
        <v>3176</v>
      </c>
      <c r="C49" s="21">
        <f>_xlfn.SINGLE(IF(OR(include_sec_cont=0,mix_tanks=0),0,mix_curb_concrete))</f>
        <v>0</v>
      </c>
      <c r="D49" s="389" t="s">
        <v>1351</v>
      </c>
      <c r="E49" s="400" t="s">
        <v>1345</v>
      </c>
      <c r="F49" s="21"/>
      <c r="G49" s="400" t="s">
        <v>1345</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x14ac:dyDescent="0.15">
      <c r="A50" s="252" t="s">
        <v>3177</v>
      </c>
      <c r="B50" s="21" t="s">
        <v>3178</v>
      </c>
      <c r="C50" s="21">
        <f>_xlfn.SINGLE(IF(OR(include_sec_cont=0,mix_tanks=0),0,mix_coating_gal))</f>
        <v>0</v>
      </c>
      <c r="D50" s="389" t="s">
        <v>1132</v>
      </c>
      <c r="E50" s="400" t="s">
        <v>1345</v>
      </c>
      <c r="F50" s="21"/>
      <c r="G50" s="400" t="s">
        <v>1345</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x14ac:dyDescent="0.15">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x14ac:dyDescent="0.15">
      <c r="A52" s="252" t="s">
        <v>2408</v>
      </c>
      <c r="B52" s="21" t="s">
        <v>2940</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x14ac:dyDescent="0.15">
      <c r="A53" s="252" t="s">
        <v>2408</v>
      </c>
      <c r="B53" s="21" t="s">
        <v>1328</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x14ac:dyDescent="0.15">
      <c r="A54" s="252" t="s">
        <v>2408</v>
      </c>
      <c r="B54" s="21" t="s">
        <v>2584</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x14ac:dyDescent="0.15">
      <c r="A55" s="252" t="s">
        <v>3179</v>
      </c>
      <c r="B55" s="21" t="s">
        <v>2915</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x14ac:dyDescent="0.15">
      <c r="A56" s="252" t="s">
        <v>3180</v>
      </c>
      <c r="B56" s="21" t="s">
        <v>2917</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x14ac:dyDescent="0.15">
      <c r="A57" s="252" t="s">
        <v>3241</v>
      </c>
      <c r="B57" s="21" t="s">
        <v>3176</v>
      </c>
      <c r="C57" s="21">
        <f>IF(OR(include_sec_cont=0,NaOH_tanks=0),0,ct_curb_concrete)</f>
        <v>0</v>
      </c>
      <c r="D57" s="389" t="s">
        <v>1351</v>
      </c>
      <c r="E57" s="400" t="s">
        <v>1345</v>
      </c>
      <c r="F57" s="21"/>
      <c r="G57" s="400" t="s">
        <v>1345</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x14ac:dyDescent="0.15">
      <c r="A58" s="252" t="s">
        <v>3242</v>
      </c>
      <c r="B58" s="21" t="s">
        <v>3178</v>
      </c>
      <c r="C58" s="21">
        <f>IF(OR(include_sec_cont=0,NaOH_tanks=0),0,ct_coating_gal)</f>
        <v>0</v>
      </c>
      <c r="D58" s="389" t="s">
        <v>1132</v>
      </c>
      <c r="E58" s="400" t="s">
        <v>1345</v>
      </c>
      <c r="F58" s="21"/>
      <c r="G58" s="400" t="s">
        <v>1345</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x14ac:dyDescent="0.15">
      <c r="A59" s="485">
        <v>3.4</v>
      </c>
      <c r="B59" s="41" t="s">
        <v>1958</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x14ac:dyDescent="0.15">
      <c r="A60" s="252" t="s">
        <v>2409</v>
      </c>
      <c r="B60" s="1" t="s">
        <v>2940</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x14ac:dyDescent="0.15">
      <c r="A61" s="252" t="s">
        <v>2409</v>
      </c>
      <c r="B61" s="1" t="s">
        <v>1328</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x14ac:dyDescent="0.15">
      <c r="A62" s="252" t="s">
        <v>2409</v>
      </c>
      <c r="B62" s="1" t="s">
        <v>2584</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x14ac:dyDescent="0.15">
      <c r="A63" s="252" t="s">
        <v>2923</v>
      </c>
      <c r="B63" s="1" t="s">
        <v>2915</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x14ac:dyDescent="0.15">
      <c r="A64" s="252" t="s">
        <v>2924</v>
      </c>
      <c r="B64" s="1" t="s">
        <v>2917</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x14ac:dyDescent="0.15">
      <c r="A65" s="252" t="s">
        <v>3181</v>
      </c>
      <c r="B65" s="21" t="s">
        <v>3176</v>
      </c>
      <c r="C65" s="21">
        <f>IF(OR(include_sec_cont=0,NaOH_day_tanks=0),0,dt_curb_concrete)</f>
        <v>0</v>
      </c>
      <c r="D65" s="389" t="s">
        <v>1351</v>
      </c>
      <c r="E65" s="400" t="s">
        <v>1345</v>
      </c>
      <c r="F65" s="21"/>
      <c r="G65" s="400" t="s">
        <v>1345</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x14ac:dyDescent="0.15">
      <c r="A66" s="252" t="s">
        <v>3182</v>
      </c>
      <c r="B66" s="21" t="s">
        <v>3178</v>
      </c>
      <c r="C66" s="21">
        <f>IF(OR(include_sec_cont=0,NaOH_day_tanks=0),0,dt_coating_gal)</f>
        <v>0</v>
      </c>
      <c r="D66" s="389" t="s">
        <v>1132</v>
      </c>
      <c r="E66" s="400" t="s">
        <v>1345</v>
      </c>
      <c r="F66" s="21"/>
      <c r="G66" s="400" t="s">
        <v>1345</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x14ac:dyDescent="0.15">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x14ac:dyDescent="0.15">
      <c r="A68" s="401" t="s">
        <v>2410</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x14ac:dyDescent="0.15">
      <c r="A69" s="401" t="s">
        <v>2410</v>
      </c>
      <c r="B69" s="1" t="s">
        <v>1267</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x14ac:dyDescent="0.15">
      <c r="A70" s="401" t="s">
        <v>2410</v>
      </c>
      <c r="B70" s="1" t="s">
        <v>1268</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x14ac:dyDescent="0.15">
      <c r="A71" s="401" t="s">
        <v>2410</v>
      </c>
      <c r="B71" s="1" t="s">
        <v>1269</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x14ac:dyDescent="0.15">
      <c r="A72" s="571" t="s">
        <v>1956</v>
      </c>
      <c r="B72" s="844" t="s">
        <v>3378</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x14ac:dyDescent="0.15">
      <c r="A73" s="401" t="s">
        <v>1957</v>
      </c>
      <c r="B73" s="1" t="s">
        <v>2940</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x14ac:dyDescent="0.15">
      <c r="A74" s="401" t="s">
        <v>1957</v>
      </c>
      <c r="B74" s="1" t="s">
        <v>1328</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x14ac:dyDescent="0.15">
      <c r="A75" s="252" t="s">
        <v>3398</v>
      </c>
      <c r="B75" s="21" t="s">
        <v>3176</v>
      </c>
      <c r="C75" s="21">
        <f>IF(OR(include_sec_cont=0,coag_tanks=0),0,coag_curb_concrete)</f>
        <v>0</v>
      </c>
      <c r="D75" s="389" t="s">
        <v>1351</v>
      </c>
      <c r="E75" s="400" t="s">
        <v>1345</v>
      </c>
      <c r="F75" s="21"/>
      <c r="G75" s="400" t="s">
        <v>1345</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x14ac:dyDescent="0.15">
      <c r="A76" s="252" t="s">
        <v>3399</v>
      </c>
      <c r="B76" s="21" t="s">
        <v>3178</v>
      </c>
      <c r="C76" s="21">
        <f>IF(OR(include_sec_cont=0,coag_tanks=0),0,coag_coating_gal)</f>
        <v>0</v>
      </c>
      <c r="D76" s="389" t="s">
        <v>1132</v>
      </c>
      <c r="E76" s="400" t="s">
        <v>1345</v>
      </c>
      <c r="F76" s="21"/>
      <c r="G76" s="400" t="s">
        <v>1345</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x14ac:dyDescent="0.15">
      <c r="A77" s="571">
        <v>3.7</v>
      </c>
      <c r="B77" s="41" t="s">
        <v>1369</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x14ac:dyDescent="0.15">
      <c r="A78" s="401" t="s">
        <v>3397</v>
      </c>
      <c r="B78" s="1" t="s">
        <v>2940</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x14ac:dyDescent="0.15">
      <c r="A79" s="401" t="s">
        <v>3397</v>
      </c>
      <c r="B79" s="1" t="s">
        <v>1328</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x14ac:dyDescent="0.15">
      <c r="A80" s="401" t="s">
        <v>3397</v>
      </c>
      <c r="B80" s="1" t="s">
        <v>2584</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x14ac:dyDescent="0.15">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x14ac:dyDescent="0.15">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x14ac:dyDescent="0.15">
      <c r="A83" s="483">
        <v>5</v>
      </c>
      <c r="B83" s="28" t="s">
        <v>1330</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x14ac:dyDescent="0.15">
      <c r="A84" s="485">
        <v>5.0999999999999996</v>
      </c>
      <c r="B84" s="29" t="s">
        <v>1337</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x14ac:dyDescent="0.15">
      <c r="A85" s="252" t="s">
        <v>2411</v>
      </c>
      <c r="B85" s="21" t="s">
        <v>1334</v>
      </c>
      <c r="C85" s="21">
        <f>back_pipe_length</f>
        <v>150</v>
      </c>
      <c r="D85" s="389" t="s">
        <v>1332</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x14ac:dyDescent="0.15">
      <c r="A86" s="252" t="s">
        <v>2411</v>
      </c>
      <c r="B86" s="21" t="s">
        <v>1335</v>
      </c>
      <c r="C86" s="21">
        <f>back_pipe_length</f>
        <v>150</v>
      </c>
      <c r="D86" s="389" t="s">
        <v>1332</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x14ac:dyDescent="0.15">
      <c r="A87" s="252" t="s">
        <v>2411</v>
      </c>
      <c r="B87" s="21" t="s">
        <v>2584</v>
      </c>
      <c r="C87" s="21">
        <f>back_pipe_length</f>
        <v>150</v>
      </c>
      <c r="D87" s="389" t="s">
        <v>1332</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x14ac:dyDescent="0.15">
      <c r="A88" s="252" t="s">
        <v>2411</v>
      </c>
      <c r="B88" s="21" t="s">
        <v>1336</v>
      </c>
      <c r="C88" s="21">
        <f>back_pipe_length</f>
        <v>150</v>
      </c>
      <c r="D88" s="389" t="s">
        <v>1332</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x14ac:dyDescent="0.15">
      <c r="A89" s="485">
        <v>5.2</v>
      </c>
      <c r="B89" s="29" t="s">
        <v>1463</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x14ac:dyDescent="0.15">
      <c r="A90" s="252" t="s">
        <v>2412</v>
      </c>
      <c r="B90" s="21" t="s">
        <v>1334</v>
      </c>
      <c r="C90" s="21">
        <f>brine_pipe_length</f>
        <v>0</v>
      </c>
      <c r="D90" s="389" t="s">
        <v>1332</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x14ac:dyDescent="0.15">
      <c r="A91" s="252" t="s">
        <v>2412</v>
      </c>
      <c r="B91" s="21" t="s">
        <v>1335</v>
      </c>
      <c r="C91" s="21">
        <f>brine_pipe_length</f>
        <v>0</v>
      </c>
      <c r="D91" s="389" t="s">
        <v>1332</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x14ac:dyDescent="0.15">
      <c r="A92" s="252" t="s">
        <v>2412</v>
      </c>
      <c r="B92" s="21" t="s">
        <v>2584</v>
      </c>
      <c r="C92" s="21">
        <f>brine_pipe_length</f>
        <v>0</v>
      </c>
      <c r="D92" s="389" t="s">
        <v>1332</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x14ac:dyDescent="0.15">
      <c r="A93" s="485">
        <v>5.3</v>
      </c>
      <c r="B93" s="29" t="s">
        <v>1331</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x14ac:dyDescent="0.15">
      <c r="A94" s="252" t="s">
        <v>2413</v>
      </c>
      <c r="B94" s="21" t="s">
        <v>846</v>
      </c>
      <c r="C94" s="21">
        <f>proc_pipe_length</f>
        <v>120</v>
      </c>
      <c r="D94" s="389" t="s">
        <v>1332</v>
      </c>
      <c r="E94" s="21">
        <f>proc_pipe_diam</f>
        <v>10</v>
      </c>
      <c r="F94" s="21" t="s">
        <v>1333</v>
      </c>
      <c r="G94" s="21">
        <f>IF(curve=1,proc_pipe_diam,VLOOKUP(proc_pipe_diam,di_pipe_cost_cl,2))</f>
        <v>10</v>
      </c>
      <c r="H94" s="21" t="s">
        <v>1333</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x14ac:dyDescent="0.15">
      <c r="A95" s="252" t="s">
        <v>2413</v>
      </c>
      <c r="B95" s="21" t="s">
        <v>1334</v>
      </c>
      <c r="C95" s="21">
        <f>proc_pipe_length</f>
        <v>120</v>
      </c>
      <c r="D95" s="389" t="s">
        <v>1332</v>
      </c>
      <c r="E95" s="21">
        <f>proc_pipe_diam</f>
        <v>10</v>
      </c>
      <c r="F95" s="21" t="s">
        <v>1333</v>
      </c>
      <c r="G95" s="21">
        <f>IF(curve=1,proc_pipe_diam,VLOOKUP(proc_pipe_diam,cpvc_pipe_cost_cl,2))</f>
        <v>10</v>
      </c>
      <c r="H95" s="21" t="s">
        <v>1333</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x14ac:dyDescent="0.15">
      <c r="A96" s="252" t="s">
        <v>2413</v>
      </c>
      <c r="B96" s="21" t="s">
        <v>1335</v>
      </c>
      <c r="C96" s="21">
        <f>proc_pipe_length</f>
        <v>120</v>
      </c>
      <c r="D96" s="389" t="s">
        <v>1332</v>
      </c>
      <c r="E96" s="21">
        <f>proc_pipe_diam</f>
        <v>10</v>
      </c>
      <c r="F96" s="21" t="s">
        <v>1333</v>
      </c>
      <c r="G96" s="21">
        <f>IF(curve=1,proc_pipe_diam,VLOOKUP(proc_pipe_diam,pvc_pipe_cost_cl,2))</f>
        <v>10</v>
      </c>
      <c r="H96" s="21" t="s">
        <v>1333</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x14ac:dyDescent="0.15">
      <c r="A97" s="252" t="s">
        <v>2413</v>
      </c>
      <c r="B97" s="21" t="s">
        <v>2584</v>
      </c>
      <c r="C97" s="21">
        <f>proc_pipe_length</f>
        <v>120</v>
      </c>
      <c r="D97" s="389" t="s">
        <v>1332</v>
      </c>
      <c r="E97" s="21">
        <f>proc_pipe_diam</f>
        <v>10</v>
      </c>
      <c r="F97" s="21" t="s">
        <v>1333</v>
      </c>
      <c r="G97" s="21">
        <f>IF(curve=1,proc_pipe_diam,VLOOKUP(proc_pipe_diam,ss_pipe_cost_cl,2))</f>
        <v>10</v>
      </c>
      <c r="H97" s="21" t="s">
        <v>1333</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x14ac:dyDescent="0.15">
      <c r="A98" s="252" t="s">
        <v>2413</v>
      </c>
      <c r="B98" s="21" t="s">
        <v>1336</v>
      </c>
      <c r="C98" s="21">
        <f>proc_pipe_length</f>
        <v>120</v>
      </c>
      <c r="D98" s="389" t="s">
        <v>1332</v>
      </c>
      <c r="E98" s="21">
        <f>proc_pipe_diam</f>
        <v>10</v>
      </c>
      <c r="F98" s="21" t="s">
        <v>1333</v>
      </c>
      <c r="G98" s="21">
        <f>IF(curve=1,proc_pipe_diam,VLOOKUP(proc_pipe_diam,st_pipe_cost_cl,2))</f>
        <v>10</v>
      </c>
      <c r="H98" s="21" t="s">
        <v>1333</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x14ac:dyDescent="0.15">
      <c r="A99" s="485">
        <v>5.4</v>
      </c>
      <c r="B99" s="29" t="s">
        <v>2192</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x14ac:dyDescent="0.15">
      <c r="A100" s="252" t="s">
        <v>2414</v>
      </c>
      <c r="B100" s="21" t="s">
        <v>1334</v>
      </c>
      <c r="C100" s="21">
        <f>bp_pipe_length</f>
        <v>0</v>
      </c>
      <c r="D100" s="389" t="s">
        <v>1332</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x14ac:dyDescent="0.15">
      <c r="A101" s="252" t="s">
        <v>2414</v>
      </c>
      <c r="B101" s="21" t="s">
        <v>1335</v>
      </c>
      <c r="C101" s="21">
        <f>bp_pipe_length</f>
        <v>0</v>
      </c>
      <c r="D101" s="389" t="s">
        <v>1332</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x14ac:dyDescent="0.15">
      <c r="A102" s="252" t="s">
        <v>2414</v>
      </c>
      <c r="B102" s="21" t="s">
        <v>2584</v>
      </c>
      <c r="C102" s="21">
        <f>bp_pipe_length</f>
        <v>0</v>
      </c>
      <c r="D102" s="389" t="s">
        <v>1332</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x14ac:dyDescent="0.15">
      <c r="A103" s="252" t="s">
        <v>2414</v>
      </c>
      <c r="B103" s="21" t="s">
        <v>1336</v>
      </c>
      <c r="C103" s="21">
        <f>bp_pipe_length</f>
        <v>0</v>
      </c>
      <c r="D103" s="389" t="s">
        <v>1332</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x14ac:dyDescent="0.15">
      <c r="A104" s="485">
        <v>5.5</v>
      </c>
      <c r="B104" s="29" t="s">
        <v>3462</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x14ac:dyDescent="0.15">
      <c r="A105" s="252" t="s">
        <v>2415</v>
      </c>
      <c r="B105" s="21" t="s">
        <v>846</v>
      </c>
      <c r="C105" s="21">
        <f>in_out_pipe_length</f>
        <v>120</v>
      </c>
      <c r="D105" s="389" t="s">
        <v>1332</v>
      </c>
      <c r="E105" s="21">
        <f>in_out_pipe_diam</f>
        <v>10</v>
      </c>
      <c r="F105" s="21" t="s">
        <v>1333</v>
      </c>
      <c r="G105" s="21">
        <f>IF(curve=1,in_out_pipe_diam,VLOOKUP(in_out_pipe_diam,di_pipe_cost_cl,2))</f>
        <v>10</v>
      </c>
      <c r="H105" s="21" t="s">
        <v>1333</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x14ac:dyDescent="0.15">
      <c r="A106" s="252" t="s">
        <v>2415</v>
      </c>
      <c r="B106" s="21" t="s">
        <v>1334</v>
      </c>
      <c r="C106" s="21">
        <f>in_out_pipe_length</f>
        <v>120</v>
      </c>
      <c r="D106" s="389" t="s">
        <v>1332</v>
      </c>
      <c r="E106" s="21">
        <f>in_out_pipe_diam</f>
        <v>10</v>
      </c>
      <c r="F106" s="21" t="s">
        <v>1333</v>
      </c>
      <c r="G106" s="21">
        <f>IF(curve=1,in_out_pipe_diam,VLOOKUP(in_out_pipe_diam,cpvc_pipe_cost_cl,2))</f>
        <v>10</v>
      </c>
      <c r="H106" s="21" t="s">
        <v>1333</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x14ac:dyDescent="0.15">
      <c r="A107" s="252" t="s">
        <v>2415</v>
      </c>
      <c r="B107" s="21" t="s">
        <v>1335</v>
      </c>
      <c r="C107" s="21">
        <f>in_out_pipe_length</f>
        <v>120</v>
      </c>
      <c r="D107" s="389" t="s">
        <v>1332</v>
      </c>
      <c r="E107" s="21">
        <f>in_out_pipe_diam</f>
        <v>10</v>
      </c>
      <c r="F107" s="21" t="s">
        <v>1333</v>
      </c>
      <c r="G107" s="21">
        <f>IF(curve=1,in_out_pipe_diam,VLOOKUP(in_out_pipe_diam,pvc_pipe_cost_cl,2))</f>
        <v>10</v>
      </c>
      <c r="H107" s="21" t="s">
        <v>1333</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x14ac:dyDescent="0.15">
      <c r="A108" s="252" t="s">
        <v>2415</v>
      </c>
      <c r="B108" s="21" t="s">
        <v>2584</v>
      </c>
      <c r="C108" s="21">
        <f>in_out_pipe_length</f>
        <v>120</v>
      </c>
      <c r="D108" s="389" t="s">
        <v>1332</v>
      </c>
      <c r="E108" s="21">
        <f>in_out_pipe_diam</f>
        <v>10</v>
      </c>
      <c r="F108" s="21" t="s">
        <v>1333</v>
      </c>
      <c r="G108" s="21">
        <f>IF(curve=1,in_out_pipe_diam,VLOOKUP(in_out_pipe_diam,ss_pipe_cost_cl,2))</f>
        <v>10</v>
      </c>
      <c r="H108" s="21" t="s">
        <v>1333</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x14ac:dyDescent="0.15">
      <c r="A109" s="252" t="s">
        <v>2415</v>
      </c>
      <c r="B109" s="21" t="s">
        <v>1336</v>
      </c>
      <c r="C109" s="21">
        <f>in_out_pipe_length</f>
        <v>120</v>
      </c>
      <c r="D109" s="389" t="s">
        <v>1332</v>
      </c>
      <c r="E109" s="21">
        <f>in_out_pipe_diam</f>
        <v>10</v>
      </c>
      <c r="F109" s="21" t="s">
        <v>1333</v>
      </c>
      <c r="G109" s="21">
        <f>IF(curve=1,in_out_pipe_diam,VLOOKUP(in_out_pipe_diam,st_pipe_cost_cl,2))</f>
        <v>10</v>
      </c>
      <c r="H109" s="21" t="s">
        <v>1333</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x14ac:dyDescent="0.15">
      <c r="A110" s="485">
        <v>5.6</v>
      </c>
      <c r="B110" s="29" t="s">
        <v>2377</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x14ac:dyDescent="0.15">
      <c r="A111" s="252" t="s">
        <v>2416</v>
      </c>
      <c r="B111" s="21" t="s">
        <v>1334</v>
      </c>
      <c r="C111" s="21">
        <f>caustic_pipe_length</f>
        <v>0</v>
      </c>
      <c r="D111" s="389" t="s">
        <v>1332</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x14ac:dyDescent="0.15">
      <c r="A112" s="252" t="s">
        <v>2416</v>
      </c>
      <c r="B112" s="21" t="s">
        <v>1335</v>
      </c>
      <c r="C112" s="21">
        <f>caustic_pipe_length</f>
        <v>0</v>
      </c>
      <c r="D112" s="389" t="s">
        <v>1332</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x14ac:dyDescent="0.15">
      <c r="A113" s="252" t="s">
        <v>2416</v>
      </c>
      <c r="B113" s="21" t="s">
        <v>2584</v>
      </c>
      <c r="C113" s="21">
        <f>caustic_pipe_length</f>
        <v>0</v>
      </c>
      <c r="D113" s="389" t="s">
        <v>1332</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x14ac:dyDescent="0.15">
      <c r="A114" s="487">
        <v>5.7</v>
      </c>
      <c r="B114" s="99" t="s">
        <v>1270</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x14ac:dyDescent="0.15">
      <c r="A115" s="486" t="s">
        <v>2417</v>
      </c>
      <c r="B115" s="405" t="s">
        <v>1334</v>
      </c>
      <c r="C115" s="21">
        <f>res_pipe_length</f>
        <v>100</v>
      </c>
      <c r="D115" s="389" t="s">
        <v>1332</v>
      </c>
      <c r="E115" s="394">
        <f>res_pipe_diam</f>
        <v>1</v>
      </c>
      <c r="F115" s="21" t="s">
        <v>1333</v>
      </c>
      <c r="G115" s="394">
        <f>IF(curve=1,res_pipe_diam,VLOOKUP(res_pipe_diam,cpvc_pipe_cost_cl,2))</f>
        <v>1</v>
      </c>
      <c r="H115" s="21" t="s">
        <v>1333</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x14ac:dyDescent="0.15">
      <c r="A116" s="486" t="s">
        <v>2417</v>
      </c>
      <c r="B116" s="405" t="s">
        <v>1335</v>
      </c>
      <c r="C116" s="21">
        <f>res_pipe_length</f>
        <v>100</v>
      </c>
      <c r="D116" s="389" t="s">
        <v>1332</v>
      </c>
      <c r="E116" s="394">
        <f>res_pipe_diam</f>
        <v>1</v>
      </c>
      <c r="F116" s="21" t="s">
        <v>1333</v>
      </c>
      <c r="G116" s="394">
        <f>IF(curve=1,res_pipe_diam,VLOOKUP(res_pipe_diam,pvc_pipe_cost_cl,2))</f>
        <v>1</v>
      </c>
      <c r="H116" s="21" t="s">
        <v>1333</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x14ac:dyDescent="0.15">
      <c r="A117" s="486" t="s">
        <v>2417</v>
      </c>
      <c r="B117" s="405" t="s">
        <v>2584</v>
      </c>
      <c r="C117" s="21">
        <f>res_pipe_length</f>
        <v>100</v>
      </c>
      <c r="D117" s="389" t="s">
        <v>1332</v>
      </c>
      <c r="E117" s="394">
        <f>res_pipe_diam</f>
        <v>1</v>
      </c>
      <c r="F117" s="21" t="s">
        <v>1333</v>
      </c>
      <c r="G117" s="394">
        <f>IF(curve=1,res_pipe_diam,VLOOKUP(res_pipe_diam,ss_pipe_cost_cl,2))</f>
        <v>1</v>
      </c>
      <c r="H117" s="21" t="s">
        <v>1333</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x14ac:dyDescent="0.15">
      <c r="A118" s="486" t="s">
        <v>2417</v>
      </c>
      <c r="B118" s="405" t="s">
        <v>1336</v>
      </c>
      <c r="C118" s="21">
        <f>res_pipe_length</f>
        <v>100</v>
      </c>
      <c r="D118" s="389" t="s">
        <v>1332</v>
      </c>
      <c r="E118" s="394">
        <f>res_pipe_diam</f>
        <v>1</v>
      </c>
      <c r="F118" s="21" t="s">
        <v>1333</v>
      </c>
      <c r="G118" s="394">
        <f>IF(curve=1,res_pipe_diam,VLOOKUP(res_pipe_diam,st_pipe_cost_cl,2))</f>
        <v>1</v>
      </c>
      <c r="H118" s="21" t="s">
        <v>1333</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x14ac:dyDescent="0.15">
      <c r="A119" s="486" t="s">
        <v>3243</v>
      </c>
      <c r="B119" s="520" t="s">
        <v>566</v>
      </c>
      <c r="C119" s="390">
        <f>res_trench_vol</f>
        <v>0</v>
      </c>
      <c r="D119" s="389" t="s">
        <v>1351</v>
      </c>
      <c r="E119" s="394" t="s">
        <v>1345</v>
      </c>
      <c r="F119" s="394"/>
      <c r="G119" s="394" t="s">
        <v>1345</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x14ac:dyDescent="0.15">
      <c r="A120" s="486" t="s">
        <v>3244</v>
      </c>
      <c r="B120" s="520" t="s">
        <v>347</v>
      </c>
      <c r="C120" s="390">
        <f>res_pipe_bedding_vol</f>
        <v>0</v>
      </c>
      <c r="D120" s="389" t="s">
        <v>1351</v>
      </c>
      <c r="E120" s="394" t="s">
        <v>1345</v>
      </c>
      <c r="F120" s="394"/>
      <c r="G120" s="394" t="s">
        <v>1345</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x14ac:dyDescent="0.15">
      <c r="A121" s="486" t="s">
        <v>3245</v>
      </c>
      <c r="B121" s="520" t="s">
        <v>348</v>
      </c>
      <c r="C121" s="390">
        <f>res_trench_vol</f>
        <v>0</v>
      </c>
      <c r="D121" s="389" t="s">
        <v>1351</v>
      </c>
      <c r="E121" s="394" t="s">
        <v>1345</v>
      </c>
      <c r="F121" s="394"/>
      <c r="G121" s="394" t="s">
        <v>1345</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x14ac:dyDescent="0.15">
      <c r="A122" s="486" t="s">
        <v>3246</v>
      </c>
      <c r="B122" s="520" t="s">
        <v>349</v>
      </c>
      <c r="C122" s="390">
        <f>res_block_vol</f>
        <v>0</v>
      </c>
      <c r="D122" s="389" t="s">
        <v>1351</v>
      </c>
      <c r="E122" s="394" t="s">
        <v>1345</v>
      </c>
      <c r="F122" s="394"/>
      <c r="G122" s="394" t="s">
        <v>1345</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x14ac:dyDescent="0.15">
      <c r="A123" s="632">
        <v>5.8</v>
      </c>
      <c r="B123" s="844" t="s">
        <v>3381</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x14ac:dyDescent="0.15">
      <c r="A124" s="486" t="s">
        <v>2418</v>
      </c>
      <c r="B124" s="1" t="s">
        <v>1334</v>
      </c>
      <c r="C124" s="21">
        <f>coag_pipe_length</f>
        <v>0</v>
      </c>
      <c r="D124" s="397" t="s">
        <v>1332</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x14ac:dyDescent="0.15">
      <c r="A125" s="486" t="s">
        <v>2418</v>
      </c>
      <c r="B125" s="1" t="s">
        <v>1335</v>
      </c>
      <c r="C125" s="21">
        <f>coag_pipe_length</f>
        <v>0</v>
      </c>
      <c r="D125" s="397" t="s">
        <v>1332</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x14ac:dyDescent="0.15">
      <c r="A126" s="632">
        <v>5.9</v>
      </c>
      <c r="B126" s="41" t="s">
        <v>1372</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x14ac:dyDescent="0.15">
      <c r="A127" s="486" t="s">
        <v>3400</v>
      </c>
      <c r="B127" s="1" t="s">
        <v>1334</v>
      </c>
      <c r="C127" s="21">
        <f>polymer_pipe_length</f>
        <v>0</v>
      </c>
      <c r="D127" s="397" t="s">
        <v>1332</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x14ac:dyDescent="0.15">
      <c r="A128" s="486" t="s">
        <v>3400</v>
      </c>
      <c r="B128" s="1" t="s">
        <v>1335</v>
      </c>
      <c r="C128" s="21">
        <f>polymer_pipe_length</f>
        <v>0</v>
      </c>
      <c r="D128" s="397" t="s">
        <v>1332</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x14ac:dyDescent="0.15">
      <c r="A129" s="486" t="s">
        <v>3400</v>
      </c>
      <c r="B129" s="1" t="s">
        <v>2584</v>
      </c>
      <c r="C129" s="21">
        <f>polymer_pipe_length</f>
        <v>0</v>
      </c>
      <c r="D129" s="397" t="s">
        <v>1332</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x14ac:dyDescent="0.15">
      <c r="A130" s="486" t="s">
        <v>3400</v>
      </c>
      <c r="B130" s="1" t="s">
        <v>1336</v>
      </c>
      <c r="C130" s="21">
        <f>polymer_pipe_length</f>
        <v>0</v>
      </c>
      <c r="D130" s="397" t="s">
        <v>1332</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x14ac:dyDescent="0.15">
      <c r="A131" s="483">
        <v>6</v>
      </c>
      <c r="B131" s="28" t="s">
        <v>2193</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x14ac:dyDescent="0.15">
      <c r="A132" s="485">
        <v>6.1</v>
      </c>
      <c r="B132" s="29" t="s">
        <v>1357</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x14ac:dyDescent="0.15">
      <c r="A133" s="252" t="s">
        <v>2419</v>
      </c>
      <c r="B133" s="21" t="s">
        <v>2769</v>
      </c>
      <c r="C133" s="21">
        <f>tot_proc_MOVs</f>
        <v>0</v>
      </c>
      <c r="D133" s="389" t="s">
        <v>64</v>
      </c>
      <c r="E133" s="21">
        <f>tank_valve_size</f>
        <v>10</v>
      </c>
      <c r="F133" s="21" t="s">
        <v>1333</v>
      </c>
      <c r="G133" s="21">
        <f>IF(curve=1,tank_valve_size,VLOOKUP(tank_valve_size,pp_mov_cost_cl,2))</f>
        <v>10</v>
      </c>
      <c r="H133" s="21" t="s">
        <v>1333</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x14ac:dyDescent="0.15">
      <c r="A134" s="252" t="s">
        <v>2419</v>
      </c>
      <c r="B134" s="21" t="s">
        <v>2770</v>
      </c>
      <c r="C134" s="21">
        <f>tot_proc_MOVs</f>
        <v>0</v>
      </c>
      <c r="D134" s="389" t="s">
        <v>64</v>
      </c>
      <c r="E134" s="21">
        <f>tank_valve_size</f>
        <v>10</v>
      </c>
      <c r="F134" s="21" t="s">
        <v>1333</v>
      </c>
      <c r="G134" s="21">
        <f>IF(curve=1,tank_valve_size,VLOOKUP(tank_valve_size,ss_mov_cost_cl,2))</f>
        <v>10</v>
      </c>
      <c r="H134" s="21" t="s">
        <v>1333</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x14ac:dyDescent="0.15">
      <c r="A135" s="252" t="s">
        <v>2419</v>
      </c>
      <c r="B135" s="21" t="s">
        <v>2771</v>
      </c>
      <c r="C135" s="21">
        <f>tot_proc_MOVs</f>
        <v>0</v>
      </c>
      <c r="D135" s="389" t="s">
        <v>64</v>
      </c>
      <c r="E135" s="21">
        <f>tank_valve_size</f>
        <v>10</v>
      </c>
      <c r="F135" s="21" t="s">
        <v>1333</v>
      </c>
      <c r="G135" s="21">
        <f>IF(curve=1,tank_valve_size,VLOOKUP(tank_valve_size,ci_mov_cost_cl,2))</f>
        <v>10</v>
      </c>
      <c r="H135" s="21" t="s">
        <v>1333</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x14ac:dyDescent="0.15">
      <c r="A136" s="252" t="s">
        <v>2420</v>
      </c>
      <c r="B136" s="21" t="s">
        <v>2772</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x14ac:dyDescent="0.15">
      <c r="A137" s="252" t="s">
        <v>2420</v>
      </c>
      <c r="B137" s="21" t="s">
        <v>2773</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x14ac:dyDescent="0.15">
      <c r="A138" s="252" t="s">
        <v>2420</v>
      </c>
      <c r="B138" s="21" t="s">
        <v>2774</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x14ac:dyDescent="0.15">
      <c r="A139" s="252" t="s">
        <v>2421</v>
      </c>
      <c r="B139" s="21" t="s">
        <v>1464</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x14ac:dyDescent="0.15">
      <c r="A140" s="252" t="s">
        <v>2421</v>
      </c>
      <c r="B140" s="21" t="s">
        <v>1465</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x14ac:dyDescent="0.15">
      <c r="A141" s="252" t="s">
        <v>2422</v>
      </c>
      <c r="B141" s="21" t="s">
        <v>2775</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x14ac:dyDescent="0.15">
      <c r="A142" s="252" t="s">
        <v>2422</v>
      </c>
      <c r="B142" s="21" t="s">
        <v>1631</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x14ac:dyDescent="0.15">
      <c r="A143" s="252" t="s">
        <v>2422</v>
      </c>
      <c r="B143" s="21" t="s">
        <v>1632</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x14ac:dyDescent="0.15">
      <c r="A144" s="252" t="s">
        <v>2423</v>
      </c>
      <c r="B144" s="21" t="s">
        <v>1310</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x14ac:dyDescent="0.15">
      <c r="A145" s="252" t="s">
        <v>2423</v>
      </c>
      <c r="B145" s="21" t="s">
        <v>1311</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x14ac:dyDescent="0.15">
      <c r="A146" s="252" t="s">
        <v>2424</v>
      </c>
      <c r="B146" s="1" t="s">
        <v>1271</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x14ac:dyDescent="0.15">
      <c r="A147" s="252" t="s">
        <v>2424</v>
      </c>
      <c r="B147" s="1" t="s">
        <v>1272</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x14ac:dyDescent="0.15">
      <c r="A148" s="252" t="s">
        <v>2424</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x14ac:dyDescent="0.15">
      <c r="A149" s="252" t="s">
        <v>2425</v>
      </c>
      <c r="B149" s="1" t="s">
        <v>3402</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x14ac:dyDescent="0.15">
      <c r="A150" s="252" t="s">
        <v>3401</v>
      </c>
      <c r="B150" s="1" t="s">
        <v>1394</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x14ac:dyDescent="0.15">
      <c r="A151" s="252" t="s">
        <v>3401</v>
      </c>
      <c r="B151" s="1" t="s">
        <v>1395</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x14ac:dyDescent="0.15">
      <c r="A152" s="252" t="s">
        <v>3401</v>
      </c>
      <c r="B152" s="1" t="s">
        <v>1396</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x14ac:dyDescent="0.15">
      <c r="A153" s="485">
        <v>6.2</v>
      </c>
      <c r="B153" s="41" t="s">
        <v>1652</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x14ac:dyDescent="0.15">
      <c r="A154" s="252" t="s">
        <v>2426</v>
      </c>
      <c r="B154" s="21" t="s">
        <v>3452</v>
      </c>
      <c r="C154" s="21">
        <f>tot_man_valves</f>
        <v>2</v>
      </c>
      <c r="D154" s="389" t="s">
        <v>64</v>
      </c>
      <c r="E154" s="394">
        <f>in_valve_size</f>
        <v>10</v>
      </c>
      <c r="F154" s="21" t="s">
        <v>1333</v>
      </c>
      <c r="G154" s="394">
        <f>IF(curve=1,in_valve_size,VLOOKUP(in_valve_size,pp_man_cost_cl,2))</f>
        <v>10</v>
      </c>
      <c r="H154" s="21" t="s">
        <v>1333</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x14ac:dyDescent="0.15">
      <c r="A155" s="252" t="s">
        <v>2426</v>
      </c>
      <c r="B155" s="21" t="s">
        <v>3453</v>
      </c>
      <c r="C155" s="21">
        <f>tot_man_valves</f>
        <v>2</v>
      </c>
      <c r="D155" s="389" t="s">
        <v>64</v>
      </c>
      <c r="E155" s="394">
        <f>in_valve_size</f>
        <v>10</v>
      </c>
      <c r="F155" s="21" t="s">
        <v>1333</v>
      </c>
      <c r="G155" s="21">
        <f>IF(curve=1,in_valve_size,VLOOKUP(in_valve_size,ss_man_cost_cl,2))</f>
        <v>10</v>
      </c>
      <c r="H155" s="21" t="s">
        <v>1333</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x14ac:dyDescent="0.15">
      <c r="A156" s="252" t="s">
        <v>2426</v>
      </c>
      <c r="B156" s="21" t="s">
        <v>3454</v>
      </c>
      <c r="C156" s="21">
        <f>tot_man_valves</f>
        <v>2</v>
      </c>
      <c r="D156" s="389" t="s">
        <v>64</v>
      </c>
      <c r="E156" s="394">
        <f>in_valve_size</f>
        <v>10</v>
      </c>
      <c r="F156" s="21" t="s">
        <v>1333</v>
      </c>
      <c r="G156" s="394">
        <f>IF(curve=1,in_valve_size,VLOOKUP(in_valve_size,ci_bfv_cost_cl,2))</f>
        <v>10</v>
      </c>
      <c r="H156" s="21" t="s">
        <v>1333</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x14ac:dyDescent="0.15">
      <c r="A157" s="252" t="s">
        <v>2427</v>
      </c>
      <c r="B157" s="21" t="s">
        <v>2769</v>
      </c>
      <c r="C157" s="21">
        <f>tot_proc_man</f>
        <v>14</v>
      </c>
      <c r="D157" s="389" t="s">
        <v>64</v>
      </c>
      <c r="E157" s="394">
        <f>tank_valve_size</f>
        <v>10</v>
      </c>
      <c r="F157" s="1" t="s">
        <v>1333</v>
      </c>
      <c r="G157" s="394">
        <f>IF(curve=1,tank_valve_size,VLOOKUP(tank_valve_size,pp_man_cost_cl,2))</f>
        <v>10</v>
      </c>
      <c r="H157" s="1" t="s">
        <v>1333</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x14ac:dyDescent="0.15">
      <c r="A158" s="252" t="s">
        <v>2427</v>
      </c>
      <c r="B158" s="21" t="s">
        <v>2770</v>
      </c>
      <c r="C158" s="21">
        <f>tot_proc_man</f>
        <v>14</v>
      </c>
      <c r="D158" s="389" t="s">
        <v>64</v>
      </c>
      <c r="E158" s="394">
        <f>tank_valve_size</f>
        <v>10</v>
      </c>
      <c r="F158" s="1" t="s">
        <v>1333</v>
      </c>
      <c r="G158" s="394">
        <f>IF(curve=1,tank_valve_size,VLOOKUP(tank_valve_size,ss_man_cost_cl,2))</f>
        <v>10</v>
      </c>
      <c r="H158" s="1" t="s">
        <v>1333</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x14ac:dyDescent="0.15">
      <c r="A159" s="252" t="s">
        <v>2427</v>
      </c>
      <c r="B159" s="21" t="s">
        <v>2771</v>
      </c>
      <c r="C159" s="21">
        <f>tot_proc_man</f>
        <v>14</v>
      </c>
      <c r="D159" s="389" t="s">
        <v>64</v>
      </c>
      <c r="E159" s="394">
        <f>tank_valve_size</f>
        <v>10</v>
      </c>
      <c r="F159" s="1" t="s">
        <v>1333</v>
      </c>
      <c r="G159" s="394">
        <f>IF(curve=1,tank_valve_size,VLOOKUP(tank_valve_size,ci_bfv_cost_cl,2))</f>
        <v>10</v>
      </c>
      <c r="H159" s="1" t="s">
        <v>1333</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x14ac:dyDescent="0.15">
      <c r="A160" s="252" t="s">
        <v>2428</v>
      </c>
      <c r="B160" s="21" t="s">
        <v>2772</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x14ac:dyDescent="0.15">
      <c r="A161" s="252" t="s">
        <v>2428</v>
      </c>
      <c r="B161" s="21" t="s">
        <v>2773</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x14ac:dyDescent="0.15">
      <c r="A162" s="252" t="s">
        <v>2428</v>
      </c>
      <c r="B162" s="21" t="s">
        <v>2774</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x14ac:dyDescent="0.15">
      <c r="A163" s="252" t="s">
        <v>2429</v>
      </c>
      <c r="B163" s="21" t="s">
        <v>1464</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x14ac:dyDescent="0.15">
      <c r="A164" s="252" t="s">
        <v>2429</v>
      </c>
      <c r="B164" s="21" t="s">
        <v>1465</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x14ac:dyDescent="0.15">
      <c r="A165" s="252" t="s">
        <v>2430</v>
      </c>
      <c r="B165" s="21" t="s">
        <v>2775</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x14ac:dyDescent="0.15">
      <c r="A166" s="252" t="s">
        <v>2430</v>
      </c>
      <c r="B166" s="21" t="s">
        <v>1631</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x14ac:dyDescent="0.15">
      <c r="A167" s="252" t="s">
        <v>2430</v>
      </c>
      <c r="B167" s="21" t="s">
        <v>1632</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x14ac:dyDescent="0.15">
      <c r="A168" s="252" t="s">
        <v>2431</v>
      </c>
      <c r="B168" s="21" t="s">
        <v>1310</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x14ac:dyDescent="0.15">
      <c r="A169" s="252" t="s">
        <v>2431</v>
      </c>
      <c r="B169" s="21" t="s">
        <v>1311</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x14ac:dyDescent="0.15">
      <c r="A170" s="252" t="s">
        <v>2432</v>
      </c>
      <c r="B170" s="1" t="s">
        <v>1271</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0</v>
      </c>
      <c r="X170" s="526">
        <f t="shared" si="16"/>
        <v>0</v>
      </c>
    </row>
    <row r="171" spans="1:24" s="16" customFormat="1" x14ac:dyDescent="0.15">
      <c r="A171" s="252" t="s">
        <v>2432</v>
      </c>
      <c r="B171" s="1" t="s">
        <v>1272</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x14ac:dyDescent="0.15">
      <c r="A172" s="252" t="s">
        <v>2432</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x14ac:dyDescent="0.15">
      <c r="A173" s="252" t="s">
        <v>2433</v>
      </c>
      <c r="B173" s="1" t="s">
        <v>3402</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x14ac:dyDescent="0.15">
      <c r="A174" s="252" t="s">
        <v>3403</v>
      </c>
      <c r="B174" s="1" t="s">
        <v>1394</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x14ac:dyDescent="0.15">
      <c r="A175" s="252" t="s">
        <v>3403</v>
      </c>
      <c r="B175" s="1" t="s">
        <v>1395</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x14ac:dyDescent="0.15">
      <c r="A176" s="252" t="s">
        <v>3403</v>
      </c>
      <c r="B176" s="1" t="s">
        <v>1396</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x14ac:dyDescent="0.15">
      <c r="A177" s="487">
        <v>6.3</v>
      </c>
      <c r="B177" s="41" t="s">
        <v>2768</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x14ac:dyDescent="0.15">
      <c r="A178" s="252" t="s">
        <v>2434</v>
      </c>
      <c r="B178" s="21" t="s">
        <v>2772</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x14ac:dyDescent="0.15">
      <c r="A179" s="252" t="s">
        <v>2434</v>
      </c>
      <c r="B179" s="21" t="s">
        <v>2773</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x14ac:dyDescent="0.15">
      <c r="A180" s="252" t="s">
        <v>2434</v>
      </c>
      <c r="B180" s="21" t="s">
        <v>2774</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x14ac:dyDescent="0.15">
      <c r="A181" s="252" t="s">
        <v>2435</v>
      </c>
      <c r="B181" s="21" t="s">
        <v>3463</v>
      </c>
      <c r="C181" s="21">
        <f>tot_in_chv</f>
        <v>2</v>
      </c>
      <c r="D181" s="389" t="s">
        <v>64</v>
      </c>
      <c r="E181" s="394">
        <f>in_valve_size</f>
        <v>10</v>
      </c>
      <c r="F181" s="1" t="s">
        <v>1333</v>
      </c>
      <c r="G181" s="394">
        <f>IF(curve=1,in_valve_size,VLOOKUP(in_valve_size,pp_chv_cost_cl,2))</f>
        <v>10</v>
      </c>
      <c r="H181" s="1" t="s">
        <v>1333</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x14ac:dyDescent="0.15">
      <c r="A182" s="252" t="s">
        <v>2435</v>
      </c>
      <c r="B182" s="21" t="s">
        <v>3464</v>
      </c>
      <c r="C182" s="21">
        <f>tot_in_chv</f>
        <v>2</v>
      </c>
      <c r="D182" s="389" t="s">
        <v>64</v>
      </c>
      <c r="E182" s="394">
        <f>in_valve_size</f>
        <v>10</v>
      </c>
      <c r="F182" s="1" t="s">
        <v>1333</v>
      </c>
      <c r="G182" s="394">
        <f>IF(curve=1,in_valve_size,VLOOKUP(in_valve_size,ss_chv_cost_cl,2))</f>
        <v>10</v>
      </c>
      <c r="H182" s="1" t="s">
        <v>1333</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x14ac:dyDescent="0.15">
      <c r="A183" s="252" t="s">
        <v>2435</v>
      </c>
      <c r="B183" s="21" t="s">
        <v>3465</v>
      </c>
      <c r="C183" s="21">
        <f>tot_in_chv</f>
        <v>2</v>
      </c>
      <c r="D183" s="389" t="s">
        <v>64</v>
      </c>
      <c r="E183" s="394">
        <f>in_valve_size</f>
        <v>10</v>
      </c>
      <c r="F183" s="1" t="s">
        <v>1333</v>
      </c>
      <c r="G183" s="394">
        <f>IF(curve=1,in_valve_size,VLOOKUP(in_valve_size,ci_chv_cost_cl,2))</f>
        <v>10</v>
      </c>
      <c r="H183" s="1" t="s">
        <v>1333</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x14ac:dyDescent="0.15">
      <c r="A184" s="252" t="s">
        <v>2436</v>
      </c>
      <c r="B184" s="21" t="s">
        <v>2775</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x14ac:dyDescent="0.15">
      <c r="A185" s="252" t="s">
        <v>2436</v>
      </c>
      <c r="B185" s="21" t="s">
        <v>1631</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x14ac:dyDescent="0.15">
      <c r="A186" s="252" t="s">
        <v>2436</v>
      </c>
      <c r="B186" s="21" t="s">
        <v>1632</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x14ac:dyDescent="0.15">
      <c r="A187" s="252" t="s">
        <v>2437</v>
      </c>
      <c r="B187" s="21" t="s">
        <v>1310</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x14ac:dyDescent="0.15">
      <c r="A188" s="252" t="s">
        <v>2437</v>
      </c>
      <c r="B188" s="21" t="s">
        <v>1311</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x14ac:dyDescent="0.15">
      <c r="A189" s="252" t="s">
        <v>2438</v>
      </c>
      <c r="B189" s="1" t="s">
        <v>1271</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x14ac:dyDescent="0.15">
      <c r="A190" s="252" t="s">
        <v>2438</v>
      </c>
      <c r="B190" s="1" t="s">
        <v>1272</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x14ac:dyDescent="0.15">
      <c r="A191" s="252" t="s">
        <v>2438</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x14ac:dyDescent="0.15">
      <c r="A192" s="252" t="s">
        <v>2439</v>
      </c>
      <c r="B192" s="1" t="s">
        <v>3402</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x14ac:dyDescent="0.15">
      <c r="A193" s="252" t="s">
        <v>3404</v>
      </c>
      <c r="B193" s="1" t="s">
        <v>1397</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x14ac:dyDescent="0.15">
      <c r="A194" s="252" t="s">
        <v>3404</v>
      </c>
      <c r="B194" s="1" t="s">
        <v>1398</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x14ac:dyDescent="0.15">
      <c r="A195" s="252" t="s">
        <v>3404</v>
      </c>
      <c r="B195" s="1" t="s">
        <v>1399</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x14ac:dyDescent="0.15">
      <c r="A196" s="483">
        <v>7</v>
      </c>
      <c r="B196" s="28" t="s">
        <v>1340</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x14ac:dyDescent="0.15">
      <c r="A197" s="484">
        <v>7.1</v>
      </c>
      <c r="B197" s="388" t="s">
        <v>1341</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x14ac:dyDescent="0.15">
      <c r="A198" s="488">
        <v>7.2</v>
      </c>
      <c r="B198" s="388" t="s">
        <v>2127</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x14ac:dyDescent="0.15">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x14ac:dyDescent="0.15">
      <c r="A200" s="486" t="s">
        <v>3247</v>
      </c>
      <c r="B200" s="21" t="s">
        <v>2854</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80">
        <v>3</v>
      </c>
      <c r="O200" s="880">
        <v>3</v>
      </c>
      <c r="P200" s="880">
        <v>2</v>
      </c>
      <c r="Q200" s="880">
        <v>4</v>
      </c>
      <c r="R200" s="880">
        <v>4</v>
      </c>
      <c r="S200" s="880">
        <v>1</v>
      </c>
      <c r="T200" s="880">
        <v>4</v>
      </c>
      <c r="U200" s="880">
        <v>4</v>
      </c>
      <c r="V200" s="880">
        <v>1</v>
      </c>
      <c r="W200" s="526">
        <f t="shared" si="15"/>
        <v>0</v>
      </c>
      <c r="X200" s="526">
        <f t="shared" si="16"/>
        <v>0</v>
      </c>
    </row>
    <row r="201" spans="1:24" s="16" customFormat="1" x14ac:dyDescent="0.15">
      <c r="A201" s="486" t="s">
        <v>3247</v>
      </c>
      <c r="B201" s="21" t="s">
        <v>2858</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80">
        <v>4</v>
      </c>
      <c r="O201" s="880">
        <v>4</v>
      </c>
      <c r="P201" s="880">
        <v>1</v>
      </c>
      <c r="Q201" s="880">
        <v>3</v>
      </c>
      <c r="R201" s="880">
        <v>3</v>
      </c>
      <c r="S201" s="880">
        <v>2</v>
      </c>
      <c r="T201" s="880">
        <v>3</v>
      </c>
      <c r="U201" s="880">
        <v>3</v>
      </c>
      <c r="V201" s="880">
        <v>2</v>
      </c>
      <c r="W201" s="526">
        <f t="shared" si="15"/>
        <v>0</v>
      </c>
      <c r="X201" s="526">
        <f t="shared" si="16"/>
        <v>0</v>
      </c>
    </row>
    <row r="202" spans="1:24" s="16" customFormat="1" x14ac:dyDescent="0.15">
      <c r="A202" s="486" t="s">
        <v>3247</v>
      </c>
      <c r="B202" s="21" t="s">
        <v>2855</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80">
        <v>1</v>
      </c>
      <c r="O202" s="880">
        <v>2</v>
      </c>
      <c r="P202" s="880">
        <v>4</v>
      </c>
      <c r="Q202" s="880">
        <v>1</v>
      </c>
      <c r="R202" s="880">
        <v>2</v>
      </c>
      <c r="S202" s="880">
        <v>4</v>
      </c>
      <c r="T202" s="880">
        <v>1</v>
      </c>
      <c r="U202" s="880">
        <v>2</v>
      </c>
      <c r="V202" s="880">
        <v>4</v>
      </c>
      <c r="W202" s="526">
        <f t="shared" si="15"/>
        <v>0</v>
      </c>
      <c r="X202" s="526">
        <f t="shared" si="16"/>
        <v>0</v>
      </c>
    </row>
    <row r="203" spans="1:24" s="16" customFormat="1" x14ac:dyDescent="0.15">
      <c r="A203" s="486" t="s">
        <v>3247</v>
      </c>
      <c r="B203" s="21" t="s">
        <v>2859</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80">
        <v>2</v>
      </c>
      <c r="O203" s="880">
        <v>1</v>
      </c>
      <c r="P203" s="880">
        <v>3</v>
      </c>
      <c r="Q203" s="880">
        <v>2</v>
      </c>
      <c r="R203" s="880">
        <v>1</v>
      </c>
      <c r="S203" s="880">
        <v>3</v>
      </c>
      <c r="T203" s="880">
        <v>2</v>
      </c>
      <c r="U203" s="880">
        <v>1</v>
      </c>
      <c r="V203" s="880">
        <v>3</v>
      </c>
      <c r="W203" s="526">
        <f t="shared" si="15"/>
        <v>0</v>
      </c>
      <c r="X203" s="526">
        <f t="shared" si="16"/>
        <v>0</v>
      </c>
    </row>
    <row r="204" spans="1:24" s="16" customFormat="1" x14ac:dyDescent="0.15">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c r="M204" s="16" t="str">
        <f>$B$196&amp;" - "&amp;B204</f>
        <v>Pumps - Residuals</v>
      </c>
      <c r="N204" s="526">
        <v>1</v>
      </c>
      <c r="O204" s="526">
        <v>1</v>
      </c>
      <c r="P204" s="526">
        <v>1</v>
      </c>
      <c r="Q204" s="526">
        <v>1</v>
      </c>
      <c r="R204" s="526">
        <v>1</v>
      </c>
      <c r="S204" s="526">
        <v>1</v>
      </c>
      <c r="T204" s="526">
        <v>1</v>
      </c>
      <c r="U204" s="526">
        <v>1</v>
      </c>
      <c r="V204" s="526">
        <v>1</v>
      </c>
      <c r="W204" s="526">
        <f t="shared" si="15"/>
        <v>0</v>
      </c>
      <c r="X204" s="526">
        <f t="shared" si="16"/>
        <v>0</v>
      </c>
    </row>
    <row r="205" spans="1:24" s="16" customFormat="1" x14ac:dyDescent="0.15">
      <c r="A205" s="487">
        <v>7.5</v>
      </c>
      <c r="B205" s="845" t="s">
        <v>3388</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x14ac:dyDescent="0.15">
      <c r="A206" s="486" t="s">
        <v>3248</v>
      </c>
      <c r="B206" s="1" t="s">
        <v>2854</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80">
        <v>2</v>
      </c>
      <c r="O206" s="880">
        <v>2</v>
      </c>
      <c r="P206" s="880">
        <v>1</v>
      </c>
      <c r="Q206" s="880">
        <v>2</v>
      </c>
      <c r="R206" s="880">
        <v>2</v>
      </c>
      <c r="S206" s="880">
        <v>1</v>
      </c>
      <c r="T206" s="880">
        <v>2</v>
      </c>
      <c r="U206" s="880">
        <v>2</v>
      </c>
      <c r="V206" s="880">
        <v>1</v>
      </c>
      <c r="W206" s="526">
        <f>IF(ISERROR(K206*L206),0,IF(K206&lt;1,0,L206))</f>
        <v>0</v>
      </c>
      <c r="X206" s="526">
        <f>IF(W206,J206/K206,0)</f>
        <v>0</v>
      </c>
    </row>
    <row r="207" spans="1:24" s="16" customFormat="1" x14ac:dyDescent="0.15">
      <c r="A207" s="486" t="s">
        <v>3248</v>
      </c>
      <c r="B207" s="1" t="s">
        <v>2855</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80">
        <v>1</v>
      </c>
      <c r="O207" s="880">
        <v>1</v>
      </c>
      <c r="P207" s="880">
        <v>2</v>
      </c>
      <c r="Q207" s="880">
        <v>1</v>
      </c>
      <c r="R207" s="880">
        <v>1</v>
      </c>
      <c r="S207" s="880">
        <v>2</v>
      </c>
      <c r="T207" s="880">
        <v>1</v>
      </c>
      <c r="U207" s="880">
        <v>1</v>
      </c>
      <c r="V207" s="880">
        <v>2</v>
      </c>
      <c r="W207" s="526">
        <f>IF(ISERROR(K207*L207),0,IF(K207&lt;1,0,L207))</f>
        <v>0</v>
      </c>
      <c r="X207" s="526">
        <f>IF(W207,J207/K207,0)</f>
        <v>0</v>
      </c>
    </row>
    <row r="208" spans="1:24" s="16" customFormat="1" x14ac:dyDescent="0.15">
      <c r="A208" s="487">
        <v>7.6</v>
      </c>
      <c r="B208" s="99" t="s">
        <v>1393</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x14ac:dyDescent="0.15">
      <c r="A209" s="486" t="s">
        <v>3405</v>
      </c>
      <c r="B209" s="1" t="s">
        <v>2854</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80">
        <v>3</v>
      </c>
      <c r="O209" s="880">
        <v>3</v>
      </c>
      <c r="P209" s="880">
        <v>2</v>
      </c>
      <c r="Q209" s="880">
        <v>4</v>
      </c>
      <c r="R209" s="880">
        <v>4</v>
      </c>
      <c r="S209" s="880">
        <v>1</v>
      </c>
      <c r="T209" s="880">
        <v>4</v>
      </c>
      <c r="U209" s="880">
        <v>4</v>
      </c>
      <c r="V209" s="880">
        <v>1</v>
      </c>
      <c r="W209" s="526">
        <f t="shared" si="15"/>
        <v>0</v>
      </c>
      <c r="X209" s="526">
        <f t="shared" si="16"/>
        <v>0</v>
      </c>
    </row>
    <row r="210" spans="1:24" s="16" customFormat="1" x14ac:dyDescent="0.15">
      <c r="A210" s="486" t="s">
        <v>3405</v>
      </c>
      <c r="B210" s="1" t="s">
        <v>2858</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80">
        <v>4</v>
      </c>
      <c r="O210" s="880">
        <v>4</v>
      </c>
      <c r="P210" s="880">
        <v>1</v>
      </c>
      <c r="Q210" s="880">
        <v>3</v>
      </c>
      <c r="R210" s="880">
        <v>3</v>
      </c>
      <c r="S210" s="880">
        <v>2</v>
      </c>
      <c r="T210" s="880">
        <v>3</v>
      </c>
      <c r="U210" s="880">
        <v>3</v>
      </c>
      <c r="V210" s="880">
        <v>2</v>
      </c>
      <c r="W210" s="526">
        <f t="shared" si="15"/>
        <v>0</v>
      </c>
      <c r="X210" s="526">
        <f t="shared" si="16"/>
        <v>0</v>
      </c>
    </row>
    <row r="211" spans="1:24" s="16" customFormat="1" x14ac:dyDescent="0.15">
      <c r="A211" s="486" t="s">
        <v>3405</v>
      </c>
      <c r="B211" s="1" t="s">
        <v>2855</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80">
        <v>1</v>
      </c>
      <c r="O211" s="880">
        <v>2</v>
      </c>
      <c r="P211" s="880">
        <v>4</v>
      </c>
      <c r="Q211" s="880">
        <v>1</v>
      </c>
      <c r="R211" s="880">
        <v>2</v>
      </c>
      <c r="S211" s="880">
        <v>4</v>
      </c>
      <c r="T211" s="880">
        <v>1</v>
      </c>
      <c r="U211" s="880">
        <v>2</v>
      </c>
      <c r="V211" s="880">
        <v>4</v>
      </c>
      <c r="W211" s="526">
        <f t="shared" si="15"/>
        <v>0</v>
      </c>
      <c r="X211" s="526">
        <f t="shared" si="16"/>
        <v>0</v>
      </c>
    </row>
    <row r="212" spans="1:24" s="16" customFormat="1" x14ac:dyDescent="0.15">
      <c r="A212" s="486" t="s">
        <v>3405</v>
      </c>
      <c r="B212" s="1" t="s">
        <v>2859</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80">
        <v>2</v>
      </c>
      <c r="O212" s="880">
        <v>1</v>
      </c>
      <c r="P212" s="880">
        <v>3</v>
      </c>
      <c r="Q212" s="880">
        <v>2</v>
      </c>
      <c r="R212" s="880">
        <v>1</v>
      </c>
      <c r="S212" s="880">
        <v>3</v>
      </c>
      <c r="T212" s="880">
        <v>2</v>
      </c>
      <c r="U212" s="880">
        <v>1</v>
      </c>
      <c r="V212" s="880">
        <v>3</v>
      </c>
      <c r="W212" s="526">
        <f t="shared" si="15"/>
        <v>0</v>
      </c>
      <c r="X212" s="526">
        <f t="shared" si="16"/>
        <v>0</v>
      </c>
    </row>
    <row r="213" spans="1:24" s="16" customFormat="1" x14ac:dyDescent="0.15">
      <c r="A213" s="483">
        <v>8</v>
      </c>
      <c r="B213" s="28" t="s">
        <v>1343</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x14ac:dyDescent="0.15">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x14ac:dyDescent="0.15">
      <c r="A215" s="252" t="s">
        <v>2440</v>
      </c>
      <c r="B215" s="21" t="s">
        <v>2194</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x14ac:dyDescent="0.15">
      <c r="A216" s="252" t="s">
        <v>2440</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x14ac:dyDescent="0.15">
      <c r="A217" s="572" t="s">
        <v>1959</v>
      </c>
      <c r="B217" s="728" t="s">
        <v>3022</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x14ac:dyDescent="0.15">
      <c r="A218" s="252" t="s">
        <v>2441</v>
      </c>
      <c r="B218" s="21" t="s">
        <v>2194</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x14ac:dyDescent="0.15">
      <c r="A219" s="252" t="s">
        <v>2441</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x14ac:dyDescent="0.15">
      <c r="A220" s="252" t="s">
        <v>2441</v>
      </c>
      <c r="B220" s="21" t="s">
        <v>1700</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x14ac:dyDescent="0.15">
      <c r="A221" s="572" t="s">
        <v>1960</v>
      </c>
      <c r="B221" s="728" t="s">
        <v>3023</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x14ac:dyDescent="0.15">
      <c r="A222" s="252" t="s">
        <v>1962</v>
      </c>
      <c r="B222" s="21" t="s">
        <v>2194</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x14ac:dyDescent="0.15">
      <c r="A223" s="252" t="s">
        <v>1962</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x14ac:dyDescent="0.15">
      <c r="A224" s="252" t="s">
        <v>1962</v>
      </c>
      <c r="B224" s="21" t="s">
        <v>1700</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x14ac:dyDescent="0.15">
      <c r="A225" s="573" t="s">
        <v>1961</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x14ac:dyDescent="0.15">
      <c r="A226" s="252" t="s">
        <v>1963</v>
      </c>
      <c r="B226" s="21" t="s">
        <v>2194</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x14ac:dyDescent="0.15">
      <c r="A227" s="252" t="s">
        <v>1963</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x14ac:dyDescent="0.15">
      <c r="A228" s="252" t="s">
        <v>1963</v>
      </c>
      <c r="B228" s="21" t="s">
        <v>1700</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x14ac:dyDescent="0.15">
      <c r="A229" s="846" t="s">
        <v>3409</v>
      </c>
      <c r="B229" s="728" t="s">
        <v>3411</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x14ac:dyDescent="0.15">
      <c r="A230" s="252" t="s">
        <v>3410</v>
      </c>
      <c r="B230" s="21" t="s">
        <v>2194</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x14ac:dyDescent="0.15">
      <c r="A231" s="252" t="s">
        <v>3410</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x14ac:dyDescent="0.15">
      <c r="A232" s="252" t="s">
        <v>3410</v>
      </c>
      <c r="B232" s="21" t="s">
        <v>1700</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x14ac:dyDescent="0.15">
      <c r="A233" s="846" t="s">
        <v>3407</v>
      </c>
      <c r="B233" s="728" t="s">
        <v>3406</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x14ac:dyDescent="0.15">
      <c r="A234" s="252" t="s">
        <v>3408</v>
      </c>
      <c r="B234" s="21" t="s">
        <v>2194</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x14ac:dyDescent="0.15">
      <c r="A235" s="252" t="s">
        <v>3408</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x14ac:dyDescent="0.15">
      <c r="A236" s="252" t="s">
        <v>3408</v>
      </c>
      <c r="B236" s="21" t="s">
        <v>1700</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x14ac:dyDescent="0.15">
      <c r="A237" s="483">
        <v>9</v>
      </c>
      <c r="B237" s="28" t="s">
        <v>2704</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x14ac:dyDescent="0.15">
      <c r="A238" s="485">
        <v>9.1</v>
      </c>
      <c r="B238" s="29" t="s">
        <v>1423</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x14ac:dyDescent="0.15">
      <c r="A239" s="252" t="s">
        <v>2442</v>
      </c>
      <c r="B239" s="21" t="s">
        <v>2584</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x14ac:dyDescent="0.15">
      <c r="A240" s="252" t="s">
        <v>2442</v>
      </c>
      <c r="B240" s="21" t="s">
        <v>1574</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x14ac:dyDescent="0.15">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x14ac:dyDescent="0.15">
      <c r="A242" s="483">
        <v>10</v>
      </c>
      <c r="B242" s="28" t="s">
        <v>1462</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x14ac:dyDescent="0.15">
      <c r="A243" s="484">
        <v>10.1</v>
      </c>
      <c r="B243" s="388" t="s">
        <v>1328</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x14ac:dyDescent="0.15">
      <c r="A244" s="484">
        <v>10.1</v>
      </c>
      <c r="B244" s="388" t="s">
        <v>2286</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x14ac:dyDescent="0.15">
      <c r="A245" s="483">
        <v>11</v>
      </c>
      <c r="B245" s="28" t="s">
        <v>938</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x14ac:dyDescent="0.15">
      <c r="A246" s="505" t="s">
        <v>2461</v>
      </c>
      <c r="B246" s="41" t="s">
        <v>3461</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x14ac:dyDescent="0.15">
      <c r="A247" s="486" t="s">
        <v>2443</v>
      </c>
      <c r="B247" s="1" t="s">
        <v>2386</v>
      </c>
      <c r="C247" s="21">
        <f>tot_fm_in</f>
        <v>1</v>
      </c>
      <c r="D247" s="389" t="s">
        <v>64</v>
      </c>
      <c r="E247" s="394">
        <f>in_meter_size</f>
        <v>10</v>
      </c>
      <c r="F247" s="1" t="s">
        <v>1333</v>
      </c>
      <c r="G247" s="394">
        <f>IF(curve=1,in_meter_size,VLOOKUP(in_meter_size,op_fm_cost_cl,2))</f>
        <v>10</v>
      </c>
      <c r="H247" s="1" t="s">
        <v>1333</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x14ac:dyDescent="0.15">
      <c r="A248" s="486" t="s">
        <v>2443</v>
      </c>
      <c r="B248" s="1" t="s">
        <v>2387</v>
      </c>
      <c r="C248" s="21">
        <f>tot_fm_in</f>
        <v>1</v>
      </c>
      <c r="D248" s="389" t="s">
        <v>64</v>
      </c>
      <c r="E248" s="394">
        <f>in_meter_size</f>
        <v>10</v>
      </c>
      <c r="F248" s="1" t="s">
        <v>1333</v>
      </c>
      <c r="G248" s="394">
        <f>IF(curve=1,in_meter_size,VLOOKUP(in_meter_size,prop_fm_cost_cl,2))</f>
        <v>10</v>
      </c>
      <c r="H248" s="1" t="s">
        <v>1333</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x14ac:dyDescent="0.15">
      <c r="A249" s="486" t="s">
        <v>2443</v>
      </c>
      <c r="B249" s="1" t="s">
        <v>2389</v>
      </c>
      <c r="C249" s="21">
        <f>tot_fm_in</f>
        <v>1</v>
      </c>
      <c r="D249" s="389" t="s">
        <v>64</v>
      </c>
      <c r="E249" s="394">
        <f>in_meter_size</f>
        <v>10</v>
      </c>
      <c r="F249" s="1" t="s">
        <v>1333</v>
      </c>
      <c r="G249" s="394">
        <f>IF(curve=1,in_meter_size,VLOOKUP(in_meter_size,ven_fm_cost_cl,2))</f>
        <v>10</v>
      </c>
      <c r="H249" s="1" t="s">
        <v>1333</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x14ac:dyDescent="0.15">
      <c r="A250" s="486" t="s">
        <v>2443</v>
      </c>
      <c r="B250" s="1" t="s">
        <v>2391</v>
      </c>
      <c r="C250" s="21">
        <f>tot_fm_in</f>
        <v>1</v>
      </c>
      <c r="D250" s="389" t="s">
        <v>64</v>
      </c>
      <c r="E250" s="394">
        <f>in_meter_size</f>
        <v>10</v>
      </c>
      <c r="F250" s="1" t="s">
        <v>1333</v>
      </c>
      <c r="G250" s="394">
        <f>IF(curve=1,in_meter_size,VLOOKUP(in_meter_size,mag_fm_cost_cl,2))</f>
        <v>10</v>
      </c>
      <c r="H250" s="1" t="s">
        <v>1333</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x14ac:dyDescent="0.15">
      <c r="A251" s="505" t="s">
        <v>2462</v>
      </c>
      <c r="B251" s="41" t="s">
        <v>2393</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x14ac:dyDescent="0.15">
      <c r="A252" s="486" t="s">
        <v>2463</v>
      </c>
      <c r="B252" s="1" t="s">
        <v>2386</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x14ac:dyDescent="0.15">
      <c r="A253" s="486" t="s">
        <v>2463</v>
      </c>
      <c r="B253" s="1" t="s">
        <v>2387</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x14ac:dyDescent="0.15">
      <c r="A254" s="486" t="s">
        <v>2463</v>
      </c>
      <c r="B254" s="1" t="s">
        <v>2389</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x14ac:dyDescent="0.15">
      <c r="A255" s="486" t="s">
        <v>2463</v>
      </c>
      <c r="B255" s="1" t="s">
        <v>2391</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x14ac:dyDescent="0.15">
      <c r="A256" s="505" t="s">
        <v>2464</v>
      </c>
      <c r="B256" s="41" t="s">
        <v>2397</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x14ac:dyDescent="0.15">
      <c r="A257" s="486" t="s">
        <v>2465</v>
      </c>
      <c r="B257" s="1" t="s">
        <v>2386</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x14ac:dyDescent="0.15">
      <c r="A258" s="486" t="s">
        <v>2465</v>
      </c>
      <c r="B258" s="1" t="s">
        <v>2387</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x14ac:dyDescent="0.15">
      <c r="A259" s="486" t="s">
        <v>2465</v>
      </c>
      <c r="B259" s="1" t="s">
        <v>2389</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x14ac:dyDescent="0.15">
      <c r="A260" s="486" t="s">
        <v>2465</v>
      </c>
      <c r="B260" s="1" t="s">
        <v>2391</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x14ac:dyDescent="0.15">
      <c r="A261" s="505" t="s">
        <v>2466</v>
      </c>
      <c r="B261" s="41" t="s">
        <v>2401</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x14ac:dyDescent="0.15">
      <c r="A262" s="486" t="s">
        <v>2467</v>
      </c>
      <c r="B262" s="1" t="s">
        <v>2386</v>
      </c>
      <c r="C262" s="21">
        <f>tot_fm_res</f>
        <v>1</v>
      </c>
      <c r="D262" s="389" t="s">
        <v>64</v>
      </c>
      <c r="E262" s="394">
        <f>res_meter_size</f>
        <v>1</v>
      </c>
      <c r="F262" s="1" t="s">
        <v>1333</v>
      </c>
      <c r="G262" s="394">
        <f>IF(curve=1,res_meter_size,VLOOKUP(res_meter_size,op_fm_cost_cl,2))</f>
        <v>1</v>
      </c>
      <c r="H262" s="1" t="s">
        <v>1333</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x14ac:dyDescent="0.15">
      <c r="A263" s="486" t="s">
        <v>2467</v>
      </c>
      <c r="B263" s="1" t="s">
        <v>2387</v>
      </c>
      <c r="C263" s="21">
        <f>tot_fm_res</f>
        <v>1</v>
      </c>
      <c r="D263" s="389" t="s">
        <v>64</v>
      </c>
      <c r="E263" s="394">
        <f>res_meter_size</f>
        <v>1</v>
      </c>
      <c r="F263" s="1" t="s">
        <v>1333</v>
      </c>
      <c r="G263" s="394">
        <f>IF(curve=1,res_meter_size,VLOOKUP(res_meter_size,prop_fm_cost_cl,2))</f>
        <v>1</v>
      </c>
      <c r="H263" s="1" t="s">
        <v>1333</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x14ac:dyDescent="0.15">
      <c r="A264" s="486" t="s">
        <v>2467</v>
      </c>
      <c r="B264" s="1" t="s">
        <v>2389</v>
      </c>
      <c r="C264" s="21">
        <f>tot_fm_res</f>
        <v>1</v>
      </c>
      <c r="D264" s="389" t="s">
        <v>64</v>
      </c>
      <c r="E264" s="394">
        <f>res_meter_size</f>
        <v>1</v>
      </c>
      <c r="F264" s="1" t="s">
        <v>1333</v>
      </c>
      <c r="G264" s="394">
        <f>IF(curve=1,res_meter_size,VLOOKUP(res_meter_size,ven_fm_cost_cl,2))</f>
        <v>1</v>
      </c>
      <c r="H264" s="1" t="s">
        <v>1333</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x14ac:dyDescent="0.15">
      <c r="A265" s="486" t="s">
        <v>2467</v>
      </c>
      <c r="B265" s="1" t="s">
        <v>2391</v>
      </c>
      <c r="C265" s="21">
        <f>tot_fm_res</f>
        <v>1</v>
      </c>
      <c r="D265" s="389" t="s">
        <v>64</v>
      </c>
      <c r="E265" s="394">
        <f>res_meter_size</f>
        <v>1</v>
      </c>
      <c r="F265" s="1" t="s">
        <v>1333</v>
      </c>
      <c r="G265" s="394">
        <f>IF(curve=1,res_meter_size,VLOOKUP(res_meter_size,mag_fm_cost_cl,2))</f>
        <v>1</v>
      </c>
      <c r="H265" s="1" t="s">
        <v>1333</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x14ac:dyDescent="0.15">
      <c r="A266" s="484">
        <v>11.5</v>
      </c>
      <c r="B266" s="388" t="s">
        <v>1125</v>
      </c>
      <c r="C266" s="21">
        <f>tot_level_switch</f>
        <v>0</v>
      </c>
      <c r="D266" s="389" t="s">
        <v>64</v>
      </c>
      <c r="E266" s="394" t="s">
        <v>1345</v>
      </c>
      <c r="F266" s="394"/>
      <c r="G266" s="394" t="s">
        <v>1345</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x14ac:dyDescent="0.15">
      <c r="A267" s="484">
        <v>11.6</v>
      </c>
      <c r="B267" s="388" t="s">
        <v>1126</v>
      </c>
      <c r="C267" s="21">
        <f>tot_back_alarm</f>
        <v>1</v>
      </c>
      <c r="D267" s="389" t="s">
        <v>64</v>
      </c>
      <c r="E267" s="394" t="s">
        <v>1345</v>
      </c>
      <c r="F267" s="394"/>
      <c r="G267" s="394" t="s">
        <v>1345</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x14ac:dyDescent="0.15">
      <c r="A268" s="484">
        <v>11.7</v>
      </c>
      <c r="B268" s="388" t="s">
        <v>561</v>
      </c>
      <c r="C268" s="21">
        <f>tot_brine_alarm</f>
        <v>0</v>
      </c>
      <c r="D268" s="389" t="s">
        <v>64</v>
      </c>
      <c r="E268" s="394" t="s">
        <v>1345</v>
      </c>
      <c r="F268" s="394"/>
      <c r="G268" s="394" t="s">
        <v>1345</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x14ac:dyDescent="0.15">
      <c r="A269" s="484">
        <v>11.9</v>
      </c>
      <c r="B269" s="388" t="s">
        <v>2707</v>
      </c>
      <c r="C269" s="21">
        <f>tot_caustic_alarm</f>
        <v>0</v>
      </c>
      <c r="D269" s="389" t="s">
        <v>64</v>
      </c>
      <c r="E269" s="394" t="s">
        <v>1345</v>
      </c>
      <c r="F269" s="394"/>
      <c r="G269" s="394" t="s">
        <v>1345</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x14ac:dyDescent="0.15">
      <c r="A270" s="793" t="s">
        <v>3249</v>
      </c>
      <c r="B270" s="419" t="s">
        <v>2739</v>
      </c>
      <c r="C270" s="21">
        <f>tot_res_alarm</f>
        <v>1</v>
      </c>
      <c r="D270" s="389" t="s">
        <v>64</v>
      </c>
      <c r="E270" s="394" t="s">
        <v>1345</v>
      </c>
      <c r="F270" s="21"/>
      <c r="G270" s="394" t="s">
        <v>1345</v>
      </c>
      <c r="H270" s="21"/>
      <c r="I270" s="391">
        <f>IF(C270=0,"NA",VLOOKUP(0,alarm_cost_cl,3))</f>
        <v>600.18707669670891</v>
      </c>
      <c r="J270" s="392">
        <f>IF(OR(I270="contact vendor",I270="NA"),"--",C270*I270)</f>
        <v>600.18707669670891</v>
      </c>
      <c r="K270" s="394">
        <f>IF(C270=0,"NA",VLOOKUP(0,alarm_cost_cl,IF(ss_cat="large",4,5)))</f>
        <v>15</v>
      </c>
      <c r="L270" s="423"/>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0</v>
      </c>
      <c r="X270" s="526">
        <f t="shared" si="24"/>
        <v>0</v>
      </c>
    </row>
    <row r="271" spans="1:24" s="16" customFormat="1" x14ac:dyDescent="0.15">
      <c r="A271" s="484">
        <v>11.11</v>
      </c>
      <c r="B271" s="388" t="s">
        <v>798</v>
      </c>
      <c r="C271" s="21">
        <f>IF(design_flow&lt;1,temp_meters_small,temp_meters)</f>
        <v>1</v>
      </c>
      <c r="D271" s="389" t="s">
        <v>64</v>
      </c>
      <c r="E271" s="394" t="s">
        <v>1345</v>
      </c>
      <c r="F271" s="1"/>
      <c r="G271" s="394" t="s">
        <v>1345</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x14ac:dyDescent="0.15">
      <c r="A272" s="484">
        <v>11.12</v>
      </c>
      <c r="B272" s="388" t="s">
        <v>300</v>
      </c>
      <c r="C272" s="21">
        <f>tot_head_sens</f>
        <v>6</v>
      </c>
      <c r="D272" s="389" t="s">
        <v>64</v>
      </c>
      <c r="E272" s="394" t="s">
        <v>1345</v>
      </c>
      <c r="F272" s="1"/>
      <c r="G272" s="394" t="s">
        <v>1345</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x14ac:dyDescent="0.15">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x14ac:dyDescent="0.15">
      <c r="A274" s="489" t="s">
        <v>2468</v>
      </c>
      <c r="B274" s="21" t="s">
        <v>2584</v>
      </c>
      <c r="C274" s="21">
        <f>ports</f>
        <v>6</v>
      </c>
      <c r="D274" s="389" t="s">
        <v>64</v>
      </c>
      <c r="E274" s="394" t="s">
        <v>1345</v>
      </c>
      <c r="F274" s="394"/>
      <c r="G274" s="394" t="s">
        <v>1345</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x14ac:dyDescent="0.15">
      <c r="A275" s="489" t="s">
        <v>2468</v>
      </c>
      <c r="B275" s="21" t="s">
        <v>298</v>
      </c>
      <c r="C275" s="21">
        <f>ports</f>
        <v>6</v>
      </c>
      <c r="D275" s="389" t="s">
        <v>64</v>
      </c>
      <c r="E275" s="394" t="s">
        <v>1345</v>
      </c>
      <c r="F275" s="394"/>
      <c r="G275" s="394" t="s">
        <v>1345</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x14ac:dyDescent="0.15">
      <c r="A276" s="484">
        <v>11.14</v>
      </c>
      <c r="B276" s="388" t="s">
        <v>93</v>
      </c>
      <c r="C276" s="21">
        <f>elec_encl</f>
        <v>0</v>
      </c>
      <c r="D276" s="389" t="s">
        <v>64</v>
      </c>
      <c r="E276" s="394" t="s">
        <v>1345</v>
      </c>
      <c r="F276" s="394"/>
      <c r="G276" s="394" t="s">
        <v>1345</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x14ac:dyDescent="0.15">
      <c r="A277" s="484">
        <v>11.15</v>
      </c>
      <c r="B277" s="388" t="s">
        <v>797</v>
      </c>
      <c r="C277" s="21">
        <f>ORP_sensor</f>
        <v>0</v>
      </c>
      <c r="D277" s="389" t="s">
        <v>64</v>
      </c>
      <c r="E277" s="394" t="s">
        <v>1345</v>
      </c>
      <c r="F277" s="394"/>
      <c r="G277" s="394" t="s">
        <v>1345</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x14ac:dyDescent="0.15">
      <c r="A278" s="484">
        <v>11.16</v>
      </c>
      <c r="B278" s="388" t="s">
        <v>2298</v>
      </c>
      <c r="C278" s="21">
        <f>pH_controls</f>
        <v>0</v>
      </c>
      <c r="D278" s="389" t="s">
        <v>64</v>
      </c>
      <c r="E278" s="394" t="s">
        <v>1345</v>
      </c>
      <c r="F278" s="1"/>
      <c r="G278" s="394" t="s">
        <v>1345</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x14ac:dyDescent="0.15">
      <c r="A279" s="484">
        <v>11.17</v>
      </c>
      <c r="B279" s="388" t="s">
        <v>1000</v>
      </c>
      <c r="C279" s="21">
        <f>tot_turb_meters</f>
        <v>1</v>
      </c>
      <c r="D279" s="389" t="s">
        <v>64</v>
      </c>
      <c r="E279" s="394" t="s">
        <v>1345</v>
      </c>
      <c r="F279" s="1"/>
      <c r="G279" s="394" t="s">
        <v>1345</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x14ac:dyDescent="0.15">
      <c r="A280" s="484">
        <v>11.18</v>
      </c>
      <c r="B280" s="388" t="s">
        <v>1001</v>
      </c>
      <c r="C280" s="21">
        <f>tot_cond_meters</f>
        <v>0</v>
      </c>
      <c r="D280" s="389" t="s">
        <v>64</v>
      </c>
      <c r="E280" s="394" t="s">
        <v>1345</v>
      </c>
      <c r="F280" s="1"/>
      <c r="G280" s="394" t="s">
        <v>1345</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x14ac:dyDescent="0.15">
      <c r="A281" s="483">
        <v>12</v>
      </c>
      <c r="B281" s="28" t="s">
        <v>1346</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x14ac:dyDescent="0.15">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x14ac:dyDescent="0.15">
      <c r="A283" s="489" t="s">
        <v>2444</v>
      </c>
      <c r="B283" s="21" t="s">
        <v>302</v>
      </c>
      <c r="C283" s="21">
        <f>IF(manual=1,0,plc_rack)</f>
        <v>0</v>
      </c>
      <c r="D283" s="389" t="s">
        <v>64</v>
      </c>
      <c r="E283" s="394" t="s">
        <v>1345</v>
      </c>
      <c r="F283" s="21"/>
      <c r="G283" s="394" t="s">
        <v>1345</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x14ac:dyDescent="0.15">
      <c r="A284" s="489" t="s">
        <v>2445</v>
      </c>
      <c r="B284" s="21" t="s">
        <v>293</v>
      </c>
      <c r="C284" s="21">
        <f>IF(manual=1,0,plc_cpu)</f>
        <v>0</v>
      </c>
      <c r="D284" s="389" t="s">
        <v>64</v>
      </c>
      <c r="E284" s="394" t="s">
        <v>1345</v>
      </c>
      <c r="F284" s="21"/>
      <c r="G284" s="394" t="s">
        <v>1345</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x14ac:dyDescent="0.15">
      <c r="A285" s="489" t="s">
        <v>2446</v>
      </c>
      <c r="B285" s="21" t="s">
        <v>294</v>
      </c>
      <c r="C285" s="21">
        <f>IF(manual=1,0,plc_discrete_input)</f>
        <v>0</v>
      </c>
      <c r="D285" s="389" t="s">
        <v>64</v>
      </c>
      <c r="E285" s="394" t="s">
        <v>1345</v>
      </c>
      <c r="F285" s="21"/>
      <c r="G285" s="394" t="s">
        <v>1345</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x14ac:dyDescent="0.15">
      <c r="A286" s="489" t="s">
        <v>2447</v>
      </c>
      <c r="B286" s="21" t="s">
        <v>295</v>
      </c>
      <c r="C286" s="21">
        <f>IF(manual=1,0,plc_discrete_output)</f>
        <v>0</v>
      </c>
      <c r="D286" s="389" t="s">
        <v>64</v>
      </c>
      <c r="E286" s="394" t="s">
        <v>1345</v>
      </c>
      <c r="F286" s="21"/>
      <c r="G286" s="394" t="s">
        <v>1345</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x14ac:dyDescent="0.15">
      <c r="A287" s="489" t="s">
        <v>2448</v>
      </c>
      <c r="B287" s="21" t="s">
        <v>296</v>
      </c>
      <c r="C287" s="21">
        <f>IF(manual=1,0,plc_combination_analog)</f>
        <v>0</v>
      </c>
      <c r="D287" s="389" t="s">
        <v>64</v>
      </c>
      <c r="E287" s="394" t="s">
        <v>1345</v>
      </c>
      <c r="F287" s="21"/>
      <c r="G287" s="394" t="s">
        <v>1345</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x14ac:dyDescent="0.15">
      <c r="A288" s="489" t="s">
        <v>2449</v>
      </c>
      <c r="B288" s="21" t="s">
        <v>297</v>
      </c>
      <c r="C288" s="21">
        <f>IF(manual=1,0,plc_ethernet)</f>
        <v>0</v>
      </c>
      <c r="D288" s="389" t="s">
        <v>64</v>
      </c>
      <c r="E288" s="394" t="s">
        <v>1345</v>
      </c>
      <c r="F288" s="21"/>
      <c r="G288" s="394" t="s">
        <v>1345</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x14ac:dyDescent="0.15">
      <c r="A289" s="489" t="s">
        <v>2450</v>
      </c>
      <c r="B289" s="21" t="s">
        <v>2754</v>
      </c>
      <c r="C289" s="21">
        <f>IF(manual=1,0,plc_base_expansion)</f>
        <v>0</v>
      </c>
      <c r="D289" s="389" t="s">
        <v>64</v>
      </c>
      <c r="E289" s="394" t="s">
        <v>1345</v>
      </c>
      <c r="F289" s="21"/>
      <c r="G289" s="394" t="s">
        <v>1345</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x14ac:dyDescent="0.15">
      <c r="A290" s="489" t="s">
        <v>1870</v>
      </c>
      <c r="B290" s="21" t="s">
        <v>2755</v>
      </c>
      <c r="C290" s="21">
        <f>IF(manual=1,0,plc_base_expansion_controller)</f>
        <v>0</v>
      </c>
      <c r="D290" s="389" t="s">
        <v>64</v>
      </c>
      <c r="E290" s="394" t="s">
        <v>1345</v>
      </c>
      <c r="F290" s="21"/>
      <c r="G290" s="394" t="s">
        <v>1345</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x14ac:dyDescent="0.15">
      <c r="A291" s="489" t="s">
        <v>1871</v>
      </c>
      <c r="B291" s="21" t="s">
        <v>2756</v>
      </c>
      <c r="C291" s="21">
        <f>IF(manual=1,0,ups)</f>
        <v>0</v>
      </c>
      <c r="D291" s="389" t="s">
        <v>64</v>
      </c>
      <c r="E291" s="394" t="s">
        <v>1345</v>
      </c>
      <c r="F291" s="21"/>
      <c r="G291" s="394" t="s">
        <v>1345</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x14ac:dyDescent="0.15">
      <c r="A292" s="485">
        <v>12.2</v>
      </c>
      <c r="B292" s="257" t="s">
        <v>2757</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x14ac:dyDescent="0.15">
      <c r="A293" s="489" t="s">
        <v>1872</v>
      </c>
      <c r="B293" s="21" t="s">
        <v>1637</v>
      </c>
      <c r="C293" s="424">
        <f>IF(manual=1,0,tot_switches)</f>
        <v>0</v>
      </c>
      <c r="D293" s="389" t="s">
        <v>64</v>
      </c>
      <c r="E293" s="394" t="s">
        <v>1345</v>
      </c>
      <c r="F293" s="394"/>
      <c r="G293" s="394" t="s">
        <v>1345</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x14ac:dyDescent="0.15">
      <c r="A294" s="489" t="s">
        <v>1873</v>
      </c>
      <c r="B294" s="21" t="s">
        <v>303</v>
      </c>
      <c r="C294" s="21">
        <f>IF(manual=1,0,plc_interface)</f>
        <v>0</v>
      </c>
      <c r="D294" s="389" t="s">
        <v>64</v>
      </c>
      <c r="E294" s="394" t="s">
        <v>1345</v>
      </c>
      <c r="F294" s="21"/>
      <c r="G294" s="394" t="s">
        <v>1345</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x14ac:dyDescent="0.15">
      <c r="A295" s="489" t="s">
        <v>1874</v>
      </c>
      <c r="B295" s="21" t="s">
        <v>304</v>
      </c>
      <c r="C295" s="21">
        <f>IF(OR(manual=1,ss_cat="small"),0,workstations)</f>
        <v>0</v>
      </c>
      <c r="D295" s="389" t="s">
        <v>64</v>
      </c>
      <c r="E295" s="394" t="s">
        <v>1345</v>
      </c>
      <c r="F295" s="21"/>
      <c r="G295" s="394" t="s">
        <v>1345</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x14ac:dyDescent="0.15">
      <c r="A296" s="489" t="s">
        <v>1875</v>
      </c>
      <c r="B296" s="21" t="s">
        <v>305</v>
      </c>
      <c r="C296" s="21">
        <f>IF(OR(manual=1,ss_cat="small"),0,printers)</f>
        <v>0</v>
      </c>
      <c r="D296" s="389" t="s">
        <v>64</v>
      </c>
      <c r="E296" s="394" t="s">
        <v>1345</v>
      </c>
      <c r="F296" s="21"/>
      <c r="G296" s="394" t="s">
        <v>1345</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x14ac:dyDescent="0.15">
      <c r="A297" s="485">
        <v>12.3</v>
      </c>
      <c r="B297" s="29" t="s">
        <v>939</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x14ac:dyDescent="0.15">
      <c r="A298" s="489" t="s">
        <v>1876</v>
      </c>
      <c r="B298" s="21" t="s">
        <v>940</v>
      </c>
      <c r="C298" s="21">
        <f>IF(OR(manual=1,ss_cat="small"),0,plc_interface)</f>
        <v>0</v>
      </c>
      <c r="D298" s="389" t="s">
        <v>64</v>
      </c>
      <c r="E298" s="394" t="s">
        <v>1345</v>
      </c>
      <c r="F298" s="21"/>
      <c r="G298" s="394" t="s">
        <v>1345</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x14ac:dyDescent="0.15">
      <c r="A299" s="489" t="s">
        <v>1877</v>
      </c>
      <c r="B299" s="21" t="s">
        <v>2486</v>
      </c>
      <c r="C299" s="21">
        <f>IF(OR(manual=1,ss_cat="small"),0,workstations)</f>
        <v>0</v>
      </c>
      <c r="D299" s="389" t="s">
        <v>64</v>
      </c>
      <c r="E299" s="394" t="s">
        <v>1345</v>
      </c>
      <c r="F299" s="21"/>
      <c r="G299" s="394" t="s">
        <v>1345</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x14ac:dyDescent="0.15">
      <c r="A300" s="489" t="s">
        <v>1878</v>
      </c>
      <c r="B300" s="21" t="s">
        <v>2487</v>
      </c>
      <c r="C300" s="21">
        <f>IF(OR(manual=1,ss_cat="small"),0,workstations)</f>
        <v>0</v>
      </c>
      <c r="D300" s="389" t="s">
        <v>64</v>
      </c>
      <c r="E300" s="394" t="s">
        <v>1345</v>
      </c>
      <c r="F300" s="21"/>
      <c r="G300" s="394" t="s">
        <v>1345</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x14ac:dyDescent="0.15">
      <c r="A301" s="489" t="s">
        <v>1879</v>
      </c>
      <c r="B301" s="21" t="s">
        <v>306</v>
      </c>
      <c r="C301" s="21">
        <f>IF(OR(manual=1,ss_cat="small"),0,workstations)</f>
        <v>0</v>
      </c>
      <c r="D301" s="389" t="s">
        <v>64</v>
      </c>
      <c r="E301" s="394" t="s">
        <v>1345</v>
      </c>
      <c r="F301" s="21"/>
      <c r="G301" s="394" t="s">
        <v>1345</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x14ac:dyDescent="0.15">
      <c r="A302" s="605">
        <v>13</v>
      </c>
      <c r="B302" s="606" t="s">
        <v>2063</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x14ac:dyDescent="0.15">
      <c r="A303" s="485">
        <v>13.1</v>
      </c>
      <c r="B303" s="257" t="s">
        <v>1111</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x14ac:dyDescent="0.15">
      <c r="A304" s="401" t="s">
        <v>3003</v>
      </c>
      <c r="B304" s="610" t="s">
        <v>2118</v>
      </c>
      <c r="C304" s="611">
        <f>IF(AND(build1_fp&gt;0,build1_fp&lt;500),1,0)</f>
        <v>0</v>
      </c>
      <c r="D304" s="478" t="s">
        <v>64</v>
      </c>
      <c r="E304" s="612">
        <f>build1_fp</f>
        <v>3470</v>
      </c>
      <c r="F304" s="480" t="s">
        <v>1350</v>
      </c>
      <c r="G304" s="403">
        <f>build1_fp</f>
        <v>3470</v>
      </c>
      <c r="H304" s="480" t="s">
        <v>1350</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x14ac:dyDescent="0.15">
      <c r="A305" s="401" t="s">
        <v>3003</v>
      </c>
      <c r="B305" s="610" t="s">
        <v>2119</v>
      </c>
      <c r="C305" s="611">
        <f>IF(build1_fp&gt;=500,1,0)</f>
        <v>1</v>
      </c>
      <c r="D305" s="478" t="s">
        <v>64</v>
      </c>
      <c r="E305" s="403">
        <f>build1_fp</f>
        <v>3470</v>
      </c>
      <c r="F305" s="480" t="s">
        <v>1350</v>
      </c>
      <c r="G305" s="403">
        <f>build1_fp</f>
        <v>3470</v>
      </c>
      <c r="H305" s="480" t="s">
        <v>1350</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1"/>
      <c r="T305" s="526">
        <f>include_buildings</f>
        <v>0</v>
      </c>
      <c r="U305" s="881"/>
      <c r="V305" s="526"/>
      <c r="W305">
        <f t="shared" si="29"/>
        <v>0</v>
      </c>
      <c r="X305">
        <f t="shared" si="30"/>
        <v>0</v>
      </c>
      <c r="Y305">
        <f>IF(W305,K305,0)</f>
        <v>0</v>
      </c>
    </row>
    <row r="306" spans="1:25" customFormat="1" x14ac:dyDescent="0.15">
      <c r="A306" s="401" t="s">
        <v>3003</v>
      </c>
      <c r="B306" s="610" t="s">
        <v>2120</v>
      </c>
      <c r="C306" s="611">
        <f>IF(build1_fp&gt;=500,1,0)</f>
        <v>1</v>
      </c>
      <c r="D306" s="478" t="s">
        <v>64</v>
      </c>
      <c r="E306" s="403">
        <f>build1_fp</f>
        <v>3470</v>
      </c>
      <c r="F306" s="480" t="s">
        <v>1350</v>
      </c>
      <c r="G306" s="403">
        <f>build1_fp</f>
        <v>3470</v>
      </c>
      <c r="H306" s="480" t="s">
        <v>1350</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1"/>
      <c r="T306" s="881"/>
      <c r="U306" s="526">
        <f>include_buildings</f>
        <v>0</v>
      </c>
      <c r="V306" s="526"/>
      <c r="W306">
        <f t="shared" si="29"/>
        <v>0</v>
      </c>
      <c r="X306">
        <f t="shared" si="30"/>
        <v>0</v>
      </c>
      <c r="Y306">
        <f>IF(W306,K306,0)</f>
        <v>0</v>
      </c>
    </row>
    <row r="307" spans="1:25" customFormat="1" x14ac:dyDescent="0.15">
      <c r="A307" s="401" t="s">
        <v>3003</v>
      </c>
      <c r="B307" s="610" t="s">
        <v>2121</v>
      </c>
      <c r="C307" s="611">
        <f>IF(build1_fp&gt;=500,1,0)</f>
        <v>1</v>
      </c>
      <c r="D307" s="480" t="s">
        <v>64</v>
      </c>
      <c r="E307" s="403">
        <f>build1_fp</f>
        <v>3470</v>
      </c>
      <c r="F307" s="480" t="s">
        <v>1350</v>
      </c>
      <c r="G307" s="403">
        <f>build1_fp</f>
        <v>3470</v>
      </c>
      <c r="H307" s="480" t="s">
        <v>1350</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1"/>
      <c r="U307" s="881"/>
      <c r="V307" s="526">
        <f>include_buildings</f>
        <v>0</v>
      </c>
      <c r="W307">
        <f t="shared" si="29"/>
        <v>0</v>
      </c>
      <c r="X307">
        <f t="shared" si="30"/>
        <v>0</v>
      </c>
      <c r="Y307">
        <f>IF(W307,K307,0)</f>
        <v>0</v>
      </c>
    </row>
    <row r="308" spans="1:25" customFormat="1" x14ac:dyDescent="0.15">
      <c r="A308" s="485" t="s">
        <v>3004</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x14ac:dyDescent="0.15">
      <c r="A309" s="401" t="s">
        <v>3005</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x14ac:dyDescent="0.15">
      <c r="A310" s="401" t="s">
        <v>3005</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x14ac:dyDescent="0.15">
      <c r="A311" s="401" t="s">
        <v>3005</v>
      </c>
      <c r="B311" s="610" t="s">
        <v>2741</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x14ac:dyDescent="0.15">
      <c r="A312" s="401" t="s">
        <v>3005</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x14ac:dyDescent="0.15">
      <c r="A313" s="401" t="s">
        <v>3005</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x14ac:dyDescent="0.15">
      <c r="A314" s="485" t="s">
        <v>3006</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x14ac:dyDescent="0.15">
      <c r="A315" s="401" t="s">
        <v>3007</v>
      </c>
      <c r="B315" s="610" t="s">
        <v>1970</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x14ac:dyDescent="0.15">
      <c r="A316" s="401" t="s">
        <v>3007</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x14ac:dyDescent="0.15">
      <c r="A317" s="485">
        <v>13.2</v>
      </c>
      <c r="B317" s="257" t="s">
        <v>1112</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x14ac:dyDescent="0.15">
      <c r="A318" s="401" t="s">
        <v>3008</v>
      </c>
      <c r="B318" s="610" t="s">
        <v>2118</v>
      </c>
      <c r="C318" s="611">
        <f>IF(AND(build2_fp&gt;0,build2_fp&lt;500),1,0)</f>
        <v>0</v>
      </c>
      <c r="D318" s="478" t="s">
        <v>64</v>
      </c>
      <c r="E318" s="403">
        <f>build2_fp</f>
        <v>0</v>
      </c>
      <c r="F318" s="480" t="s">
        <v>1350</v>
      </c>
      <c r="G318" s="403">
        <f>build2_fp</f>
        <v>0</v>
      </c>
      <c r="H318" s="480" t="s">
        <v>1350</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x14ac:dyDescent="0.15">
      <c r="A319" s="401" t="s">
        <v>3008</v>
      </c>
      <c r="B319" s="610" t="s">
        <v>2119</v>
      </c>
      <c r="C319" s="611">
        <f>IF(build2_fp&gt;=500,1,0)</f>
        <v>0</v>
      </c>
      <c r="D319" s="478" t="s">
        <v>64</v>
      </c>
      <c r="E319" s="403">
        <f>build2_fp</f>
        <v>0</v>
      </c>
      <c r="F319" s="480" t="s">
        <v>1350</v>
      </c>
      <c r="G319" s="403">
        <f>build2_fp</f>
        <v>0</v>
      </c>
      <c r="H319" s="480" t="s">
        <v>1350</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1"/>
      <c r="T319" s="526">
        <f>include_buildings</f>
        <v>0</v>
      </c>
      <c r="U319" s="881"/>
      <c r="V319" s="526"/>
      <c r="W319">
        <f t="shared" si="29"/>
        <v>0</v>
      </c>
      <c r="X319">
        <f t="shared" si="30"/>
        <v>0</v>
      </c>
      <c r="Y319">
        <f>IF(W319,K319,0)</f>
        <v>0</v>
      </c>
    </row>
    <row r="320" spans="1:25" customFormat="1" x14ac:dyDescent="0.15">
      <c r="A320" s="401" t="s">
        <v>3008</v>
      </c>
      <c r="B320" s="610" t="s">
        <v>2120</v>
      </c>
      <c r="C320" s="611">
        <f>IF(build2_fp&gt;=500,1,0)</f>
        <v>0</v>
      </c>
      <c r="D320" s="478" t="s">
        <v>64</v>
      </c>
      <c r="E320" s="403">
        <f>build2_fp</f>
        <v>0</v>
      </c>
      <c r="F320" s="480" t="s">
        <v>1350</v>
      </c>
      <c r="G320" s="403">
        <f>build2_fp</f>
        <v>0</v>
      </c>
      <c r="H320" s="480" t="s">
        <v>1350</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1"/>
      <c r="T320" s="881"/>
      <c r="U320" s="526">
        <f>include_buildings</f>
        <v>0</v>
      </c>
      <c r="V320" s="526"/>
      <c r="W320">
        <f t="shared" si="29"/>
        <v>0</v>
      </c>
      <c r="X320">
        <f t="shared" si="30"/>
        <v>0</v>
      </c>
      <c r="Y320">
        <f>IF(W320,K320,0)</f>
        <v>0</v>
      </c>
    </row>
    <row r="321" spans="1:25" customFormat="1" x14ac:dyDescent="0.15">
      <c r="A321" s="401" t="s">
        <v>3008</v>
      </c>
      <c r="B321" s="610" t="s">
        <v>2121</v>
      </c>
      <c r="C321" s="611">
        <f>IF(build2_fp&gt;=500,1,0)</f>
        <v>0</v>
      </c>
      <c r="D321" s="478" t="s">
        <v>64</v>
      </c>
      <c r="E321" s="403">
        <f>build2_fp</f>
        <v>0</v>
      </c>
      <c r="F321" s="480" t="s">
        <v>1350</v>
      </c>
      <c r="G321" s="403">
        <f>build2_fp</f>
        <v>0</v>
      </c>
      <c r="H321" s="480" t="s">
        <v>1350</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1"/>
      <c r="U321" s="881"/>
      <c r="V321" s="526">
        <f>include_buildings</f>
        <v>0</v>
      </c>
      <c r="W321">
        <f t="shared" si="29"/>
        <v>0</v>
      </c>
      <c r="X321">
        <f t="shared" si="30"/>
        <v>0</v>
      </c>
      <c r="Y321">
        <f>IF(W321,K321,0)</f>
        <v>0</v>
      </c>
    </row>
    <row r="322" spans="1:25" customFormat="1" x14ac:dyDescent="0.15">
      <c r="A322" s="485" t="s">
        <v>3009</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x14ac:dyDescent="0.15">
      <c r="A323" s="401" t="s">
        <v>3010</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x14ac:dyDescent="0.15">
      <c r="A324" s="401" t="s">
        <v>3010</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x14ac:dyDescent="0.15">
      <c r="A325" s="401" t="s">
        <v>3010</v>
      </c>
      <c r="B325" s="610" t="s">
        <v>2741</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x14ac:dyDescent="0.15">
      <c r="A326" s="401" t="s">
        <v>3010</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x14ac:dyDescent="0.15">
      <c r="A327" s="401" t="s">
        <v>3010</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x14ac:dyDescent="0.15">
      <c r="A328" s="485" t="s">
        <v>3011</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x14ac:dyDescent="0.15">
      <c r="A329" s="401" t="s">
        <v>3012</v>
      </c>
      <c r="B329" s="610" t="s">
        <v>1970</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x14ac:dyDescent="0.15">
      <c r="A330" s="401" t="s">
        <v>3012</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x14ac:dyDescent="0.15">
      <c r="A331" s="484">
        <v>13.3</v>
      </c>
      <c r="B331" s="388" t="s">
        <v>1349</v>
      </c>
      <c r="C331" s="21">
        <v>1</v>
      </c>
      <c r="D331" s="389" t="s">
        <v>64</v>
      </c>
      <c r="E331" s="390">
        <f>concrete</f>
        <v>62</v>
      </c>
      <c r="F331" s="21" t="s">
        <v>1351</v>
      </c>
      <c r="G331" s="390">
        <f>concrete</f>
        <v>62</v>
      </c>
      <c r="H331" s="21" t="s">
        <v>1351</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x14ac:dyDescent="0.15">
      <c r="A332" s="483">
        <v>14</v>
      </c>
      <c r="B332" s="28" t="s">
        <v>1683</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x14ac:dyDescent="0.15">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x14ac:dyDescent="0.15">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x14ac:dyDescent="0.15">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x14ac:dyDescent="0.15">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x14ac:dyDescent="0.15">
      <c r="A337" s="483">
        <v>15</v>
      </c>
      <c r="B337" s="28" t="s">
        <v>1647</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x14ac:dyDescent="0.15">
      <c r="A338" s="490">
        <v>15.1</v>
      </c>
      <c r="B338" s="427" t="s">
        <v>1647</v>
      </c>
      <c r="C338" s="428">
        <f>IF(solids_pad_area=0,0,1)</f>
        <v>0</v>
      </c>
      <c r="D338" s="429" t="s">
        <v>64</v>
      </c>
      <c r="E338" s="430">
        <f>solids_pad_concrete</f>
        <v>0</v>
      </c>
      <c r="F338" s="428" t="s">
        <v>1351</v>
      </c>
      <c r="G338" s="430">
        <f>solids_pad_concrete</f>
        <v>0</v>
      </c>
      <c r="H338" s="428" t="s">
        <v>1351</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x14ac:dyDescent="0.15">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x14ac:dyDescent="0.15">
      <c r="A340" s="691" t="s">
        <v>2975</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486116.16920656228</v>
      </c>
      <c r="X340" s="526">
        <f>SUM(X34:X338)</f>
        <v>17388.572970296496</v>
      </c>
      <c r="Y340" s="526">
        <f>MAX(Y318:Y321,Y304:Y307)</f>
        <v>0</v>
      </c>
    </row>
    <row r="341" spans="1:25" s="16" customFormat="1" x14ac:dyDescent="0.15">
      <c r="A341" s="691"/>
      <c r="B341" s="117" t="s">
        <v>2976</v>
      </c>
      <c r="C341" s="692" t="s">
        <v>1599</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x14ac:dyDescent="0.15">
      <c r="A342" s="289"/>
      <c r="B342" s="794" t="s">
        <v>2504</v>
      </c>
      <c r="C342" s="347">
        <f>SUMPRODUCT(J34:J301,L34:L301)+SUMPRODUCT(J333:J338,L333:L338)</f>
        <v>766514.27600734297</v>
      </c>
      <c r="D342" s="769" t="s">
        <v>3203</v>
      </c>
      <c r="E342" s="343"/>
      <c r="F342" s="216"/>
      <c r="G342" s="343"/>
      <c r="H342" s="216"/>
      <c r="I342" s="344"/>
      <c r="J342" s="345"/>
      <c r="K342" s="346"/>
      <c r="L342" s="245"/>
      <c r="N342" s="526"/>
      <c r="O342" s="526"/>
      <c r="P342" s="526"/>
      <c r="Q342" s="526"/>
      <c r="R342" s="526"/>
      <c r="S342" s="526"/>
      <c r="T342" s="526"/>
      <c r="U342" s="526"/>
      <c r="V342" s="526"/>
    </row>
    <row r="343" spans="1:25" s="16" customFormat="1" x14ac:dyDescent="0.15">
      <c r="A343" s="289"/>
      <c r="B343" s="350" t="s">
        <v>2505</v>
      </c>
      <c r="C343" s="296">
        <f>SUMPRODUCT(J304:J331,L304:L331)</f>
        <v>50605.773671868847</v>
      </c>
      <c r="D343" s="768" t="s">
        <v>3202</v>
      </c>
      <c r="E343" s="343"/>
      <c r="F343" s="216"/>
      <c r="G343" s="343"/>
      <c r="H343" s="216"/>
      <c r="I343" s="344"/>
      <c r="J343" s="345"/>
      <c r="K343" s="346"/>
      <c r="L343" s="245"/>
      <c r="N343" s="526"/>
      <c r="O343" s="526"/>
      <c r="P343" s="526"/>
      <c r="Q343" s="526"/>
      <c r="R343" s="526"/>
      <c r="S343" s="526"/>
      <c r="T343" s="526"/>
      <c r="U343" s="526"/>
      <c r="V343" s="526"/>
    </row>
    <row r="344" spans="1:25" s="16" customFormat="1" ht="16" x14ac:dyDescent="0.2">
      <c r="A344" s="298"/>
      <c r="B344" s="299" t="s">
        <v>2165</v>
      </c>
      <c r="C344" s="249">
        <f>process_cost+building_cost</f>
        <v>817120.04967921181</v>
      </c>
      <c r="D344" s="231" t="s">
        <v>2657</v>
      </c>
      <c r="E344" s="246"/>
      <c r="F344" s="246"/>
      <c r="G344" s="246"/>
      <c r="H344" s="246"/>
      <c r="I344" s="246"/>
      <c r="J344" s="246"/>
      <c r="K344" s="246"/>
      <c r="L344" s="247"/>
      <c r="N344" s="651"/>
      <c r="O344" s="651"/>
      <c r="P344" s="651"/>
      <c r="Q344" s="651"/>
      <c r="R344" s="651"/>
      <c r="S344" s="651"/>
      <c r="T344" s="651"/>
      <c r="U344" s="651"/>
      <c r="V344" s="651"/>
    </row>
    <row r="345" spans="1:25" s="16" customFormat="1" x14ac:dyDescent="0.15">
      <c r="A345" s="276"/>
      <c r="B345" s="212"/>
      <c r="C345" s="277"/>
      <c r="D345" s="213"/>
      <c r="E345" s="216"/>
      <c r="F345" s="216"/>
      <c r="G345" s="216"/>
      <c r="H345" s="216"/>
      <c r="I345" s="216"/>
      <c r="J345" s="216"/>
      <c r="K345" s="216"/>
      <c r="L345" s="216"/>
      <c r="M345" s="216"/>
      <c r="N345" s="882"/>
      <c r="O345" s="882"/>
      <c r="P345" s="882"/>
      <c r="Q345" s="882"/>
      <c r="R345" s="882"/>
      <c r="S345" s="651"/>
      <c r="T345" s="651"/>
      <c r="U345" s="651"/>
      <c r="V345" s="651"/>
    </row>
    <row r="346" spans="1:25" s="667" customFormat="1" ht="16" x14ac:dyDescent="0.2">
      <c r="A346" s="217" t="s">
        <v>2977</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x14ac:dyDescent="0.2">
      <c r="A347" s="690"/>
      <c r="B347" s="117" t="s">
        <v>2978</v>
      </c>
      <c r="C347" s="697" t="s">
        <v>1599</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x14ac:dyDescent="0.15">
      <c r="A348" s="290"/>
      <c r="B348" s="794" t="s">
        <v>2244</v>
      </c>
      <c r="C348" s="795">
        <f>include_permits*permit_cost</f>
        <v>37.6</v>
      </c>
      <c r="D348" s="768" t="s">
        <v>2592</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x14ac:dyDescent="0.15">
      <c r="A349" s="290"/>
      <c r="B349" s="27" t="s">
        <v>2245</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3"/>
      <c r="O349" s="883"/>
      <c r="P349" s="883"/>
      <c r="Q349" s="883"/>
      <c r="R349" s="798"/>
      <c r="S349" s="798"/>
      <c r="T349" s="798"/>
      <c r="U349" s="798"/>
      <c r="V349" s="798"/>
    </row>
    <row r="350" spans="1:25" s="667" customFormat="1" x14ac:dyDescent="0.15">
      <c r="A350" s="301"/>
      <c r="B350" s="351" t="s">
        <v>1127</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x14ac:dyDescent="0.2">
      <c r="A351" s="300"/>
      <c r="B351" s="218" t="s">
        <v>1327</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x14ac:dyDescent="0.2">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x14ac:dyDescent="0.2">
      <c r="A353" s="217" t="s">
        <v>2979</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x14ac:dyDescent="0.2">
      <c r="A354" s="693"/>
      <c r="B354" s="117" t="s">
        <v>2980</v>
      </c>
      <c r="C354" s="697" t="s">
        <v>1599</v>
      </c>
      <c r="D354" s="697" t="s">
        <v>2981</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x14ac:dyDescent="0.15">
      <c r="A355" s="290"/>
      <c r="B355" s="794" t="s">
        <v>2738</v>
      </c>
      <c r="C355" s="796">
        <f>(direct_cost+C357+C358+C359+C360+C361+C362+C363+C366)*D355</f>
        <v>42111.235061590232</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x14ac:dyDescent="0.15">
      <c r="A356" s="290"/>
      <c r="B356" s="27" t="s">
        <v>2237</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x14ac:dyDescent="0.15">
      <c r="A357" s="290"/>
      <c r="B357" s="651" t="s">
        <v>3112</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x14ac:dyDescent="0.15">
      <c r="A358" s="290"/>
      <c r="B358" s="27" t="s">
        <v>2372</v>
      </c>
      <c r="C358" s="291">
        <f>include_sitework*sitework_cost</f>
        <v>52713.494505494506</v>
      </c>
      <c r="D358" s="294"/>
      <c r="E358" s="200" t="s">
        <v>1811</v>
      </c>
      <c r="F358" s="216"/>
      <c r="G358" s="216"/>
      <c r="H358" s="216"/>
      <c r="I358" s="216"/>
      <c r="J358" s="216"/>
      <c r="K358" s="245"/>
      <c r="L358" s="216"/>
      <c r="N358" s="798"/>
      <c r="O358" s="798"/>
      <c r="P358" s="798"/>
      <c r="Q358" s="798"/>
      <c r="R358" s="798"/>
      <c r="S358" s="798"/>
      <c r="T358" s="798"/>
      <c r="U358" s="798"/>
      <c r="V358" s="798"/>
    </row>
    <row r="359" spans="1:22" s="667" customFormat="1" x14ac:dyDescent="0.15">
      <c r="A359" s="290"/>
      <c r="B359" s="27" t="s">
        <v>2238</v>
      </c>
      <c r="C359" s="291">
        <f>include_yardpipe*yard_cost</f>
        <v>9403.8997863940549</v>
      </c>
      <c r="D359" s="294"/>
      <c r="E359" s="200" t="s">
        <v>1811</v>
      </c>
      <c r="F359" s="216"/>
      <c r="G359" s="216"/>
      <c r="H359" s="216"/>
      <c r="I359" s="216"/>
      <c r="J359" s="216"/>
      <c r="K359" s="245"/>
      <c r="L359" s="216"/>
      <c r="N359" s="798"/>
      <c r="O359" s="798"/>
      <c r="P359" s="798"/>
      <c r="Q359" s="798"/>
      <c r="R359" s="798"/>
      <c r="S359" s="798"/>
      <c r="T359" s="798"/>
      <c r="U359" s="798"/>
      <c r="V359" s="798"/>
    </row>
    <row r="360" spans="1:22" s="667" customFormat="1" x14ac:dyDescent="0.15">
      <c r="A360" s="290"/>
      <c r="B360" s="27" t="s">
        <v>2239</v>
      </c>
      <c r="C360" s="291">
        <f>IF(OR(res_holding="basins",ep_cells&lt;&gt;0),1,IF(component_level="",include_geo_low,IF(component_level=1,include_geo_medium,include_geo_high)))*geotech_cost</f>
        <v>0</v>
      </c>
      <c r="D360" s="294"/>
      <c r="E360" s="200" t="s">
        <v>1811</v>
      </c>
      <c r="F360" s="216"/>
      <c r="G360" s="216"/>
      <c r="H360" s="216"/>
      <c r="I360" s="216"/>
      <c r="J360" s="216"/>
      <c r="K360" s="245"/>
      <c r="L360" s="216"/>
      <c r="N360" s="798"/>
      <c r="O360" s="798"/>
      <c r="P360" s="798"/>
      <c r="Q360" s="798"/>
      <c r="R360" s="798"/>
      <c r="S360" s="798"/>
      <c r="T360" s="798"/>
      <c r="U360" s="798"/>
      <c r="V360" s="798"/>
    </row>
    <row r="361" spans="1:22" s="667" customFormat="1" x14ac:dyDescent="0.15">
      <c r="A361" s="290"/>
      <c r="B361" s="27" t="s">
        <v>2241</v>
      </c>
      <c r="C361" s="291">
        <f>IF(ss_cat2=1,include_standby_small,include_standby)*std_power_cost</f>
        <v>15180</v>
      </c>
      <c r="D361" s="294"/>
      <c r="E361" s="200" t="s">
        <v>1824</v>
      </c>
      <c r="F361" s="216"/>
      <c r="G361" s="216"/>
      <c r="H361" s="216"/>
      <c r="I361" s="216"/>
      <c r="J361" s="216"/>
      <c r="K361" s="245"/>
      <c r="L361" s="216"/>
      <c r="N361" s="798"/>
      <c r="O361" s="798"/>
      <c r="P361" s="798"/>
      <c r="Q361" s="798"/>
      <c r="R361" s="798"/>
      <c r="S361" s="798"/>
      <c r="T361" s="798"/>
      <c r="U361" s="798"/>
      <c r="V361" s="798"/>
    </row>
    <row r="362" spans="1:22" s="667" customFormat="1" x14ac:dyDescent="0.15">
      <c r="A362" s="290"/>
      <c r="B362" s="27" t="s">
        <v>2242</v>
      </c>
      <c r="C362" s="248">
        <f>process_cost*D362</f>
        <v>76651.4276007343</v>
      </c>
      <c r="D362" s="323">
        <f>elect_pct</f>
        <v>0.1</v>
      </c>
      <c r="E362" s="200" t="s">
        <v>2303</v>
      </c>
      <c r="F362" s="216"/>
      <c r="G362" s="216"/>
      <c r="H362" s="216"/>
      <c r="I362" s="216"/>
      <c r="J362" s="216"/>
      <c r="K362" s="245"/>
      <c r="L362" s="216"/>
      <c r="N362" s="798"/>
      <c r="O362" s="798"/>
      <c r="P362" s="798"/>
      <c r="Q362" s="798"/>
      <c r="R362" s="798"/>
      <c r="S362" s="798"/>
      <c r="T362" s="798"/>
      <c r="U362" s="798"/>
      <c r="V362" s="798"/>
    </row>
    <row r="363" spans="1:22" s="667" customFormat="1" x14ac:dyDescent="0.15">
      <c r="A363" s="290"/>
      <c r="B363" s="27" t="s">
        <v>2243</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x14ac:dyDescent="0.15">
      <c r="A364" s="290"/>
      <c r="B364" s="27" t="s">
        <v>2246</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1825</v>
      </c>
      <c r="F364" s="216"/>
      <c r="G364" s="216"/>
      <c r="H364" s="216"/>
      <c r="I364" s="216"/>
      <c r="J364" s="216"/>
      <c r="K364" s="245"/>
      <c r="L364" s="216"/>
      <c r="N364" s="798"/>
      <c r="O364" s="798"/>
      <c r="P364" s="798"/>
      <c r="Q364" s="798"/>
      <c r="R364" s="798"/>
      <c r="S364" s="798"/>
      <c r="T364" s="798"/>
      <c r="U364" s="798"/>
      <c r="V364" s="798"/>
    </row>
    <row r="365" spans="1:22" s="667" customFormat="1" x14ac:dyDescent="0.15">
      <c r="A365" s="290"/>
      <c r="B365" s="27" t="s">
        <v>2247</v>
      </c>
      <c r="C365" s="239">
        <f t="shared" si="38"/>
        <v>98054.405961505414</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x14ac:dyDescent="0.15">
      <c r="A366" s="290"/>
      <c r="B366" s="27" t="s">
        <v>45</v>
      </c>
      <c r="C366" s="239">
        <f t="shared" si="38"/>
        <v>81712.004967921181</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x14ac:dyDescent="0.15">
      <c r="A367" s="290"/>
      <c r="B367" s="27" t="s">
        <v>1306</v>
      </c>
      <c r="C367" s="239">
        <f t="shared" si="38"/>
        <v>16342.400993584237</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x14ac:dyDescent="0.15">
      <c r="A368" s="290"/>
      <c r="B368" s="27" t="s">
        <v>1307</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x14ac:dyDescent="0.15">
      <c r="A369" s="290"/>
      <c r="B369" s="27" t="s">
        <v>718</v>
      </c>
      <c r="C369" s="239">
        <f t="shared" si="38"/>
        <v>40856.00248396059</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x14ac:dyDescent="0.15">
      <c r="A370" s="240"/>
      <c r="B370" s="351" t="s">
        <v>110</v>
      </c>
      <c r="C370" s="286">
        <f>cm_cost</f>
        <v>63476.611646454141</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x14ac:dyDescent="0.2">
      <c r="A371" s="241"/>
      <c r="B371" s="218" t="s">
        <v>2630</v>
      </c>
      <c r="C371" s="354">
        <f>indirect_cost_mult*direct_cost+indirect_cost_add</f>
        <v>501056.00263810687</v>
      </c>
      <c r="D371" s="352"/>
      <c r="E371" s="231"/>
      <c r="F371" s="246"/>
      <c r="G371" s="246"/>
      <c r="H371" s="246"/>
      <c r="I371" s="246"/>
      <c r="J371" s="246"/>
      <c r="K371" s="247"/>
      <c r="L371" s="216"/>
      <c r="N371" s="798"/>
      <c r="O371" s="798"/>
      <c r="P371" s="798"/>
      <c r="Q371" s="798"/>
      <c r="R371" s="798"/>
      <c r="S371" s="798"/>
      <c r="T371" s="798"/>
      <c r="U371" s="798"/>
      <c r="V371" s="798"/>
    </row>
    <row r="372" spans="1:22" s="667" customFormat="1" x14ac:dyDescent="0.15">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x14ac:dyDescent="0.2">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x14ac:dyDescent="0.2">
      <c r="A374" s="703"/>
      <c r="B374" s="697" t="s">
        <v>276</v>
      </c>
      <c r="C374" s="704" t="s">
        <v>278</v>
      </c>
      <c r="D374" s="705" t="s">
        <v>280</v>
      </c>
      <c r="E374" s="233"/>
      <c r="F374" s="116"/>
      <c r="G374" s="116"/>
      <c r="H374" s="116"/>
      <c r="I374" s="116"/>
      <c r="J374" s="116"/>
      <c r="K374" s="116"/>
      <c r="L374" s="510"/>
      <c r="M374" s="706"/>
      <c r="N374" s="884"/>
      <c r="O374" s="779"/>
      <c r="P374" s="779"/>
      <c r="Q374" s="779"/>
      <c r="R374" s="779"/>
      <c r="S374" s="779"/>
      <c r="T374" s="779"/>
      <c r="U374" s="779"/>
      <c r="V374" s="779"/>
    </row>
    <row r="375" spans="1:22" s="667" customFormat="1" x14ac:dyDescent="0.15">
      <c r="A375" s="240"/>
      <c r="B375" s="745" t="s">
        <v>3471</v>
      </c>
      <c r="C375" s="860">
        <v>1</v>
      </c>
      <c r="D375" s="200" t="s">
        <v>1081</v>
      </c>
      <c r="E375" s="216"/>
      <c r="F375" s="216"/>
      <c r="G375" s="216"/>
      <c r="H375" s="216"/>
      <c r="I375" s="216"/>
      <c r="J375" s="216"/>
      <c r="K375" s="216"/>
      <c r="L375" s="245"/>
      <c r="M375" s="534"/>
      <c r="N375" s="798"/>
      <c r="O375" s="798"/>
      <c r="P375" s="798"/>
      <c r="Q375" s="798"/>
      <c r="R375" s="798"/>
      <c r="S375" s="798"/>
      <c r="T375" s="798"/>
      <c r="U375" s="798"/>
      <c r="V375" s="798"/>
    </row>
    <row r="376" spans="1:22" s="667" customFormat="1" x14ac:dyDescent="0.15">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x14ac:dyDescent="0.15">
      <c r="A377" s="127"/>
      <c r="B377" s="117" t="s">
        <v>2982</v>
      </c>
      <c r="C377" s="707" t="s">
        <v>1599</v>
      </c>
      <c r="D377" s="233"/>
      <c r="E377" s="116"/>
      <c r="F377" s="116"/>
      <c r="G377" s="116"/>
      <c r="H377" s="116"/>
      <c r="I377" s="116"/>
      <c r="J377" s="116"/>
      <c r="K377" s="116"/>
      <c r="L377" s="510"/>
      <c r="N377" s="779"/>
      <c r="O377" s="779"/>
      <c r="P377" s="779"/>
      <c r="Q377" s="779"/>
      <c r="R377" s="779"/>
      <c r="S377" s="779"/>
      <c r="T377" s="779"/>
      <c r="U377" s="779"/>
      <c r="V377" s="779"/>
    </row>
    <row r="378" spans="1:22" s="667" customFormat="1" x14ac:dyDescent="0.15">
      <c r="A378" s="240"/>
      <c r="B378" s="237" t="s">
        <v>2654</v>
      </c>
      <c r="C378" s="786">
        <f>direct_cost</f>
        <v>817120.04967921181</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x14ac:dyDescent="0.15">
      <c r="A379" s="240"/>
      <c r="B379" s="223" t="s">
        <v>2655</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x14ac:dyDescent="0.2">
      <c r="A380" s="240"/>
      <c r="B380" s="238" t="s">
        <v>2656</v>
      </c>
      <c r="C380" s="288">
        <f>C371</f>
        <v>501056.00263810687</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x14ac:dyDescent="0.2">
      <c r="A381" s="127"/>
      <c r="B381" s="788" t="s">
        <v>2983</v>
      </c>
      <c r="C381" s="787">
        <f>(direct_cost*(1+SUM(cul_indir_mult_table))+SUM(cul_indir_add_table))*C375</f>
        <v>1388628.8888128123</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x14ac:dyDescent="0.15">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x14ac:dyDescent="0.2">
      <c r="A383" s="708" t="s">
        <v>2984</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x14ac:dyDescent="0.15">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x14ac:dyDescent="0.15">
      <c r="A385" s="861"/>
      <c r="B385" s="745" t="s">
        <v>3472</v>
      </c>
      <c r="C385" s="855">
        <v>1</v>
      </c>
      <c r="D385" s="200" t="s">
        <v>3473</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x14ac:dyDescent="0.15">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x14ac:dyDescent="0.15">
      <c r="A387" s="710"/>
      <c r="B387" s="711" t="s">
        <v>1912</v>
      </c>
      <c r="C387" s="983" t="s">
        <v>1913</v>
      </c>
      <c r="D387" s="983"/>
      <c r="E387" s="983" t="s">
        <v>2580</v>
      </c>
      <c r="F387" s="983"/>
      <c r="G387" s="712" t="s">
        <v>2985</v>
      </c>
      <c r="H387" s="713" t="s">
        <v>2849</v>
      </c>
      <c r="I387" s="117" t="s">
        <v>280</v>
      </c>
      <c r="J387" s="541"/>
      <c r="K387" s="541"/>
      <c r="L387" s="542"/>
      <c r="N387" s="779"/>
      <c r="O387" s="779"/>
      <c r="P387" s="779"/>
      <c r="Q387" s="779"/>
      <c r="R387" s="779"/>
      <c r="S387" s="779"/>
      <c r="T387" s="779"/>
      <c r="U387" s="779"/>
      <c r="V387" s="779"/>
    </row>
    <row r="388" spans="1:22" s="667" customFormat="1" x14ac:dyDescent="0.15">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x14ac:dyDescent="0.15">
      <c r="A389" s="435"/>
      <c r="B389" s="388" t="s">
        <v>2373</v>
      </c>
      <c r="C389" s="390">
        <f>Manager_LOE</f>
        <v>76.05111891692215</v>
      </c>
      <c r="D389" s="21" t="s">
        <v>722</v>
      </c>
      <c r="E389" s="406">
        <f>VLOOKUP(design_flow,labor_table_cl,5)</f>
        <v>57.930721925133689</v>
      </c>
      <c r="F389" s="21" t="s">
        <v>721</v>
      </c>
      <c r="G389" s="436">
        <f>E389*C389</f>
        <v>4405.6962220714913</v>
      </c>
      <c r="H389" s="437">
        <v>1</v>
      </c>
      <c r="I389" s="216"/>
      <c r="J389" s="216"/>
      <c r="K389" s="216"/>
      <c r="L389" s="245"/>
      <c r="M389" s="216"/>
      <c r="N389" s="798"/>
      <c r="O389" s="798"/>
      <c r="P389" s="798"/>
      <c r="Q389" s="798"/>
      <c r="R389" s="798"/>
      <c r="S389" s="798"/>
      <c r="T389" s="798"/>
      <c r="U389" s="798"/>
      <c r="V389" s="798"/>
    </row>
    <row r="390" spans="1:22" s="667" customFormat="1" x14ac:dyDescent="0.15">
      <c r="A390" s="435"/>
      <c r="B390" s="388" t="s">
        <v>2374</v>
      </c>
      <c r="C390" s="390">
        <f>Clerical_LOE</f>
        <v>76.05111891692215</v>
      </c>
      <c r="D390" s="21" t="s">
        <v>722</v>
      </c>
      <c r="E390" s="406">
        <f>VLOOKUP(design_flow,labor_table_cl,6)</f>
        <v>32.90061497326203</v>
      </c>
      <c r="F390" s="21" t="s">
        <v>721</v>
      </c>
      <c r="G390" s="436">
        <f>E390*C390</f>
        <v>2502.1285817714202</v>
      </c>
      <c r="H390" s="437">
        <v>1</v>
      </c>
      <c r="I390" s="216"/>
      <c r="J390" s="216"/>
      <c r="K390" s="216"/>
      <c r="L390" s="245"/>
      <c r="M390" s="216"/>
      <c r="N390" s="798"/>
      <c r="O390" s="798"/>
      <c r="P390" s="798"/>
      <c r="Q390" s="798"/>
      <c r="R390" s="798"/>
      <c r="S390" s="798"/>
      <c r="T390" s="798"/>
      <c r="U390" s="798"/>
      <c r="V390" s="798"/>
    </row>
    <row r="391" spans="1:22" s="667" customFormat="1" ht="21" customHeight="1" x14ac:dyDescent="0.15">
      <c r="A391" s="435"/>
      <c r="B391" s="438" t="s">
        <v>1703</v>
      </c>
      <c r="C391" s="439">
        <f>Operator_LOE</f>
        <v>760.51118916922144</v>
      </c>
      <c r="D391" s="440" t="s">
        <v>722</v>
      </c>
      <c r="E391" s="441">
        <f>VLOOKUP(design_flow,labor_table_cl,4)</f>
        <v>36.431310160427806</v>
      </c>
      <c r="F391" s="440" t="s">
        <v>721</v>
      </c>
      <c r="G391" s="442">
        <f>E391*C391</f>
        <v>27706.41901309969</v>
      </c>
      <c r="H391" s="443">
        <v>1</v>
      </c>
      <c r="I391" s="981" t="s">
        <v>2658</v>
      </c>
      <c r="J391" s="981"/>
      <c r="K391" s="981"/>
      <c r="L391" s="982"/>
      <c r="M391" s="216"/>
      <c r="N391" s="798"/>
      <c r="O391" s="798"/>
      <c r="P391" s="798"/>
      <c r="Q391" s="798"/>
      <c r="R391" s="798"/>
      <c r="S391" s="798"/>
      <c r="T391" s="798"/>
      <c r="U391" s="798"/>
      <c r="V391" s="798"/>
    </row>
    <row r="392" spans="1:22" s="667" customFormat="1" x14ac:dyDescent="0.15">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x14ac:dyDescent="0.15">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x14ac:dyDescent="0.15">
      <c r="A394" s="435"/>
      <c r="B394" s="388" t="s">
        <v>2128</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x14ac:dyDescent="0.15">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x14ac:dyDescent="0.15">
      <c r="A396" s="435"/>
      <c r="B396" s="388" t="s">
        <v>2310</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x14ac:dyDescent="0.15">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x14ac:dyDescent="0.15">
      <c r="A398" s="508"/>
      <c r="B398" s="388" t="s">
        <v>3201</v>
      </c>
      <c r="C398" s="390">
        <f>total_fp</f>
        <v>3470</v>
      </c>
      <c r="D398" s="389" t="s">
        <v>1350</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x14ac:dyDescent="0.15">
      <c r="A399" s="306"/>
      <c r="B399" s="28" t="s">
        <v>1348</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x14ac:dyDescent="0.15">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x14ac:dyDescent="0.15">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x14ac:dyDescent="0.15">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x14ac:dyDescent="0.15">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x14ac:dyDescent="0.15">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x14ac:dyDescent="0.15">
      <c r="A405" s="435"/>
      <c r="B405" s="1" t="s">
        <v>3216</v>
      </c>
      <c r="C405" s="390">
        <f>resin_loss_vol_annual</f>
        <v>0</v>
      </c>
      <c r="D405" s="389" t="s">
        <v>1475</v>
      </c>
      <c r="E405" s="406">
        <f>VLOOKUP(B405,sba_res_cost_cl,3,FALSE)</f>
        <v>346.35702669178897</v>
      </c>
      <c r="F405" s="424" t="s">
        <v>1476</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x14ac:dyDescent="0.15">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x14ac:dyDescent="0.15">
      <c r="A407" s="435"/>
      <c r="B407" s="1" t="s">
        <v>3216</v>
      </c>
      <c r="C407" s="390">
        <f>resin_yr</f>
        <v>1209.8006357968409</v>
      </c>
      <c r="D407" s="389" t="s">
        <v>1475</v>
      </c>
      <c r="E407" s="406">
        <f>VLOOKUP(B407,sba_res_cost_cl,3,FALSE)</f>
        <v>346.35702669178897</v>
      </c>
      <c r="F407" s="424" t="s">
        <v>1476</v>
      </c>
      <c r="G407" s="436">
        <f>E407*C407</f>
        <v>419022.95110442967</v>
      </c>
      <c r="H407" s="437">
        <v>1</v>
      </c>
      <c r="I407" s="304"/>
      <c r="J407" s="216"/>
      <c r="K407" s="216"/>
      <c r="L407" s="245"/>
      <c r="M407" s="216"/>
      <c r="N407" s="798"/>
      <c r="O407" s="798"/>
      <c r="P407" s="798"/>
      <c r="Q407" s="798"/>
      <c r="R407" s="798"/>
      <c r="S407" s="798"/>
      <c r="T407" s="798"/>
      <c r="U407" s="798"/>
      <c r="V407" s="798"/>
    </row>
    <row r="408" spans="1:22" s="667" customFormat="1" x14ac:dyDescent="0.15">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x14ac:dyDescent="0.15">
      <c r="A409" s="435"/>
      <c r="B409" s="388" t="s">
        <v>737</v>
      </c>
      <c r="C409" s="450">
        <f>pump_energy</f>
        <v>189.65366671309013</v>
      </c>
      <c r="D409" s="389" t="s">
        <v>738</v>
      </c>
      <c r="E409" s="406">
        <f>energy_cost_cl</f>
        <v>0.11001750924784216</v>
      </c>
      <c r="F409" s="21" t="s">
        <v>46</v>
      </c>
      <c r="G409" s="402">
        <f>E409*C409*1000</f>
        <v>20865.22403149457</v>
      </c>
      <c r="H409" s="451">
        <f>IF(C409=0,0,1)</f>
        <v>1</v>
      </c>
      <c r="I409" s="216"/>
      <c r="J409" s="216"/>
      <c r="K409" s="216"/>
      <c r="L409" s="245"/>
      <c r="M409" s="216"/>
      <c r="N409" s="798"/>
      <c r="O409" s="798"/>
      <c r="P409" s="798"/>
      <c r="Q409" s="798"/>
      <c r="R409" s="798"/>
      <c r="S409" s="798"/>
      <c r="T409" s="798"/>
      <c r="U409" s="798"/>
      <c r="V409" s="798"/>
    </row>
    <row r="410" spans="1:22" s="667" customFormat="1" x14ac:dyDescent="0.15">
      <c r="A410" s="435"/>
      <c r="B410" s="388" t="s">
        <v>2129</v>
      </c>
      <c r="C410" s="450">
        <f>back_pump_energy</f>
        <v>7.7252935653690747E-3</v>
      </c>
      <c r="D410" s="389" t="s">
        <v>738</v>
      </c>
      <c r="E410" s="406">
        <f>energy_cost_cl</f>
        <v>0.11001750924784216</v>
      </c>
      <c r="F410" s="21" t="s">
        <v>46</v>
      </c>
      <c r="G410" s="402">
        <f>E410*C410*1000</f>
        <v>0.84991755627028776</v>
      </c>
      <c r="H410" s="451">
        <f>IF(C410=0,0,1)</f>
        <v>1</v>
      </c>
      <c r="I410" s="216"/>
      <c r="J410" s="216"/>
      <c r="K410" s="216"/>
      <c r="L410" s="245"/>
      <c r="M410" s="216"/>
      <c r="N410" s="798"/>
      <c r="O410" s="798"/>
      <c r="P410" s="798"/>
      <c r="Q410" s="798"/>
      <c r="R410" s="798"/>
      <c r="S410" s="798"/>
      <c r="T410" s="798"/>
      <c r="U410" s="798"/>
      <c r="V410" s="798"/>
    </row>
    <row r="411" spans="1:22" s="667" customFormat="1" x14ac:dyDescent="0.15">
      <c r="A411" s="435"/>
      <c r="B411" s="411" t="s">
        <v>2172</v>
      </c>
      <c r="C411" s="450">
        <f>res_pump_energy</f>
        <v>4.379418120957523E-3</v>
      </c>
      <c r="D411" s="389" t="s">
        <v>738</v>
      </c>
      <c r="E411" s="395">
        <f>IF(C411=0,"NA",energy_cost_cl)</f>
        <v>0.11001750924784216</v>
      </c>
      <c r="F411" s="21" t="str">
        <f>IF(C411=0,"","/kwh")</f>
        <v>/kwh</v>
      </c>
      <c r="G411" s="391">
        <f>IF(C411=0,"--",E411*C411*1000)</f>
        <v>0.48181267362261182</v>
      </c>
      <c r="H411" s="451">
        <f>IF(C411=0,0,1)</f>
        <v>1</v>
      </c>
      <c r="I411" s="216"/>
      <c r="J411" s="216"/>
      <c r="K411" s="216"/>
      <c r="L411" s="245"/>
      <c r="M411" s="216"/>
      <c r="N411" s="798"/>
      <c r="O411" s="798"/>
      <c r="P411" s="798"/>
      <c r="Q411" s="798"/>
      <c r="R411" s="798"/>
      <c r="S411" s="798"/>
      <c r="T411" s="798"/>
      <c r="U411" s="798"/>
      <c r="V411" s="798"/>
    </row>
    <row r="412" spans="1:22" s="667" customFormat="1" x14ac:dyDescent="0.15">
      <c r="A412" s="435"/>
      <c r="B412" s="388" t="s">
        <v>2522</v>
      </c>
      <c r="C412" s="390">
        <f>lighting</f>
        <v>0</v>
      </c>
      <c r="D412" s="389" t="s">
        <v>738</v>
      </c>
      <c r="E412" s="406">
        <f>energy_cost_cl</f>
        <v>0.11001750924784216</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x14ac:dyDescent="0.15">
      <c r="A413" s="435"/>
      <c r="B413" s="388" t="s">
        <v>2664</v>
      </c>
      <c r="C413" s="390">
        <f>ventilation</f>
        <v>3.134827636363636</v>
      </c>
      <c r="D413" s="389" t="s">
        <v>738</v>
      </c>
      <c r="E413" s="406">
        <f>energy_cost_cl</f>
        <v>0.11001750924784216</v>
      </c>
      <c r="F413" s="21" t="s">
        <v>46</v>
      </c>
      <c r="G413" s="402">
        <f>E413*C413*1000</f>
        <v>344.88592847402748</v>
      </c>
      <c r="H413" s="437">
        <v>1</v>
      </c>
      <c r="I413" s="216"/>
      <c r="J413" s="216"/>
      <c r="K413" s="216"/>
      <c r="L413" s="245"/>
      <c r="M413" s="216"/>
      <c r="N413" s="798"/>
      <c r="O413" s="798"/>
      <c r="P413" s="798"/>
      <c r="Q413" s="798"/>
      <c r="R413" s="798"/>
      <c r="S413" s="798"/>
      <c r="T413" s="798"/>
      <c r="U413" s="798"/>
      <c r="V413" s="798"/>
    </row>
    <row r="414" spans="1:22" s="667" customFormat="1" x14ac:dyDescent="0.15">
      <c r="A414" s="435"/>
      <c r="B414" s="411" t="s">
        <v>2665</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x14ac:dyDescent="0.15">
      <c r="A415" s="435"/>
      <c r="B415" s="1" t="s">
        <v>852</v>
      </c>
      <c r="C415" s="390">
        <f>cooling</f>
        <v>0</v>
      </c>
      <c r="D415" s="389" t="s">
        <v>738</v>
      </c>
      <c r="E415" s="406">
        <f>energy_cost_cl</f>
        <v>0.11001750924784216</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x14ac:dyDescent="0.15">
      <c r="A416" s="435"/>
      <c r="B416" s="1" t="s">
        <v>853</v>
      </c>
      <c r="C416" s="400">
        <f>cooling_hp</f>
        <v>0</v>
      </c>
      <c r="D416" s="389" t="s">
        <v>738</v>
      </c>
      <c r="E416" s="406">
        <f>energy_cost_cl</f>
        <v>0.11001750924784216</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x14ac:dyDescent="0.15">
      <c r="A417" s="435"/>
      <c r="B417" s="411" t="s">
        <v>937</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x14ac:dyDescent="0.15">
      <c r="A418" s="435"/>
      <c r="B418" s="1" t="s">
        <v>854</v>
      </c>
      <c r="C418" s="400">
        <f>heating</f>
        <v>0</v>
      </c>
      <c r="D418" s="389" t="s">
        <v>738</v>
      </c>
      <c r="E418" s="406">
        <f>energy_cost_cl</f>
        <v>0.11001750924784216</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x14ac:dyDescent="0.15">
      <c r="A419" s="435"/>
      <c r="B419" s="1" t="s">
        <v>855</v>
      </c>
      <c r="C419" s="400">
        <f>heating_hp</f>
        <v>0</v>
      </c>
      <c r="D419" s="389" t="s">
        <v>738</v>
      </c>
      <c r="E419" s="406">
        <f>energy_cost_cl</f>
        <v>0.11001750924784216</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x14ac:dyDescent="0.15">
      <c r="A420" s="435"/>
      <c r="B420" s="1" t="s">
        <v>856</v>
      </c>
      <c r="C420" s="390">
        <f>heating_gas_non</f>
        <v>0</v>
      </c>
      <c r="D420" s="389" t="s">
        <v>857</v>
      </c>
      <c r="E420" s="406">
        <f>gas_cost_cl</f>
        <v>0.57856140350877194</v>
      </c>
      <c r="F420" s="424" t="s">
        <v>2740</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x14ac:dyDescent="0.15">
      <c r="A421" s="435"/>
      <c r="B421" s="1" t="s">
        <v>2741</v>
      </c>
      <c r="C421" s="390">
        <f>heating_gas</f>
        <v>6225.1476079782524</v>
      </c>
      <c r="D421" s="389" t="s">
        <v>857</v>
      </c>
      <c r="E421" s="406">
        <f>gas_cost_cl</f>
        <v>0.57856140350877194</v>
      </c>
      <c r="F421" s="424" t="s">
        <v>2740</v>
      </c>
      <c r="G421" s="402">
        <f>E421*C421</f>
        <v>3601.6301371211721</v>
      </c>
      <c r="H421" s="618">
        <f t="shared" si="39"/>
        <v>1</v>
      </c>
      <c r="I421" s="216"/>
      <c r="J421" s="216"/>
      <c r="K421" s="216"/>
      <c r="L421" s="245"/>
      <c r="M421" s="216"/>
      <c r="N421" s="798"/>
      <c r="O421" s="798"/>
      <c r="P421" s="798"/>
      <c r="Q421" s="798"/>
      <c r="R421" s="798"/>
      <c r="S421" s="798"/>
      <c r="T421" s="798"/>
      <c r="U421" s="798"/>
      <c r="V421" s="798"/>
    </row>
    <row r="422" spans="1:22" s="667" customFormat="1" x14ac:dyDescent="0.15">
      <c r="A422" s="435"/>
      <c r="B422" s="21" t="s">
        <v>12</v>
      </c>
      <c r="C422" s="390">
        <f>heating_diesel_non</f>
        <v>0</v>
      </c>
      <c r="D422" s="389" t="s">
        <v>2742</v>
      </c>
      <c r="E422" s="406">
        <f>diesel_cost_cl</f>
        <v>3.8295007720020586</v>
      </c>
      <c r="F422" s="424" t="s">
        <v>2743</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x14ac:dyDescent="0.15">
      <c r="A423" s="309"/>
      <c r="B423" s="21" t="s">
        <v>13</v>
      </c>
      <c r="C423" s="390">
        <f>heating_diesel</f>
        <v>0</v>
      </c>
      <c r="D423" s="389" t="s">
        <v>2742</v>
      </c>
      <c r="E423" s="406">
        <f>diesel_cost_cl</f>
        <v>3.8295007720020586</v>
      </c>
      <c r="F423" s="424" t="s">
        <v>2743</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x14ac:dyDescent="0.15">
      <c r="A424" s="310"/>
      <c r="B424" s="302" t="s">
        <v>677</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x14ac:dyDescent="0.15">
      <c r="A425" s="435"/>
      <c r="B425" s="411" t="str">
        <f>IF(res_s2_opt=4,"Hazardous brine disposal","POTW discharge fees")</f>
        <v>Hazardous brine disposal</v>
      </c>
      <c r="C425" s="390">
        <f>IF(OR(res_s2_opt=2,res_s2_opt=4),res_flow_annual,0)</f>
        <v>18138.037641284835</v>
      </c>
      <c r="D425" s="389" t="s">
        <v>2742</v>
      </c>
      <c r="E425" s="454">
        <f>IF(OR(res_s2_opt=2,res_s2_opt=4),G425/C425,"NA")</f>
        <v>4.5212626594339254</v>
      </c>
      <c r="F425" s="389" t="s">
        <v>2743</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x14ac:dyDescent="0.15">
      <c r="A426" s="435"/>
      <c r="B426" s="388" t="s">
        <v>2837</v>
      </c>
      <c r="C426" s="390">
        <f>spent_media_yr</f>
        <v>26.010713669632079</v>
      </c>
      <c r="D426" s="389" t="s">
        <v>2173</v>
      </c>
      <c r="E426" s="406">
        <f>G426/C426</f>
        <v>3983.6584917109344</v>
      </c>
      <c r="F426" s="424" t="s">
        <v>2174</v>
      </c>
      <c r="G426" s="436">
        <f>disposal_fee</f>
        <v>103617.80038549152</v>
      </c>
      <c r="H426" s="451">
        <f>IF(C426=0,0,1)</f>
        <v>1</v>
      </c>
      <c r="I426" s="216"/>
      <c r="J426" s="216"/>
      <c r="K426" s="216"/>
      <c r="L426" s="245"/>
      <c r="M426" s="216"/>
      <c r="N426" s="798"/>
      <c r="O426" s="798"/>
      <c r="P426" s="798"/>
      <c r="Q426" s="798"/>
      <c r="R426" s="798"/>
      <c r="S426" s="798"/>
      <c r="T426" s="798"/>
      <c r="U426" s="798"/>
      <c r="V426" s="798"/>
    </row>
    <row r="427" spans="1:22" s="667" customFormat="1" x14ac:dyDescent="0.15">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f>IF(B427="","",sol_disposal_fee)</f>
        <v>0</v>
      </c>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x14ac:dyDescent="0.15">
      <c r="A428" s="308"/>
      <c r="B428" s="388" t="s">
        <v>880</v>
      </c>
      <c r="C428" s="477">
        <f>cart_disp_wt*cart_disp_freq</f>
        <v>0.46079999999999999</v>
      </c>
      <c r="D428" s="473" t="str">
        <f>IF(B428="","","ton/yr")</f>
        <v>ton/yr</v>
      </c>
      <c r="E428" s="474">
        <f>IF(C428=0,0,G428/C428)</f>
        <v>112.15720840993785</v>
      </c>
      <c r="F428" s="475" t="str">
        <f>IF(B428="","","/ton")</f>
        <v>/ton</v>
      </c>
      <c r="G428" s="392">
        <f>IF(C428=0,"--",cart_disposal_fee)</f>
        <v>51.682041635299363</v>
      </c>
      <c r="H428" s="476">
        <f>IF(B428="","",IF(C428=0,0,1))</f>
        <v>1</v>
      </c>
      <c r="I428" s="216"/>
      <c r="J428" s="216"/>
      <c r="K428" s="216"/>
      <c r="L428" s="245"/>
      <c r="M428" s="216"/>
      <c r="N428" s="798"/>
      <c r="O428" s="798"/>
      <c r="P428" s="798"/>
      <c r="Q428" s="798"/>
      <c r="R428" s="798"/>
      <c r="S428" s="798"/>
      <c r="T428" s="798"/>
      <c r="U428" s="798"/>
      <c r="V428" s="798"/>
    </row>
    <row r="429" spans="1:22" s="667" customFormat="1" x14ac:dyDescent="0.15">
      <c r="A429" s="548"/>
      <c r="B429" s="302" t="s">
        <v>45</v>
      </c>
      <c r="C429" s="549">
        <f>misc_pct</f>
        <v>0.1</v>
      </c>
      <c r="D429" s="303"/>
      <c r="E429" s="550"/>
      <c r="F429" s="302"/>
      <c r="G429" s="392">
        <f>SUMPRODUCT(G389:G428,H389:H428)*C429</f>
        <v>67235.732032327433</v>
      </c>
      <c r="H429" s="476">
        <v>1</v>
      </c>
      <c r="I429" s="216"/>
      <c r="J429" s="216"/>
      <c r="K429" s="216"/>
      <c r="L429" s="245"/>
      <c r="M429" s="216"/>
      <c r="N429" s="798"/>
      <c r="O429" s="798"/>
      <c r="P429" s="798"/>
      <c r="Q429" s="798"/>
      <c r="R429" s="798"/>
      <c r="S429" s="798"/>
      <c r="T429" s="798"/>
      <c r="U429" s="798"/>
      <c r="V429" s="798"/>
    </row>
    <row r="430" spans="1:22" s="667" customFormat="1" ht="16" x14ac:dyDescent="0.2">
      <c r="A430" s="241"/>
      <c r="B430" s="856" t="s">
        <v>3474</v>
      </c>
      <c r="C430" s="246"/>
      <c r="D430" s="215"/>
      <c r="E430" s="246"/>
      <c r="F430" s="356"/>
      <c r="G430" s="357">
        <f>SUMPRODUCT(G389:G429,H389:H429)*OM_City_Index</f>
        <v>739593.05235560169</v>
      </c>
      <c r="H430" s="472"/>
      <c r="I430" s="246"/>
      <c r="J430" s="246"/>
      <c r="K430" s="246"/>
      <c r="L430" s="247"/>
      <c r="M430" s="216"/>
      <c r="N430" s="798"/>
      <c r="O430" s="798"/>
      <c r="P430" s="798"/>
      <c r="Q430" s="798"/>
      <c r="R430" s="798"/>
      <c r="S430" s="798"/>
      <c r="T430" s="798"/>
      <c r="U430" s="798"/>
      <c r="V430" s="798"/>
    </row>
    <row r="431" spans="1:22" s="667" customFormat="1" x14ac:dyDescent="0.15">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x14ac:dyDescent="0.2">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x14ac:dyDescent="0.2">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x14ac:dyDescent="0.15">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x14ac:dyDescent="0.15">
      <c r="A435" s="209"/>
      <c r="B435" s="119" t="s">
        <v>26</v>
      </c>
      <c r="C435" s="538" t="s">
        <v>907</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x14ac:dyDescent="0.15">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x14ac:dyDescent="0.15">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x14ac:dyDescent="0.15">
      <c r="A438" s="529"/>
      <c r="B438" s="714" t="s">
        <v>2952</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x14ac:dyDescent="0.15">
      <c r="A439" s="529"/>
      <c r="B439" s="530" t="s">
        <v>28</v>
      </c>
      <c r="C439" s="543">
        <f>ROUND((direct_for_UL+IF(build_UL=0,0,addon_cost+indirect_cost))/(total_direct_depreciation+IF(build_UL=0,0,(addon_cost+indirect_cost)/build_UL)),1)</f>
        <v>28</v>
      </c>
      <c r="D439" s="541" t="s">
        <v>1472</v>
      </c>
      <c r="E439" s="541"/>
      <c r="F439" s="541"/>
      <c r="G439" s="541"/>
      <c r="H439" s="541"/>
      <c r="I439" s="541"/>
      <c r="J439" s="541"/>
      <c r="K439" s="541"/>
      <c r="L439" s="542"/>
      <c r="M439" s="216"/>
      <c r="N439" s="798"/>
      <c r="O439" s="798"/>
      <c r="P439" s="798"/>
      <c r="Q439" s="798"/>
      <c r="R439" s="798"/>
      <c r="S439" s="798"/>
      <c r="T439" s="798"/>
      <c r="U439" s="798"/>
      <c r="V439" s="798"/>
    </row>
    <row r="440" spans="1:22" s="667" customFormat="1" x14ac:dyDescent="0.15">
      <c r="A440" s="529"/>
      <c r="B440" s="531" t="s">
        <v>29</v>
      </c>
      <c r="C440" s="544">
        <f>IF(source_select="ground water",(average_flow*1000/0.08558)^(1/1.0584),(average_flow*1000/0.14004)^(1/0.99703))/hh_size</f>
        <v>5682.5330979453865</v>
      </c>
      <c r="D440" s="541" t="s">
        <v>908</v>
      </c>
      <c r="E440" s="541"/>
      <c r="F440" s="541"/>
      <c r="G440" s="541"/>
      <c r="H440" s="541"/>
      <c r="I440" s="541"/>
      <c r="J440" s="541"/>
      <c r="K440" s="541"/>
      <c r="L440" s="542"/>
      <c r="M440" s="216"/>
      <c r="N440" s="798"/>
      <c r="O440" s="798"/>
      <c r="P440" s="798"/>
      <c r="Q440" s="798"/>
      <c r="R440" s="798"/>
      <c r="S440" s="798"/>
      <c r="T440" s="798"/>
      <c r="U440" s="798"/>
      <c r="V440" s="798"/>
    </row>
    <row r="441" spans="1:22" s="667" customFormat="1" x14ac:dyDescent="0.15">
      <c r="A441" s="529"/>
      <c r="B441" s="747" t="s">
        <v>3125</v>
      </c>
      <c r="C441" s="748">
        <f>-PMT(Discount_rate,useful_life,system_cost)</f>
        <v>114411.81184681605</v>
      </c>
      <c r="D441" s="753" t="s">
        <v>909</v>
      </c>
      <c r="E441" s="541"/>
      <c r="F441" s="541"/>
      <c r="G441" s="541"/>
      <c r="H441" s="541"/>
      <c r="I441" s="541"/>
      <c r="J441" s="541"/>
      <c r="K441" s="541"/>
      <c r="L441" s="542"/>
      <c r="M441" s="216"/>
      <c r="N441" s="798"/>
      <c r="O441" s="798"/>
      <c r="P441" s="798"/>
      <c r="Q441" s="798"/>
      <c r="R441" s="798"/>
      <c r="S441" s="798"/>
      <c r="T441" s="798"/>
      <c r="U441" s="798"/>
      <c r="V441" s="798"/>
    </row>
    <row r="442" spans="1:22" s="667" customFormat="1" x14ac:dyDescent="0.15">
      <c r="A442" s="529"/>
      <c r="B442" s="749" t="s">
        <v>2159</v>
      </c>
      <c r="C442" s="750">
        <f>OM_cost</f>
        <v>739593.05235560169</v>
      </c>
      <c r="D442" s="753" t="s">
        <v>909</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x14ac:dyDescent="0.2">
      <c r="A443" s="127"/>
      <c r="B443" s="751" t="s">
        <v>3126</v>
      </c>
      <c r="C443" s="752">
        <f>Annualized_Capital_Cost+OM_cost</f>
        <v>854004.86420241778</v>
      </c>
      <c r="D443" s="753" t="s">
        <v>909</v>
      </c>
      <c r="E443" s="858" t="str">
        <f>IF(ISERROR(OR(TAC_pct_cap,TAC_pct_OM)),"",TEXT(TAC_pct_cap,"0%")&amp;" annualized capital, "&amp;TEXT(TAC_pct_OM,"0%")&amp;" annual O&amp;M")</f>
        <v>13% annualized capital, 87% annual O&amp;M</v>
      </c>
      <c r="F443" s="116"/>
      <c r="G443" s="116"/>
      <c r="H443" s="116"/>
      <c r="I443" s="116"/>
      <c r="J443" s="116"/>
      <c r="K443" s="116"/>
      <c r="L443" s="510"/>
      <c r="M443" s="216"/>
      <c r="N443" s="798"/>
      <c r="O443" s="798"/>
      <c r="P443" s="798"/>
      <c r="Q443" s="798"/>
      <c r="R443" s="798"/>
      <c r="S443" s="798"/>
      <c r="T443" s="798"/>
      <c r="U443" s="798"/>
      <c r="V443" s="798"/>
    </row>
    <row r="444" spans="1:22" s="667" customFormat="1" x14ac:dyDescent="0.15">
      <c r="A444" s="127"/>
      <c r="B444" s="532" t="s">
        <v>30</v>
      </c>
      <c r="C444" s="545">
        <f>Annualized_Cost/(average_flow*365*1000)</f>
        <v>1.0872394767561462</v>
      </c>
      <c r="D444" s="753" t="s">
        <v>910</v>
      </c>
      <c r="E444" s="116"/>
      <c r="F444" s="116"/>
      <c r="G444" s="116"/>
      <c r="H444" s="116"/>
      <c r="I444" s="116"/>
      <c r="J444" s="116"/>
      <c r="K444" s="116"/>
      <c r="L444" s="510"/>
      <c r="M444" s="216"/>
      <c r="N444" s="798"/>
      <c r="O444" s="798"/>
      <c r="P444" s="798"/>
      <c r="Q444" s="798"/>
      <c r="R444" s="798"/>
      <c r="S444" s="798"/>
      <c r="T444" s="798"/>
      <c r="U444" s="798"/>
      <c r="V444" s="798"/>
    </row>
    <row r="445" spans="1:22" s="667" customFormat="1" x14ac:dyDescent="0.15">
      <c r="A445" s="126"/>
      <c r="B445" s="533" t="s">
        <v>905</v>
      </c>
      <c r="C445" s="546">
        <f>Annualized_Cost/households</f>
        <v>150.28594633460162</v>
      </c>
      <c r="D445" s="754" t="s">
        <v>911</v>
      </c>
      <c r="E445" s="143"/>
      <c r="F445" s="143"/>
      <c r="G445" s="143"/>
      <c r="H445" s="143"/>
      <c r="I445" s="143"/>
      <c r="J445" s="143"/>
      <c r="K445" s="143"/>
      <c r="L445" s="547"/>
      <c r="M445" s="216"/>
      <c r="N445" s="798"/>
      <c r="O445" s="798"/>
      <c r="P445" s="798"/>
      <c r="Q445" s="798"/>
      <c r="R445" s="798"/>
      <c r="S445" s="798"/>
      <c r="T445" s="798"/>
      <c r="U445" s="798"/>
      <c r="V445" s="798"/>
    </row>
    <row r="446" spans="1:22" s="667" customFormat="1" x14ac:dyDescent="0.15">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x14ac:dyDescent="0.15">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x14ac:dyDescent="0.15">
      <c r="A448" s="665" t="s">
        <v>2753</v>
      </c>
      <c r="B448" s="665"/>
      <c r="N448" s="779"/>
      <c r="O448" s="779"/>
      <c r="P448" s="779"/>
      <c r="Q448" s="779"/>
      <c r="R448" s="779"/>
      <c r="S448" s="779"/>
      <c r="T448" s="779"/>
      <c r="U448" s="779"/>
      <c r="V448" s="779"/>
    </row>
    <row r="449" spans="1:22" s="667" customFormat="1" x14ac:dyDescent="0.15">
      <c r="A449" s="216"/>
      <c r="B449" s="5" t="s">
        <v>2738</v>
      </c>
      <c r="C449" s="26">
        <f>C355</f>
        <v>42111.235061590232</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x14ac:dyDescent="0.15">
      <c r="A450" s="216"/>
      <c r="B450" s="5" t="s">
        <v>2237</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x14ac:dyDescent="0.15">
      <c r="A451" s="216"/>
      <c r="B451" s="526" t="s">
        <v>3112</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x14ac:dyDescent="0.15">
      <c r="A452" s="216"/>
      <c r="B452" s="5" t="s">
        <v>2372</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x14ac:dyDescent="0.15">
      <c r="A453" s="216"/>
      <c r="B453" s="5" t="s">
        <v>2238</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x14ac:dyDescent="0.15">
      <c r="A454" s="216"/>
      <c r="B454" s="5" t="s">
        <v>2239</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x14ac:dyDescent="0.15">
      <c r="A455" s="216"/>
      <c r="B455" s="5" t="s">
        <v>2241</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x14ac:dyDescent="0.15">
      <c r="A456" s="216"/>
      <c r="B456" s="5" t="s">
        <v>2242</v>
      </c>
      <c r="C456" s="26">
        <f>C362</f>
        <v>76651.4276007343</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x14ac:dyDescent="0.15">
      <c r="A457" s="216"/>
      <c r="B457" s="5" t="s">
        <v>2243</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x14ac:dyDescent="0.15">
      <c r="A458" s="216"/>
      <c r="B458" s="5" t="s">
        <v>2246</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x14ac:dyDescent="0.15">
      <c r="A459" s="216"/>
      <c r="B459" s="5" t="s">
        <v>2247</v>
      </c>
      <c r="C459" s="26">
        <f>C365</f>
        <v>98054.405961505414</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x14ac:dyDescent="0.15">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x14ac:dyDescent="0.15">
      <c r="A461" s="216"/>
      <c r="B461" s="5" t="s">
        <v>1306</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x14ac:dyDescent="0.15">
      <c r="A462" s="216"/>
      <c r="B462" s="5" t="s">
        <v>1307</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x14ac:dyDescent="0.15">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x14ac:dyDescent="0.15">
      <c r="A464" s="216"/>
      <c r="B464" s="5" t="s">
        <v>111</v>
      </c>
      <c r="C464" s="26">
        <f>C370</f>
        <v>63476.611646454141</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x14ac:dyDescent="0.15">
      <c r="A465" s="216"/>
      <c r="B465" s="526" t="s">
        <v>2787</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x14ac:dyDescent="0.15">
      <c r="A466" s="216"/>
      <c r="B466" s="526" t="s">
        <v>2788</v>
      </c>
      <c r="C466" s="26">
        <f>SUM(cul_indir_add_table)-addon_cost</f>
        <v>362145.59419264086</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x14ac:dyDescent="0.15">
      <c r="A467" s="216"/>
      <c r="B467" s="1" t="s">
        <v>2789</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x14ac:dyDescent="0.15">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x14ac:dyDescent="0.15">
      <c r="A469" s="216"/>
      <c r="B469" s="2" t="s">
        <v>2974</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x14ac:dyDescent="0.15">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x14ac:dyDescent="0.15">
      <c r="A471" s="216"/>
      <c r="B471" s="2" t="s">
        <v>1887</v>
      </c>
      <c r="C471" t="b">
        <f>IF(COUNTIF(use_column,"ec")+COUNTIF(use_column,"ep")&gt;0,TRUE,FALSE)</f>
        <v>0</v>
      </c>
      <c r="M471" s="216"/>
      <c r="N471" s="798"/>
      <c r="O471" s="798"/>
      <c r="P471" s="798"/>
      <c r="Q471" s="798"/>
      <c r="R471" s="798"/>
      <c r="S471" s="798"/>
      <c r="T471" s="798"/>
      <c r="U471" s="798"/>
      <c r="V471" s="798"/>
    </row>
    <row r="472" spans="1:22" s="667" customFormat="1" x14ac:dyDescent="0.15">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x14ac:dyDescent="0.15">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x14ac:dyDescent="0.15">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x14ac:dyDescent="0.15">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x14ac:dyDescent="0.15">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x14ac:dyDescent="0.15">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x14ac:dyDescent="0.15">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x14ac:dyDescent="0.15">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x14ac:dyDescent="0.15">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x14ac:dyDescent="0.15">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x14ac:dyDescent="0.15">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x14ac:dyDescent="0.15">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x14ac:dyDescent="0.15">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x14ac:dyDescent="0.15">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x14ac:dyDescent="0.15">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x14ac:dyDescent="0.15">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x14ac:dyDescent="0.15">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x14ac:dyDescent="0.15">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x14ac:dyDescent="0.15">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x14ac:dyDescent="0.15">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x14ac:dyDescent="0.15">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x14ac:dyDescent="0.15">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x14ac:dyDescent="0.15">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x14ac:dyDescent="0.15">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x14ac:dyDescent="0.15">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x14ac:dyDescent="0.15">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7" activePane="bottomLeft" state="frozen"/>
      <selection activeCell="D18" sqref="D18"/>
      <selection pane="bottomLeft"/>
    </sheetView>
  </sheetViews>
  <sheetFormatPr baseColWidth="10" defaultColWidth="8.83203125" defaultRowHeight="13" x14ac:dyDescent="0.15"/>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x14ac:dyDescent="0.15">
      <c r="A1" s="1" t="s">
        <v>2752</v>
      </c>
    </row>
    <row r="2" spans="1:5" s="526" customFormat="1" x14ac:dyDescent="0.15">
      <c r="A2" s="657" t="s">
        <v>2944</v>
      </c>
      <c r="C2" s="654"/>
    </row>
    <row r="3" spans="1:5" s="526" customFormat="1" x14ac:dyDescent="0.15">
      <c r="A3" s="1"/>
      <c r="C3" s="654"/>
    </row>
    <row r="4" spans="1:5" s="526" customFormat="1" x14ac:dyDescent="0.15">
      <c r="A4" s="206" t="s">
        <v>276</v>
      </c>
      <c r="B4" s="206" t="s">
        <v>277</v>
      </c>
      <c r="C4" s="207" t="s">
        <v>278</v>
      </c>
      <c r="D4" s="206" t="s">
        <v>279</v>
      </c>
      <c r="E4" s="206" t="s">
        <v>280</v>
      </c>
    </row>
    <row r="5" spans="1:5" ht="52.5" customHeight="1" x14ac:dyDescent="0.15">
      <c r="A5" t="s">
        <v>281</v>
      </c>
      <c r="B5" s="3" t="s">
        <v>1209</v>
      </c>
      <c r="C5" s="193">
        <v>1</v>
      </c>
      <c r="D5" s="723" t="s">
        <v>1057</v>
      </c>
      <c r="E5" s="6" t="s">
        <v>2945</v>
      </c>
    </row>
    <row r="6" spans="1:5" x14ac:dyDescent="0.15">
      <c r="A6" t="s">
        <v>2875</v>
      </c>
      <c r="B6" s="3" t="s">
        <v>2876</v>
      </c>
      <c r="C6" s="66">
        <v>0.1</v>
      </c>
      <c r="E6" s="6" t="s">
        <v>2877</v>
      </c>
    </row>
    <row r="8" spans="1:5" x14ac:dyDescent="0.15">
      <c r="A8" s="2" t="s">
        <v>1060</v>
      </c>
    </row>
    <row r="9" spans="1:5" x14ac:dyDescent="0.15">
      <c r="A9" s="526" t="s">
        <v>3426</v>
      </c>
      <c r="B9" s="3" t="s">
        <v>3427</v>
      </c>
      <c r="C9" s="867" t="s">
        <v>1065</v>
      </c>
      <c r="D9" s="526" t="s">
        <v>1501</v>
      </c>
      <c r="E9" s="6" t="s">
        <v>3428</v>
      </c>
    </row>
    <row r="10" spans="1:5" x14ac:dyDescent="0.15">
      <c r="A10" s="5" t="s">
        <v>236</v>
      </c>
      <c r="B10" s="3" t="s">
        <v>237</v>
      </c>
      <c r="C10" s="66">
        <v>1</v>
      </c>
      <c r="D10" s="526" t="s">
        <v>64</v>
      </c>
      <c r="E10" s="6" t="s">
        <v>1137</v>
      </c>
    </row>
    <row r="11" spans="1:5" x14ac:dyDescent="0.15">
      <c r="A11" s="5" t="s">
        <v>238</v>
      </c>
      <c r="B11" s="3" t="s">
        <v>239</v>
      </c>
      <c r="C11" s="66">
        <v>0</v>
      </c>
      <c r="D11" s="526" t="s">
        <v>64</v>
      </c>
      <c r="E11" s="6" t="s">
        <v>1138</v>
      </c>
    </row>
    <row r="12" spans="1:5" x14ac:dyDescent="0.15">
      <c r="A12" t="s">
        <v>257</v>
      </c>
      <c r="B12" s="3" t="s">
        <v>258</v>
      </c>
      <c r="C12" s="187">
        <v>4</v>
      </c>
      <c r="D12" s="526" t="s">
        <v>259</v>
      </c>
      <c r="E12" s="6"/>
    </row>
    <row r="13" spans="1:5" x14ac:dyDescent="0.15">
      <c r="A13" t="s">
        <v>1202</v>
      </c>
      <c r="B13" s="3" t="s">
        <v>1203</v>
      </c>
      <c r="C13" s="385">
        <v>0</v>
      </c>
      <c r="E13" s="6" t="s">
        <v>2926</v>
      </c>
    </row>
    <row r="14" spans="1:5" x14ac:dyDescent="0.15">
      <c r="A14" t="s">
        <v>2671</v>
      </c>
      <c r="B14" s="3" t="s">
        <v>1066</v>
      </c>
      <c r="C14" s="777">
        <v>1</v>
      </c>
      <c r="D14" s="526" t="s">
        <v>140</v>
      </c>
      <c r="E14" s="13"/>
    </row>
    <row r="15" spans="1:5" x14ac:dyDescent="0.15">
      <c r="A15" s="660" t="s">
        <v>1058</v>
      </c>
      <c r="B15" s="3" t="s">
        <v>1067</v>
      </c>
      <c r="C15" s="777">
        <v>12</v>
      </c>
      <c r="D15" s="526" t="s">
        <v>140</v>
      </c>
      <c r="E15" s="13"/>
    </row>
    <row r="16" spans="1:5" x14ac:dyDescent="0.15">
      <c r="A16" t="s">
        <v>2862</v>
      </c>
      <c r="B16" s="3" t="s">
        <v>222</v>
      </c>
      <c r="C16" s="66">
        <v>14</v>
      </c>
      <c r="D16" s="526" t="s">
        <v>61</v>
      </c>
      <c r="E16" s="6" t="s">
        <v>6</v>
      </c>
    </row>
    <row r="17" spans="1:5" x14ac:dyDescent="0.15">
      <c r="A17" t="s">
        <v>620</v>
      </c>
      <c r="B17" s="3" t="s">
        <v>1926</v>
      </c>
      <c r="C17" s="187"/>
      <c r="D17" s="526" t="s">
        <v>61</v>
      </c>
      <c r="E17" s="6" t="s">
        <v>1927</v>
      </c>
    </row>
    <row r="18" spans="1:5" x14ac:dyDescent="0.15">
      <c r="A18" t="s">
        <v>224</v>
      </c>
      <c r="B18" s="3" t="s">
        <v>225</v>
      </c>
      <c r="C18" s="66">
        <v>53</v>
      </c>
      <c r="D18" s="526" t="s">
        <v>61</v>
      </c>
      <c r="E18" s="6" t="s">
        <v>7</v>
      </c>
    </row>
    <row r="19" spans="1:5" x14ac:dyDescent="0.15">
      <c r="A19" t="s">
        <v>2565</v>
      </c>
      <c r="B19" s="3" t="s">
        <v>2512</v>
      </c>
      <c r="C19" s="66">
        <v>0.5</v>
      </c>
      <c r="D19" s="526" t="s">
        <v>61</v>
      </c>
      <c r="E19" s="6"/>
    </row>
    <row r="20" spans="1:5" x14ac:dyDescent="0.15">
      <c r="A20" t="s">
        <v>1096</v>
      </c>
      <c r="B20" s="3" t="s">
        <v>1097</v>
      </c>
      <c r="C20" s="66">
        <v>1.5</v>
      </c>
      <c r="D20" s="526" t="s">
        <v>61</v>
      </c>
      <c r="E20" s="6" t="s">
        <v>1098</v>
      </c>
    </row>
    <row r="21" spans="1:5" x14ac:dyDescent="0.15">
      <c r="A21" t="s">
        <v>2566</v>
      </c>
      <c r="B21" s="3" t="s">
        <v>742</v>
      </c>
      <c r="C21" s="66">
        <v>0</v>
      </c>
      <c r="D21" s="526" t="s">
        <v>61</v>
      </c>
      <c r="E21" s="38" t="s">
        <v>1710</v>
      </c>
    </row>
    <row r="22" spans="1:5" x14ac:dyDescent="0.15">
      <c r="A22" t="s">
        <v>2574</v>
      </c>
      <c r="B22" s="3" t="s">
        <v>2575</v>
      </c>
      <c r="C22" s="66">
        <v>2.5</v>
      </c>
      <c r="E22" s="6" t="s">
        <v>89</v>
      </c>
    </row>
    <row r="23" spans="1:5" x14ac:dyDescent="0.15">
      <c r="A23" t="s">
        <v>62</v>
      </c>
      <c r="B23" s="3" t="s">
        <v>66</v>
      </c>
      <c r="C23" s="384">
        <v>0.5</v>
      </c>
      <c r="E23" s="6" t="s">
        <v>1002</v>
      </c>
    </row>
    <row r="24" spans="1:5" x14ac:dyDescent="0.15">
      <c r="A24" t="s">
        <v>771</v>
      </c>
      <c r="B24" s="3" t="s">
        <v>2240</v>
      </c>
      <c r="C24" s="186">
        <v>43</v>
      </c>
      <c r="D24" s="724" t="s">
        <v>1431</v>
      </c>
      <c r="E24" s="38" t="s">
        <v>1638</v>
      </c>
    </row>
    <row r="25" spans="1:5" x14ac:dyDescent="0.15">
      <c r="A25" s="114" t="s">
        <v>78</v>
      </c>
      <c r="B25" s="3" t="s">
        <v>79</v>
      </c>
      <c r="C25" s="186">
        <v>2.4</v>
      </c>
      <c r="D25" s="724" t="s">
        <v>61</v>
      </c>
      <c r="E25" s="38" t="s">
        <v>88</v>
      </c>
    </row>
    <row r="26" spans="1:5" x14ac:dyDescent="0.15">
      <c r="A26" s="114" t="s">
        <v>80</v>
      </c>
      <c r="B26" s="3" t="s">
        <v>81</v>
      </c>
      <c r="C26" s="186">
        <v>6</v>
      </c>
      <c r="D26" s="724" t="s">
        <v>61</v>
      </c>
      <c r="E26" s="79"/>
    </row>
    <row r="27" spans="1:5" x14ac:dyDescent="0.15">
      <c r="A27" t="s">
        <v>82</v>
      </c>
      <c r="B27" s="3" t="s">
        <v>83</v>
      </c>
      <c r="C27" s="186">
        <v>2.8</v>
      </c>
      <c r="D27" s="724"/>
      <c r="E27" s="6" t="s">
        <v>89</v>
      </c>
    </row>
    <row r="28" spans="1:5" x14ac:dyDescent="0.15">
      <c r="A28" t="s">
        <v>84</v>
      </c>
      <c r="B28" s="3" t="s">
        <v>85</v>
      </c>
      <c r="C28" s="186">
        <v>4.5999999999999996</v>
      </c>
      <c r="D28" s="724"/>
      <c r="E28" s="6" t="s">
        <v>89</v>
      </c>
    </row>
    <row r="29" spans="1:5" x14ac:dyDescent="0.15">
      <c r="A29" t="s">
        <v>86</v>
      </c>
      <c r="B29" s="3" t="s">
        <v>87</v>
      </c>
      <c r="C29" s="186">
        <v>4.3</v>
      </c>
      <c r="D29" s="724"/>
      <c r="E29" s="6" t="s">
        <v>89</v>
      </c>
    </row>
    <row r="30" spans="1:5" x14ac:dyDescent="0.15">
      <c r="B30" s="3"/>
      <c r="C30" s="110"/>
      <c r="D30" s="528"/>
      <c r="E30" s="79"/>
    </row>
    <row r="31" spans="1:5" x14ac:dyDescent="0.15">
      <c r="A31" s="2" t="s">
        <v>609</v>
      </c>
      <c r="B31" s="3"/>
      <c r="E31" s="6"/>
    </row>
    <row r="32" spans="1:5" x14ac:dyDescent="0.15">
      <c r="A32" t="s">
        <v>231</v>
      </c>
      <c r="B32" s="3" t="s">
        <v>232</v>
      </c>
      <c r="C32" s="188">
        <v>0.25</v>
      </c>
    </row>
    <row r="33" spans="1:5" x14ac:dyDescent="0.15">
      <c r="A33" t="s">
        <v>1175</v>
      </c>
      <c r="B33" s="3" t="s">
        <v>1174</v>
      </c>
      <c r="C33" s="190">
        <v>0</v>
      </c>
      <c r="D33" s="526" t="s">
        <v>68</v>
      </c>
      <c r="E33" s="6" t="s">
        <v>1764</v>
      </c>
    </row>
    <row r="34" spans="1:5" x14ac:dyDescent="0.15">
      <c r="A34" t="s">
        <v>1167</v>
      </c>
      <c r="B34" s="3" t="s">
        <v>1168</v>
      </c>
      <c r="C34" s="66">
        <v>1</v>
      </c>
      <c r="D34" s="526" t="s">
        <v>1169</v>
      </c>
    </row>
    <row r="35" spans="1:5" x14ac:dyDescent="0.15">
      <c r="A35" t="s">
        <v>498</v>
      </c>
      <c r="B35" s="3" t="s">
        <v>497</v>
      </c>
      <c r="C35" s="626">
        <v>1</v>
      </c>
      <c r="D35" s="526" t="s">
        <v>68</v>
      </c>
    </row>
    <row r="36" spans="1:5" x14ac:dyDescent="0.15">
      <c r="A36" t="s">
        <v>1135</v>
      </c>
      <c r="B36" s="3" t="s">
        <v>1136</v>
      </c>
      <c r="C36" s="66">
        <v>1</v>
      </c>
      <c r="D36" s="526" t="s">
        <v>1169</v>
      </c>
    </row>
    <row r="37" spans="1:5" x14ac:dyDescent="0.15">
      <c r="A37" s="526" t="s">
        <v>3120</v>
      </c>
      <c r="B37" s="3" t="s">
        <v>3121</v>
      </c>
      <c r="C37" s="734">
        <v>0.13</v>
      </c>
      <c r="D37" s="526" t="s">
        <v>1030</v>
      </c>
      <c r="E37" s="657" t="s">
        <v>3122</v>
      </c>
    </row>
    <row r="38" spans="1:5" x14ac:dyDescent="0.15">
      <c r="B38" s="3"/>
      <c r="C38" s="49"/>
      <c r="E38" s="6"/>
    </row>
    <row r="39" spans="1:5" x14ac:dyDescent="0.15">
      <c r="A39" s="2" t="s">
        <v>3225</v>
      </c>
      <c r="B39" s="95"/>
    </row>
    <row r="40" spans="1:5" x14ac:dyDescent="0.15">
      <c r="A40" t="s">
        <v>2865</v>
      </c>
      <c r="B40" s="3" t="s">
        <v>138</v>
      </c>
      <c r="C40" s="387">
        <v>3</v>
      </c>
      <c r="D40" s="526" t="s">
        <v>140</v>
      </c>
      <c r="E40" s="6" t="s">
        <v>745</v>
      </c>
    </row>
    <row r="41" spans="1:5" x14ac:dyDescent="0.15">
      <c r="A41" t="s">
        <v>137</v>
      </c>
      <c r="B41" s="3" t="s">
        <v>139</v>
      </c>
      <c r="C41" s="387">
        <v>12</v>
      </c>
      <c r="D41" s="526" t="s">
        <v>60</v>
      </c>
      <c r="E41" s="6" t="s">
        <v>1131</v>
      </c>
    </row>
    <row r="42" spans="1:5" x14ac:dyDescent="0.15">
      <c r="A42" t="s">
        <v>1422</v>
      </c>
      <c r="B42" s="3" t="s">
        <v>2122</v>
      </c>
      <c r="C42" s="387"/>
      <c r="D42" s="526" t="s">
        <v>268</v>
      </c>
      <c r="E42" s="6" t="s">
        <v>2123</v>
      </c>
    </row>
    <row r="43" spans="1:5" x14ac:dyDescent="0.15">
      <c r="A43" t="s">
        <v>1553</v>
      </c>
      <c r="B43" s="3" t="s">
        <v>1554</v>
      </c>
      <c r="C43" s="785">
        <v>4.4999999999999998E-2</v>
      </c>
      <c r="D43" s="526" t="s">
        <v>1079</v>
      </c>
      <c r="E43" s="6" t="s">
        <v>2124</v>
      </c>
    </row>
    <row r="44" spans="1:5" x14ac:dyDescent="0.15">
      <c r="B44" s="3"/>
      <c r="E44" s="6"/>
    </row>
    <row r="45" spans="1:5" x14ac:dyDescent="0.15">
      <c r="A45" s="2" t="s">
        <v>3226</v>
      </c>
      <c r="B45" s="3"/>
      <c r="E45" s="6" t="s">
        <v>3227</v>
      </c>
    </row>
    <row r="46" spans="1:5" x14ac:dyDescent="0.15">
      <c r="A46" t="s">
        <v>1797</v>
      </c>
      <c r="B46" s="3" t="s">
        <v>1798</v>
      </c>
      <c r="C46" s="734">
        <v>3</v>
      </c>
      <c r="D46" s="526" t="s">
        <v>140</v>
      </c>
      <c r="E46" s="6" t="s">
        <v>1799</v>
      </c>
    </row>
    <row r="47" spans="1:5" x14ac:dyDescent="0.15">
      <c r="A47" s="16" t="s">
        <v>1785</v>
      </c>
      <c r="B47" s="22" t="s">
        <v>1786</v>
      </c>
      <c r="C47" s="758"/>
      <c r="D47" s="651" t="s">
        <v>2679</v>
      </c>
      <c r="E47" s="6" t="s">
        <v>3233</v>
      </c>
    </row>
    <row r="48" spans="1:5" x14ac:dyDescent="0.15">
      <c r="A48" t="s">
        <v>2834</v>
      </c>
      <c r="B48" s="3" t="s">
        <v>2835</v>
      </c>
      <c r="C48" s="734">
        <v>0</v>
      </c>
      <c r="D48" s="526" t="s">
        <v>2836</v>
      </c>
      <c r="E48" s="6" t="s">
        <v>3223</v>
      </c>
    </row>
    <row r="49" spans="1:5" x14ac:dyDescent="0.15">
      <c r="A49" t="s">
        <v>1471</v>
      </c>
      <c r="B49" s="3" t="s">
        <v>1473</v>
      </c>
      <c r="C49" s="66">
        <v>7</v>
      </c>
      <c r="D49" s="526" t="s">
        <v>1472</v>
      </c>
      <c r="E49" s="6" t="s">
        <v>401</v>
      </c>
    </row>
    <row r="50" spans="1:5" x14ac:dyDescent="0.15">
      <c r="A50" t="s">
        <v>2676</v>
      </c>
      <c r="B50" s="3" t="s">
        <v>2677</v>
      </c>
      <c r="C50" s="734">
        <v>45</v>
      </c>
      <c r="D50" s="526" t="s">
        <v>60</v>
      </c>
      <c r="E50" s="6" t="s">
        <v>3233</v>
      </c>
    </row>
    <row r="51" spans="1:5" x14ac:dyDescent="0.15">
      <c r="A51" t="s">
        <v>1788</v>
      </c>
      <c r="B51" s="3" t="s">
        <v>1789</v>
      </c>
      <c r="C51" s="734">
        <v>3.1</v>
      </c>
      <c r="D51" s="526" t="s">
        <v>2864</v>
      </c>
      <c r="E51" s="6"/>
    </row>
    <row r="52" spans="1:5" x14ac:dyDescent="0.15">
      <c r="A52" t="s">
        <v>3222</v>
      </c>
      <c r="B52" s="3" t="s">
        <v>2863</v>
      </c>
      <c r="C52" s="758"/>
      <c r="D52" s="526" t="s">
        <v>2864</v>
      </c>
      <c r="E52" s="6" t="s">
        <v>3233</v>
      </c>
    </row>
    <row r="53" spans="1:5" x14ac:dyDescent="0.15">
      <c r="A53" s="27" t="s">
        <v>1782</v>
      </c>
      <c r="B53" s="22" t="s">
        <v>1783</v>
      </c>
      <c r="C53" s="758"/>
      <c r="D53" s="651" t="s">
        <v>1784</v>
      </c>
      <c r="E53" s="6" t="s">
        <v>3233</v>
      </c>
    </row>
    <row r="54" spans="1:5" x14ac:dyDescent="0.15">
      <c r="A54" t="s">
        <v>1429</v>
      </c>
      <c r="B54" s="3" t="s">
        <v>1430</v>
      </c>
      <c r="C54" s="66">
        <v>72</v>
      </c>
      <c r="D54" s="526" t="s">
        <v>1431</v>
      </c>
      <c r="E54" s="38" t="s">
        <v>1101</v>
      </c>
    </row>
    <row r="55" spans="1:5" x14ac:dyDescent="0.15">
      <c r="A55" t="s">
        <v>1362</v>
      </c>
      <c r="B55" s="3" t="s">
        <v>1432</v>
      </c>
      <c r="C55" s="66">
        <v>10</v>
      </c>
      <c r="D55" s="526" t="s">
        <v>2845</v>
      </c>
      <c r="E55" s="38" t="s">
        <v>1101</v>
      </c>
    </row>
    <row r="56" spans="1:5" ht="12.75" customHeight="1" x14ac:dyDescent="0.15">
      <c r="A56" t="s">
        <v>1787</v>
      </c>
      <c r="B56" s="3" t="s">
        <v>271</v>
      </c>
      <c r="C56" s="66">
        <v>1</v>
      </c>
      <c r="D56" s="526" t="s">
        <v>1360</v>
      </c>
      <c r="E56" s="6"/>
    </row>
    <row r="57" spans="1:5" ht="12.75" customHeight="1" x14ac:dyDescent="0.15">
      <c r="A57" t="s">
        <v>419</v>
      </c>
      <c r="B57" s="3" t="s">
        <v>420</v>
      </c>
      <c r="C57" s="66">
        <v>5</v>
      </c>
      <c r="D57" s="526" t="s">
        <v>2285</v>
      </c>
      <c r="E57" s="6" t="s">
        <v>2365</v>
      </c>
    </row>
    <row r="58" spans="1:5" ht="12.75" customHeight="1" x14ac:dyDescent="0.15">
      <c r="B58" s="3"/>
      <c r="C58" s="523"/>
      <c r="E58" s="6"/>
    </row>
    <row r="59" spans="1:5" ht="12.75" customHeight="1" x14ac:dyDescent="0.15">
      <c r="A59" s="2" t="s">
        <v>2747</v>
      </c>
      <c r="B59" s="3"/>
      <c r="C59" s="49"/>
      <c r="E59" s="6"/>
    </row>
    <row r="60" spans="1:5" ht="12.75" customHeight="1" x14ac:dyDescent="0.15">
      <c r="A60" t="s">
        <v>2748</v>
      </c>
      <c r="B60" s="3" t="s">
        <v>927</v>
      </c>
      <c r="C60" s="191">
        <v>7</v>
      </c>
      <c r="D60" s="526" t="s">
        <v>2750</v>
      </c>
      <c r="E60" s="6" t="s">
        <v>148</v>
      </c>
    </row>
    <row r="61" spans="1:5" ht="12.75" customHeight="1" x14ac:dyDescent="0.15">
      <c r="A61" t="s">
        <v>2751</v>
      </c>
      <c r="B61" s="3" t="s">
        <v>2749</v>
      </c>
      <c r="C61" s="192">
        <v>8.1999999999999993</v>
      </c>
      <c r="D61" s="526" t="s">
        <v>2750</v>
      </c>
      <c r="E61" s="6"/>
    </row>
    <row r="62" spans="1:5" ht="12.75" customHeight="1" x14ac:dyDescent="0.15">
      <c r="A62" t="s">
        <v>1455</v>
      </c>
      <c r="B62" s="3" t="s">
        <v>3016</v>
      </c>
      <c r="C62" s="193">
        <v>25</v>
      </c>
      <c r="D62" s="526" t="s">
        <v>141</v>
      </c>
      <c r="E62" s="6"/>
    </row>
    <row r="63" spans="1:5" ht="12.75" customHeight="1" x14ac:dyDescent="0.15">
      <c r="A63" s="526" t="s">
        <v>3496</v>
      </c>
      <c r="B63" s="3" t="s">
        <v>3017</v>
      </c>
      <c r="C63" s="722">
        <v>200</v>
      </c>
      <c r="D63" s="526" t="s">
        <v>2514</v>
      </c>
      <c r="E63" s="6"/>
    </row>
    <row r="64" spans="1:5" ht="12.75" customHeight="1" x14ac:dyDescent="0.15">
      <c r="A64" t="s">
        <v>3018</v>
      </c>
      <c r="B64" s="3" t="s">
        <v>3019</v>
      </c>
      <c r="C64" s="722">
        <v>10</v>
      </c>
      <c r="D64" s="526" t="s">
        <v>3020</v>
      </c>
      <c r="E64" s="6"/>
    </row>
    <row r="65" spans="1:5" ht="12.75" customHeight="1" x14ac:dyDescent="0.15">
      <c r="A65" t="s">
        <v>1485</v>
      </c>
      <c r="B65" s="3" t="s">
        <v>1486</v>
      </c>
      <c r="C65" s="188">
        <v>0.5</v>
      </c>
      <c r="E65" s="6" t="s">
        <v>3413</v>
      </c>
    </row>
    <row r="66" spans="1:5" ht="12.75" customHeight="1" x14ac:dyDescent="0.15">
      <c r="A66" t="s">
        <v>2524</v>
      </c>
      <c r="B66" s="3" t="s">
        <v>2525</v>
      </c>
      <c r="C66" s="66">
        <v>5</v>
      </c>
      <c r="D66" s="526" t="s">
        <v>1132</v>
      </c>
      <c r="E66" s="6"/>
    </row>
    <row r="67" spans="1:5" ht="12.75" customHeight="1" x14ac:dyDescent="0.15">
      <c r="A67" s="526" t="s">
        <v>3116</v>
      </c>
      <c r="B67" s="3" t="s">
        <v>3117</v>
      </c>
      <c r="C67" s="734">
        <v>0</v>
      </c>
      <c r="D67" s="526" t="s">
        <v>151</v>
      </c>
      <c r="E67" s="6"/>
    </row>
    <row r="68" spans="1:5" ht="12.75" customHeight="1" x14ac:dyDescent="0.15">
      <c r="A68" t="s">
        <v>2526</v>
      </c>
      <c r="B68" s="563" t="s">
        <v>2527</v>
      </c>
      <c r="C68" s="66">
        <v>0.25</v>
      </c>
      <c r="D68" s="526" t="s">
        <v>3113</v>
      </c>
      <c r="E68" s="6"/>
    </row>
    <row r="69" spans="1:5" ht="12.75" customHeight="1" x14ac:dyDescent="0.15">
      <c r="A69" s="526" t="s">
        <v>3114</v>
      </c>
      <c r="B69" s="563" t="s">
        <v>3115</v>
      </c>
      <c r="C69" s="66">
        <f>1/3</f>
        <v>0.33333333333333331</v>
      </c>
      <c r="D69" s="526" t="s">
        <v>1360</v>
      </c>
      <c r="E69" s="6"/>
    </row>
    <row r="70" spans="1:5" ht="12.75" customHeight="1" x14ac:dyDescent="0.15">
      <c r="A70" t="s">
        <v>2568</v>
      </c>
      <c r="B70" s="3" t="s">
        <v>2569</v>
      </c>
      <c r="C70" s="66">
        <v>30</v>
      </c>
      <c r="D70" s="526" t="s">
        <v>268</v>
      </c>
      <c r="E70" s="6" t="s">
        <v>3021</v>
      </c>
    </row>
    <row r="71" spans="1:5" ht="12.75" customHeight="1" x14ac:dyDescent="0.15">
      <c r="B71" s="3"/>
      <c r="C71" s="54"/>
      <c r="E71" s="6"/>
    </row>
    <row r="72" spans="1:5" ht="12.75" customHeight="1" x14ac:dyDescent="0.15">
      <c r="A72" s="2" t="s">
        <v>3128</v>
      </c>
      <c r="B72" s="3"/>
      <c r="C72" s="54"/>
      <c r="E72" s="6"/>
    </row>
    <row r="73" spans="1:5" ht="12.75" customHeight="1" x14ac:dyDescent="0.15">
      <c r="A73" s="526" t="s">
        <v>3129</v>
      </c>
      <c r="B73" s="3" t="s">
        <v>3130</v>
      </c>
      <c r="C73" s="734">
        <v>1</v>
      </c>
      <c r="D73" s="526" t="s">
        <v>151</v>
      </c>
    </row>
    <row r="74" spans="1:5" ht="12.75" customHeight="1" x14ac:dyDescent="0.15">
      <c r="A74" s="526" t="s">
        <v>3131</v>
      </c>
      <c r="B74" s="3" t="s">
        <v>3132</v>
      </c>
      <c r="C74" s="757">
        <v>1.1000000000000001</v>
      </c>
    </row>
    <row r="75" spans="1:5" ht="12.75" customHeight="1" x14ac:dyDescent="0.15">
      <c r="A75" s="526" t="s">
        <v>3133</v>
      </c>
      <c r="B75" s="3" t="s">
        <v>3134</v>
      </c>
      <c r="C75" s="757">
        <v>0.1</v>
      </c>
    </row>
    <row r="76" spans="1:5" ht="12.75" customHeight="1" x14ac:dyDescent="0.15">
      <c r="A76" s="526" t="s">
        <v>3135</v>
      </c>
      <c r="B76" s="3" t="s">
        <v>3136</v>
      </c>
      <c r="C76" s="758">
        <v>6</v>
      </c>
      <c r="D76" s="526" t="s">
        <v>973</v>
      </c>
      <c r="E76" s="657" t="s">
        <v>3137</v>
      </c>
    </row>
    <row r="77" spans="1:5" ht="12.75" customHeight="1" x14ac:dyDescent="0.15">
      <c r="A77" s="526" t="s">
        <v>3138</v>
      </c>
      <c r="B77" s="3" t="s">
        <v>3139</v>
      </c>
      <c r="C77" s="187">
        <v>1</v>
      </c>
      <c r="D77" s="526" t="s">
        <v>3140</v>
      </c>
      <c r="E77" s="657" t="s">
        <v>3141</v>
      </c>
    </row>
    <row r="78" spans="1:5" ht="12.75" customHeight="1" x14ac:dyDescent="0.15">
      <c r="A78" s="526" t="s">
        <v>3142</v>
      </c>
      <c r="B78" s="3" t="s">
        <v>3143</v>
      </c>
      <c r="C78" s="187">
        <v>125</v>
      </c>
      <c r="D78" s="526" t="s">
        <v>3144</v>
      </c>
      <c r="E78" s="657"/>
    </row>
    <row r="79" spans="1:5" ht="12.75" customHeight="1" x14ac:dyDescent="0.15">
      <c r="B79" s="3"/>
      <c r="C79" s="54"/>
      <c r="E79" s="6"/>
    </row>
    <row r="80" spans="1:5" ht="12.75" customHeight="1" x14ac:dyDescent="0.15">
      <c r="A80" s="321" t="s">
        <v>1273</v>
      </c>
      <c r="B80" s="3"/>
      <c r="C80" s="54"/>
      <c r="E80" s="6"/>
    </row>
    <row r="81" spans="1:5" ht="12.75" customHeight="1" x14ac:dyDescent="0.15">
      <c r="A81" t="s">
        <v>1274</v>
      </c>
      <c r="B81" s="3" t="s">
        <v>1275</v>
      </c>
      <c r="C81" s="190">
        <v>1</v>
      </c>
      <c r="D81" s="526" t="s">
        <v>1276</v>
      </c>
      <c r="E81" s="6"/>
    </row>
    <row r="82" spans="1:5" ht="12.75" customHeight="1" x14ac:dyDescent="0.15">
      <c r="A82" s="5" t="s">
        <v>1277</v>
      </c>
      <c r="B82" s="456" t="s">
        <v>1278</v>
      </c>
      <c r="C82" s="457">
        <v>2</v>
      </c>
      <c r="D82" s="526" t="s">
        <v>64</v>
      </c>
      <c r="E82" s="6" t="s">
        <v>1279</v>
      </c>
    </row>
    <row r="83" spans="1:5" ht="12.75" customHeight="1" x14ac:dyDescent="0.15">
      <c r="A83" s="5" t="s">
        <v>1282</v>
      </c>
      <c r="B83" s="456" t="s">
        <v>1283</v>
      </c>
      <c r="C83" s="457">
        <v>1</v>
      </c>
      <c r="E83" s="6"/>
    </row>
    <row r="84" spans="1:5" ht="12.75" customHeight="1" x14ac:dyDescent="0.15">
      <c r="A84" s="5" t="s">
        <v>1284</v>
      </c>
      <c r="B84" s="456" t="s">
        <v>1285</v>
      </c>
      <c r="C84" s="457">
        <v>50</v>
      </c>
      <c r="D84" s="526" t="s">
        <v>51</v>
      </c>
      <c r="E84" s="6"/>
    </row>
    <row r="85" spans="1:5" ht="12.75" customHeight="1" x14ac:dyDescent="0.15">
      <c r="A85" t="s">
        <v>2405</v>
      </c>
      <c r="B85" s="456" t="s">
        <v>2404</v>
      </c>
      <c r="C85" s="457">
        <v>3</v>
      </c>
      <c r="D85" s="526" t="s">
        <v>61</v>
      </c>
      <c r="E85" s="6" t="s">
        <v>2567</v>
      </c>
    </row>
    <row r="86" spans="1:5" ht="12.75" customHeight="1" x14ac:dyDescent="0.15">
      <c r="B86" s="456"/>
      <c r="C86" s="885"/>
      <c r="E86" s="6"/>
    </row>
    <row r="87" spans="1:5" ht="12.75" customHeight="1" x14ac:dyDescent="0.15">
      <c r="A87" s="2" t="s">
        <v>3481</v>
      </c>
      <c r="B87" s="3"/>
      <c r="C87" s="526"/>
      <c r="E87" s="6"/>
    </row>
    <row r="88" spans="1:5" ht="12.75" customHeight="1" x14ac:dyDescent="0.15">
      <c r="A88" s="526" t="s">
        <v>3482</v>
      </c>
      <c r="B88" s="3" t="s">
        <v>3483</v>
      </c>
      <c r="C88" s="499">
        <v>2</v>
      </c>
      <c r="D88" s="526" t="s">
        <v>3484</v>
      </c>
      <c r="E88" s="6"/>
    </row>
    <row r="89" spans="1:5" ht="12.75" customHeight="1" x14ac:dyDescent="0.15">
      <c r="A89" s="526" t="s">
        <v>3485</v>
      </c>
      <c r="B89" s="3" t="s">
        <v>3486</v>
      </c>
      <c r="C89" s="499">
        <v>2</v>
      </c>
      <c r="D89" s="526" t="s">
        <v>3484</v>
      </c>
      <c r="E89" s="6"/>
    </row>
    <row r="90" spans="1:5" ht="12.75" customHeight="1" x14ac:dyDescent="0.15">
      <c r="A90" s="526" t="s">
        <v>3487</v>
      </c>
      <c r="B90" s="3" t="s">
        <v>3488</v>
      </c>
      <c r="C90" s="499">
        <v>2.5</v>
      </c>
      <c r="D90" s="526" t="s">
        <v>3484</v>
      </c>
      <c r="E90" s="6"/>
    </row>
    <row r="91" spans="1:5" ht="12.75" customHeight="1" x14ac:dyDescent="0.15">
      <c r="A91" s="526" t="s">
        <v>3489</v>
      </c>
      <c r="B91" s="3" t="s">
        <v>3490</v>
      </c>
      <c r="C91" s="499">
        <v>2.5</v>
      </c>
      <c r="D91" s="526" t="s">
        <v>3484</v>
      </c>
      <c r="E91" s="6"/>
    </row>
    <row r="92" spans="1:5" ht="12.75" customHeight="1" x14ac:dyDescent="0.15">
      <c r="A92" s="526" t="s">
        <v>3491</v>
      </c>
      <c r="B92" s="3" t="s">
        <v>3492</v>
      </c>
      <c r="C92" s="499">
        <v>1</v>
      </c>
      <c r="D92" s="526" t="s">
        <v>3484</v>
      </c>
      <c r="E92" s="6"/>
    </row>
    <row r="93" spans="1:5" ht="12.75" customHeight="1" x14ac:dyDescent="0.15">
      <c r="B93" s="3"/>
      <c r="C93" s="49"/>
      <c r="E93" s="6"/>
    </row>
    <row r="94" spans="1:5" ht="12.75" customHeight="1" x14ac:dyDescent="0.15">
      <c r="A94" s="2" t="s">
        <v>610</v>
      </c>
      <c r="B94" s="3"/>
      <c r="E94" s="12"/>
    </row>
    <row r="95" spans="1:5" ht="12.75" customHeight="1" x14ac:dyDescent="0.15">
      <c r="A95" t="s">
        <v>3469</v>
      </c>
      <c r="B95" s="3" t="s">
        <v>1751</v>
      </c>
      <c r="C95" s="66">
        <v>2</v>
      </c>
      <c r="D95" s="526" t="s">
        <v>144</v>
      </c>
      <c r="E95" s="12"/>
    </row>
    <row r="96" spans="1:5" ht="12.75" customHeight="1" x14ac:dyDescent="0.15">
      <c r="A96" t="s">
        <v>2746</v>
      </c>
      <c r="B96" s="3" t="s">
        <v>680</v>
      </c>
      <c r="C96" s="66">
        <v>1</v>
      </c>
      <c r="D96" s="526" t="s">
        <v>681</v>
      </c>
      <c r="E96" s="6" t="s">
        <v>682</v>
      </c>
    </row>
    <row r="97" spans="1:5" ht="12.75" customHeight="1" x14ac:dyDescent="0.15">
      <c r="E97" s="12"/>
    </row>
    <row r="98" spans="1:5" ht="12.75" customHeight="1" x14ac:dyDescent="0.15">
      <c r="A98" t="s">
        <v>1752</v>
      </c>
      <c r="B98" s="3" t="s">
        <v>1753</v>
      </c>
      <c r="C98" s="66">
        <v>1</v>
      </c>
      <c r="D98" s="526" t="s">
        <v>946</v>
      </c>
      <c r="E98" s="12"/>
    </row>
    <row r="99" spans="1:5" ht="12.75" customHeight="1" x14ac:dyDescent="0.15">
      <c r="A99" t="s">
        <v>1043</v>
      </c>
      <c r="B99" s="3" t="s">
        <v>1044</v>
      </c>
      <c r="C99" s="66">
        <v>1</v>
      </c>
      <c r="D99" s="526" t="s">
        <v>946</v>
      </c>
      <c r="E99" s="6" t="s">
        <v>1041</v>
      </c>
    </row>
    <row r="100" spans="1:5" ht="12.75" customHeight="1" x14ac:dyDescent="0.15">
      <c r="A100" t="s">
        <v>1365</v>
      </c>
      <c r="B100" s="3" t="s">
        <v>1366</v>
      </c>
      <c r="C100" s="66">
        <v>1</v>
      </c>
      <c r="D100" s="526" t="s">
        <v>946</v>
      </c>
      <c r="E100" s="6" t="s">
        <v>1367</v>
      </c>
    </row>
    <row r="101" spans="1:5" ht="12.75" customHeight="1" x14ac:dyDescent="0.15">
      <c r="A101" s="526" t="s">
        <v>3315</v>
      </c>
      <c r="B101" s="3" t="s">
        <v>3316</v>
      </c>
      <c r="C101" s="499">
        <v>1</v>
      </c>
      <c r="D101" s="526" t="s">
        <v>946</v>
      </c>
      <c r="E101" s="6" t="s">
        <v>3317</v>
      </c>
    </row>
    <row r="102" spans="1:5" ht="12.75" customHeight="1" x14ac:dyDescent="0.15">
      <c r="A102" t="s">
        <v>423</v>
      </c>
      <c r="B102" s="3" t="s">
        <v>424</v>
      </c>
      <c r="C102" s="66">
        <v>2</v>
      </c>
      <c r="D102" s="526" t="s">
        <v>144</v>
      </c>
      <c r="E102" s="6" t="s">
        <v>3455</v>
      </c>
    </row>
    <row r="103" spans="1:5" ht="12.75" customHeight="1" x14ac:dyDescent="0.15">
      <c r="A103" t="s">
        <v>182</v>
      </c>
      <c r="B103" s="3" t="s">
        <v>183</v>
      </c>
      <c r="C103" s="66">
        <v>1</v>
      </c>
      <c r="D103" s="526" t="s">
        <v>144</v>
      </c>
      <c r="E103" s="6"/>
    </row>
    <row r="104" spans="1:5" ht="12.75" customHeight="1" x14ac:dyDescent="0.15">
      <c r="A104" s="72" t="s">
        <v>1139</v>
      </c>
      <c r="B104" s="3" t="s">
        <v>2791</v>
      </c>
      <c r="C104" s="66">
        <v>0</v>
      </c>
      <c r="D104" s="526" t="s">
        <v>144</v>
      </c>
      <c r="E104" s="12"/>
    </row>
    <row r="105" spans="1:5" ht="12.75" customHeight="1" x14ac:dyDescent="0.15">
      <c r="A105" s="72"/>
      <c r="B105" s="3"/>
      <c r="E105" s="12"/>
    </row>
    <row r="106" spans="1:5" ht="12.75" customHeight="1" x14ac:dyDescent="0.15">
      <c r="A106" t="s">
        <v>3468</v>
      </c>
      <c r="B106" s="3" t="s">
        <v>1754</v>
      </c>
      <c r="C106" s="66">
        <v>1</v>
      </c>
      <c r="D106" s="526" t="s">
        <v>64</v>
      </c>
      <c r="E106" s="6" t="s">
        <v>1755</v>
      </c>
    </row>
    <row r="107" spans="1:5" ht="12.75" customHeight="1" x14ac:dyDescent="0.15">
      <c r="A107" t="s">
        <v>2291</v>
      </c>
      <c r="B107" s="3" t="s">
        <v>1756</v>
      </c>
      <c r="C107" s="499">
        <v>0</v>
      </c>
      <c r="D107" s="526" t="s">
        <v>1758</v>
      </c>
      <c r="E107" s="12"/>
    </row>
    <row r="108" spans="1:5" ht="12.75" customHeight="1" x14ac:dyDescent="0.15">
      <c r="A108" t="s">
        <v>2292</v>
      </c>
      <c r="B108" s="3" t="s">
        <v>1439</v>
      </c>
      <c r="C108" s="66">
        <v>1</v>
      </c>
      <c r="D108" s="526" t="s">
        <v>64</v>
      </c>
      <c r="E108" s="6" t="s">
        <v>2293</v>
      </c>
    </row>
    <row r="109" spans="1:5" ht="12.75" customHeight="1" x14ac:dyDescent="0.15">
      <c r="A109" t="s">
        <v>1757</v>
      </c>
      <c r="B109" s="3" t="s">
        <v>145</v>
      </c>
      <c r="C109" s="66">
        <v>0</v>
      </c>
      <c r="D109" s="526" t="s">
        <v>1758</v>
      </c>
      <c r="E109" s="12"/>
    </row>
    <row r="110" spans="1:5" ht="12.75" customHeight="1" x14ac:dyDescent="0.15">
      <c r="A110" s="72" t="s">
        <v>1139</v>
      </c>
      <c r="B110" s="3" t="s">
        <v>2790</v>
      </c>
      <c r="C110" s="66">
        <v>0</v>
      </c>
      <c r="D110" s="526" t="s">
        <v>1758</v>
      </c>
      <c r="E110" s="12"/>
    </row>
    <row r="111" spans="1:5" ht="12.75" customHeight="1" x14ac:dyDescent="0.15">
      <c r="A111" t="s">
        <v>1759</v>
      </c>
      <c r="B111" s="3" t="s">
        <v>1513</v>
      </c>
      <c r="C111" s="66">
        <v>1</v>
      </c>
      <c r="D111" s="526" t="s">
        <v>796</v>
      </c>
      <c r="E111" s="12"/>
    </row>
    <row r="112" spans="1:5" ht="12.75" customHeight="1" x14ac:dyDescent="0.15">
      <c r="A112" t="s">
        <v>1046</v>
      </c>
      <c r="B112" s="3" t="s">
        <v>2828</v>
      </c>
      <c r="C112" s="66">
        <v>1</v>
      </c>
      <c r="D112" s="526" t="s">
        <v>796</v>
      </c>
      <c r="E112" s="6" t="s">
        <v>1045</v>
      </c>
    </row>
    <row r="113" spans="1:5" ht="12.75" customHeight="1" x14ac:dyDescent="0.15">
      <c r="A113" t="s">
        <v>1309</v>
      </c>
      <c r="B113" s="3" t="s">
        <v>1308</v>
      </c>
      <c r="C113" s="66">
        <v>1</v>
      </c>
      <c r="D113" s="526" t="s">
        <v>796</v>
      </c>
      <c r="E113" s="6"/>
    </row>
    <row r="114" spans="1:5" ht="12.75" customHeight="1" x14ac:dyDescent="0.15">
      <c r="A114" t="s">
        <v>797</v>
      </c>
      <c r="B114" s="3" t="s">
        <v>2564</v>
      </c>
      <c r="C114" s="66">
        <v>0</v>
      </c>
      <c r="D114" s="526" t="s">
        <v>64</v>
      </c>
      <c r="E114" s="6"/>
    </row>
    <row r="115" spans="1:5" ht="12.75" customHeight="1" x14ac:dyDescent="0.15">
      <c r="A115" t="s">
        <v>381</v>
      </c>
      <c r="B115" s="3" t="s">
        <v>382</v>
      </c>
      <c r="C115" s="66">
        <v>0</v>
      </c>
      <c r="D115" s="526" t="s">
        <v>64</v>
      </c>
      <c r="E115" s="6"/>
    </row>
    <row r="116" spans="1:5" ht="12.75" customHeight="1" x14ac:dyDescent="0.15">
      <c r="A116" t="s">
        <v>383</v>
      </c>
      <c r="B116" s="3" t="s">
        <v>384</v>
      </c>
      <c r="C116" s="66">
        <v>2</v>
      </c>
      <c r="D116" s="526" t="s">
        <v>64</v>
      </c>
      <c r="E116" s="6"/>
    </row>
    <row r="117" spans="1:5" ht="12.75" customHeight="1" x14ac:dyDescent="0.15">
      <c r="A117" t="s">
        <v>798</v>
      </c>
      <c r="B117" s="3" t="s">
        <v>799</v>
      </c>
      <c r="C117" s="66">
        <v>1</v>
      </c>
      <c r="D117" s="526" t="s">
        <v>64</v>
      </c>
      <c r="E117" s="6" t="s">
        <v>3497</v>
      </c>
    </row>
    <row r="118" spans="1:5" ht="12.75" customHeight="1" x14ac:dyDescent="0.15">
      <c r="A118" s="72" t="s">
        <v>1139</v>
      </c>
      <c r="B118" s="3" t="s">
        <v>1143</v>
      </c>
      <c r="C118" s="66">
        <v>0</v>
      </c>
      <c r="D118" s="526" t="s">
        <v>64</v>
      </c>
      <c r="E118" s="6"/>
    </row>
    <row r="119" spans="1:5" ht="12.75" customHeight="1" x14ac:dyDescent="0.15">
      <c r="A119" t="s">
        <v>2299</v>
      </c>
      <c r="B119" s="3" t="s">
        <v>2300</v>
      </c>
      <c r="C119" s="66">
        <v>0</v>
      </c>
      <c r="D119" s="526" t="s">
        <v>1758</v>
      </c>
      <c r="E119" s="6"/>
    </row>
    <row r="120" spans="1:5" ht="12.75" customHeight="1" x14ac:dyDescent="0.15">
      <c r="A120" s="72" t="s">
        <v>1139</v>
      </c>
      <c r="B120" s="3" t="s">
        <v>1142</v>
      </c>
      <c r="C120" s="66">
        <v>0</v>
      </c>
      <c r="D120" s="526" t="s">
        <v>1758</v>
      </c>
      <c r="E120" s="6"/>
    </row>
    <row r="121" spans="1:5" ht="12.75" customHeight="1" x14ac:dyDescent="0.15">
      <c r="A121" t="s">
        <v>1446</v>
      </c>
      <c r="B121" s="3" t="s">
        <v>2301</v>
      </c>
      <c r="C121" s="66">
        <v>1</v>
      </c>
      <c r="D121" s="526" t="s">
        <v>64</v>
      </c>
      <c r="E121" s="6" t="s">
        <v>2302</v>
      </c>
    </row>
    <row r="122" spans="1:5" ht="12.75" customHeight="1" x14ac:dyDescent="0.15">
      <c r="A122" s="72" t="s">
        <v>1139</v>
      </c>
      <c r="B122" s="3" t="s">
        <v>1141</v>
      </c>
      <c r="C122" s="66">
        <v>0</v>
      </c>
      <c r="D122" s="526" t="s">
        <v>64</v>
      </c>
      <c r="E122" s="6"/>
    </row>
    <row r="123" spans="1:5" ht="12.75" customHeight="1" x14ac:dyDescent="0.15">
      <c r="A123" t="s">
        <v>1447</v>
      </c>
      <c r="B123" s="3" t="s">
        <v>1448</v>
      </c>
      <c r="C123" s="66">
        <v>0</v>
      </c>
      <c r="D123" s="526" t="s">
        <v>1758</v>
      </c>
      <c r="E123" s="6"/>
    </row>
    <row r="124" spans="1:5" ht="12.75" customHeight="1" x14ac:dyDescent="0.15">
      <c r="A124" t="s">
        <v>1760</v>
      </c>
      <c r="B124" s="3" t="s">
        <v>1449</v>
      </c>
      <c r="C124" s="66">
        <v>0</v>
      </c>
      <c r="D124" s="526" t="s">
        <v>64</v>
      </c>
      <c r="E124" s="6"/>
    </row>
    <row r="125" spans="1:5" ht="12.75" customHeight="1" x14ac:dyDescent="0.15">
      <c r="A125" t="s">
        <v>800</v>
      </c>
      <c r="B125" s="3" t="s">
        <v>801</v>
      </c>
      <c r="C125" s="66">
        <v>1</v>
      </c>
      <c r="D125" s="526" t="s">
        <v>1758</v>
      </c>
      <c r="E125" s="6"/>
    </row>
    <row r="126" spans="1:5" ht="12.75" customHeight="1" x14ac:dyDescent="0.15">
      <c r="A126" s="72" t="s">
        <v>1139</v>
      </c>
      <c r="B126" s="3" t="s">
        <v>1140</v>
      </c>
      <c r="C126" s="66">
        <v>0</v>
      </c>
      <c r="D126" s="526" t="s">
        <v>1758</v>
      </c>
      <c r="E126" s="6"/>
    </row>
    <row r="127" spans="1:5" ht="12.75" customHeight="1" x14ac:dyDescent="0.15">
      <c r="A127" t="s">
        <v>1291</v>
      </c>
      <c r="B127" s="456" t="s">
        <v>1292</v>
      </c>
      <c r="C127" s="457">
        <v>1</v>
      </c>
      <c r="D127" s="526" t="s">
        <v>1293</v>
      </c>
      <c r="E127" s="6"/>
    </row>
    <row r="128" spans="1:5" ht="12.75" customHeight="1" x14ac:dyDescent="0.15">
      <c r="A128" t="s">
        <v>802</v>
      </c>
      <c r="B128" s="3" t="s">
        <v>803</v>
      </c>
      <c r="C128" s="66">
        <v>1</v>
      </c>
      <c r="D128" s="526" t="s">
        <v>1758</v>
      </c>
      <c r="E128" s="6"/>
    </row>
    <row r="129" spans="1:5" ht="12.75" customHeight="1" x14ac:dyDescent="0.15">
      <c r="A129" t="s">
        <v>956</v>
      </c>
      <c r="B129" s="3" t="s">
        <v>957</v>
      </c>
      <c r="C129" s="66">
        <v>1</v>
      </c>
      <c r="D129" s="526" t="s">
        <v>64</v>
      </c>
      <c r="E129" s="6"/>
    </row>
    <row r="130" spans="1:5" ht="12.75" customHeight="1" x14ac:dyDescent="0.15">
      <c r="A130" t="s">
        <v>804</v>
      </c>
      <c r="B130" s="3" t="s">
        <v>805</v>
      </c>
      <c r="C130" s="66">
        <v>3</v>
      </c>
      <c r="D130" s="526" t="s">
        <v>64</v>
      </c>
      <c r="E130" s="6" t="s">
        <v>3495</v>
      </c>
    </row>
    <row r="131" spans="1:5" ht="12.75" customHeight="1" x14ac:dyDescent="0.15">
      <c r="A131" t="s">
        <v>806</v>
      </c>
      <c r="B131" s="3" t="s">
        <v>1039</v>
      </c>
      <c r="C131" s="66">
        <v>0</v>
      </c>
      <c r="D131" s="526" t="s">
        <v>64</v>
      </c>
      <c r="E131" s="6" t="s">
        <v>2792</v>
      </c>
    </row>
    <row r="132" spans="1:5" ht="12.75" customHeight="1" x14ac:dyDescent="0.15">
      <c r="B132" s="3"/>
      <c r="E132" s="6"/>
    </row>
    <row r="133" spans="1:5" ht="12.75" customHeight="1" x14ac:dyDescent="0.15">
      <c r="A133" s="2" t="s">
        <v>134</v>
      </c>
      <c r="B133" s="3"/>
      <c r="E133" s="6"/>
    </row>
    <row r="134" spans="1:5" ht="12.75" customHeight="1" x14ac:dyDescent="0.15">
      <c r="A134" s="6" t="s">
        <v>1634</v>
      </c>
      <c r="B134" s="3"/>
      <c r="E134" s="6"/>
    </row>
    <row r="135" spans="1:5" ht="12.75" customHeight="1" x14ac:dyDescent="0.15">
      <c r="A135" s="6" t="s">
        <v>1639</v>
      </c>
      <c r="B135" s="42"/>
      <c r="C135" s="6"/>
      <c r="E135" s="6"/>
    </row>
    <row r="136" spans="1:5" ht="12.75" customHeight="1" x14ac:dyDescent="0.15">
      <c r="A136" s="5" t="s">
        <v>1643</v>
      </c>
      <c r="B136" s="3" t="s">
        <v>978</v>
      </c>
      <c r="C136" s="66">
        <v>1</v>
      </c>
      <c r="D136" s="526" t="s">
        <v>64</v>
      </c>
      <c r="E136" s="6"/>
    </row>
    <row r="137" spans="1:5" ht="12.75" customHeight="1" x14ac:dyDescent="0.15">
      <c r="A137" s="5" t="s">
        <v>1644</v>
      </c>
      <c r="B137" s="3" t="s">
        <v>979</v>
      </c>
      <c r="C137" s="66">
        <v>1</v>
      </c>
      <c r="D137" s="526" t="s">
        <v>64</v>
      </c>
      <c r="E137" s="6"/>
    </row>
    <row r="138" spans="1:5" ht="12.75" customHeight="1" x14ac:dyDescent="0.15">
      <c r="A138" s="5" t="s">
        <v>1640</v>
      </c>
      <c r="B138" s="3" t="s">
        <v>1834</v>
      </c>
      <c r="C138" s="66">
        <v>1</v>
      </c>
      <c r="D138" s="526" t="s">
        <v>64</v>
      </c>
      <c r="E138" s="6"/>
    </row>
    <row r="139" spans="1:5" ht="12.75" customHeight="1" x14ac:dyDescent="0.15">
      <c r="A139" s="5" t="s">
        <v>1641</v>
      </c>
      <c r="B139" s="3" t="s">
        <v>954</v>
      </c>
      <c r="C139" s="66">
        <v>1</v>
      </c>
      <c r="D139" s="526" t="s">
        <v>64</v>
      </c>
      <c r="E139" s="6"/>
    </row>
    <row r="140" spans="1:5" ht="12.75" customHeight="1" x14ac:dyDescent="0.15">
      <c r="A140" s="5" t="s">
        <v>1642</v>
      </c>
      <c r="B140" s="3" t="s">
        <v>1653</v>
      </c>
      <c r="C140" s="66">
        <v>1</v>
      </c>
      <c r="D140" s="526" t="s">
        <v>64</v>
      </c>
      <c r="E140" s="6"/>
    </row>
    <row r="141" spans="1:5" ht="12.75" customHeight="1" x14ac:dyDescent="0.15">
      <c r="A141" s="5"/>
      <c r="B141" s="3"/>
      <c r="C141" s="5"/>
      <c r="E141" s="6"/>
    </row>
    <row r="142" spans="1:5" ht="12.75" customHeight="1" x14ac:dyDescent="0.15">
      <c r="A142" t="s">
        <v>1766</v>
      </c>
      <c r="B142" s="3" t="s">
        <v>1494</v>
      </c>
      <c r="C142" s="187">
        <v>2</v>
      </c>
      <c r="D142" s="526" t="s">
        <v>64</v>
      </c>
      <c r="E142" s="6" t="s">
        <v>1539</v>
      </c>
    </row>
    <row r="143" spans="1:5" ht="12.75" customHeight="1" x14ac:dyDescent="0.15">
      <c r="A143" t="s">
        <v>297</v>
      </c>
      <c r="B143" s="3" t="s">
        <v>1727</v>
      </c>
      <c r="C143" s="187">
        <v>2</v>
      </c>
      <c r="D143" s="526" t="s">
        <v>64</v>
      </c>
      <c r="E143" s="6" t="s">
        <v>1540</v>
      </c>
    </row>
    <row r="144" spans="1:5" ht="12.75" customHeight="1" x14ac:dyDescent="0.15">
      <c r="A144" t="s">
        <v>1767</v>
      </c>
      <c r="B144" s="3" t="s">
        <v>1728</v>
      </c>
      <c r="C144" s="187">
        <v>2</v>
      </c>
      <c r="D144" s="526" t="s">
        <v>64</v>
      </c>
      <c r="E144" s="6" t="s">
        <v>1541</v>
      </c>
    </row>
    <row r="145" spans="1:5" ht="12.75" customHeight="1" x14ac:dyDescent="0.15">
      <c r="A145" t="s">
        <v>2756</v>
      </c>
      <c r="B145" s="3" t="s">
        <v>1729</v>
      </c>
      <c r="C145" s="187">
        <v>1</v>
      </c>
      <c r="D145" s="526" t="s">
        <v>1355</v>
      </c>
      <c r="E145" s="6" t="s">
        <v>1730</v>
      </c>
    </row>
    <row r="146" spans="1:5" ht="12.75" customHeight="1" x14ac:dyDescent="0.15">
      <c r="A146" t="s">
        <v>416</v>
      </c>
      <c r="B146" s="3" t="s">
        <v>417</v>
      </c>
      <c r="C146" s="66">
        <v>1</v>
      </c>
      <c r="D146" s="526" t="s">
        <v>418</v>
      </c>
      <c r="E146" s="6" t="s">
        <v>2366</v>
      </c>
    </row>
    <row r="147" spans="1:5" ht="12.75" customHeight="1" x14ac:dyDescent="0.15">
      <c r="A147" t="s">
        <v>2721</v>
      </c>
      <c r="B147" s="3" t="s">
        <v>2722</v>
      </c>
      <c r="C147" s="66">
        <v>3</v>
      </c>
      <c r="D147" s="526" t="s">
        <v>2723</v>
      </c>
      <c r="E147" s="6" t="s">
        <v>2724</v>
      </c>
    </row>
    <row r="148" spans="1:5" ht="12.75" customHeight="1" x14ac:dyDescent="0.15">
      <c r="A148" t="s">
        <v>2368</v>
      </c>
      <c r="B148" s="3" t="s">
        <v>2369</v>
      </c>
      <c r="C148" s="66">
        <v>4</v>
      </c>
      <c r="D148" s="526" t="s">
        <v>2370</v>
      </c>
      <c r="E148" s="6" t="s">
        <v>2371</v>
      </c>
    </row>
    <row r="149" spans="1:5" ht="12.75" customHeight="1" x14ac:dyDescent="0.15">
      <c r="B149" s="3"/>
      <c r="E149" s="6"/>
    </row>
    <row r="150" spans="1:5" x14ac:dyDescent="0.15">
      <c r="A150" s="2" t="s">
        <v>611</v>
      </c>
    </row>
    <row r="151" spans="1:5" x14ac:dyDescent="0.15">
      <c r="A151" s="526" t="s">
        <v>2910</v>
      </c>
      <c r="B151" s="3" t="s">
        <v>2911</v>
      </c>
      <c r="C151" s="66">
        <v>6</v>
      </c>
      <c r="D151" s="526" t="s">
        <v>61</v>
      </c>
      <c r="E151" s="6" t="s">
        <v>3</v>
      </c>
    </row>
    <row r="152" spans="1:5" x14ac:dyDescent="0.15">
      <c r="A152" s="526" t="s">
        <v>2912</v>
      </c>
      <c r="B152" s="3" t="s">
        <v>2913</v>
      </c>
      <c r="C152" s="66">
        <v>1</v>
      </c>
      <c r="D152" s="526" t="s">
        <v>61</v>
      </c>
      <c r="E152" s="6" t="s">
        <v>2914</v>
      </c>
    </row>
    <row r="153" spans="1:5" x14ac:dyDescent="0.15">
      <c r="A153" t="s">
        <v>1827</v>
      </c>
      <c r="B153" s="3" t="s">
        <v>1828</v>
      </c>
      <c r="C153" s="66">
        <v>4</v>
      </c>
      <c r="D153" s="526" t="s">
        <v>61</v>
      </c>
      <c r="E153" s="6" t="s">
        <v>2567</v>
      </c>
    </row>
    <row r="154" spans="1:5" x14ac:dyDescent="0.15">
      <c r="A154" t="s">
        <v>1829</v>
      </c>
      <c r="B154" s="3" t="s">
        <v>1830</v>
      </c>
      <c r="C154" s="66">
        <v>0</v>
      </c>
      <c r="D154" s="526" t="s">
        <v>61</v>
      </c>
      <c r="E154" s="6" t="s">
        <v>1831</v>
      </c>
    </row>
    <row r="155" spans="1:5" x14ac:dyDescent="0.15">
      <c r="A155" t="s">
        <v>1107</v>
      </c>
      <c r="B155" s="3" t="s">
        <v>1108</v>
      </c>
      <c r="C155" s="66">
        <v>10</v>
      </c>
      <c r="D155" s="526" t="s">
        <v>61</v>
      </c>
    </row>
    <row r="156" spans="1:5" x14ac:dyDescent="0.15">
      <c r="A156" t="s">
        <v>1109</v>
      </c>
      <c r="B156" s="3" t="s">
        <v>1110</v>
      </c>
      <c r="C156" s="66">
        <v>40</v>
      </c>
      <c r="D156" s="526" t="s">
        <v>61</v>
      </c>
    </row>
    <row r="157" spans="1:5" x14ac:dyDescent="0.15">
      <c r="A157" t="s">
        <v>2513</v>
      </c>
      <c r="B157" s="3" t="s">
        <v>4</v>
      </c>
      <c r="C157" s="189">
        <v>6</v>
      </c>
      <c r="D157" s="526" t="s">
        <v>61</v>
      </c>
      <c r="E157" s="6" t="s">
        <v>5</v>
      </c>
    </row>
    <row r="158" spans="1:5" x14ac:dyDescent="0.15">
      <c r="A158" t="s">
        <v>849</v>
      </c>
      <c r="B158" s="3" t="s">
        <v>850</v>
      </c>
      <c r="C158" s="66">
        <v>100</v>
      </c>
      <c r="D158" s="526" t="s">
        <v>851</v>
      </c>
    </row>
    <row r="159" spans="1:5" x14ac:dyDescent="0.15">
      <c r="A159" t="s">
        <v>849</v>
      </c>
      <c r="B159" s="3" t="s">
        <v>2491</v>
      </c>
      <c r="C159" s="66">
        <v>0</v>
      </c>
      <c r="D159" s="526" t="s">
        <v>851</v>
      </c>
      <c r="E159" s="6" t="s">
        <v>2492</v>
      </c>
    </row>
    <row r="160" spans="1:5" x14ac:dyDescent="0.15">
      <c r="A160" t="s">
        <v>2500</v>
      </c>
      <c r="B160" s="3" t="s">
        <v>2501</v>
      </c>
      <c r="C160" s="66">
        <f>6/12</f>
        <v>0.5</v>
      </c>
      <c r="D160" s="526" t="s">
        <v>61</v>
      </c>
      <c r="E160" s="6"/>
    </row>
    <row r="161" spans="1:5" x14ac:dyDescent="0.15">
      <c r="A161" t="s">
        <v>2502</v>
      </c>
      <c r="B161" s="3" t="s">
        <v>2503</v>
      </c>
      <c r="C161" s="66">
        <f>4/12</f>
        <v>0.33333333333333331</v>
      </c>
      <c r="D161" s="526" t="s">
        <v>61</v>
      </c>
    </row>
    <row r="162" spans="1:5" ht="14" x14ac:dyDescent="0.15">
      <c r="A162" s="48" t="s">
        <v>1888</v>
      </c>
      <c r="B162" s="470" t="s">
        <v>1889</v>
      </c>
      <c r="C162" s="511">
        <v>3</v>
      </c>
      <c r="D162" s="526" t="s">
        <v>61</v>
      </c>
      <c r="E162" s="6" t="s">
        <v>1890</v>
      </c>
    </row>
    <row r="163" spans="1:5" x14ac:dyDescent="0.15">
      <c r="A163" t="s">
        <v>2873</v>
      </c>
      <c r="B163" s="3" t="s">
        <v>2874</v>
      </c>
      <c r="C163" s="66">
        <v>10000</v>
      </c>
      <c r="D163" s="526" t="s">
        <v>1350</v>
      </c>
      <c r="E163" s="6"/>
    </row>
    <row r="164" spans="1:5" x14ac:dyDescent="0.15">
      <c r="B164" s="3"/>
    </row>
    <row r="165" spans="1:5" x14ac:dyDescent="0.15">
      <c r="A165" s="2" t="s">
        <v>2838</v>
      </c>
      <c r="D165" s="725"/>
      <c r="E165" s="7"/>
    </row>
    <row r="166" spans="1:5" x14ac:dyDescent="0.15">
      <c r="A166" s="5" t="s">
        <v>1180</v>
      </c>
      <c r="B166" s="3" t="s">
        <v>1181</v>
      </c>
      <c r="C166" s="66">
        <v>0</v>
      </c>
      <c r="D166" s="526" t="s">
        <v>2587</v>
      </c>
      <c r="E166" s="6" t="s">
        <v>2588</v>
      </c>
    </row>
    <row r="167" spans="1:5" x14ac:dyDescent="0.15">
      <c r="A167" s="5" t="s">
        <v>487</v>
      </c>
      <c r="B167" s="3" t="s">
        <v>488</v>
      </c>
      <c r="C167" s="66">
        <v>1</v>
      </c>
      <c r="D167" s="526" t="s">
        <v>489</v>
      </c>
      <c r="E167" s="6"/>
    </row>
    <row r="168" spans="1:5" x14ac:dyDescent="0.15">
      <c r="A168" s="5" t="s">
        <v>1400</v>
      </c>
      <c r="B168" s="563" t="s">
        <v>1401</v>
      </c>
      <c r="C168" s="640">
        <v>90</v>
      </c>
      <c r="D168" s="526" t="s">
        <v>60</v>
      </c>
      <c r="E168" s="6" t="s">
        <v>1402</v>
      </c>
    </row>
    <row r="169" spans="1:5" x14ac:dyDescent="0.15">
      <c r="A169" s="5" t="s">
        <v>490</v>
      </c>
      <c r="B169" s="3" t="s">
        <v>491</v>
      </c>
      <c r="C169" s="66">
        <v>100</v>
      </c>
      <c r="D169" s="526" t="s">
        <v>2514</v>
      </c>
      <c r="E169" s="6"/>
    </row>
    <row r="170" spans="1:5" x14ac:dyDescent="0.15">
      <c r="A170" s="5" t="s">
        <v>1364</v>
      </c>
      <c r="B170" s="3" t="s">
        <v>492</v>
      </c>
      <c r="C170" s="66">
        <v>9.6</v>
      </c>
      <c r="D170" s="526" t="s">
        <v>2864</v>
      </c>
      <c r="E170" s="6"/>
    </row>
    <row r="171" spans="1:5" x14ac:dyDescent="0.15">
      <c r="A171" s="5" t="s">
        <v>493</v>
      </c>
      <c r="B171" s="3" t="s">
        <v>494</v>
      </c>
      <c r="C171" s="66">
        <v>1</v>
      </c>
      <c r="D171" s="526" t="s">
        <v>2453</v>
      </c>
      <c r="E171" s="6"/>
    </row>
    <row r="172" spans="1:5" x14ac:dyDescent="0.15">
      <c r="A172" s="5" t="s">
        <v>495</v>
      </c>
      <c r="B172" s="3" t="s">
        <v>2589</v>
      </c>
      <c r="C172" s="66">
        <v>10</v>
      </c>
      <c r="D172" s="526" t="s">
        <v>2514</v>
      </c>
      <c r="E172" s="6"/>
    </row>
    <row r="173" spans="1:5" x14ac:dyDescent="0.15">
      <c r="A173" s="526" t="s">
        <v>3312</v>
      </c>
      <c r="B173" s="3" t="s">
        <v>2590</v>
      </c>
      <c r="C173" s="499">
        <v>11.85</v>
      </c>
      <c r="D173" s="526" t="s">
        <v>2864</v>
      </c>
      <c r="E173" s="6"/>
    </row>
    <row r="174" spans="1:5" x14ac:dyDescent="0.15">
      <c r="A174" s="526" t="s">
        <v>3313</v>
      </c>
      <c r="B174" s="3" t="s">
        <v>3314</v>
      </c>
      <c r="C174" s="842">
        <v>0.4</v>
      </c>
      <c r="E174" s="6"/>
    </row>
    <row r="175" spans="1:5" x14ac:dyDescent="0.15">
      <c r="A175" s="5" t="s">
        <v>496</v>
      </c>
      <c r="B175" s="3" t="s">
        <v>2767</v>
      </c>
      <c r="C175" s="66">
        <v>0.99</v>
      </c>
      <c r="D175" s="526" t="s">
        <v>2453</v>
      </c>
      <c r="E175" s="6"/>
    </row>
    <row r="176" spans="1:5" x14ac:dyDescent="0.15">
      <c r="A176" s="5" t="s">
        <v>437</v>
      </c>
      <c r="B176" s="3" t="s">
        <v>2454</v>
      </c>
      <c r="C176" s="189">
        <v>25</v>
      </c>
      <c r="D176" s="526" t="s">
        <v>2591</v>
      </c>
      <c r="E176" s="6"/>
    </row>
    <row r="177" spans="1:5" x14ac:dyDescent="0.15">
      <c r="A177" s="5" t="s">
        <v>438</v>
      </c>
      <c r="B177" s="3" t="s">
        <v>2455</v>
      </c>
      <c r="C177" s="188">
        <v>0</v>
      </c>
      <c r="E177" s="6" t="s">
        <v>2132</v>
      </c>
    </row>
    <row r="178" spans="1:5" x14ac:dyDescent="0.15">
      <c r="A178" s="5" t="s">
        <v>439</v>
      </c>
      <c r="B178" s="3" t="s">
        <v>1094</v>
      </c>
      <c r="C178" s="188">
        <v>0.5</v>
      </c>
      <c r="E178" s="6"/>
    </row>
    <row r="179" spans="1:5" x14ac:dyDescent="0.15">
      <c r="A179" s="5" t="s">
        <v>440</v>
      </c>
      <c r="B179" s="3" t="s">
        <v>1095</v>
      </c>
      <c r="C179" s="188">
        <v>0.1</v>
      </c>
      <c r="E179" s="6"/>
    </row>
    <row r="180" spans="1:5" x14ac:dyDescent="0.15">
      <c r="A180" s="5" t="s">
        <v>441</v>
      </c>
      <c r="B180" s="3" t="s">
        <v>839</v>
      </c>
      <c r="C180" s="66">
        <v>2</v>
      </c>
      <c r="E180" s="6" t="s">
        <v>2614</v>
      </c>
    </row>
    <row r="181" spans="1:5" x14ac:dyDescent="0.15">
      <c r="A181" s="5" t="s">
        <v>430</v>
      </c>
      <c r="B181" s="3" t="s">
        <v>431</v>
      </c>
      <c r="C181" s="66">
        <v>1</v>
      </c>
      <c r="E181" s="6" t="s">
        <v>1082</v>
      </c>
    </row>
    <row r="182" spans="1:5" x14ac:dyDescent="0.15">
      <c r="A182" s="5" t="s">
        <v>432</v>
      </c>
      <c r="B182" s="3" t="s">
        <v>433</v>
      </c>
      <c r="C182" s="189">
        <f>3/5</f>
        <v>0.6</v>
      </c>
      <c r="E182" s="6" t="s">
        <v>434</v>
      </c>
    </row>
    <row r="183" spans="1:5" x14ac:dyDescent="0.15">
      <c r="A183" s="5" t="s">
        <v>435</v>
      </c>
      <c r="B183" s="3" t="s">
        <v>436</v>
      </c>
      <c r="C183" s="189">
        <v>3</v>
      </c>
      <c r="D183" s="526" t="s">
        <v>61</v>
      </c>
      <c r="E183" s="6" t="s">
        <v>434</v>
      </c>
    </row>
    <row r="184" spans="1:5" x14ac:dyDescent="0.15">
      <c r="A184" s="5" t="s">
        <v>463</v>
      </c>
      <c r="B184" s="3" t="s">
        <v>464</v>
      </c>
      <c r="C184" s="189">
        <v>4</v>
      </c>
      <c r="D184" s="526" t="s">
        <v>2845</v>
      </c>
      <c r="E184" s="6" t="s">
        <v>465</v>
      </c>
    </row>
    <row r="185" spans="1:5" x14ac:dyDescent="0.15">
      <c r="A185" t="s">
        <v>462</v>
      </c>
      <c r="B185" s="3" t="s">
        <v>461</v>
      </c>
      <c r="C185" s="189">
        <v>1</v>
      </c>
      <c r="D185" s="526" t="s">
        <v>2845</v>
      </c>
      <c r="E185" s="6" t="s">
        <v>434</v>
      </c>
    </row>
    <row r="186" spans="1:5" x14ac:dyDescent="0.15">
      <c r="A186" t="s">
        <v>307</v>
      </c>
      <c r="B186" s="3" t="s">
        <v>308</v>
      </c>
      <c r="C186" s="187">
        <v>0.25</v>
      </c>
      <c r="D186" s="526" t="s">
        <v>309</v>
      </c>
      <c r="E186" s="6"/>
    </row>
    <row r="187" spans="1:5" x14ac:dyDescent="0.15">
      <c r="A187" s="526" t="s">
        <v>3119</v>
      </c>
      <c r="B187" s="563" t="s">
        <v>3118</v>
      </c>
      <c r="C187" s="66">
        <f>1/3</f>
        <v>0.33333333333333331</v>
      </c>
      <c r="D187" s="526" t="s">
        <v>1360</v>
      </c>
      <c r="E187" s="6"/>
    </row>
    <row r="188" spans="1:5" x14ac:dyDescent="0.15">
      <c r="A188" t="s">
        <v>190</v>
      </c>
      <c r="B188" s="3" t="s">
        <v>191</v>
      </c>
      <c r="C188" s="187">
        <v>3</v>
      </c>
      <c r="D188" s="526" t="s">
        <v>192</v>
      </c>
      <c r="E188" s="6"/>
    </row>
    <row r="189" spans="1:5" x14ac:dyDescent="0.15">
      <c r="A189" t="s">
        <v>193</v>
      </c>
      <c r="B189" s="3" t="s">
        <v>194</v>
      </c>
      <c r="C189" s="187">
        <v>4</v>
      </c>
      <c r="D189" s="526" t="s">
        <v>195</v>
      </c>
      <c r="E189" s="6" t="s">
        <v>196</v>
      </c>
    </row>
    <row r="190" spans="1:5" x14ac:dyDescent="0.15">
      <c r="A190" s="5" t="s">
        <v>1542</v>
      </c>
      <c r="B190" s="3" t="s">
        <v>1543</v>
      </c>
      <c r="C190" s="191">
        <v>1</v>
      </c>
      <c r="D190" s="526" t="s">
        <v>1544</v>
      </c>
      <c r="E190" s="6"/>
    </row>
    <row r="191" spans="1:5" x14ac:dyDescent="0.15">
      <c r="A191" t="s">
        <v>1645</v>
      </c>
      <c r="B191" s="3" t="s">
        <v>1646</v>
      </c>
      <c r="C191" s="66">
        <v>2</v>
      </c>
      <c r="D191" s="526" t="s">
        <v>2845</v>
      </c>
      <c r="E191" s="6"/>
    </row>
    <row r="192" spans="1:5" x14ac:dyDescent="0.15">
      <c r="A192" s="5" t="s">
        <v>843</v>
      </c>
      <c r="B192" s="3" t="s">
        <v>844</v>
      </c>
      <c r="C192" s="191">
        <v>1</v>
      </c>
      <c r="D192" s="526" t="s">
        <v>64</v>
      </c>
      <c r="E192" s="6" t="s">
        <v>845</v>
      </c>
    </row>
    <row r="193" spans="1:5" x14ac:dyDescent="0.15">
      <c r="A193" s="526" t="s">
        <v>3493</v>
      </c>
      <c r="B193" s="3" t="s">
        <v>3494</v>
      </c>
      <c r="C193" s="499">
        <v>1</v>
      </c>
      <c r="D193" s="526" t="s">
        <v>3484</v>
      </c>
      <c r="E193" s="6"/>
    </row>
    <row r="194" spans="1:5" x14ac:dyDescent="0.15">
      <c r="A194" s="5" t="s">
        <v>356</v>
      </c>
      <c r="B194" s="3" t="s">
        <v>357</v>
      </c>
      <c r="C194" s="66">
        <v>40</v>
      </c>
      <c r="D194" s="526" t="s">
        <v>2845</v>
      </c>
      <c r="E194" s="6"/>
    </row>
    <row r="195" spans="1:5" x14ac:dyDescent="0.15">
      <c r="A195" t="s">
        <v>673</v>
      </c>
      <c r="B195" s="3" t="s">
        <v>674</v>
      </c>
      <c r="C195" s="66">
        <v>1</v>
      </c>
      <c r="D195" s="526" t="s">
        <v>946</v>
      </c>
      <c r="E195" s="6"/>
    </row>
    <row r="196" spans="1:5" x14ac:dyDescent="0.15">
      <c r="A196" t="s">
        <v>675</v>
      </c>
      <c r="B196" s="3" t="s">
        <v>676</v>
      </c>
      <c r="C196" s="66">
        <v>1</v>
      </c>
      <c r="D196" s="526" t="s">
        <v>144</v>
      </c>
      <c r="E196" s="6"/>
    </row>
    <row r="197" spans="1:5" x14ac:dyDescent="0.15">
      <c r="A197" s="5" t="s">
        <v>2133</v>
      </c>
      <c r="B197" s="3" t="s">
        <v>310</v>
      </c>
      <c r="C197" s="66">
        <v>1</v>
      </c>
      <c r="E197" s="6"/>
    </row>
    <row r="198" spans="1:5" x14ac:dyDescent="0.15">
      <c r="A198" t="s">
        <v>819</v>
      </c>
      <c r="B198" s="3" t="s">
        <v>820</v>
      </c>
      <c r="C198" s="66">
        <v>1</v>
      </c>
      <c r="D198" s="526" t="s">
        <v>64</v>
      </c>
      <c r="E198" s="6"/>
    </row>
    <row r="199" spans="1:5" x14ac:dyDescent="0.15">
      <c r="A199" t="s">
        <v>821</v>
      </c>
      <c r="B199" s="3" t="s">
        <v>822</v>
      </c>
      <c r="C199" s="66">
        <v>1</v>
      </c>
      <c r="D199" s="526" t="s">
        <v>796</v>
      </c>
      <c r="E199" s="6"/>
    </row>
    <row r="200" spans="1:5" x14ac:dyDescent="0.15">
      <c r="A200" s="5" t="s">
        <v>9</v>
      </c>
      <c r="B200" s="3" t="s">
        <v>612</v>
      </c>
      <c r="C200" s="190">
        <v>2</v>
      </c>
      <c r="D200" s="526" t="s">
        <v>141</v>
      </c>
      <c r="E200" s="6" t="s">
        <v>8</v>
      </c>
    </row>
    <row r="201" spans="1:5" x14ac:dyDescent="0.15">
      <c r="A201" s="5" t="s">
        <v>823</v>
      </c>
      <c r="B201" s="3" t="s">
        <v>824</v>
      </c>
      <c r="C201" s="190">
        <v>0.5</v>
      </c>
      <c r="D201" s="526" t="s">
        <v>141</v>
      </c>
      <c r="E201" s="6"/>
    </row>
    <row r="202" spans="1:5" x14ac:dyDescent="0.15">
      <c r="A202" s="5" t="s">
        <v>825</v>
      </c>
      <c r="B202" s="3" t="s">
        <v>826</v>
      </c>
      <c r="C202" s="189">
        <v>1</v>
      </c>
      <c r="D202" s="526" t="s">
        <v>168</v>
      </c>
      <c r="E202" s="6"/>
    </row>
    <row r="203" spans="1:5" x14ac:dyDescent="0.15">
      <c r="A203" s="5" t="s">
        <v>827</v>
      </c>
      <c r="B203" s="3" t="s">
        <v>2880</v>
      </c>
      <c r="C203" s="189">
        <v>1</v>
      </c>
      <c r="D203" s="526" t="s">
        <v>2881</v>
      </c>
    </row>
    <row r="204" spans="1:5" x14ac:dyDescent="0.15">
      <c r="A204" s="5" t="s">
        <v>2882</v>
      </c>
      <c r="B204" s="3" t="s">
        <v>2883</v>
      </c>
      <c r="C204" s="189">
        <v>1</v>
      </c>
      <c r="D204" s="526" t="s">
        <v>2881</v>
      </c>
    </row>
    <row r="205" spans="1:5" x14ac:dyDescent="0.15">
      <c r="A205" s="5" t="s">
        <v>2884</v>
      </c>
      <c r="B205" s="3" t="s">
        <v>2885</v>
      </c>
      <c r="C205" s="189">
        <v>1</v>
      </c>
      <c r="D205" s="526" t="s">
        <v>2881</v>
      </c>
    </row>
    <row r="206" spans="1:5" x14ac:dyDescent="0.15">
      <c r="A206" s="5" t="s">
        <v>858</v>
      </c>
      <c r="B206" s="3" t="s">
        <v>859</v>
      </c>
      <c r="C206" s="189">
        <v>250</v>
      </c>
      <c r="D206" s="526" t="s">
        <v>141</v>
      </c>
      <c r="E206" s="6" t="s">
        <v>980</v>
      </c>
    </row>
    <row r="207" spans="1:5" x14ac:dyDescent="0.15">
      <c r="A207" s="5" t="s">
        <v>2479</v>
      </c>
      <c r="B207" s="3" t="s">
        <v>2480</v>
      </c>
      <c r="C207" s="189">
        <v>1</v>
      </c>
      <c r="D207" s="526" t="s">
        <v>2481</v>
      </c>
      <c r="E207" s="6" t="s">
        <v>2482</v>
      </c>
    </row>
    <row r="208" spans="1:5" x14ac:dyDescent="0.15">
      <c r="A208" s="5" t="s">
        <v>981</v>
      </c>
      <c r="B208" s="3" t="s">
        <v>982</v>
      </c>
      <c r="C208" s="66">
        <v>18</v>
      </c>
      <c r="D208" s="526" t="s">
        <v>2285</v>
      </c>
      <c r="E208" s="6"/>
    </row>
    <row r="209" spans="1:5" x14ac:dyDescent="0.15">
      <c r="A209" s="5" t="s">
        <v>1551</v>
      </c>
      <c r="B209" s="3" t="s">
        <v>1552</v>
      </c>
      <c r="C209" s="191">
        <v>6000</v>
      </c>
      <c r="D209" s="526" t="s">
        <v>1132</v>
      </c>
      <c r="E209" s="6"/>
    </row>
    <row r="210" spans="1:5" x14ac:dyDescent="0.15">
      <c r="A210" s="5" t="s">
        <v>2471</v>
      </c>
      <c r="B210" s="3" t="s">
        <v>2477</v>
      </c>
      <c r="C210" s="66">
        <v>18</v>
      </c>
      <c r="D210" s="526" t="s">
        <v>2285</v>
      </c>
      <c r="E210" s="6"/>
    </row>
    <row r="211" spans="1:5" x14ac:dyDescent="0.15">
      <c r="A211" s="5" t="s">
        <v>2472</v>
      </c>
      <c r="B211" s="3" t="s">
        <v>2473</v>
      </c>
      <c r="C211" s="66">
        <v>18</v>
      </c>
      <c r="D211" s="526" t="s">
        <v>2285</v>
      </c>
      <c r="E211" s="6"/>
    </row>
    <row r="212" spans="1:5" x14ac:dyDescent="0.15">
      <c r="A212" s="5" t="s">
        <v>983</v>
      </c>
      <c r="B212" s="3" t="s">
        <v>984</v>
      </c>
      <c r="C212" s="189">
        <v>10</v>
      </c>
      <c r="D212" s="526" t="s">
        <v>985</v>
      </c>
      <c r="E212" s="6"/>
    </row>
    <row r="213" spans="1:5" x14ac:dyDescent="0.15">
      <c r="A213" s="5" t="s">
        <v>986</v>
      </c>
      <c r="B213" s="3" t="s">
        <v>987</v>
      </c>
      <c r="C213" s="189">
        <v>200</v>
      </c>
      <c r="D213" s="526" t="s">
        <v>985</v>
      </c>
    </row>
    <row r="214" spans="1:5" x14ac:dyDescent="0.15">
      <c r="A214" s="5" t="s">
        <v>2474</v>
      </c>
      <c r="B214" s="3" t="s">
        <v>2478</v>
      </c>
      <c r="C214" s="623">
        <v>700</v>
      </c>
      <c r="D214" s="526" t="s">
        <v>985</v>
      </c>
    </row>
    <row r="215" spans="1:5" x14ac:dyDescent="0.15">
      <c r="A215" s="5" t="s">
        <v>2475</v>
      </c>
      <c r="B215" s="3" t="s">
        <v>2476</v>
      </c>
      <c r="C215" s="623">
        <v>700</v>
      </c>
      <c r="D215" s="526" t="s">
        <v>985</v>
      </c>
    </row>
    <row r="216" spans="1:5" x14ac:dyDescent="0.15">
      <c r="A216" t="s">
        <v>988</v>
      </c>
      <c r="B216" s="3" t="s">
        <v>989</v>
      </c>
      <c r="C216" s="66">
        <v>180</v>
      </c>
      <c r="D216" s="526" t="s">
        <v>990</v>
      </c>
      <c r="E216" s="6" t="s">
        <v>991</v>
      </c>
    </row>
    <row r="217" spans="1:5" x14ac:dyDescent="0.15">
      <c r="A217" t="s">
        <v>992</v>
      </c>
      <c r="B217" s="3" t="s">
        <v>993</v>
      </c>
      <c r="C217" s="66">
        <v>0.7</v>
      </c>
      <c r="E217" s="6" t="s">
        <v>994</v>
      </c>
    </row>
    <row r="218" spans="1:5" x14ac:dyDescent="0.15">
      <c r="A218" t="s">
        <v>995</v>
      </c>
      <c r="B218" s="3" t="s">
        <v>996</v>
      </c>
      <c r="C218" s="66">
        <v>70</v>
      </c>
      <c r="D218" s="526" t="s">
        <v>990</v>
      </c>
      <c r="E218" s="6" t="s">
        <v>991</v>
      </c>
    </row>
    <row r="219" spans="1:5" x14ac:dyDescent="0.15">
      <c r="A219" t="s">
        <v>1077</v>
      </c>
      <c r="B219" s="3" t="s">
        <v>1078</v>
      </c>
      <c r="C219" s="66">
        <v>180</v>
      </c>
      <c r="D219" s="526" t="s">
        <v>268</v>
      </c>
      <c r="E219" s="6" t="s">
        <v>282</v>
      </c>
    </row>
    <row r="220" spans="1:5" x14ac:dyDescent="0.15">
      <c r="A220" t="s">
        <v>283</v>
      </c>
      <c r="B220" s="3" t="s">
        <v>284</v>
      </c>
      <c r="C220" s="66">
        <v>1.1000000000000001</v>
      </c>
      <c r="E220" s="6" t="s">
        <v>285</v>
      </c>
    </row>
    <row r="221" spans="1:5" x14ac:dyDescent="0.15">
      <c r="A221" t="s">
        <v>286</v>
      </c>
      <c r="B221" s="3" t="s">
        <v>287</v>
      </c>
      <c r="C221" s="66">
        <v>5</v>
      </c>
      <c r="D221" s="526" t="s">
        <v>1104</v>
      </c>
    </row>
    <row r="222" spans="1:5" x14ac:dyDescent="0.15">
      <c r="A222" t="s">
        <v>288</v>
      </c>
      <c r="B222" s="3" t="s">
        <v>289</v>
      </c>
      <c r="C222" s="66">
        <v>2</v>
      </c>
      <c r="D222" s="526" t="s">
        <v>290</v>
      </c>
      <c r="E222" s="6" t="s">
        <v>807</v>
      </c>
    </row>
    <row r="223" spans="1:5" x14ac:dyDescent="0.15">
      <c r="A223" t="s">
        <v>808</v>
      </c>
      <c r="B223" s="3" t="s">
        <v>809</v>
      </c>
      <c r="C223" s="66">
        <v>0.5</v>
      </c>
      <c r="D223" s="526" t="s">
        <v>61</v>
      </c>
      <c r="E223" s="6" t="s">
        <v>810</v>
      </c>
    </row>
    <row r="224" spans="1:5" x14ac:dyDescent="0.15">
      <c r="A224" s="5" t="s">
        <v>811</v>
      </c>
      <c r="B224" s="3" t="s">
        <v>812</v>
      </c>
      <c r="C224" s="189">
        <v>4</v>
      </c>
      <c r="D224" s="526" t="s">
        <v>2845</v>
      </c>
      <c r="E224" s="6" t="s">
        <v>813</v>
      </c>
    </row>
    <row r="225" spans="1:8" x14ac:dyDescent="0.15">
      <c r="A225" s="5" t="s">
        <v>1880</v>
      </c>
      <c r="B225" s="3" t="s">
        <v>1881</v>
      </c>
      <c r="C225" s="189">
        <v>1</v>
      </c>
      <c r="D225" s="526" t="s">
        <v>1882</v>
      </c>
      <c r="E225" s="6" t="s">
        <v>2321</v>
      </c>
    </row>
    <row r="226" spans="1:8" x14ac:dyDescent="0.15">
      <c r="A226" s="5" t="s">
        <v>2322</v>
      </c>
      <c r="B226" s="3" t="s">
        <v>2323</v>
      </c>
      <c r="C226" s="189">
        <v>25</v>
      </c>
      <c r="D226" s="526" t="s">
        <v>2591</v>
      </c>
    </row>
    <row r="227" spans="1:8" x14ac:dyDescent="0.15">
      <c r="A227" s="5" t="s">
        <v>2324</v>
      </c>
      <c r="B227" s="3" t="s">
        <v>2325</v>
      </c>
      <c r="C227" s="189">
        <v>35.630000000000003</v>
      </c>
      <c r="D227" s="526" t="s">
        <v>851</v>
      </c>
      <c r="E227" s="6" t="s">
        <v>2326</v>
      </c>
    </row>
    <row r="228" spans="1:8" x14ac:dyDescent="0.15">
      <c r="A228" s="5"/>
      <c r="B228" s="3"/>
      <c r="C228" s="5"/>
      <c r="E228" s="6"/>
    </row>
    <row r="229" spans="1:8" x14ac:dyDescent="0.15">
      <c r="B229" s="3"/>
      <c r="E229" s="229"/>
      <c r="F229" s="229"/>
      <c r="H229" s="6"/>
    </row>
    <row r="230" spans="1:8" x14ac:dyDescent="0.15">
      <c r="A230" s="92" t="s">
        <v>2947</v>
      </c>
    </row>
    <row r="231" spans="1:8" ht="12.75" customHeight="1" x14ac:dyDescent="0.15">
      <c r="A231" s="61" t="s">
        <v>1635</v>
      </c>
      <c r="B231" s="3"/>
      <c r="C231" s="5"/>
      <c r="E231" s="6"/>
    </row>
    <row r="232" spans="1:8" ht="12.75" customHeight="1" thickBot="1" x14ac:dyDescent="0.2">
      <c r="A232" s="61" t="s">
        <v>33</v>
      </c>
    </row>
    <row r="233" spans="1:8" ht="12.75" customHeight="1" x14ac:dyDescent="0.15">
      <c r="A233" s="62" t="s">
        <v>1656</v>
      </c>
      <c r="B233" s="63" t="s">
        <v>1657</v>
      </c>
      <c r="C233" s="63" t="s">
        <v>1658</v>
      </c>
      <c r="D233" s="63" t="s">
        <v>1659</v>
      </c>
      <c r="E233" s="63" t="s">
        <v>1660</v>
      </c>
      <c r="F233" s="64" t="s">
        <v>1661</v>
      </c>
    </row>
    <row r="234" spans="1:8" ht="12.75" customHeight="1" x14ac:dyDescent="0.15">
      <c r="A234" s="65" t="s">
        <v>35</v>
      </c>
      <c r="B234" s="3" t="s">
        <v>36</v>
      </c>
      <c r="C234" s="66">
        <v>1</v>
      </c>
      <c r="D234" s="499">
        <v>1</v>
      </c>
      <c r="E234" s="66">
        <v>0</v>
      </c>
      <c r="F234" s="67">
        <v>0</v>
      </c>
    </row>
    <row r="235" spans="1:8" ht="12.75" customHeight="1" x14ac:dyDescent="0.15">
      <c r="A235" s="65" t="s">
        <v>1445</v>
      </c>
      <c r="B235" s="3" t="s">
        <v>2930</v>
      </c>
      <c r="C235" s="66">
        <v>0</v>
      </c>
      <c r="D235" s="499">
        <v>0</v>
      </c>
      <c r="E235" s="66">
        <v>1</v>
      </c>
      <c r="F235" s="67">
        <v>0</v>
      </c>
    </row>
    <row r="236" spans="1:8" x14ac:dyDescent="0.15">
      <c r="A236" s="65" t="s">
        <v>2378</v>
      </c>
      <c r="B236" s="504" t="s">
        <v>2379</v>
      </c>
      <c r="C236" s="66">
        <v>0</v>
      </c>
      <c r="D236" s="499">
        <v>0</v>
      </c>
      <c r="E236" s="66">
        <v>1</v>
      </c>
      <c r="F236" s="67">
        <v>0</v>
      </c>
      <c r="G236" s="6"/>
    </row>
    <row r="237" spans="1:8" x14ac:dyDescent="0.15">
      <c r="A237" s="65" t="s">
        <v>2380</v>
      </c>
      <c r="B237" s="504" t="s">
        <v>2381</v>
      </c>
      <c r="C237" s="66">
        <v>0</v>
      </c>
      <c r="D237" s="499">
        <v>0</v>
      </c>
      <c r="E237" s="66">
        <v>2</v>
      </c>
      <c r="F237" s="67">
        <v>1</v>
      </c>
      <c r="G237" s="6" t="s">
        <v>2720</v>
      </c>
    </row>
    <row r="238" spans="1:8" x14ac:dyDescent="0.15">
      <c r="A238" s="65" t="s">
        <v>2382</v>
      </c>
      <c r="B238" s="504" t="s">
        <v>2383</v>
      </c>
      <c r="C238" s="66">
        <v>0</v>
      </c>
      <c r="D238" s="499">
        <v>0</v>
      </c>
      <c r="E238" s="66">
        <v>1</v>
      </c>
      <c r="F238" s="67">
        <v>0</v>
      </c>
      <c r="G238" s="6"/>
    </row>
    <row r="239" spans="1:8" x14ac:dyDescent="0.15">
      <c r="A239" s="65" t="s">
        <v>2384</v>
      </c>
      <c r="B239" s="504" t="s">
        <v>2385</v>
      </c>
      <c r="C239" s="66">
        <v>0</v>
      </c>
      <c r="D239" s="499">
        <v>0</v>
      </c>
      <c r="E239" s="66">
        <v>2</v>
      </c>
      <c r="F239" s="67">
        <v>1</v>
      </c>
      <c r="G239" s="6" t="s">
        <v>2720</v>
      </c>
    </row>
    <row r="240" spans="1:8" ht="12.75" customHeight="1" x14ac:dyDescent="0.15">
      <c r="A240" s="65" t="s">
        <v>38</v>
      </c>
      <c r="B240" s="3" t="s">
        <v>39</v>
      </c>
      <c r="C240" s="66">
        <v>1</v>
      </c>
      <c r="D240" s="499">
        <v>0</v>
      </c>
      <c r="E240" s="66">
        <v>0</v>
      </c>
      <c r="F240" s="67">
        <v>0</v>
      </c>
    </row>
    <row r="241" spans="1:7" ht="12.75" customHeight="1" x14ac:dyDescent="0.15">
      <c r="A241" s="65" t="s">
        <v>941</v>
      </c>
      <c r="B241" s="3" t="s">
        <v>955</v>
      </c>
      <c r="C241" s="66">
        <v>0</v>
      </c>
      <c r="D241" s="499">
        <v>0</v>
      </c>
      <c r="E241" s="66">
        <v>1</v>
      </c>
      <c r="F241" s="67">
        <v>0</v>
      </c>
    </row>
    <row r="242" spans="1:7" ht="12.75" customHeight="1" x14ac:dyDescent="0.15">
      <c r="A242" s="65" t="s">
        <v>2296</v>
      </c>
      <c r="B242" s="3" t="s">
        <v>2297</v>
      </c>
      <c r="C242" s="66">
        <v>0</v>
      </c>
      <c r="D242" s="499">
        <v>0</v>
      </c>
      <c r="E242" s="66">
        <v>1</v>
      </c>
      <c r="F242" s="67">
        <v>0</v>
      </c>
    </row>
    <row r="243" spans="1:7" ht="12.75" customHeight="1" x14ac:dyDescent="0.15">
      <c r="A243" s="65" t="s">
        <v>40</v>
      </c>
      <c r="B243" s="3" t="s">
        <v>41</v>
      </c>
      <c r="C243" s="66">
        <v>1</v>
      </c>
      <c r="D243" s="499">
        <v>0</v>
      </c>
      <c r="E243" s="66">
        <v>0</v>
      </c>
      <c r="F243" s="67">
        <v>0</v>
      </c>
    </row>
    <row r="244" spans="1:7" ht="12.75" customHeight="1" x14ac:dyDescent="0.15">
      <c r="A244" s="797" t="s">
        <v>3253</v>
      </c>
      <c r="B244" s="3" t="s">
        <v>42</v>
      </c>
      <c r="C244" s="66">
        <v>3</v>
      </c>
      <c r="D244" s="499">
        <v>1</v>
      </c>
      <c r="E244" s="66">
        <v>0</v>
      </c>
      <c r="F244" s="67">
        <v>0</v>
      </c>
    </row>
    <row r="245" spans="1:7" ht="12.75" customHeight="1" x14ac:dyDescent="0.15">
      <c r="A245" s="65" t="s">
        <v>43</v>
      </c>
      <c r="B245" s="3" t="s">
        <v>44</v>
      </c>
      <c r="C245" s="66">
        <v>0</v>
      </c>
      <c r="D245" s="499">
        <v>0</v>
      </c>
      <c r="E245" s="66">
        <v>1</v>
      </c>
      <c r="F245" s="67">
        <v>0</v>
      </c>
    </row>
    <row r="246" spans="1:7" ht="12.75" customHeight="1" x14ac:dyDescent="0.15">
      <c r="A246" s="65" t="s">
        <v>1443</v>
      </c>
      <c r="B246" s="3" t="s">
        <v>1444</v>
      </c>
      <c r="C246" s="66">
        <v>0</v>
      </c>
      <c r="D246" s="499">
        <v>0</v>
      </c>
      <c r="E246" s="66">
        <v>1</v>
      </c>
      <c r="F246" s="67">
        <v>0</v>
      </c>
    </row>
    <row r="247" spans="1:7" ht="12.75" customHeight="1" thickBot="1" x14ac:dyDescent="0.2">
      <c r="A247" s="68" t="s">
        <v>1424</v>
      </c>
      <c r="B247" s="69" t="s">
        <v>1425</v>
      </c>
      <c r="C247" s="378">
        <v>0</v>
      </c>
      <c r="D247" s="727">
        <v>0</v>
      </c>
      <c r="E247" s="70">
        <v>1</v>
      </c>
      <c r="F247" s="71">
        <v>1</v>
      </c>
    </row>
    <row r="249" spans="1:7" ht="12.75" customHeight="1" x14ac:dyDescent="0.15">
      <c r="A249" s="92" t="s">
        <v>2946</v>
      </c>
      <c r="B249" s="3"/>
      <c r="E249" s="6"/>
    </row>
    <row r="250" spans="1:7" ht="12.75" customHeight="1" x14ac:dyDescent="0.15">
      <c r="A250" s="317" t="s">
        <v>32</v>
      </c>
      <c r="B250" s="3"/>
      <c r="E250" s="6"/>
    </row>
    <row r="251" spans="1:7" ht="12.75" customHeight="1" thickBot="1" x14ac:dyDescent="0.2">
      <c r="A251" s="317" t="s">
        <v>33</v>
      </c>
      <c r="B251" s="3"/>
      <c r="E251" s="6"/>
    </row>
    <row r="252" spans="1:7" x14ac:dyDescent="0.15">
      <c r="A252" s="314" t="s">
        <v>646</v>
      </c>
      <c r="B252" s="63" t="s">
        <v>1657</v>
      </c>
      <c r="C252" s="315" t="s">
        <v>1652</v>
      </c>
      <c r="D252" s="315" t="s">
        <v>647</v>
      </c>
      <c r="E252" s="315" t="s">
        <v>648</v>
      </c>
      <c r="F252" s="316"/>
    </row>
    <row r="253" spans="1:7" ht="12.75" customHeight="1" x14ac:dyDescent="0.15">
      <c r="A253" s="65" t="s">
        <v>644</v>
      </c>
      <c r="B253" s="3" t="s">
        <v>643</v>
      </c>
      <c r="C253" s="66">
        <v>0</v>
      </c>
      <c r="D253" s="499">
        <v>0</v>
      </c>
      <c r="E253" s="66">
        <v>3</v>
      </c>
      <c r="F253" s="318" t="s">
        <v>943</v>
      </c>
      <c r="G253" s="6"/>
    </row>
    <row r="254" spans="1:7" ht="12.75" customHeight="1" x14ac:dyDescent="0.15">
      <c r="A254" s="65" t="s">
        <v>645</v>
      </c>
      <c r="B254" s="3" t="s">
        <v>642</v>
      </c>
      <c r="C254" s="66">
        <v>0</v>
      </c>
      <c r="D254" s="499">
        <v>0</v>
      </c>
      <c r="E254" s="66">
        <v>2</v>
      </c>
      <c r="F254" s="318" t="s">
        <v>943</v>
      </c>
      <c r="G254" s="6"/>
    </row>
    <row r="255" spans="1:7" ht="12.75" customHeight="1" x14ac:dyDescent="0.15">
      <c r="A255" s="65" t="s">
        <v>944</v>
      </c>
      <c r="B255" s="3" t="s">
        <v>945</v>
      </c>
      <c r="C255" s="66">
        <v>0</v>
      </c>
      <c r="D255" s="499">
        <v>0</v>
      </c>
      <c r="E255" s="66">
        <v>2</v>
      </c>
      <c r="F255" s="318" t="s">
        <v>946</v>
      </c>
      <c r="G255" s="12"/>
    </row>
    <row r="256" spans="1:7" ht="12.75" customHeight="1" x14ac:dyDescent="0.15">
      <c r="A256" t="s">
        <v>1287</v>
      </c>
      <c r="B256" s="456" t="s">
        <v>1288</v>
      </c>
      <c r="C256" s="458">
        <v>0</v>
      </c>
      <c r="D256" s="458">
        <v>0</v>
      </c>
      <c r="E256" s="458">
        <v>1</v>
      </c>
      <c r="F256" s="459" t="s">
        <v>1286</v>
      </c>
      <c r="G256" s="12"/>
    </row>
    <row r="257" spans="1:7" ht="12.75" customHeight="1" x14ac:dyDescent="0.15">
      <c r="A257" s="65" t="s">
        <v>947</v>
      </c>
      <c r="B257" s="3" t="s">
        <v>948</v>
      </c>
      <c r="C257" s="66">
        <v>0</v>
      </c>
      <c r="D257" s="499">
        <v>0</v>
      </c>
      <c r="E257" s="66">
        <v>2</v>
      </c>
      <c r="F257" s="318" t="s">
        <v>943</v>
      </c>
      <c r="G257" s="12"/>
    </row>
    <row r="258" spans="1:7" ht="12.75" customHeight="1" x14ac:dyDescent="0.15">
      <c r="A258" s="65" t="s">
        <v>949</v>
      </c>
      <c r="B258" s="3" t="s">
        <v>950</v>
      </c>
      <c r="C258" s="66">
        <v>0</v>
      </c>
      <c r="D258" s="499">
        <v>0</v>
      </c>
      <c r="E258" s="66">
        <v>1</v>
      </c>
      <c r="F258" s="318" t="s">
        <v>946</v>
      </c>
      <c r="G258" s="12"/>
    </row>
    <row r="259" spans="1:7" ht="12.75" customHeight="1" x14ac:dyDescent="0.15">
      <c r="A259" s="65" t="s">
        <v>951</v>
      </c>
      <c r="B259" s="3" t="s">
        <v>952</v>
      </c>
      <c r="C259" s="66">
        <v>0</v>
      </c>
      <c r="D259" s="499">
        <v>0</v>
      </c>
      <c r="E259" s="66">
        <v>1</v>
      </c>
      <c r="F259" s="318" t="s">
        <v>953</v>
      </c>
      <c r="G259" s="6" t="s">
        <v>105</v>
      </c>
    </row>
    <row r="260" spans="1:7" ht="12.75" customHeight="1" x14ac:dyDescent="0.15">
      <c r="A260" s="65" t="s">
        <v>100</v>
      </c>
      <c r="B260" s="3" t="s">
        <v>2824</v>
      </c>
      <c r="C260" s="66">
        <v>0</v>
      </c>
      <c r="D260" s="499">
        <v>0</v>
      </c>
      <c r="E260" s="66">
        <v>1</v>
      </c>
      <c r="F260" s="318" t="s">
        <v>953</v>
      </c>
      <c r="G260" s="6" t="s">
        <v>251</v>
      </c>
    </row>
    <row r="261" spans="1:7" ht="12.75" customHeight="1" x14ac:dyDescent="0.15">
      <c r="A261" s="65" t="s">
        <v>2744</v>
      </c>
      <c r="B261" s="3" t="s">
        <v>2745</v>
      </c>
      <c r="C261" s="66">
        <v>0</v>
      </c>
      <c r="D261" s="499">
        <v>0</v>
      </c>
      <c r="E261" s="66">
        <v>1</v>
      </c>
      <c r="F261" s="318" t="s">
        <v>144</v>
      </c>
      <c r="G261" s="6" t="s">
        <v>101</v>
      </c>
    </row>
    <row r="262" spans="1:7" ht="12.75" customHeight="1" x14ac:dyDescent="0.15">
      <c r="A262" s="65" t="s">
        <v>2451</v>
      </c>
      <c r="B262" s="3" t="s">
        <v>2452</v>
      </c>
      <c r="C262" s="66">
        <v>0</v>
      </c>
      <c r="D262" s="499">
        <v>0</v>
      </c>
      <c r="E262" s="66">
        <v>1</v>
      </c>
      <c r="F262" s="318" t="s">
        <v>958</v>
      </c>
      <c r="G262" s="6"/>
    </row>
    <row r="263" spans="1:7" ht="12.75" customHeight="1" x14ac:dyDescent="0.15">
      <c r="A263" s="65" t="s">
        <v>102</v>
      </c>
      <c r="B263" s="3" t="s">
        <v>103</v>
      </c>
      <c r="C263" s="66">
        <v>0</v>
      </c>
      <c r="D263" s="499">
        <v>0</v>
      </c>
      <c r="E263" s="66">
        <v>1</v>
      </c>
      <c r="F263" s="318" t="s">
        <v>953</v>
      </c>
      <c r="G263" s="6"/>
    </row>
    <row r="264" spans="1:7" ht="12.75" customHeight="1" x14ac:dyDescent="0.15">
      <c r="A264" s="65" t="s">
        <v>104</v>
      </c>
      <c r="B264" s="3" t="s">
        <v>2829</v>
      </c>
      <c r="C264" s="66">
        <v>0</v>
      </c>
      <c r="D264" s="499">
        <v>0</v>
      </c>
      <c r="E264" s="66">
        <v>2</v>
      </c>
      <c r="F264" s="318" t="s">
        <v>943</v>
      </c>
      <c r="G264" s="6"/>
    </row>
    <row r="265" spans="1:7" ht="12.75" customHeight="1" x14ac:dyDescent="0.15">
      <c r="A265" s="65" t="s">
        <v>1040</v>
      </c>
      <c r="B265" s="3" t="s">
        <v>1042</v>
      </c>
      <c r="C265" s="66">
        <v>0</v>
      </c>
      <c r="D265" s="499">
        <v>0</v>
      </c>
      <c r="E265" s="66">
        <v>2</v>
      </c>
      <c r="F265" s="318" t="s">
        <v>946</v>
      </c>
      <c r="G265" s="6" t="s">
        <v>1041</v>
      </c>
    </row>
    <row r="266" spans="1:7" x14ac:dyDescent="0.15">
      <c r="A266" s="65" t="s">
        <v>358</v>
      </c>
      <c r="B266" s="3" t="s">
        <v>359</v>
      </c>
      <c r="C266" s="66">
        <v>0</v>
      </c>
      <c r="D266" s="499">
        <v>0</v>
      </c>
      <c r="E266" s="66">
        <v>1</v>
      </c>
      <c r="F266" s="318" t="s">
        <v>946</v>
      </c>
      <c r="G266" s="6"/>
    </row>
    <row r="267" spans="1:7" x14ac:dyDescent="0.15">
      <c r="A267" s="65" t="s">
        <v>671</v>
      </c>
      <c r="B267" s="3" t="s">
        <v>672</v>
      </c>
      <c r="C267" s="66">
        <v>0</v>
      </c>
      <c r="D267" s="499">
        <v>0</v>
      </c>
      <c r="E267" s="66">
        <v>1</v>
      </c>
      <c r="F267" s="318" t="s">
        <v>953</v>
      </c>
      <c r="G267" s="6"/>
    </row>
    <row r="268" spans="1:7" x14ac:dyDescent="0.15">
      <c r="A268" t="s">
        <v>364</v>
      </c>
      <c r="B268" s="3" t="s">
        <v>1149</v>
      </c>
      <c r="C268" s="66">
        <v>0</v>
      </c>
      <c r="D268" s="499">
        <v>0</v>
      </c>
      <c r="E268" s="66">
        <v>1</v>
      </c>
      <c r="F268" s="318" t="s">
        <v>1150</v>
      </c>
      <c r="G268" s="6"/>
    </row>
    <row r="269" spans="1:7" ht="12.75" customHeight="1" x14ac:dyDescent="0.15">
      <c r="A269" s="65" t="s">
        <v>2253</v>
      </c>
      <c r="B269" s="3" t="s">
        <v>2254</v>
      </c>
      <c r="C269" s="66">
        <v>0</v>
      </c>
      <c r="D269" s="499">
        <v>0</v>
      </c>
      <c r="E269" s="66">
        <v>1</v>
      </c>
      <c r="F269" s="318" t="s">
        <v>144</v>
      </c>
      <c r="G269" s="12"/>
    </row>
    <row r="270" spans="1:7" ht="12.75" customHeight="1" x14ac:dyDescent="0.15">
      <c r="A270" s="65" t="s">
        <v>2144</v>
      </c>
      <c r="B270" s="3" t="s">
        <v>649</v>
      </c>
      <c r="C270" s="66">
        <v>3</v>
      </c>
      <c r="D270" s="499">
        <v>3</v>
      </c>
      <c r="E270" s="66">
        <v>0</v>
      </c>
      <c r="F270" s="318" t="s">
        <v>943</v>
      </c>
      <c r="G270" s="6"/>
    </row>
    <row r="271" spans="1:7" ht="12.75" customHeight="1" x14ac:dyDescent="0.15">
      <c r="A271" s="65" t="s">
        <v>2145</v>
      </c>
      <c r="B271" s="3" t="s">
        <v>650</v>
      </c>
      <c r="C271" s="66">
        <v>2</v>
      </c>
      <c r="D271" s="499">
        <v>2</v>
      </c>
      <c r="E271" s="66">
        <v>0</v>
      </c>
      <c r="F271" s="318" t="s">
        <v>943</v>
      </c>
      <c r="G271" s="6"/>
    </row>
    <row r="272" spans="1:7" ht="12.75" customHeight="1" x14ac:dyDescent="0.15">
      <c r="A272" s="65" t="s">
        <v>2146</v>
      </c>
      <c r="B272" s="3" t="s">
        <v>651</v>
      </c>
      <c r="C272" s="66">
        <v>2</v>
      </c>
      <c r="D272" s="499">
        <v>2</v>
      </c>
      <c r="E272" s="66">
        <v>0</v>
      </c>
      <c r="F272" s="318" t="s">
        <v>946</v>
      </c>
      <c r="G272" s="12"/>
    </row>
    <row r="273" spans="1:7" ht="12.75" customHeight="1" x14ac:dyDescent="0.15">
      <c r="A273" t="s">
        <v>1289</v>
      </c>
      <c r="B273" s="456" t="s">
        <v>1290</v>
      </c>
      <c r="C273" s="458">
        <v>1</v>
      </c>
      <c r="D273" s="458">
        <v>1</v>
      </c>
      <c r="E273" s="458">
        <v>0</v>
      </c>
      <c r="F273" s="459" t="s">
        <v>1286</v>
      </c>
      <c r="G273" s="12"/>
    </row>
    <row r="274" spans="1:7" ht="12.75" customHeight="1" x14ac:dyDescent="0.15">
      <c r="A274" s="65" t="s">
        <v>2147</v>
      </c>
      <c r="B274" s="3" t="s">
        <v>652</v>
      </c>
      <c r="C274" s="66">
        <v>2</v>
      </c>
      <c r="D274" s="499">
        <v>2</v>
      </c>
      <c r="E274" s="66">
        <v>0</v>
      </c>
      <c r="F274" s="318" t="s">
        <v>943</v>
      </c>
      <c r="G274" s="12"/>
    </row>
    <row r="275" spans="1:7" ht="12.75" customHeight="1" x14ac:dyDescent="0.15">
      <c r="A275" s="65" t="s">
        <v>2148</v>
      </c>
      <c r="B275" s="3" t="s">
        <v>2135</v>
      </c>
      <c r="C275" s="66">
        <v>1</v>
      </c>
      <c r="D275" s="499">
        <v>1</v>
      </c>
      <c r="E275" s="66">
        <v>0</v>
      </c>
      <c r="F275" s="318" t="s">
        <v>946</v>
      </c>
      <c r="G275" s="12"/>
    </row>
    <row r="276" spans="1:7" ht="12.75" customHeight="1" x14ac:dyDescent="0.15">
      <c r="A276" s="65" t="s">
        <v>2149</v>
      </c>
      <c r="B276" s="3" t="s">
        <v>2136</v>
      </c>
      <c r="C276" s="66">
        <v>1</v>
      </c>
      <c r="D276" s="499">
        <v>1</v>
      </c>
      <c r="E276" s="66">
        <v>0</v>
      </c>
      <c r="F276" s="318" t="s">
        <v>953</v>
      </c>
      <c r="G276" s="6" t="s">
        <v>105</v>
      </c>
    </row>
    <row r="277" spans="1:7" ht="12.75" customHeight="1" x14ac:dyDescent="0.15">
      <c r="A277" s="65" t="s">
        <v>2150</v>
      </c>
      <c r="B277" s="3" t="s">
        <v>2137</v>
      </c>
      <c r="C277" s="66">
        <v>1</v>
      </c>
      <c r="D277" s="499">
        <v>1</v>
      </c>
      <c r="E277" s="66">
        <v>0</v>
      </c>
      <c r="F277" s="318" t="s">
        <v>953</v>
      </c>
      <c r="G277" s="6" t="s">
        <v>251</v>
      </c>
    </row>
    <row r="278" spans="1:7" ht="12.75" customHeight="1" x14ac:dyDescent="0.15">
      <c r="A278" s="65" t="s">
        <v>34</v>
      </c>
      <c r="B278" s="3" t="s">
        <v>2138</v>
      </c>
      <c r="C278" s="66">
        <v>1</v>
      </c>
      <c r="D278" s="499">
        <v>1</v>
      </c>
      <c r="E278" s="66">
        <v>0</v>
      </c>
      <c r="F278" s="318" t="s">
        <v>144</v>
      </c>
      <c r="G278" s="6" t="s">
        <v>101</v>
      </c>
    </row>
    <row r="279" spans="1:7" ht="12.75" customHeight="1" x14ac:dyDescent="0.15">
      <c r="A279" s="65" t="s">
        <v>2151</v>
      </c>
      <c r="B279" s="3" t="s">
        <v>2139</v>
      </c>
      <c r="C279" s="66">
        <v>1</v>
      </c>
      <c r="D279" s="499">
        <v>1</v>
      </c>
      <c r="E279" s="66">
        <v>0</v>
      </c>
      <c r="F279" s="318" t="s">
        <v>958</v>
      </c>
      <c r="G279" s="6"/>
    </row>
    <row r="280" spans="1:7" ht="12.75" customHeight="1" x14ac:dyDescent="0.15">
      <c r="A280" s="65" t="s">
        <v>2152</v>
      </c>
      <c r="B280" s="3" t="s">
        <v>2140</v>
      </c>
      <c r="C280" s="66">
        <v>1</v>
      </c>
      <c r="D280" s="499">
        <v>1</v>
      </c>
      <c r="E280" s="66">
        <v>0</v>
      </c>
      <c r="F280" s="318" t="s">
        <v>953</v>
      </c>
      <c r="G280" s="6"/>
    </row>
    <row r="281" spans="1:7" ht="12.75" customHeight="1" x14ac:dyDescent="0.15">
      <c r="A281" s="65" t="s">
        <v>2153</v>
      </c>
      <c r="B281" s="3" t="s">
        <v>2141</v>
      </c>
      <c r="C281" s="66">
        <v>2</v>
      </c>
      <c r="D281" s="499">
        <v>2</v>
      </c>
      <c r="E281" s="66">
        <v>0</v>
      </c>
      <c r="F281" s="318" t="s">
        <v>943</v>
      </c>
      <c r="G281" s="6"/>
    </row>
    <row r="282" spans="1:7" ht="12.75" customHeight="1" x14ac:dyDescent="0.15">
      <c r="A282" s="65" t="s">
        <v>2708</v>
      </c>
      <c r="B282" s="3" t="s">
        <v>2142</v>
      </c>
      <c r="C282" s="66">
        <v>2</v>
      </c>
      <c r="D282" s="499">
        <v>2</v>
      </c>
      <c r="E282" s="66">
        <v>0</v>
      </c>
      <c r="F282" s="318" t="s">
        <v>946</v>
      </c>
      <c r="G282" s="6" t="s">
        <v>1041</v>
      </c>
    </row>
    <row r="283" spans="1:7" ht="12.75" customHeight="1" x14ac:dyDescent="0.15">
      <c r="A283" s="65" t="s">
        <v>2530</v>
      </c>
      <c r="B283" s="3" t="s">
        <v>2531</v>
      </c>
      <c r="C283" s="187">
        <v>0</v>
      </c>
      <c r="D283" s="726">
        <v>0</v>
      </c>
      <c r="E283" s="187">
        <v>1</v>
      </c>
      <c r="F283" s="318" t="s">
        <v>953</v>
      </c>
      <c r="G283" s="6"/>
    </row>
    <row r="284" spans="1:7" ht="12.75" customHeight="1" x14ac:dyDescent="0.15">
      <c r="A284" s="65" t="s">
        <v>2532</v>
      </c>
      <c r="B284" s="3" t="s">
        <v>2533</v>
      </c>
      <c r="C284" s="187">
        <v>1</v>
      </c>
      <c r="D284" s="726">
        <v>1</v>
      </c>
      <c r="E284" s="187">
        <v>0</v>
      </c>
      <c r="F284" s="318" t="s">
        <v>953</v>
      </c>
      <c r="G284" s="6"/>
    </row>
    <row r="285" spans="1:7" ht="12.75" customHeight="1" x14ac:dyDescent="0.15">
      <c r="A285" s="65" t="s">
        <v>501</v>
      </c>
      <c r="B285" s="3" t="s">
        <v>499</v>
      </c>
      <c r="C285" s="66">
        <v>0</v>
      </c>
      <c r="D285" s="499">
        <v>0</v>
      </c>
      <c r="E285" s="66">
        <v>2</v>
      </c>
      <c r="F285" s="318" t="s">
        <v>946</v>
      </c>
      <c r="G285" s="6"/>
    </row>
    <row r="286" spans="1:7" ht="12.75" customHeight="1" x14ac:dyDescent="0.15">
      <c r="A286" s="65" t="s">
        <v>502</v>
      </c>
      <c r="B286" s="3" t="s">
        <v>500</v>
      </c>
      <c r="C286" s="66">
        <v>2</v>
      </c>
      <c r="D286" s="499">
        <v>2</v>
      </c>
      <c r="E286" s="66">
        <v>0</v>
      </c>
      <c r="F286" s="318" t="s">
        <v>946</v>
      </c>
      <c r="G286" s="6"/>
    </row>
    <row r="287" spans="1:7" ht="12.75" customHeight="1" x14ac:dyDescent="0.15">
      <c r="A287" s="65" t="s">
        <v>1566</v>
      </c>
      <c r="B287" s="3" t="s">
        <v>1564</v>
      </c>
      <c r="C287" s="66">
        <v>1</v>
      </c>
      <c r="D287" s="499">
        <v>1</v>
      </c>
      <c r="E287" s="66">
        <v>0</v>
      </c>
      <c r="F287" s="318" t="s">
        <v>946</v>
      </c>
      <c r="G287" s="6"/>
    </row>
    <row r="288" spans="1:7" ht="12.75" customHeight="1" x14ac:dyDescent="0.15">
      <c r="A288" s="65" t="s">
        <v>360</v>
      </c>
      <c r="B288" s="3" t="s">
        <v>1565</v>
      </c>
      <c r="C288" s="66">
        <v>1</v>
      </c>
      <c r="D288" s="499">
        <v>1</v>
      </c>
      <c r="E288" s="66">
        <v>0</v>
      </c>
      <c r="F288" s="318" t="s">
        <v>953</v>
      </c>
      <c r="G288" s="6"/>
    </row>
    <row r="289" spans="1:7" ht="12.75" customHeight="1" x14ac:dyDescent="0.15">
      <c r="A289" t="s">
        <v>363</v>
      </c>
      <c r="B289" s="3" t="s">
        <v>362</v>
      </c>
      <c r="C289" s="66">
        <v>1</v>
      </c>
      <c r="D289" s="499">
        <v>1</v>
      </c>
      <c r="E289" s="66">
        <v>0</v>
      </c>
      <c r="F289" s="318" t="s">
        <v>1150</v>
      </c>
      <c r="G289" s="6"/>
    </row>
    <row r="290" spans="1:7" ht="12.75" customHeight="1" thickBot="1" x14ac:dyDescent="0.2">
      <c r="A290" s="68" t="s">
        <v>31</v>
      </c>
      <c r="B290" s="69" t="s">
        <v>2143</v>
      </c>
      <c r="C290" s="70">
        <v>1</v>
      </c>
      <c r="D290" s="727">
        <v>1</v>
      </c>
      <c r="E290" s="70">
        <v>0</v>
      </c>
      <c r="F290" s="319" t="s">
        <v>144</v>
      </c>
      <c r="G290" s="12"/>
    </row>
    <row r="291" spans="1:7" ht="12.75" customHeight="1" x14ac:dyDescent="0.15">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15" activePane="bottomLeft" state="frozen"/>
      <selection activeCell="D18" sqref="D18"/>
      <selection pane="bottomLeft" activeCell="B8" sqref="B8"/>
    </sheetView>
  </sheetViews>
  <sheetFormatPr baseColWidth="10" defaultColWidth="8.83203125" defaultRowHeight="13" x14ac:dyDescent="0.15"/>
  <cols>
    <col min="1" max="1" width="46.6640625" customWidth="1"/>
    <col min="2" max="2" width="24.5" customWidth="1"/>
    <col min="3" max="3" width="11.33203125" bestFit="1" customWidth="1"/>
    <col min="4" max="4" width="16.5" style="526" customWidth="1"/>
  </cols>
  <sheetData>
    <row r="1" spans="1:5" x14ac:dyDescent="0.15">
      <c r="A1" s="1" t="s">
        <v>2948</v>
      </c>
      <c r="C1" s="44"/>
    </row>
    <row r="2" spans="1:5" x14ac:dyDescent="0.15">
      <c r="A2" s="657" t="s">
        <v>2949</v>
      </c>
      <c r="C2" s="44"/>
    </row>
    <row r="4" spans="1:5" x14ac:dyDescent="0.15">
      <c r="A4" s="206" t="s">
        <v>276</v>
      </c>
      <c r="B4" s="206" t="s">
        <v>277</v>
      </c>
      <c r="C4" s="207" t="s">
        <v>278</v>
      </c>
      <c r="D4" s="206" t="s">
        <v>279</v>
      </c>
      <c r="E4" s="206" t="s">
        <v>280</v>
      </c>
    </row>
    <row r="5" spans="1:5" x14ac:dyDescent="0.15">
      <c r="A5" s="2" t="s">
        <v>3513</v>
      </c>
      <c r="B5" s="1"/>
      <c r="C5" s="208"/>
      <c r="D5" s="1"/>
      <c r="E5" s="1"/>
    </row>
    <row r="6" spans="1:5" x14ac:dyDescent="0.15">
      <c r="A6" s="526" t="s">
        <v>3514</v>
      </c>
      <c r="B6" s="3" t="s">
        <v>3518</v>
      </c>
      <c r="C6" s="849">
        <v>2021</v>
      </c>
      <c r="D6" s="1"/>
      <c r="E6" s="6" t="s">
        <v>3517</v>
      </c>
    </row>
    <row r="7" spans="1:5" x14ac:dyDescent="0.15">
      <c r="A7" s="526" t="s">
        <v>3515</v>
      </c>
      <c r="B7" s="3" t="s">
        <v>1481</v>
      </c>
      <c r="C7" s="195">
        <f>AVERAGE(35,75)*2000/media_density</f>
        <v>2558.1395348837209</v>
      </c>
      <c r="D7" s="643" t="s">
        <v>2174</v>
      </c>
      <c r="E7" s="6" t="s">
        <v>3516</v>
      </c>
    </row>
    <row r="8" spans="1:5" x14ac:dyDescent="0.15">
      <c r="A8" s="526" t="s">
        <v>3527</v>
      </c>
      <c r="B8" s="3" t="s">
        <v>3528</v>
      </c>
      <c r="C8" s="195">
        <f>75*2000/media_density</f>
        <v>3488.3720930232557</v>
      </c>
      <c r="D8" s="643" t="s">
        <v>2174</v>
      </c>
      <c r="E8" s="6" t="s">
        <v>3529</v>
      </c>
    </row>
    <row r="9" spans="1:5" x14ac:dyDescent="0.15">
      <c r="A9" s="1"/>
      <c r="B9" s="1"/>
      <c r="C9" s="208"/>
      <c r="D9" s="1"/>
      <c r="E9" s="1"/>
    </row>
    <row r="10" spans="1:5" x14ac:dyDescent="0.15">
      <c r="A10" s="321" t="s">
        <v>723</v>
      </c>
      <c r="B10" s="1"/>
      <c r="C10" s="208"/>
      <c r="D10" s="1"/>
      <c r="E10" s="1"/>
    </row>
    <row r="11" spans="1:5" x14ac:dyDescent="0.15">
      <c r="A11" t="s">
        <v>929</v>
      </c>
      <c r="B11" s="3" t="s">
        <v>2735</v>
      </c>
      <c r="C11" s="365">
        <v>0.01</v>
      </c>
      <c r="D11" s="526" t="s">
        <v>2305</v>
      </c>
      <c r="E11" s="6" t="s">
        <v>1165</v>
      </c>
    </row>
    <row r="12" spans="1:5" x14ac:dyDescent="0.15">
      <c r="A12" s="460" t="s">
        <v>1294</v>
      </c>
      <c r="B12" s="340" t="s">
        <v>1295</v>
      </c>
      <c r="C12" s="461">
        <v>5</v>
      </c>
      <c r="D12" s="526" t="s">
        <v>1296</v>
      </c>
      <c r="E12" s="462" t="s">
        <v>1297</v>
      </c>
    </row>
    <row r="13" spans="1:5" x14ac:dyDescent="0.15">
      <c r="B13" s="3"/>
      <c r="C13" s="10"/>
      <c r="E13" s="6"/>
    </row>
    <row r="14" spans="1:5" x14ac:dyDescent="0.15">
      <c r="A14" s="321" t="s">
        <v>720</v>
      </c>
    </row>
    <row r="15" spans="1:5" x14ac:dyDescent="0.15">
      <c r="A15" s="205" t="s">
        <v>1298</v>
      </c>
      <c r="B15" s="340" t="s">
        <v>1299</v>
      </c>
      <c r="C15" s="461">
        <v>12</v>
      </c>
      <c r="D15" s="526" t="s">
        <v>1300</v>
      </c>
      <c r="E15" s="6"/>
    </row>
    <row r="16" spans="1:5" x14ac:dyDescent="0.15">
      <c r="A16" t="s">
        <v>2518</v>
      </c>
      <c r="B16" s="3" t="s">
        <v>2519</v>
      </c>
      <c r="C16" s="66">
        <v>0.1</v>
      </c>
      <c r="D16" s="526" t="s">
        <v>2520</v>
      </c>
    </row>
    <row r="17" spans="1:5" x14ac:dyDescent="0.15">
      <c r="A17" t="s">
        <v>2307</v>
      </c>
      <c r="B17" s="3" t="s">
        <v>2521</v>
      </c>
      <c r="C17" s="66">
        <v>0.1</v>
      </c>
      <c r="D17" s="526" t="s">
        <v>2520</v>
      </c>
    </row>
    <row r="18" spans="1:5" x14ac:dyDescent="0.15">
      <c r="B18" s="3"/>
    </row>
    <row r="19" spans="1:5" x14ac:dyDescent="0.15">
      <c r="A19" s="2" t="s">
        <v>2803</v>
      </c>
    </row>
    <row r="20" spans="1:5" x14ac:dyDescent="0.15">
      <c r="A20" t="s">
        <v>1134</v>
      </c>
      <c r="B20" s="3" t="s">
        <v>2804</v>
      </c>
      <c r="C20" s="66">
        <v>5</v>
      </c>
      <c r="D20" s="526" t="s">
        <v>2810</v>
      </c>
      <c r="E20" s="6" t="s">
        <v>2813</v>
      </c>
    </row>
    <row r="21" spans="1:5" x14ac:dyDescent="0.15">
      <c r="A21" s="5" t="s">
        <v>124</v>
      </c>
      <c r="B21" s="3" t="s">
        <v>125</v>
      </c>
      <c r="C21" s="66">
        <v>5</v>
      </c>
      <c r="D21" s="526" t="s">
        <v>2810</v>
      </c>
      <c r="E21" s="6" t="s">
        <v>1694</v>
      </c>
    </row>
    <row r="22" spans="1:5" x14ac:dyDescent="0.15">
      <c r="A22" t="s">
        <v>828</v>
      </c>
      <c r="B22" s="3" t="s">
        <v>2805</v>
      </c>
      <c r="C22" s="66">
        <v>5</v>
      </c>
      <c r="D22" s="526" t="s">
        <v>2810</v>
      </c>
      <c r="E22" s="6" t="s">
        <v>1693</v>
      </c>
    </row>
    <row r="23" spans="1:5" x14ac:dyDescent="0.15">
      <c r="A23" t="s">
        <v>2802</v>
      </c>
      <c r="B23" s="3" t="s">
        <v>2806</v>
      </c>
      <c r="C23" s="66">
        <v>5</v>
      </c>
      <c r="D23" s="526" t="s">
        <v>2811</v>
      </c>
      <c r="E23" s="6" t="s">
        <v>1693</v>
      </c>
    </row>
    <row r="24" spans="1:5" x14ac:dyDescent="0.15">
      <c r="A24" t="s">
        <v>2304</v>
      </c>
      <c r="B24" s="3" t="s">
        <v>2807</v>
      </c>
      <c r="C24" s="66">
        <v>1</v>
      </c>
      <c r="D24" s="526" t="s">
        <v>126</v>
      </c>
      <c r="E24" s="6"/>
    </row>
    <row r="25" spans="1:5" x14ac:dyDescent="0.15">
      <c r="A25" t="s">
        <v>1420</v>
      </c>
      <c r="B25" s="3" t="s">
        <v>2808</v>
      </c>
      <c r="C25" s="66">
        <v>10</v>
      </c>
      <c r="D25" s="526" t="s">
        <v>2812</v>
      </c>
      <c r="E25" s="6" t="s">
        <v>1421</v>
      </c>
    </row>
    <row r="26" spans="1:5" x14ac:dyDescent="0.15">
      <c r="A26" t="s">
        <v>1917</v>
      </c>
      <c r="B26" s="3" t="s">
        <v>2809</v>
      </c>
      <c r="C26" s="66">
        <f>8/(20*27)</f>
        <v>1.4814814814814815E-2</v>
      </c>
      <c r="D26" s="526" t="s">
        <v>14</v>
      </c>
      <c r="E26" s="6" t="s">
        <v>895</v>
      </c>
    </row>
    <row r="28" spans="1:5" x14ac:dyDescent="0.15">
      <c r="A28" s="2" t="s">
        <v>127</v>
      </c>
      <c r="B28" s="3"/>
    </row>
    <row r="29" spans="1:5" x14ac:dyDescent="0.15">
      <c r="A29" s="5" t="s">
        <v>128</v>
      </c>
      <c r="B29" s="3" t="s">
        <v>129</v>
      </c>
      <c r="C29" s="66">
        <v>10</v>
      </c>
      <c r="D29" s="526" t="s">
        <v>130</v>
      </c>
    </row>
    <row r="30" spans="1:5" x14ac:dyDescent="0.15">
      <c r="A30" s="5" t="s">
        <v>131</v>
      </c>
      <c r="B30" s="3" t="s">
        <v>132</v>
      </c>
      <c r="C30" s="66">
        <v>30.25</v>
      </c>
      <c r="D30" s="526" t="s">
        <v>1702</v>
      </c>
      <c r="E30" s="6" t="s">
        <v>311</v>
      </c>
    </row>
    <row r="31" spans="1:5" x14ac:dyDescent="0.15">
      <c r="A31" s="5" t="s">
        <v>312</v>
      </c>
      <c r="B31" s="3" t="s">
        <v>313</v>
      </c>
      <c r="C31" s="66">
        <v>5</v>
      </c>
      <c r="D31" s="526" t="s">
        <v>314</v>
      </c>
      <c r="E31" s="6" t="s">
        <v>315</v>
      </c>
    </row>
    <row r="32" spans="1:5" x14ac:dyDescent="0.15">
      <c r="A32" s="5" t="s">
        <v>316</v>
      </c>
      <c r="B32" s="3" t="s">
        <v>317</v>
      </c>
      <c r="C32" s="66">
        <v>120</v>
      </c>
      <c r="D32" s="526" t="s">
        <v>130</v>
      </c>
      <c r="E32" s="6"/>
    </row>
    <row r="33" spans="1:5" x14ac:dyDescent="0.15">
      <c r="A33" s="5"/>
      <c r="B33" s="3"/>
    </row>
    <row r="34" spans="1:5" x14ac:dyDescent="0.15">
      <c r="A34" s="321" t="s">
        <v>735</v>
      </c>
    </row>
    <row r="35" spans="1:5" x14ac:dyDescent="0.15">
      <c r="A35" t="s">
        <v>181</v>
      </c>
      <c r="B35" s="3" t="s">
        <v>930</v>
      </c>
      <c r="C35" s="455">
        <v>25</v>
      </c>
      <c r="D35" s="526" t="s">
        <v>1359</v>
      </c>
    </row>
    <row r="36" spans="1:5" x14ac:dyDescent="0.15">
      <c r="A36" t="s">
        <v>1260</v>
      </c>
      <c r="B36" s="3" t="s">
        <v>1261</v>
      </c>
      <c r="C36" s="66">
        <v>25</v>
      </c>
      <c r="D36" s="526" t="s">
        <v>1359</v>
      </c>
      <c r="E36" s="6"/>
    </row>
    <row r="37" spans="1:5" x14ac:dyDescent="0.15">
      <c r="A37" t="s">
        <v>928</v>
      </c>
      <c r="B37" s="3" t="s">
        <v>931</v>
      </c>
      <c r="C37" s="463">
        <v>0.75</v>
      </c>
    </row>
    <row r="38" spans="1:5" x14ac:dyDescent="0.15">
      <c r="A38" s="526" t="s">
        <v>622</v>
      </c>
      <c r="B38" s="3" t="s">
        <v>623</v>
      </c>
      <c r="C38" s="189">
        <v>14.7</v>
      </c>
      <c r="D38" s="526" t="s">
        <v>1359</v>
      </c>
    </row>
    <row r="39" spans="1:5" x14ac:dyDescent="0.15">
      <c r="E39" s="6"/>
    </row>
    <row r="40" spans="1:5" x14ac:dyDescent="0.15">
      <c r="A40" s="2" t="s">
        <v>112</v>
      </c>
      <c r="B40" s="3"/>
      <c r="C40" s="50"/>
    </row>
    <row r="41" spans="1:5" x14ac:dyDescent="0.15">
      <c r="A41" t="s">
        <v>113</v>
      </c>
      <c r="B41" s="47" t="s">
        <v>114</v>
      </c>
      <c r="C41" s="511">
        <v>0.3</v>
      </c>
      <c r="D41" s="526" t="s">
        <v>115</v>
      </c>
      <c r="E41" s="6" t="s">
        <v>3542</v>
      </c>
    </row>
    <row r="42" spans="1:5" x14ac:dyDescent="0.15">
      <c r="A42" t="s">
        <v>116</v>
      </c>
      <c r="B42" s="47" t="s">
        <v>117</v>
      </c>
      <c r="C42" s="511">
        <v>0.6</v>
      </c>
      <c r="D42" s="526" t="s">
        <v>115</v>
      </c>
    </row>
    <row r="43" spans="1:5" x14ac:dyDescent="0.15">
      <c r="A43" t="s">
        <v>118</v>
      </c>
      <c r="B43" s="47" t="s">
        <v>119</v>
      </c>
      <c r="C43" s="511">
        <v>1.2</v>
      </c>
      <c r="D43" s="526" t="s">
        <v>115</v>
      </c>
    </row>
    <row r="45" spans="1:5" x14ac:dyDescent="0.15">
      <c r="A45" t="s">
        <v>2666</v>
      </c>
      <c r="B45" s="45" t="s">
        <v>2667</v>
      </c>
      <c r="C45" s="66">
        <v>3</v>
      </c>
      <c r="D45" s="731" t="s">
        <v>2668</v>
      </c>
    </row>
    <row r="46" spans="1:5" x14ac:dyDescent="0.15">
      <c r="A46" t="s">
        <v>2669</v>
      </c>
      <c r="B46" s="45" t="s">
        <v>2670</v>
      </c>
      <c r="C46" s="66">
        <v>20</v>
      </c>
      <c r="D46" s="731" t="s">
        <v>2668</v>
      </c>
      <c r="E46" s="6" t="s">
        <v>1477</v>
      </c>
    </row>
    <row r="47" spans="1:5" x14ac:dyDescent="0.15">
      <c r="A47" t="s">
        <v>2226</v>
      </c>
      <c r="B47" s="45" t="s">
        <v>2227</v>
      </c>
      <c r="C47" s="66">
        <v>2</v>
      </c>
      <c r="D47" s="731" t="s">
        <v>2668</v>
      </c>
    </row>
    <row r="48" spans="1:5" x14ac:dyDescent="0.15">
      <c r="A48" t="s">
        <v>1934</v>
      </c>
      <c r="B48" s="45" t="s">
        <v>1935</v>
      </c>
      <c r="C48" s="66">
        <v>2</v>
      </c>
      <c r="D48" s="731" t="s">
        <v>2668</v>
      </c>
    </row>
    <row r="49" spans="1:5" x14ac:dyDescent="0.15">
      <c r="A49" t="s">
        <v>934</v>
      </c>
      <c r="B49" s="47" t="s">
        <v>935</v>
      </c>
      <c r="C49" s="66">
        <v>0.25</v>
      </c>
      <c r="D49" s="526" t="s">
        <v>936</v>
      </c>
    </row>
    <row r="50" spans="1:5" x14ac:dyDescent="0.15">
      <c r="A50" t="s">
        <v>1515</v>
      </c>
      <c r="B50" s="47" t="s">
        <v>1516</v>
      </c>
      <c r="C50" s="66">
        <v>90</v>
      </c>
      <c r="D50" s="526" t="s">
        <v>414</v>
      </c>
      <c r="E50" s="6" t="s">
        <v>415</v>
      </c>
    </row>
    <row r="51" spans="1:5" x14ac:dyDescent="0.15">
      <c r="A51" t="s">
        <v>1517</v>
      </c>
      <c r="B51" s="47" t="s">
        <v>1518</v>
      </c>
      <c r="C51" s="66">
        <v>90</v>
      </c>
      <c r="D51" s="526" t="s">
        <v>414</v>
      </c>
      <c r="E51" s="6" t="s">
        <v>1519</v>
      </c>
    </row>
    <row r="52" spans="1:5" x14ac:dyDescent="0.15">
      <c r="A52" t="s">
        <v>1520</v>
      </c>
      <c r="B52" s="47" t="s">
        <v>1521</v>
      </c>
      <c r="C52" s="66">
        <v>120</v>
      </c>
      <c r="D52" s="526" t="s">
        <v>414</v>
      </c>
      <c r="E52" s="6" t="s">
        <v>1522</v>
      </c>
    </row>
    <row r="53" spans="1:5" x14ac:dyDescent="0.15">
      <c r="A53" t="s">
        <v>1523</v>
      </c>
      <c r="B53" s="47" t="s">
        <v>1524</v>
      </c>
      <c r="C53" s="66">
        <v>120</v>
      </c>
      <c r="D53" s="526" t="s">
        <v>414</v>
      </c>
      <c r="E53" s="6"/>
    </row>
    <row r="54" spans="1:5" x14ac:dyDescent="0.15">
      <c r="A54" t="s">
        <v>1525</v>
      </c>
      <c r="B54" s="47" t="s">
        <v>1526</v>
      </c>
      <c r="C54" s="66">
        <v>185</v>
      </c>
      <c r="D54" s="526" t="s">
        <v>414</v>
      </c>
      <c r="E54" s="6" t="s">
        <v>1527</v>
      </c>
    </row>
    <row r="55" spans="1:5" x14ac:dyDescent="0.15">
      <c r="A55" t="s">
        <v>1528</v>
      </c>
      <c r="B55" s="47" t="s">
        <v>1529</v>
      </c>
      <c r="C55" s="66">
        <v>185</v>
      </c>
      <c r="D55" s="526" t="s">
        <v>414</v>
      </c>
      <c r="E55" s="6"/>
    </row>
    <row r="56" spans="1:5" x14ac:dyDescent="0.15">
      <c r="B56" s="45"/>
      <c r="D56" s="46"/>
    </row>
    <row r="57" spans="1:5" x14ac:dyDescent="0.15">
      <c r="A57" t="s">
        <v>668</v>
      </c>
      <c r="B57" s="3" t="s">
        <v>669</v>
      </c>
      <c r="C57" s="870">
        <v>25</v>
      </c>
      <c r="D57" s="526" t="s">
        <v>670</v>
      </c>
      <c r="E57" s="6" t="s">
        <v>3540</v>
      </c>
    </row>
    <row r="58" spans="1:5" x14ac:dyDescent="0.15">
      <c r="A58" t="s">
        <v>2248</v>
      </c>
      <c r="B58" s="3" t="s">
        <v>2249</v>
      </c>
      <c r="C58" s="870">
        <v>49</v>
      </c>
      <c r="D58" s="526" t="s">
        <v>670</v>
      </c>
      <c r="E58" s="6" t="s">
        <v>3540</v>
      </c>
    </row>
    <row r="59" spans="1:5" x14ac:dyDescent="0.15">
      <c r="A59" t="s">
        <v>2250</v>
      </c>
      <c r="B59" s="3" t="s">
        <v>2251</v>
      </c>
      <c r="C59" s="871">
        <v>4260</v>
      </c>
      <c r="D59" s="526" t="s">
        <v>2252</v>
      </c>
      <c r="E59" s="6" t="s">
        <v>2255</v>
      </c>
    </row>
    <row r="60" spans="1:5" x14ac:dyDescent="0.15">
      <c r="A60" t="s">
        <v>2256</v>
      </c>
      <c r="B60" s="3" t="s">
        <v>2257</v>
      </c>
      <c r="C60" s="871">
        <v>1415</v>
      </c>
      <c r="D60" s="526" t="s">
        <v>2252</v>
      </c>
      <c r="E60" s="6" t="s">
        <v>2255</v>
      </c>
    </row>
    <row r="61" spans="1:5" x14ac:dyDescent="0.15">
      <c r="A61" t="s">
        <v>2258</v>
      </c>
      <c r="B61" s="3" t="s">
        <v>2259</v>
      </c>
      <c r="C61" s="871">
        <v>168679</v>
      </c>
      <c r="D61" s="526" t="s">
        <v>2260</v>
      </c>
      <c r="E61" s="6" t="s">
        <v>2255</v>
      </c>
    </row>
    <row r="62" spans="1:5" x14ac:dyDescent="0.15">
      <c r="A62" t="s">
        <v>2261</v>
      </c>
      <c r="B62" s="3" t="s">
        <v>2262</v>
      </c>
      <c r="C62" s="871">
        <v>51771</v>
      </c>
      <c r="D62" s="526" t="s">
        <v>2260</v>
      </c>
      <c r="E62" s="6" t="s">
        <v>2255</v>
      </c>
    </row>
    <row r="63" spans="1:5" x14ac:dyDescent="0.15">
      <c r="A63" t="s">
        <v>2263</v>
      </c>
      <c r="B63" s="3" t="s">
        <v>2264</v>
      </c>
      <c r="C63" s="872">
        <v>0.98</v>
      </c>
      <c r="E63" s="6" t="s">
        <v>1493</v>
      </c>
    </row>
    <row r="64" spans="1:5" x14ac:dyDescent="0.15">
      <c r="A64" t="s">
        <v>2265</v>
      </c>
      <c r="B64" s="3" t="s">
        <v>2266</v>
      </c>
      <c r="C64" s="873">
        <v>3.3</v>
      </c>
      <c r="E64" s="6" t="s">
        <v>1493</v>
      </c>
    </row>
    <row r="65" spans="1:5" x14ac:dyDescent="0.15">
      <c r="A65" t="s">
        <v>2267</v>
      </c>
      <c r="B65" s="3" t="s">
        <v>2268</v>
      </c>
      <c r="C65" s="872">
        <v>0.85</v>
      </c>
      <c r="E65" s="6" t="s">
        <v>1493</v>
      </c>
    </row>
    <row r="66" spans="1:5" x14ac:dyDescent="0.15">
      <c r="A66" t="s">
        <v>2269</v>
      </c>
      <c r="B66" s="3" t="s">
        <v>2270</v>
      </c>
      <c r="C66" s="872">
        <v>0.9</v>
      </c>
      <c r="E66" s="6" t="s">
        <v>1493</v>
      </c>
    </row>
    <row r="67" spans="1:5" x14ac:dyDescent="0.15">
      <c r="A67" t="s">
        <v>1915</v>
      </c>
      <c r="B67" s="3" t="s">
        <v>2271</v>
      </c>
      <c r="C67" s="872">
        <v>0.82</v>
      </c>
      <c r="E67" s="6" t="s">
        <v>1493</v>
      </c>
    </row>
    <row r="68" spans="1:5" x14ac:dyDescent="0.15">
      <c r="A68" t="s">
        <v>1916</v>
      </c>
      <c r="B68" s="3" t="s">
        <v>2272</v>
      </c>
      <c r="C68" s="872">
        <v>0.9</v>
      </c>
      <c r="E68" s="6" t="s">
        <v>1493</v>
      </c>
    </row>
    <row r="69" spans="1:5" x14ac:dyDescent="0.15">
      <c r="A69" t="s">
        <v>2273</v>
      </c>
      <c r="B69" s="3" t="s">
        <v>2274</v>
      </c>
      <c r="C69" s="870">
        <v>11.8</v>
      </c>
      <c r="D69" s="526" t="s">
        <v>3541</v>
      </c>
      <c r="E69" s="6" t="s">
        <v>1493</v>
      </c>
    </row>
    <row r="70" spans="1:5" x14ac:dyDescent="0.15">
      <c r="A70" t="s">
        <v>2275</v>
      </c>
      <c r="B70" s="3" t="s">
        <v>2276</v>
      </c>
      <c r="C70" s="870">
        <v>11.8</v>
      </c>
      <c r="D70" s="526" t="s">
        <v>3541</v>
      </c>
      <c r="E70" s="6" t="s">
        <v>1493</v>
      </c>
    </row>
    <row r="72" spans="1:5" x14ac:dyDescent="0.15">
      <c r="A72" t="s">
        <v>10</v>
      </c>
      <c r="B72" s="3" t="s">
        <v>606</v>
      </c>
      <c r="C72" s="191">
        <v>139000</v>
      </c>
      <c r="D72" s="526" t="s">
        <v>607</v>
      </c>
      <c r="E72" s="6" t="s">
        <v>11</v>
      </c>
    </row>
    <row r="76" spans="1:5" x14ac:dyDescent="0.15">
      <c r="B76" s="3"/>
      <c r="C76" s="10"/>
      <c r="E76" s="6"/>
    </row>
    <row r="81" spans="1:5" x14ac:dyDescent="0.15">
      <c r="A81" s="1"/>
    </row>
    <row r="84" spans="1:5" x14ac:dyDescent="0.15">
      <c r="A84" s="1"/>
    </row>
    <row r="85" spans="1:5" x14ac:dyDescent="0.15">
      <c r="A85" s="1"/>
    </row>
    <row r="86" spans="1:5" x14ac:dyDescent="0.15">
      <c r="A86" s="1"/>
    </row>
    <row r="87" spans="1:5" x14ac:dyDescent="0.15">
      <c r="A87" s="1"/>
    </row>
    <row r="88" spans="1:5" x14ac:dyDescent="0.15">
      <c r="A88" s="1"/>
    </row>
    <row r="89" spans="1:5" x14ac:dyDescent="0.15">
      <c r="A89" s="1"/>
    </row>
    <row r="90" spans="1:5" x14ac:dyDescent="0.15">
      <c r="A90" s="1"/>
    </row>
    <row r="92" spans="1:5" x14ac:dyDescent="0.15">
      <c r="B92" s="3"/>
      <c r="C92" s="5"/>
      <c r="E92" s="6"/>
    </row>
    <row r="93" spans="1:5" x14ac:dyDescent="0.15">
      <c r="B93" s="3"/>
      <c r="C93" s="50"/>
    </row>
    <row r="94" spans="1:5" x14ac:dyDescent="0.15">
      <c r="B94" s="3"/>
      <c r="C94" s="51"/>
      <c r="E94" s="6"/>
    </row>
    <row r="95" spans="1:5" x14ac:dyDescent="0.15">
      <c r="B95" s="3"/>
      <c r="C95" s="51"/>
      <c r="E95" s="6"/>
    </row>
    <row r="97" spans="1:5" x14ac:dyDescent="0.15">
      <c r="A97" s="5"/>
      <c r="B97" s="3"/>
      <c r="C97" s="52"/>
    </row>
    <row r="98" spans="1:5" x14ac:dyDescent="0.15">
      <c r="A98" s="5"/>
      <c r="B98" s="3"/>
      <c r="C98" s="52"/>
    </row>
    <row r="100" spans="1:5" x14ac:dyDescent="0.15">
      <c r="B100" s="45"/>
      <c r="D100" s="731"/>
    </row>
    <row r="101" spans="1:5" x14ac:dyDescent="0.15">
      <c r="B101" s="45"/>
      <c r="D101" s="731"/>
      <c r="E101" s="6"/>
    </row>
    <row r="102" spans="1:5" x14ac:dyDescent="0.15">
      <c r="B102" s="45"/>
      <c r="D102" s="731"/>
    </row>
    <row r="103" spans="1:5" x14ac:dyDescent="0.15">
      <c r="B103" s="45"/>
      <c r="D103" s="731"/>
    </row>
    <row r="104" spans="1:5" x14ac:dyDescent="0.15">
      <c r="B104" s="47"/>
    </row>
    <row r="105" spans="1:5" x14ac:dyDescent="0.15">
      <c r="B105" s="47"/>
      <c r="E105" s="6"/>
    </row>
    <row r="106" spans="1:5" x14ac:dyDescent="0.15">
      <c r="B106" s="47"/>
      <c r="E106" s="6"/>
    </row>
    <row r="108" spans="1:5" x14ac:dyDescent="0.15">
      <c r="B108" s="3"/>
      <c r="E108" s="6"/>
    </row>
    <row r="109" spans="1:5" x14ac:dyDescent="0.15">
      <c r="B109" s="3"/>
      <c r="E109" s="6"/>
    </row>
    <row r="110" spans="1:5" x14ac:dyDescent="0.15">
      <c r="B110" s="3"/>
      <c r="C110" s="53"/>
      <c r="E110" s="6"/>
    </row>
    <row r="111" spans="1:5" x14ac:dyDescent="0.15">
      <c r="B111" s="3"/>
      <c r="C111" s="53"/>
      <c r="E111" s="6"/>
    </row>
    <row r="112" spans="1:5" x14ac:dyDescent="0.15">
      <c r="B112" s="3"/>
      <c r="C112" s="53"/>
      <c r="E112" s="6"/>
    </row>
    <row r="113" spans="2:5" x14ac:dyDescent="0.15">
      <c r="B113" s="3"/>
      <c r="C113" s="53"/>
      <c r="E113" s="6"/>
    </row>
    <row r="114" spans="2:5" x14ac:dyDescent="0.15">
      <c r="B114" s="3"/>
      <c r="C114" s="54"/>
      <c r="E114" s="6"/>
    </row>
    <row r="115" spans="2:5" x14ac:dyDescent="0.15">
      <c r="B115" s="3"/>
      <c r="C115" s="55"/>
      <c r="E115" s="6"/>
    </row>
    <row r="116" spans="2:5" x14ac:dyDescent="0.15">
      <c r="B116" s="3"/>
      <c r="C116" s="54"/>
      <c r="E116" s="6"/>
    </row>
    <row r="117" spans="2:5" x14ac:dyDescent="0.15">
      <c r="B117" s="3"/>
      <c r="C117" s="54"/>
      <c r="E117" s="6"/>
    </row>
    <row r="118" spans="2:5" x14ac:dyDescent="0.15">
      <c r="B118" s="3"/>
      <c r="C118" s="54"/>
      <c r="E118" s="6"/>
    </row>
    <row r="119" spans="2:5" x14ac:dyDescent="0.15">
      <c r="B119" s="3"/>
      <c r="C119" s="54"/>
      <c r="E119" s="6"/>
    </row>
    <row r="120" spans="2:5" x14ac:dyDescent="0.15">
      <c r="B120" s="3"/>
      <c r="E120" s="6"/>
    </row>
    <row r="121" spans="2:5" x14ac:dyDescent="0.15">
      <c r="B121" s="3"/>
      <c r="E121" s="6"/>
    </row>
    <row r="122" spans="2:5" x14ac:dyDescent="0.15">
      <c r="B122" s="3"/>
      <c r="C122" s="53"/>
    </row>
    <row r="123" spans="2:5" x14ac:dyDescent="0.15">
      <c r="B123" s="3"/>
      <c r="C123" s="53"/>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x14ac:dyDescent="0.15"/>
  <cols>
    <col min="1" max="1" width="60.33203125" customWidth="1"/>
    <col min="2" max="2" width="16.6640625" customWidth="1"/>
    <col min="4" max="4" width="26.5" style="526" customWidth="1"/>
    <col min="5" max="5" width="15" customWidth="1"/>
  </cols>
  <sheetData>
    <row r="1" spans="1:5" s="526" customFormat="1" x14ac:dyDescent="0.15">
      <c r="A1" s="1" t="s">
        <v>2950</v>
      </c>
      <c r="C1" s="654"/>
    </row>
    <row r="2" spans="1:5" s="526" customFormat="1" x14ac:dyDescent="0.15">
      <c r="A2" s="657" t="s">
        <v>2949</v>
      </c>
      <c r="C2" s="654"/>
    </row>
    <row r="3" spans="1:5" s="526" customFormat="1" x14ac:dyDescent="0.15"/>
    <row r="4" spans="1:5" s="526" customFormat="1" x14ac:dyDescent="0.15">
      <c r="A4" s="206" t="s">
        <v>276</v>
      </c>
      <c r="B4" s="206" t="s">
        <v>277</v>
      </c>
      <c r="C4" s="207" t="s">
        <v>278</v>
      </c>
      <c r="D4" s="206" t="s">
        <v>279</v>
      </c>
      <c r="E4" s="206" t="s">
        <v>280</v>
      </c>
    </row>
    <row r="5" spans="1:5" x14ac:dyDescent="0.15">
      <c r="A5" s="2" t="s">
        <v>1349</v>
      </c>
      <c r="B5" s="1"/>
      <c r="C5" s="208"/>
      <c r="D5" s="1"/>
      <c r="E5" s="1"/>
    </row>
    <row r="6" spans="1:5" x14ac:dyDescent="0.15">
      <c r="A6" s="5" t="s">
        <v>1894</v>
      </c>
      <c r="B6" s="3" t="s">
        <v>1895</v>
      </c>
      <c r="C6" s="186">
        <v>1</v>
      </c>
      <c r="D6" s="526" t="s">
        <v>151</v>
      </c>
      <c r="E6" s="1"/>
    </row>
    <row r="7" spans="1:5" x14ac:dyDescent="0.15">
      <c r="A7" s="5"/>
      <c r="B7" s="3"/>
      <c r="C7" s="229"/>
      <c r="E7" s="1"/>
    </row>
    <row r="8" spans="1:5" x14ac:dyDescent="0.15">
      <c r="A8" s="2" t="s">
        <v>2244</v>
      </c>
      <c r="E8" s="6"/>
    </row>
    <row r="9" spans="1:5" x14ac:dyDescent="0.15">
      <c r="A9" s="5" t="s">
        <v>2594</v>
      </c>
      <c r="B9" s="3" t="s">
        <v>2595</v>
      </c>
      <c r="C9" s="186">
        <v>1</v>
      </c>
      <c r="D9" s="526" t="s">
        <v>151</v>
      </c>
      <c r="E9" s="6"/>
    </row>
    <row r="10" spans="1:5" ht="28" x14ac:dyDescent="0.15">
      <c r="A10" s="526" t="s">
        <v>3440</v>
      </c>
      <c r="B10" s="3" t="s">
        <v>883</v>
      </c>
      <c r="C10" s="499">
        <v>1</v>
      </c>
      <c r="D10" s="723" t="s">
        <v>3441</v>
      </c>
      <c r="E10" s="6" t="s">
        <v>3442</v>
      </c>
    </row>
    <row r="11" spans="1:5" x14ac:dyDescent="0.15">
      <c r="A11" s="1"/>
      <c r="E11" s="6"/>
    </row>
    <row r="12" spans="1:5" x14ac:dyDescent="0.15">
      <c r="A12" s="2" t="s">
        <v>2245</v>
      </c>
      <c r="E12" s="6"/>
    </row>
    <row r="13" spans="1:5" x14ac:dyDescent="0.15">
      <c r="A13" s="5" t="s">
        <v>2596</v>
      </c>
      <c r="B13" s="3" t="s">
        <v>2597</v>
      </c>
      <c r="C13" s="186">
        <v>1</v>
      </c>
      <c r="D13" s="526" t="s">
        <v>151</v>
      </c>
      <c r="E13" s="6"/>
    </row>
    <row r="14" spans="1:5" x14ac:dyDescent="0.15">
      <c r="A14" s="5"/>
      <c r="B14" s="3"/>
      <c r="C14" s="229"/>
      <c r="E14" s="6"/>
    </row>
    <row r="15" spans="1:5" x14ac:dyDescent="0.15">
      <c r="A15" s="2" t="s">
        <v>2738</v>
      </c>
      <c r="E15" s="6"/>
    </row>
    <row r="16" spans="1:5" x14ac:dyDescent="0.15">
      <c r="A16" s="5" t="s">
        <v>2599</v>
      </c>
      <c r="B16" s="3" t="s">
        <v>2600</v>
      </c>
      <c r="C16" s="188">
        <v>0</v>
      </c>
      <c r="D16" s="526" t="s">
        <v>2601</v>
      </c>
      <c r="E16" s="221" t="s">
        <v>1826</v>
      </c>
    </row>
    <row r="17" spans="1:5" x14ac:dyDescent="0.15">
      <c r="A17" s="5" t="s">
        <v>2602</v>
      </c>
      <c r="B17" s="3" t="s">
        <v>2603</v>
      </c>
      <c r="C17" s="188">
        <v>0.04</v>
      </c>
      <c r="D17" s="526" t="s">
        <v>2601</v>
      </c>
      <c r="E17" s="6"/>
    </row>
    <row r="18" spans="1:5" x14ac:dyDescent="0.15">
      <c r="A18" s="5" t="s">
        <v>2604</v>
      </c>
      <c r="B18" s="3" t="s">
        <v>2605</v>
      </c>
      <c r="C18" s="188">
        <v>0.02</v>
      </c>
      <c r="D18" s="526" t="s">
        <v>2601</v>
      </c>
      <c r="E18" s="6"/>
    </row>
    <row r="19" spans="1:5" x14ac:dyDescent="0.15">
      <c r="A19" s="5"/>
      <c r="B19" s="3"/>
      <c r="C19" s="54"/>
      <c r="E19" s="6"/>
    </row>
    <row r="20" spans="1:5" x14ac:dyDescent="0.15">
      <c r="A20" s="222" t="s">
        <v>2237</v>
      </c>
      <c r="E20" s="6"/>
    </row>
    <row r="21" spans="1:5" x14ac:dyDescent="0.15">
      <c r="A21" s="5" t="s">
        <v>933</v>
      </c>
      <c r="B21" s="3" t="s">
        <v>932</v>
      </c>
      <c r="C21" s="511">
        <v>1</v>
      </c>
      <c r="D21" s="526" t="s">
        <v>151</v>
      </c>
      <c r="E21" s="6" t="s">
        <v>2556</v>
      </c>
    </row>
    <row r="22" spans="1:5" x14ac:dyDescent="0.15">
      <c r="A22" s="5" t="s">
        <v>545</v>
      </c>
      <c r="B22" s="3" t="s">
        <v>546</v>
      </c>
      <c r="C22" s="511">
        <v>0</v>
      </c>
      <c r="D22" s="526" t="s">
        <v>151</v>
      </c>
      <c r="E22" s="6"/>
    </row>
    <row r="23" spans="1:5" x14ac:dyDescent="0.15">
      <c r="A23" s="5"/>
      <c r="B23" s="3"/>
      <c r="C23" s="54"/>
      <c r="E23" s="6"/>
    </row>
    <row r="24" spans="1:5" x14ac:dyDescent="0.15">
      <c r="A24" s="222" t="s">
        <v>2650</v>
      </c>
      <c r="E24" s="6"/>
    </row>
    <row r="25" spans="1:5" x14ac:dyDescent="0.15">
      <c r="A25" s="223" t="s">
        <v>2606</v>
      </c>
      <c r="B25" s="3" t="s">
        <v>2607</v>
      </c>
      <c r="C25" s="188">
        <v>0</v>
      </c>
      <c r="D25" s="526" t="s">
        <v>2601</v>
      </c>
      <c r="E25" s="6" t="s">
        <v>1835</v>
      </c>
    </row>
    <row r="26" spans="1:5" ht="13.5" customHeight="1" x14ac:dyDescent="0.15">
      <c r="A26" s="5"/>
      <c r="B26" s="3"/>
      <c r="C26" s="54"/>
      <c r="E26" s="6"/>
    </row>
    <row r="27" spans="1:5" x14ac:dyDescent="0.15">
      <c r="A27" s="2" t="s">
        <v>1836</v>
      </c>
      <c r="E27" s="6"/>
    </row>
    <row r="28" spans="1:5" x14ac:dyDescent="0.15">
      <c r="A28" s="5" t="s">
        <v>1003</v>
      </c>
      <c r="B28" s="3" t="s">
        <v>1004</v>
      </c>
      <c r="C28" s="186">
        <v>1</v>
      </c>
      <c r="D28" s="526" t="s">
        <v>151</v>
      </c>
      <c r="E28" s="6"/>
    </row>
    <row r="29" spans="1:5" x14ac:dyDescent="0.15">
      <c r="B29" s="3"/>
      <c r="C29" s="230"/>
      <c r="D29" s="643"/>
      <c r="E29" s="6"/>
    </row>
    <row r="30" spans="1:5" x14ac:dyDescent="0.15">
      <c r="A30" s="2" t="s">
        <v>2241</v>
      </c>
      <c r="E30" s="6"/>
    </row>
    <row r="31" spans="1:5" x14ac:dyDescent="0.15">
      <c r="A31" t="s">
        <v>1013</v>
      </c>
      <c r="B31" s="3" t="s">
        <v>1014</v>
      </c>
      <c r="C31" s="186">
        <v>1</v>
      </c>
      <c r="D31" s="526" t="s">
        <v>151</v>
      </c>
      <c r="E31" s="6"/>
    </row>
    <row r="32" spans="1:5" x14ac:dyDescent="0.15">
      <c r="A32" t="s">
        <v>547</v>
      </c>
      <c r="B32" s="3" t="s">
        <v>548</v>
      </c>
      <c r="C32" s="186">
        <v>0</v>
      </c>
      <c r="D32" s="526" t="s">
        <v>151</v>
      </c>
      <c r="E32" s="6"/>
    </row>
    <row r="33" spans="1:5" x14ac:dyDescent="0.15">
      <c r="A33" t="s">
        <v>167</v>
      </c>
      <c r="B33" s="3" t="s">
        <v>169</v>
      </c>
      <c r="C33" s="188">
        <v>0</v>
      </c>
      <c r="E33" s="6" t="s">
        <v>170</v>
      </c>
    </row>
    <row r="34" spans="1:5" x14ac:dyDescent="0.15">
      <c r="A34" t="s">
        <v>171</v>
      </c>
      <c r="B34" s="3" t="s">
        <v>172</v>
      </c>
      <c r="C34" s="190">
        <v>0</v>
      </c>
      <c r="D34" s="526" t="s">
        <v>151</v>
      </c>
      <c r="E34" s="6" t="s">
        <v>173</v>
      </c>
    </row>
    <row r="35" spans="1:5" x14ac:dyDescent="0.15">
      <c r="A35" t="s">
        <v>174</v>
      </c>
      <c r="B35" s="3" t="s">
        <v>175</v>
      </c>
      <c r="C35" s="190">
        <v>0</v>
      </c>
      <c r="D35" s="526" t="s">
        <v>151</v>
      </c>
      <c r="E35" s="6" t="s">
        <v>176</v>
      </c>
    </row>
    <row r="36" spans="1:5" x14ac:dyDescent="0.15">
      <c r="A36" s="526" t="s">
        <v>1891</v>
      </c>
      <c r="B36" s="551" t="s">
        <v>1892</v>
      </c>
      <c r="C36" s="853">
        <v>1.5</v>
      </c>
      <c r="D36" s="526" t="s">
        <v>601</v>
      </c>
      <c r="E36" s="552" t="s">
        <v>1893</v>
      </c>
    </row>
    <row r="37" spans="1:5" x14ac:dyDescent="0.15">
      <c r="E37" s="6"/>
    </row>
    <row r="38" spans="1:5" x14ac:dyDescent="0.15">
      <c r="A38" s="2" t="s">
        <v>2239</v>
      </c>
      <c r="E38" s="6"/>
    </row>
    <row r="39" spans="1:5" x14ac:dyDescent="0.15">
      <c r="A39" s="5" t="s">
        <v>1007</v>
      </c>
      <c r="B39" s="3" t="s">
        <v>1008</v>
      </c>
      <c r="C39" s="186">
        <v>0</v>
      </c>
      <c r="D39" s="526" t="s">
        <v>151</v>
      </c>
      <c r="E39" s="6" t="s">
        <v>486</v>
      </c>
    </row>
    <row r="40" spans="1:5" x14ac:dyDescent="0.15">
      <c r="A40" s="5" t="s">
        <v>1009</v>
      </c>
      <c r="B40" s="3" t="s">
        <v>1010</v>
      </c>
      <c r="C40" s="186">
        <v>0</v>
      </c>
      <c r="D40" s="526" t="s">
        <v>151</v>
      </c>
      <c r="E40" s="6"/>
    </row>
    <row r="41" spans="1:5" x14ac:dyDescent="0.15">
      <c r="A41" s="5" t="s">
        <v>1011</v>
      </c>
      <c r="B41" s="3" t="s">
        <v>1012</v>
      </c>
      <c r="C41" s="186">
        <v>1</v>
      </c>
      <c r="D41" s="526" t="s">
        <v>151</v>
      </c>
      <c r="E41" s="6"/>
    </row>
    <row r="42" spans="1:5" x14ac:dyDescent="0.15">
      <c r="A42" t="s">
        <v>235</v>
      </c>
      <c r="B42" s="3" t="s">
        <v>1711</v>
      </c>
      <c r="C42" s="66">
        <v>4</v>
      </c>
      <c r="D42" s="526" t="s">
        <v>61</v>
      </c>
      <c r="E42" s="6"/>
    </row>
    <row r="43" spans="1:5" x14ac:dyDescent="0.15">
      <c r="A43" t="s">
        <v>1712</v>
      </c>
      <c r="B43" s="3" t="s">
        <v>1713</v>
      </c>
      <c r="C43" s="66">
        <v>4</v>
      </c>
      <c r="D43" s="526" t="s">
        <v>61</v>
      </c>
      <c r="E43" s="6"/>
    </row>
    <row r="44" spans="1:5" x14ac:dyDescent="0.15">
      <c r="A44" t="s">
        <v>1714</v>
      </c>
      <c r="B44" s="3" t="s">
        <v>1715</v>
      </c>
      <c r="C44" s="66">
        <v>7</v>
      </c>
      <c r="D44" s="526" t="s">
        <v>61</v>
      </c>
      <c r="E44" s="6"/>
    </row>
    <row r="45" spans="1:5" x14ac:dyDescent="0.15">
      <c r="A45" t="s">
        <v>474</v>
      </c>
      <c r="B45" s="3" t="s">
        <v>483</v>
      </c>
      <c r="C45" s="66">
        <v>10</v>
      </c>
      <c r="D45" s="526" t="s">
        <v>61</v>
      </c>
      <c r="E45" s="6"/>
    </row>
    <row r="46" spans="1:5" x14ac:dyDescent="0.15">
      <c r="A46" t="s">
        <v>475</v>
      </c>
      <c r="B46" s="3" t="s">
        <v>476</v>
      </c>
      <c r="C46" s="66">
        <v>25</v>
      </c>
      <c r="D46" s="526" t="s">
        <v>61</v>
      </c>
      <c r="E46" s="6"/>
    </row>
    <row r="47" spans="1:5" x14ac:dyDescent="0.15">
      <c r="A47" t="s">
        <v>477</v>
      </c>
      <c r="B47" s="3" t="s">
        <v>478</v>
      </c>
      <c r="C47" s="66">
        <v>50</v>
      </c>
      <c r="D47" s="526" t="s">
        <v>61</v>
      </c>
      <c r="E47" s="6"/>
    </row>
    <row r="48" spans="1:5" x14ac:dyDescent="0.15">
      <c r="A48" t="s">
        <v>479</v>
      </c>
      <c r="B48" s="3" t="s">
        <v>480</v>
      </c>
      <c r="C48" s="66">
        <v>20</v>
      </c>
      <c r="D48" s="526" t="s">
        <v>61</v>
      </c>
      <c r="E48" s="6" t="s">
        <v>481</v>
      </c>
    </row>
    <row r="49" spans="1:5" x14ac:dyDescent="0.15">
      <c r="A49" t="s">
        <v>1718</v>
      </c>
      <c r="B49" s="3" t="s">
        <v>1719</v>
      </c>
      <c r="C49" s="66">
        <v>2000</v>
      </c>
      <c r="D49" s="526" t="s">
        <v>1068</v>
      </c>
      <c r="E49" s="6" t="s">
        <v>482</v>
      </c>
    </row>
    <row r="50" spans="1:5" x14ac:dyDescent="0.15">
      <c r="A50" t="s">
        <v>2710</v>
      </c>
      <c r="B50" s="3" t="s">
        <v>2711</v>
      </c>
      <c r="C50" s="66">
        <v>4</v>
      </c>
      <c r="E50" s="6"/>
    </row>
    <row r="51" spans="1:5" x14ac:dyDescent="0.15">
      <c r="A51" t="s">
        <v>2712</v>
      </c>
      <c r="B51" s="3" t="s">
        <v>2713</v>
      </c>
      <c r="C51" s="66">
        <v>1000</v>
      </c>
      <c r="D51" s="526" t="s">
        <v>1068</v>
      </c>
      <c r="E51" s="6"/>
    </row>
    <row r="52" spans="1:5" x14ac:dyDescent="0.15">
      <c r="A52" t="s">
        <v>2714</v>
      </c>
      <c r="B52" s="3" t="s">
        <v>2715</v>
      </c>
      <c r="C52" s="66">
        <v>24</v>
      </c>
      <c r="D52" s="526" t="s">
        <v>2716</v>
      </c>
      <c r="E52" s="6"/>
    </row>
    <row r="53" spans="1:5" x14ac:dyDescent="0.15">
      <c r="A53" t="s">
        <v>2717</v>
      </c>
      <c r="B53" s="3" t="s">
        <v>2718</v>
      </c>
      <c r="C53" s="66">
        <v>55.5</v>
      </c>
      <c r="D53" s="526" t="s">
        <v>2719</v>
      </c>
      <c r="E53" s="6" t="s">
        <v>2776</v>
      </c>
    </row>
    <row r="54" spans="1:5" x14ac:dyDescent="0.15">
      <c r="E54" s="6"/>
    </row>
    <row r="55" spans="1:5" x14ac:dyDescent="0.15">
      <c r="A55" s="2" t="s">
        <v>2238</v>
      </c>
      <c r="E55" s="6"/>
    </row>
    <row r="56" spans="1:5" x14ac:dyDescent="0.15">
      <c r="A56" s="5" t="s">
        <v>1005</v>
      </c>
      <c r="B56" s="3" t="s">
        <v>1006</v>
      </c>
      <c r="C56" s="186">
        <v>1</v>
      </c>
      <c r="D56" s="526" t="s">
        <v>151</v>
      </c>
      <c r="E56" s="6"/>
    </row>
    <row r="57" spans="1:5" x14ac:dyDescent="0.15">
      <c r="A57" t="s">
        <v>2777</v>
      </c>
      <c r="B57" s="3" t="s">
        <v>2778</v>
      </c>
      <c r="C57" s="66">
        <v>38</v>
      </c>
      <c r="D57" s="526" t="s">
        <v>973</v>
      </c>
      <c r="E57" s="6" t="s">
        <v>233</v>
      </c>
    </row>
    <row r="58" spans="1:5" x14ac:dyDescent="0.15">
      <c r="A58" t="s">
        <v>2779</v>
      </c>
      <c r="B58" s="3" t="s">
        <v>2780</v>
      </c>
      <c r="C58" s="66">
        <v>36</v>
      </c>
      <c r="D58" s="526" t="s">
        <v>973</v>
      </c>
      <c r="E58" s="6" t="s">
        <v>2781</v>
      </c>
    </row>
    <row r="59" spans="1:5" x14ac:dyDescent="0.15">
      <c r="A59" t="s">
        <v>2782</v>
      </c>
      <c r="B59" s="3" t="s">
        <v>2783</v>
      </c>
      <c r="C59" s="66">
        <v>97</v>
      </c>
      <c r="D59" s="526" t="s">
        <v>2784</v>
      </c>
      <c r="E59" s="6" t="s">
        <v>1616</v>
      </c>
    </row>
    <row r="60" spans="1:5" x14ac:dyDescent="0.15">
      <c r="A60" t="s">
        <v>1617</v>
      </c>
      <c r="B60" s="3" t="s">
        <v>1618</v>
      </c>
      <c r="C60" s="66">
        <v>3</v>
      </c>
      <c r="E60" s="6"/>
    </row>
    <row r="61" spans="1:5" x14ac:dyDescent="0.15">
      <c r="A61" t="s">
        <v>1619</v>
      </c>
      <c r="B61" s="3" t="s">
        <v>1620</v>
      </c>
      <c r="C61" s="66">
        <v>0.46700000000000003</v>
      </c>
      <c r="E61" s="6"/>
    </row>
    <row r="62" spans="1:5" x14ac:dyDescent="0.15">
      <c r="A62" t="s">
        <v>1621</v>
      </c>
      <c r="B62" s="3" t="s">
        <v>1622</v>
      </c>
      <c r="C62" s="66">
        <v>6</v>
      </c>
      <c r="D62" s="526" t="s">
        <v>973</v>
      </c>
      <c r="E62" s="6"/>
    </row>
    <row r="63" spans="1:5" x14ac:dyDescent="0.15">
      <c r="A63" t="s">
        <v>1623</v>
      </c>
      <c r="B63" s="3" t="s">
        <v>1624</v>
      </c>
      <c r="C63" s="188">
        <v>0.25</v>
      </c>
      <c r="D63" s="526" t="s">
        <v>1625</v>
      </c>
      <c r="E63" s="6"/>
    </row>
    <row r="64" spans="1:5" x14ac:dyDescent="0.15">
      <c r="A64" s="81" t="s">
        <v>1626</v>
      </c>
      <c r="B64" s="3" t="s">
        <v>1627</v>
      </c>
      <c r="C64" s="66">
        <f>RADIANS(45)</f>
        <v>0.78539816339744828</v>
      </c>
      <c r="D64" s="526" t="s">
        <v>1628</v>
      </c>
      <c r="E64" s="6"/>
    </row>
    <row r="65" spans="1:5" x14ac:dyDescent="0.15">
      <c r="A65" t="s">
        <v>1629</v>
      </c>
      <c r="B65" s="3" t="s">
        <v>1630</v>
      </c>
      <c r="C65" s="66">
        <v>0</v>
      </c>
      <c r="D65" s="526" t="s">
        <v>61</v>
      </c>
      <c r="E65" s="6" t="s">
        <v>597</v>
      </c>
    </row>
    <row r="66" spans="1:5" x14ac:dyDescent="0.15">
      <c r="A66" t="s">
        <v>598</v>
      </c>
      <c r="B66" s="3" t="s">
        <v>599</v>
      </c>
      <c r="C66" s="66">
        <v>0</v>
      </c>
      <c r="D66" s="526" t="s">
        <v>61</v>
      </c>
      <c r="E66" s="6" t="s">
        <v>600</v>
      </c>
    </row>
    <row r="68" spans="1:5" x14ac:dyDescent="0.15">
      <c r="A68" s="222" t="s">
        <v>2242</v>
      </c>
      <c r="B68" s="3"/>
      <c r="C68" s="49"/>
      <c r="E68" s="6"/>
    </row>
    <row r="69" spans="1:5" x14ac:dyDescent="0.15">
      <c r="A69" s="5" t="s">
        <v>1015</v>
      </c>
      <c r="B69" s="3" t="s">
        <v>1016</v>
      </c>
      <c r="C69" s="188">
        <v>0.1</v>
      </c>
      <c r="D69" s="526" t="s">
        <v>1017</v>
      </c>
      <c r="E69" s="221"/>
    </row>
    <row r="70" spans="1:5" x14ac:dyDescent="0.15">
      <c r="A70" s="5"/>
      <c r="B70" s="3"/>
      <c r="C70" s="54"/>
      <c r="E70" s="221"/>
    </row>
    <row r="71" spans="1:5" x14ac:dyDescent="0.15">
      <c r="A71" s="222" t="s">
        <v>2243</v>
      </c>
      <c r="E71" s="6"/>
    </row>
    <row r="72" spans="1:5" x14ac:dyDescent="0.15">
      <c r="A72" t="s">
        <v>1018</v>
      </c>
      <c r="B72" s="3" t="s">
        <v>1019</v>
      </c>
      <c r="C72" s="188">
        <v>0</v>
      </c>
      <c r="D72" s="526" t="s">
        <v>1017</v>
      </c>
      <c r="E72" s="6" t="s">
        <v>1020</v>
      </c>
    </row>
    <row r="73" spans="1:5" x14ac:dyDescent="0.15">
      <c r="B73" s="3"/>
      <c r="C73" s="54"/>
      <c r="E73" s="6"/>
    </row>
    <row r="74" spans="1:5" x14ac:dyDescent="0.15">
      <c r="A74" s="2" t="s">
        <v>2246</v>
      </c>
      <c r="E74" s="6"/>
    </row>
    <row r="75" spans="1:5" x14ac:dyDescent="0.15">
      <c r="A75" s="5" t="s">
        <v>549</v>
      </c>
      <c r="B75" s="3" t="s">
        <v>550</v>
      </c>
      <c r="C75" s="186">
        <v>0</v>
      </c>
      <c r="D75" s="526" t="s">
        <v>151</v>
      </c>
      <c r="E75" s="6"/>
    </row>
    <row r="76" spans="1:5" x14ac:dyDescent="0.15">
      <c r="A76" s="5" t="s">
        <v>551</v>
      </c>
      <c r="B76" s="3" t="s">
        <v>552</v>
      </c>
      <c r="C76" s="186">
        <v>0</v>
      </c>
      <c r="D76" s="526" t="s">
        <v>151</v>
      </c>
      <c r="E76" s="6"/>
    </row>
    <row r="77" spans="1:5" x14ac:dyDescent="0.15">
      <c r="A77" s="5" t="s">
        <v>553</v>
      </c>
      <c r="B77" s="3" t="s">
        <v>554</v>
      </c>
      <c r="C77" s="186">
        <v>1</v>
      </c>
      <c r="D77" s="526" t="s">
        <v>151</v>
      </c>
      <c r="E77" s="6"/>
    </row>
    <row r="78" spans="1:5" x14ac:dyDescent="0.15">
      <c r="A78" t="s">
        <v>164</v>
      </c>
      <c r="B78" s="3" t="s">
        <v>165</v>
      </c>
      <c r="C78" s="194">
        <v>1.5</v>
      </c>
      <c r="E78" s="6" t="s">
        <v>166</v>
      </c>
    </row>
    <row r="80" spans="1:5" x14ac:dyDescent="0.15">
      <c r="A80" s="2" t="s">
        <v>2247</v>
      </c>
      <c r="E80" s="6"/>
    </row>
    <row r="81" spans="1:5" x14ac:dyDescent="0.15">
      <c r="A81" s="5" t="s">
        <v>1021</v>
      </c>
      <c r="B81" s="3" t="s">
        <v>1022</v>
      </c>
      <c r="C81" s="188">
        <v>0.2</v>
      </c>
      <c r="D81" s="526" t="s">
        <v>2601</v>
      </c>
      <c r="E81" s="221" t="s">
        <v>1023</v>
      </c>
    </row>
    <row r="82" spans="1:5" x14ac:dyDescent="0.15">
      <c r="A82" s="5" t="s">
        <v>1024</v>
      </c>
      <c r="B82" s="3" t="s">
        <v>1025</v>
      </c>
      <c r="C82" s="188">
        <v>0.12</v>
      </c>
      <c r="D82" s="526" t="s">
        <v>2601</v>
      </c>
      <c r="E82" s="6"/>
    </row>
    <row r="83" spans="1:5" x14ac:dyDescent="0.15">
      <c r="A83" s="5" t="s">
        <v>1026</v>
      </c>
      <c r="B83" s="3" t="s">
        <v>1027</v>
      </c>
      <c r="C83" s="188">
        <v>0.08</v>
      </c>
      <c r="D83" s="526" t="s">
        <v>2601</v>
      </c>
      <c r="E83" s="6"/>
    </row>
    <row r="84" spans="1:5" x14ac:dyDescent="0.15">
      <c r="E84" s="6"/>
    </row>
    <row r="85" spans="1:5" x14ac:dyDescent="0.15">
      <c r="A85" s="222" t="s">
        <v>45</v>
      </c>
      <c r="E85" s="6"/>
    </row>
    <row r="86" spans="1:5" x14ac:dyDescent="0.15">
      <c r="A86" s="223" t="s">
        <v>1028</v>
      </c>
      <c r="B86" s="224" t="s">
        <v>1029</v>
      </c>
      <c r="C86" s="225">
        <v>0.1</v>
      </c>
      <c r="D86" s="526" t="s">
        <v>2601</v>
      </c>
      <c r="E86" s="221" t="s">
        <v>2311</v>
      </c>
    </row>
    <row r="87" spans="1:5" x14ac:dyDescent="0.15">
      <c r="A87" s="223"/>
      <c r="B87" s="226"/>
      <c r="C87" s="227"/>
      <c r="E87" s="221"/>
    </row>
    <row r="88" spans="1:5" x14ac:dyDescent="0.15">
      <c r="A88" s="222" t="s">
        <v>1306</v>
      </c>
      <c r="B88" s="226"/>
      <c r="C88" s="227"/>
      <c r="E88" s="221"/>
    </row>
    <row r="89" spans="1:5" x14ac:dyDescent="0.15">
      <c r="A89" s="223" t="s">
        <v>968</v>
      </c>
      <c r="B89" s="224" t="s">
        <v>969</v>
      </c>
      <c r="C89" s="225">
        <v>0.02</v>
      </c>
      <c r="D89" s="526" t="s">
        <v>2601</v>
      </c>
      <c r="E89" s="221" t="s">
        <v>588</v>
      </c>
    </row>
    <row r="90" spans="1:5" x14ac:dyDescent="0.15">
      <c r="A90" s="223"/>
      <c r="B90" s="226"/>
      <c r="C90" s="227"/>
      <c r="E90" s="221"/>
    </row>
    <row r="91" spans="1:5" x14ac:dyDescent="0.15">
      <c r="A91" s="222" t="s">
        <v>1307</v>
      </c>
      <c r="B91" s="226"/>
      <c r="C91" s="227"/>
      <c r="E91" s="221"/>
    </row>
    <row r="92" spans="1:5" x14ac:dyDescent="0.15">
      <c r="A92" s="223" t="s">
        <v>589</v>
      </c>
      <c r="B92" s="224" t="s">
        <v>590</v>
      </c>
      <c r="C92" s="225">
        <v>0</v>
      </c>
      <c r="D92" s="526" t="s">
        <v>2601</v>
      </c>
      <c r="E92" s="221" t="s">
        <v>717</v>
      </c>
    </row>
    <row r="93" spans="1:5" x14ac:dyDescent="0.15">
      <c r="A93" s="5"/>
      <c r="B93" s="226"/>
      <c r="C93" s="227"/>
      <c r="E93" s="221"/>
    </row>
    <row r="94" spans="1:5" x14ac:dyDescent="0.15">
      <c r="A94" s="2" t="s">
        <v>718</v>
      </c>
      <c r="B94" s="226"/>
      <c r="C94" s="227"/>
      <c r="E94" s="221"/>
    </row>
    <row r="95" spans="1:5" x14ac:dyDescent="0.15">
      <c r="A95" s="5" t="s">
        <v>591</v>
      </c>
      <c r="B95" s="224" t="s">
        <v>592</v>
      </c>
      <c r="C95" s="228">
        <v>0.05</v>
      </c>
      <c r="D95" s="526" t="s">
        <v>2601</v>
      </c>
      <c r="E95" s="221" t="s">
        <v>593</v>
      </c>
    </row>
    <row r="96" spans="1:5" x14ac:dyDescent="0.15">
      <c r="A96" s="5" t="s">
        <v>555</v>
      </c>
      <c r="B96" s="224" t="s">
        <v>556</v>
      </c>
      <c r="C96" s="560">
        <v>0</v>
      </c>
      <c r="D96" s="526" t="s">
        <v>2601</v>
      </c>
      <c r="E96" s="221" t="s">
        <v>557</v>
      </c>
    </row>
    <row r="98" spans="1:6" x14ac:dyDescent="0.15">
      <c r="A98" s="321" t="s">
        <v>2557</v>
      </c>
      <c r="B98" s="224"/>
    </row>
    <row r="99" spans="1:6" x14ac:dyDescent="0.15">
      <c r="A99" t="s">
        <v>2558</v>
      </c>
      <c r="B99" s="224" t="s">
        <v>2559</v>
      </c>
      <c r="C99" s="513">
        <v>3.3999999999999998E-3</v>
      </c>
      <c r="E99" s="221" t="s">
        <v>2560</v>
      </c>
    </row>
    <row r="100" spans="1:6" x14ac:dyDescent="0.15">
      <c r="A100" t="s">
        <v>2561</v>
      </c>
      <c r="B100" s="224" t="s">
        <v>2562</v>
      </c>
      <c r="C100" s="512">
        <v>1</v>
      </c>
      <c r="D100" s="526" t="s">
        <v>151</v>
      </c>
      <c r="E100" s="221"/>
    </row>
    <row r="101" spans="1:6" x14ac:dyDescent="0.15">
      <c r="A101" t="s">
        <v>1898</v>
      </c>
      <c r="B101" s="224" t="s">
        <v>1899</v>
      </c>
      <c r="C101" s="512">
        <v>1</v>
      </c>
      <c r="D101" s="526" t="s">
        <v>151</v>
      </c>
      <c r="E101" s="221"/>
    </row>
    <row r="102" spans="1:6" x14ac:dyDescent="0.15">
      <c r="A102" t="s">
        <v>1832</v>
      </c>
      <c r="B102" s="224" t="s">
        <v>1833</v>
      </c>
      <c r="C102" s="512">
        <v>0</v>
      </c>
      <c r="D102" s="526" t="s">
        <v>151</v>
      </c>
    </row>
    <row r="103" spans="1:6" x14ac:dyDescent="0.15">
      <c r="B103" s="224"/>
      <c r="C103" s="716"/>
    </row>
    <row r="104" spans="1:6" ht="14" thickBot="1" x14ac:dyDescent="0.2">
      <c r="A104" s="658" t="s">
        <v>814</v>
      </c>
    </row>
    <row r="105" spans="1:6" x14ac:dyDescent="0.15">
      <c r="A105" s="491"/>
      <c r="B105" s="502"/>
      <c r="C105" s="494" t="s">
        <v>2887</v>
      </c>
      <c r="D105" s="732"/>
      <c r="E105" s="495"/>
    </row>
    <row r="106" spans="1:6" x14ac:dyDescent="0.15">
      <c r="A106" s="492" t="s">
        <v>815</v>
      </c>
      <c r="C106" s="496" t="s">
        <v>1321</v>
      </c>
      <c r="D106" s="729" t="s">
        <v>1322</v>
      </c>
      <c r="E106" s="497" t="s">
        <v>1323</v>
      </c>
    </row>
    <row r="107" spans="1:6" x14ac:dyDescent="0.15">
      <c r="A107" s="493" t="s">
        <v>816</v>
      </c>
      <c r="C107" s="321"/>
      <c r="D107" s="2"/>
      <c r="E107" s="498"/>
    </row>
    <row r="108" spans="1:6" x14ac:dyDescent="0.15">
      <c r="A108" s="65" t="s">
        <v>2317</v>
      </c>
      <c r="B108" s="3" t="s">
        <v>2313</v>
      </c>
      <c r="C108" s="499">
        <v>0</v>
      </c>
      <c r="D108" s="499">
        <v>1</v>
      </c>
      <c r="E108" s="500">
        <v>1</v>
      </c>
      <c r="F108" s="3"/>
    </row>
    <row r="109" spans="1:6" x14ac:dyDescent="0.15">
      <c r="A109" s="65" t="s">
        <v>2318</v>
      </c>
      <c r="C109" s="499">
        <v>1</v>
      </c>
      <c r="D109" s="499">
        <v>1</v>
      </c>
      <c r="E109" s="500">
        <v>1</v>
      </c>
    </row>
    <row r="110" spans="1:6" x14ac:dyDescent="0.15">
      <c r="A110" s="65" t="s">
        <v>2319</v>
      </c>
      <c r="C110" s="499">
        <v>1</v>
      </c>
      <c r="D110" s="499">
        <v>1</v>
      </c>
      <c r="E110" s="500">
        <v>1</v>
      </c>
    </row>
    <row r="111" spans="1:6" x14ac:dyDescent="0.15">
      <c r="A111" s="493" t="s">
        <v>817</v>
      </c>
      <c r="E111" s="501"/>
    </row>
    <row r="112" spans="1:6" x14ac:dyDescent="0.15">
      <c r="A112" s="65" t="s">
        <v>2317</v>
      </c>
      <c r="B112" s="3" t="s">
        <v>2314</v>
      </c>
      <c r="C112" s="66">
        <v>0</v>
      </c>
      <c r="D112" s="499">
        <v>0</v>
      </c>
      <c r="E112" s="67">
        <v>1</v>
      </c>
      <c r="F112" s="3"/>
    </row>
    <row r="113" spans="1:6" x14ac:dyDescent="0.15">
      <c r="A113" s="65" t="s">
        <v>2318</v>
      </c>
      <c r="C113" s="66">
        <v>0</v>
      </c>
      <c r="D113" s="499">
        <v>0</v>
      </c>
      <c r="E113" s="67">
        <v>1</v>
      </c>
    </row>
    <row r="114" spans="1:6" ht="14" thickBot="1" x14ac:dyDescent="0.2">
      <c r="A114" s="68" t="s">
        <v>2319</v>
      </c>
      <c r="B114" s="503"/>
      <c r="C114" s="70">
        <v>1</v>
      </c>
      <c r="D114" s="727">
        <v>1</v>
      </c>
      <c r="E114" s="71">
        <v>1</v>
      </c>
    </row>
    <row r="116" spans="1:6" ht="14" thickBot="1" x14ac:dyDescent="0.2">
      <c r="A116" s="659" t="s">
        <v>818</v>
      </c>
    </row>
    <row r="117" spans="1:6" x14ac:dyDescent="0.15">
      <c r="A117" s="491"/>
      <c r="B117" s="502"/>
      <c r="C117" s="494" t="s">
        <v>2887</v>
      </c>
      <c r="D117" s="732"/>
      <c r="E117" s="495"/>
    </row>
    <row r="118" spans="1:6" x14ac:dyDescent="0.15">
      <c r="A118" s="492" t="s">
        <v>2312</v>
      </c>
      <c r="C118" s="496" t="s">
        <v>1321</v>
      </c>
      <c r="D118" s="729" t="s">
        <v>1322</v>
      </c>
      <c r="E118" s="497" t="s">
        <v>1323</v>
      </c>
    </row>
    <row r="119" spans="1:6" x14ac:dyDescent="0.15">
      <c r="A119" s="493" t="s">
        <v>816</v>
      </c>
      <c r="C119" s="321"/>
      <c r="D119" s="2"/>
      <c r="E119" s="498"/>
    </row>
    <row r="120" spans="1:6" x14ac:dyDescent="0.15">
      <c r="A120" s="65" t="s">
        <v>2317</v>
      </c>
      <c r="B120" s="3" t="s">
        <v>2315</v>
      </c>
      <c r="C120" s="499">
        <v>0</v>
      </c>
      <c r="D120" s="499">
        <v>0</v>
      </c>
      <c r="E120" s="500">
        <v>1</v>
      </c>
      <c r="F120" s="3"/>
    </row>
    <row r="121" spans="1:6" x14ac:dyDescent="0.15">
      <c r="A121" s="65" t="s">
        <v>2318</v>
      </c>
      <c r="C121" s="499">
        <v>0</v>
      </c>
      <c r="D121" s="499">
        <v>1</v>
      </c>
      <c r="E121" s="500">
        <v>1</v>
      </c>
    </row>
    <row r="122" spans="1:6" x14ac:dyDescent="0.15">
      <c r="A122" s="65" t="s">
        <v>2319</v>
      </c>
      <c r="C122" s="499">
        <v>1</v>
      </c>
      <c r="D122" s="499">
        <v>1</v>
      </c>
      <c r="E122" s="500">
        <v>1</v>
      </c>
    </row>
    <row r="123" spans="1:6" x14ac:dyDescent="0.15">
      <c r="A123" s="493" t="s">
        <v>817</v>
      </c>
      <c r="B123" s="6"/>
      <c r="E123" s="501"/>
      <c r="F123" s="6"/>
    </row>
    <row r="124" spans="1:6" x14ac:dyDescent="0.15">
      <c r="A124" s="65" t="s">
        <v>2317</v>
      </c>
      <c r="B124" s="3" t="s">
        <v>2316</v>
      </c>
      <c r="C124" s="66">
        <v>0</v>
      </c>
      <c r="D124" s="499">
        <v>0</v>
      </c>
      <c r="E124" s="67">
        <v>0</v>
      </c>
      <c r="F124" s="3"/>
    </row>
    <row r="125" spans="1:6" x14ac:dyDescent="0.15">
      <c r="A125" s="65" t="s">
        <v>2318</v>
      </c>
      <c r="C125" s="66">
        <v>0</v>
      </c>
      <c r="D125" s="499">
        <v>0</v>
      </c>
      <c r="E125" s="67">
        <v>0</v>
      </c>
    </row>
    <row r="126" spans="1:6" ht="14" thickBot="1" x14ac:dyDescent="0.2">
      <c r="A126" s="68" t="s">
        <v>2319</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sheetView>
  </sheetViews>
  <sheetFormatPr baseColWidth="10" defaultColWidth="9.1640625" defaultRowHeight="13" x14ac:dyDescent="0.15"/>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x14ac:dyDescent="0.15">
      <c r="A1" s="1" t="s">
        <v>2951</v>
      </c>
      <c r="B1" s="3"/>
    </row>
    <row r="2" spans="1:5" x14ac:dyDescent="0.15">
      <c r="A2" s="6" t="s">
        <v>829</v>
      </c>
    </row>
    <row r="3" spans="1:5" x14ac:dyDescent="0.15">
      <c r="A3" s="6"/>
    </row>
    <row r="4" spans="1:5" s="651" customFormat="1" x14ac:dyDescent="0.15">
      <c r="A4" s="206" t="s">
        <v>2952</v>
      </c>
      <c r="B4" s="206" t="s">
        <v>277</v>
      </c>
      <c r="C4" s="207" t="s">
        <v>278</v>
      </c>
      <c r="D4" s="206" t="s">
        <v>279</v>
      </c>
      <c r="E4" s="206" t="s">
        <v>280</v>
      </c>
    </row>
    <row r="5" spans="1:5" x14ac:dyDescent="0.15">
      <c r="A5" s="2" t="s">
        <v>658</v>
      </c>
    </row>
    <row r="6" spans="1:5" x14ac:dyDescent="0.15">
      <c r="A6" s="660" t="s">
        <v>53</v>
      </c>
      <c r="B6" s="22" t="s">
        <v>1061</v>
      </c>
      <c r="C6" s="16">
        <f>IF(df_units="gpm",(1-bp_pct)*design_flow_I*24*60/1000000,(1-bp_pct)*design_flow_I)</f>
        <v>2.1520000000000001</v>
      </c>
      <c r="D6" s="651" t="s">
        <v>51</v>
      </c>
      <c r="E6" s="792" t="s">
        <v>925</v>
      </c>
    </row>
    <row r="7" spans="1:5" x14ac:dyDescent="0.15">
      <c r="A7" s="660" t="s">
        <v>55</v>
      </c>
      <c r="B7" s="22" t="s">
        <v>1062</v>
      </c>
      <c r="C7" s="16">
        <f>(1-bp_pct)*IF(af_units="gpm",average_flow_I*24*60/1000000,IF(af_units="fraction of design flow",average_flow_I*design_flow,average_flow_I))</f>
        <v>2.1520000000000001</v>
      </c>
      <c r="D7" s="651" t="s">
        <v>51</v>
      </c>
      <c r="E7" s="792" t="s">
        <v>925</v>
      </c>
    </row>
    <row r="8" spans="1:5" x14ac:dyDescent="0.15">
      <c r="A8" s="660" t="s">
        <v>1063</v>
      </c>
      <c r="B8" s="22" t="s">
        <v>1064</v>
      </c>
      <c r="C8" s="18">
        <f>design_flow*1000000/(24*60)</f>
        <v>1494.4444444444443</v>
      </c>
      <c r="D8" s="651" t="s">
        <v>142</v>
      </c>
      <c r="E8" s="6" t="s">
        <v>2878</v>
      </c>
    </row>
    <row r="9" spans="1:5" x14ac:dyDescent="0.15">
      <c r="A9" s="660" t="s">
        <v>2680</v>
      </c>
      <c r="B9" s="22" t="s">
        <v>2506</v>
      </c>
      <c r="C9" s="18">
        <f>average_flow*1000000/(24*60)</f>
        <v>1494.4444444444443</v>
      </c>
      <c r="D9" s="651" t="s">
        <v>142</v>
      </c>
      <c r="E9" s="6" t="s">
        <v>2879</v>
      </c>
    </row>
    <row r="10" spans="1:5" x14ac:dyDescent="0.15">
      <c r="A10" s="660" t="s">
        <v>1204</v>
      </c>
      <c r="B10" s="22" t="s">
        <v>1205</v>
      </c>
      <c r="C10" s="18">
        <f>bp_pct/(1-bp_pct)*design_flow_rate</f>
        <v>0</v>
      </c>
      <c r="D10" s="651" t="s">
        <v>142</v>
      </c>
    </row>
    <row r="11" spans="1:5" x14ac:dyDescent="0.15">
      <c r="A11" s="660" t="s">
        <v>3211</v>
      </c>
      <c r="B11" s="3" t="s">
        <v>3212</v>
      </c>
      <c r="C11" s="776">
        <v>1</v>
      </c>
      <c r="D11" s="730" t="s">
        <v>3213</v>
      </c>
    </row>
    <row r="12" spans="1:5" x14ac:dyDescent="0.15">
      <c r="A12" s="660" t="s">
        <v>1507</v>
      </c>
      <c r="B12" s="3" t="s">
        <v>57</v>
      </c>
      <c r="C12" s="44">
        <f>EBCT_I</f>
        <v>3</v>
      </c>
      <c r="D12" s="526" t="s">
        <v>60</v>
      </c>
    </row>
    <row r="13" spans="1:5" x14ac:dyDescent="0.15">
      <c r="A13" s="660" t="s">
        <v>58</v>
      </c>
      <c r="B13" s="3" t="s">
        <v>63</v>
      </c>
      <c r="C13" s="44">
        <f>num_tanks_I</f>
        <v>2</v>
      </c>
      <c r="D13" s="526" t="s">
        <v>64</v>
      </c>
    </row>
    <row r="14" spans="1:5" x14ac:dyDescent="0.15">
      <c r="A14" s="660" t="s">
        <v>160</v>
      </c>
      <c r="B14" s="3" t="s">
        <v>1059</v>
      </c>
      <c r="C14" s="14">
        <f>IF(tank_geom_I="horizontal",2,1)</f>
        <v>1</v>
      </c>
      <c r="D14" s="526" t="s">
        <v>659</v>
      </c>
    </row>
    <row r="15" spans="1:5" x14ac:dyDescent="0.15">
      <c r="C15" s="18"/>
    </row>
    <row r="16" spans="1:5" x14ac:dyDescent="0.15">
      <c r="A16" s="2" t="s">
        <v>830</v>
      </c>
      <c r="C16" s="18"/>
    </row>
    <row r="17" spans="1:5" x14ac:dyDescent="0.15">
      <c r="A17" s="660" t="s">
        <v>1928</v>
      </c>
      <c r="B17" s="3" t="s">
        <v>1929</v>
      </c>
      <c r="C17" s="112">
        <f>max_vessel_diam_cl</f>
        <v>14</v>
      </c>
      <c r="D17" s="526" t="s">
        <v>61</v>
      </c>
    </row>
    <row r="18" spans="1:5" x14ac:dyDescent="0.15">
      <c r="A18" s="660" t="s">
        <v>962</v>
      </c>
      <c r="B18" s="3" t="s">
        <v>961</v>
      </c>
      <c r="C18" s="112">
        <f>min_vessel_diam_cl</f>
        <v>1.5</v>
      </c>
      <c r="D18" s="651" t="s">
        <v>61</v>
      </c>
    </row>
    <row r="19" spans="1:5" x14ac:dyDescent="0.15">
      <c r="A19" s="660" t="s">
        <v>963</v>
      </c>
      <c r="B19" s="3" t="s">
        <v>223</v>
      </c>
      <c r="C19" s="381">
        <f>IF(max_diam_override&gt;0,max_diam_override,max_diam_std_size)</f>
        <v>14</v>
      </c>
      <c r="D19" s="526" t="s">
        <v>61</v>
      </c>
      <c r="E19" s="6" t="s">
        <v>1930</v>
      </c>
    </row>
    <row r="20" spans="1:5" x14ac:dyDescent="0.15">
      <c r="A20"/>
      <c r="B20" s="3"/>
      <c r="C20" s="112"/>
    </row>
    <row r="21" spans="1:5" x14ac:dyDescent="0.15">
      <c r="A21" s="2" t="s">
        <v>831</v>
      </c>
      <c r="C21" s="18"/>
    </row>
    <row r="22" spans="1:5" x14ac:dyDescent="0.15">
      <c r="A22" s="660" t="s">
        <v>1065</v>
      </c>
      <c r="B22" s="22" t="s">
        <v>1073</v>
      </c>
      <c r="C22" s="16">
        <f>EBCT/Num_tanks</f>
        <v>1.5</v>
      </c>
      <c r="D22" s="651" t="s">
        <v>60</v>
      </c>
    </row>
    <row r="23" spans="1:5" x14ac:dyDescent="0.15">
      <c r="A23" s="660" t="s">
        <v>1069</v>
      </c>
      <c r="B23" s="22" t="s">
        <v>1070</v>
      </c>
      <c r="C23" s="16">
        <f>IF(tank_geom=1,(comm_diam-(2*Vessel_thickness))^2*PI()/4,IF(tank_geom=2,(comm_diam-(2*Vessel_thickness))*comm_height_length,0))</f>
        <v>132.73228961416876</v>
      </c>
      <c r="D23" s="651" t="s">
        <v>1068</v>
      </c>
      <c r="E23" s="20"/>
    </row>
    <row r="24" spans="1:5" x14ac:dyDescent="0.15">
      <c r="A24" s="660" t="s">
        <v>2608</v>
      </c>
      <c r="B24" s="3" t="s">
        <v>2609</v>
      </c>
      <c r="C24" s="16" t="str">
        <f>IF(tank_geom=2,comm_diam-bed_depth-horiz_underdrain,"NA")</f>
        <v>NA</v>
      </c>
      <c r="D24" s="526" t="s">
        <v>2845</v>
      </c>
      <c r="E24" s="20"/>
    </row>
    <row r="25" spans="1:5" x14ac:dyDescent="0.15">
      <c r="A25" s="660" t="s">
        <v>1482</v>
      </c>
      <c r="B25" s="3" t="s">
        <v>1483</v>
      </c>
      <c r="C25" s="37" t="str">
        <f>IF(tank_geom=2,comm_height_length*(comm_diam*comm_diam/2*ASIN(SQRT(distance_above/comm_diam))-(comm_diam/2-distance_above)*SQRT((comm_diam-distance_above)*distance_above)),"NA")</f>
        <v>NA</v>
      </c>
      <c r="D25" s="526" t="s">
        <v>1118</v>
      </c>
      <c r="E25" s="20"/>
    </row>
    <row r="26" spans="1:5" x14ac:dyDescent="0.15">
      <c r="A26" s="660" t="s">
        <v>1071</v>
      </c>
      <c r="B26" s="22" t="s">
        <v>1072</v>
      </c>
      <c r="C26" s="18">
        <f>IF(tank_geom=1,(max_sa*bed_depth*7.48)/EBCT_tank,media_volume*7.48/EBCT_tank)</f>
        <v>1588.5400421023717</v>
      </c>
      <c r="D26" s="651" t="s">
        <v>142</v>
      </c>
      <c r="E26" s="6" t="s">
        <v>1919</v>
      </c>
    </row>
    <row r="27" spans="1:5" x14ac:dyDescent="0.15">
      <c r="A27" s="660" t="s">
        <v>380</v>
      </c>
      <c r="B27" s="22" t="s">
        <v>1074</v>
      </c>
      <c r="C27" s="16">
        <f>ROUNDUP(design_flow_rate/flow_per_vessel,0)</f>
        <v>1</v>
      </c>
      <c r="D27" s="651" t="s">
        <v>1075</v>
      </c>
    </row>
    <row r="28" spans="1:5" x14ac:dyDescent="0.15">
      <c r="A28" s="660" t="s">
        <v>564</v>
      </c>
      <c r="B28" s="22" t="s">
        <v>565</v>
      </c>
      <c r="C28" s="16">
        <f>ROUNDUP(design_flow_rate/flow_per_vessel,0)*Num_tanks</f>
        <v>2</v>
      </c>
      <c r="D28" s="651" t="s">
        <v>64</v>
      </c>
    </row>
    <row r="29" spans="1:5" x14ac:dyDescent="0.15">
      <c r="A29" s="660" t="s">
        <v>256</v>
      </c>
      <c r="B29" s="22" t="s">
        <v>1076</v>
      </c>
      <c r="C29" s="16">
        <f>IF(NRD_I&lt;&gt;"",NRD_I,IF(design_flow&gt;=1,ROUNDUP(num_treat_lines/redund_freq,0),IF(op_num_tanks=1,NRD_small_1,NRD_small)))</f>
        <v>1</v>
      </c>
    </row>
    <row r="30" spans="1:5" x14ac:dyDescent="0.15">
      <c r="A30" s="660" t="s">
        <v>562</v>
      </c>
      <c r="B30" s="22" t="s">
        <v>563</v>
      </c>
      <c r="C30" s="16">
        <f>op_num_tanks+NRD</f>
        <v>3</v>
      </c>
      <c r="D30" s="651" t="s">
        <v>64</v>
      </c>
    </row>
    <row r="32" spans="1:5" x14ac:dyDescent="0.15">
      <c r="A32" s="2" t="s">
        <v>1576</v>
      </c>
    </row>
    <row r="33" spans="1:4" x14ac:dyDescent="0.15">
      <c r="A33" s="660" t="s">
        <v>15</v>
      </c>
      <c r="B33" s="22" t="s">
        <v>1117</v>
      </c>
      <c r="C33" s="17">
        <f>design_flow_rate*EBCT/(7.481)</f>
        <v>599.29599429666257</v>
      </c>
      <c r="D33" s="651" t="s">
        <v>1118</v>
      </c>
    </row>
    <row r="34" spans="1:4" x14ac:dyDescent="0.15">
      <c r="A34" s="660" t="s">
        <v>1920</v>
      </c>
      <c r="B34" s="22" t="s">
        <v>1119</v>
      </c>
      <c r="C34" s="17">
        <f>contact_material/op_num_tanks</f>
        <v>299.64799714833129</v>
      </c>
      <c r="D34" s="651" t="s">
        <v>1118</v>
      </c>
    </row>
    <row r="35" spans="1:4" x14ac:dyDescent="0.15">
      <c r="A35" s="660" t="s">
        <v>16</v>
      </c>
      <c r="B35" s="22" t="s">
        <v>1120</v>
      </c>
      <c r="C35" s="17">
        <f>contact_mat_per_vessel*(1+bed_expansion)</f>
        <v>449.4719957224969</v>
      </c>
      <c r="D35" s="651" t="s">
        <v>1118</v>
      </c>
    </row>
    <row r="36" spans="1:4" ht="13.5" customHeight="1" x14ac:dyDescent="0.15">
      <c r="A36" s="660" t="s">
        <v>17</v>
      </c>
      <c r="B36" s="22" t="s">
        <v>1121</v>
      </c>
      <c r="C36" s="17">
        <f>contact_mat_per_vessel/(bed_depth)</f>
        <v>124.85333214513804</v>
      </c>
      <c r="D36" s="651" t="s">
        <v>1068</v>
      </c>
    </row>
    <row r="37" spans="1:4" ht="13.5" customHeight="1" x14ac:dyDescent="0.15">
      <c r="C37" s="17"/>
    </row>
    <row r="38" spans="1:4" ht="13.5" customHeight="1" x14ac:dyDescent="0.15">
      <c r="A38" s="2" t="s">
        <v>1577</v>
      </c>
      <c r="C38" s="17"/>
    </row>
    <row r="39" spans="1:4" ht="13.5" customHeight="1" x14ac:dyDescent="0.15">
      <c r="A39" s="660" t="s">
        <v>1133</v>
      </c>
      <c r="B39" s="22" t="s">
        <v>220</v>
      </c>
      <c r="C39" s="16">
        <f>IF(tank_geom=1,(comm_diam-(2*Vessel_thickness))^2*PI()/4,IF(tank_geom=2,(comm_diam-(2*Vessel_thickness))*comm_height_length))</f>
        <v>132.73228961416876</v>
      </c>
      <c r="D39" s="651" t="s">
        <v>1068</v>
      </c>
    </row>
    <row r="40" spans="1:4" ht="13.5" customHeight="1" x14ac:dyDescent="0.15">
      <c r="A40" s="660" t="s">
        <v>219</v>
      </c>
      <c r="B40" s="22" t="s">
        <v>221</v>
      </c>
      <c r="C40" s="20">
        <f>(design_flow_rate/num_treat_lines)/comm_SA</f>
        <v>11.259087361399038</v>
      </c>
      <c r="D40" s="651" t="s">
        <v>140</v>
      </c>
    </row>
    <row r="41" spans="1:4" ht="13.5" customHeight="1" x14ac:dyDescent="0.15">
      <c r="A41" s="660" t="s">
        <v>1578</v>
      </c>
      <c r="B41" s="22" t="s">
        <v>1579</v>
      </c>
      <c r="C41" s="18">
        <f>IF(tank_geom=1,comm_SA*bed_depth,comm_vol-underdrain_horiz_void-void_above)</f>
        <v>318.55749507400503</v>
      </c>
      <c r="D41" s="651" t="s">
        <v>1118</v>
      </c>
    </row>
    <row r="42" spans="1:4" ht="13.5" customHeight="1" x14ac:dyDescent="0.15">
      <c r="A42" s="660"/>
      <c r="B42" s="22" t="s">
        <v>1580</v>
      </c>
      <c r="C42" s="18">
        <f>media_volume*7.48</f>
        <v>2382.8100631535576</v>
      </c>
      <c r="D42" s="651" t="s">
        <v>143</v>
      </c>
    </row>
    <row r="43" spans="1:4" ht="13.5" customHeight="1" x14ac:dyDescent="0.15">
      <c r="A43" s="660" t="s">
        <v>1581</v>
      </c>
      <c r="B43" s="3" t="s">
        <v>1582</v>
      </c>
      <c r="C43" s="18">
        <f>media_volume*media_density</f>
        <v>13697.972288182216</v>
      </c>
      <c r="D43" s="526" t="s">
        <v>960</v>
      </c>
    </row>
    <row r="44" spans="1:4" ht="13.5" customHeight="1" x14ac:dyDescent="0.15">
      <c r="A44" s="660" t="s">
        <v>1583</v>
      </c>
      <c r="B44" s="3" t="s">
        <v>1584</v>
      </c>
      <c r="C44" s="18">
        <f>media_per_vessel*final_num_tanks</f>
        <v>41093.916864546649</v>
      </c>
      <c r="D44" s="526" t="s">
        <v>264</v>
      </c>
    </row>
    <row r="45" spans="1:4" ht="13.5" customHeight="1" x14ac:dyDescent="0.15">
      <c r="A45" s="660"/>
      <c r="B45" s="3"/>
      <c r="C45" s="17"/>
      <c r="D45" s="526"/>
    </row>
    <row r="46" spans="1:4" ht="13.5" customHeight="1" x14ac:dyDescent="0.15">
      <c r="A46" s="660" t="s">
        <v>1585</v>
      </c>
      <c r="B46" s="3" t="s">
        <v>1586</v>
      </c>
      <c r="C46" s="18">
        <f>media_volume*(1+bed_expansion)</f>
        <v>477.83624261100755</v>
      </c>
      <c r="D46" s="526" t="s">
        <v>1118</v>
      </c>
    </row>
    <row r="47" spans="1:4" ht="13.5" customHeight="1" x14ac:dyDescent="0.15">
      <c r="A47" s="660"/>
      <c r="B47" s="3"/>
      <c r="C47" s="17"/>
      <c r="D47" s="526"/>
    </row>
    <row r="48" spans="1:4" ht="13.5" customHeight="1" x14ac:dyDescent="0.15">
      <c r="A48" s="660" t="s">
        <v>1587</v>
      </c>
      <c r="B48" s="22" t="s">
        <v>1130</v>
      </c>
      <c r="C48" s="17">
        <f>PI()*comm_diam^2/4*comm_height_length</f>
        <v>796.39373768501264</v>
      </c>
      <c r="D48" s="651" t="s">
        <v>1118</v>
      </c>
    </row>
    <row r="49" spans="1:5" ht="13.5" customHeight="1" x14ac:dyDescent="0.15">
      <c r="A49" s="660" t="s">
        <v>2953</v>
      </c>
      <c r="B49" s="22" t="s">
        <v>2585</v>
      </c>
      <c r="C49" s="17">
        <f>comm_vol*7.48</f>
        <v>5957.0251578838952</v>
      </c>
      <c r="D49" s="651" t="s">
        <v>1132</v>
      </c>
    </row>
    <row r="50" spans="1:5" x14ac:dyDescent="0.15">
      <c r="C50" s="17"/>
      <c r="D50" s="526"/>
    </row>
    <row r="51" spans="1:5" x14ac:dyDescent="0.15">
      <c r="A51" s="2" t="s">
        <v>1588</v>
      </c>
    </row>
    <row r="52" spans="1:5" x14ac:dyDescent="0.15">
      <c r="A52" t="s">
        <v>1589</v>
      </c>
    </row>
    <row r="53" spans="1:5" x14ac:dyDescent="0.15">
      <c r="A53" t="s">
        <v>18</v>
      </c>
      <c r="B53" s="22" t="s">
        <v>1123</v>
      </c>
      <c r="C53" s="16">
        <f>bed_depth*(1+bed_expansion)+free_board</f>
        <v>4.0999999999999996</v>
      </c>
      <c r="D53" s="651" t="s">
        <v>61</v>
      </c>
    </row>
    <row r="54" spans="1:5" x14ac:dyDescent="0.15">
      <c r="A54" s="16" t="s">
        <v>1124</v>
      </c>
      <c r="B54" s="22" t="s">
        <v>1122</v>
      </c>
      <c r="C54" s="16">
        <f>(SA*4/PI())^0.5+(2*Vessel_thickness)</f>
        <v>12.608259189084892</v>
      </c>
      <c r="D54" s="651" t="s">
        <v>61</v>
      </c>
    </row>
    <row r="55" spans="1:5" x14ac:dyDescent="0.15">
      <c r="A55" s="25" t="s">
        <v>1590</v>
      </c>
      <c r="B55" s="22" t="s">
        <v>1591</v>
      </c>
      <c r="C55" s="16">
        <f>VLOOKUP(comm_diam,vessel_size_table_cl,2)</f>
        <v>6</v>
      </c>
      <c r="D55" s="651" t="s">
        <v>61</v>
      </c>
    </row>
    <row r="56" spans="1:5" x14ac:dyDescent="0.15">
      <c r="A56" s="25" t="s">
        <v>1592</v>
      </c>
      <c r="B56" s="22" t="s">
        <v>1593</v>
      </c>
      <c r="C56" s="16">
        <f>VLOOKUP(comm_diam,vessel_size_table_cl,3)</f>
        <v>24</v>
      </c>
      <c r="D56" s="651" t="s">
        <v>61</v>
      </c>
    </row>
    <row r="58" spans="1:5" x14ac:dyDescent="0.15">
      <c r="A58" t="s">
        <v>1594</v>
      </c>
    </row>
    <row r="59" spans="1:5" x14ac:dyDescent="0.15">
      <c r="A59" s="108" t="s">
        <v>1595</v>
      </c>
      <c r="B59" s="3" t="s">
        <v>1596</v>
      </c>
      <c r="C59" s="20">
        <f>comm_height_length*(comm_diam*comm_diam/2*ASIN(SQRT(free_board/comm_diam))-(comm_diam/2-free_board)*SQRT((comm_diam-free_board)*free_board))</f>
        <v>10.079548843889555</v>
      </c>
      <c r="D59" s="526" t="s">
        <v>1118</v>
      </c>
      <c r="E59" s="6" t="s">
        <v>837</v>
      </c>
    </row>
    <row r="60" spans="1:5" x14ac:dyDescent="0.15">
      <c r="A60" s="108" t="s">
        <v>1597</v>
      </c>
      <c r="B60" s="3" t="s">
        <v>1598</v>
      </c>
      <c r="C60" s="20">
        <f>comm_height_length*(comm_diam*comm_diam/2*ASIN(SQRT(horiz_underdrain/comm_diam))-(comm_diam/2-horiz_underdrain)*SQRT((comm_diam-horiz_underdrain)*horiz_underdrain))</f>
        <v>51.116678626935951</v>
      </c>
      <c r="D60" s="526" t="s">
        <v>1118</v>
      </c>
    </row>
    <row r="61" spans="1:5" x14ac:dyDescent="0.15">
      <c r="A61" s="109" t="s">
        <v>1599</v>
      </c>
      <c r="B61" s="3" t="s">
        <v>1600</v>
      </c>
      <c r="C61" s="20">
        <f>freeboard_horiz_void+underdrain_horiz_void</f>
        <v>61.196227470825505</v>
      </c>
      <c r="D61" s="526" t="s">
        <v>1118</v>
      </c>
    </row>
    <row r="62" spans="1:5" x14ac:dyDescent="0.15">
      <c r="A62" s="109"/>
      <c r="B62" s="3"/>
      <c r="D62" s="3"/>
      <c r="E62" s="109"/>
    </row>
    <row r="63" spans="1:5" x14ac:dyDescent="0.15">
      <c r="A63" t="s">
        <v>1601</v>
      </c>
      <c r="B63" s="3"/>
      <c r="D63" s="3"/>
      <c r="E63" s="109"/>
    </row>
    <row r="64" spans="1:5" x14ac:dyDescent="0.15">
      <c r="A64" s="108" t="s">
        <v>1602</v>
      </c>
      <c r="B64" s="3" t="s">
        <v>1603</v>
      </c>
      <c r="C64" s="115">
        <f>(comm_height_length-free_board)*PI()*comm_diam^2/4</f>
        <v>730.0275928779281</v>
      </c>
      <c r="D64" s="526" t="s">
        <v>1118</v>
      </c>
      <c r="E64" s="109"/>
    </row>
    <row r="65" spans="1:5" x14ac:dyDescent="0.15">
      <c r="A65" s="108" t="s">
        <v>1604</v>
      </c>
      <c r="B65" s="3" t="s">
        <v>1605</v>
      </c>
      <c r="C65" s="115">
        <f>comm_vol-horiz_void</f>
        <v>735.1975102141871</v>
      </c>
      <c r="D65" s="526" t="s">
        <v>1118</v>
      </c>
      <c r="E65" s="109"/>
    </row>
    <row r="66" spans="1:5" x14ac:dyDescent="0.15">
      <c r="A66" s="108" t="s">
        <v>1606</v>
      </c>
      <c r="B66" s="3" t="s">
        <v>1607</v>
      </c>
      <c r="C66" s="115">
        <f>CHOOSE(tank_geom,vert_vol_available,horiz_vol_available)</f>
        <v>730.0275928779281</v>
      </c>
      <c r="D66" s="526" t="s">
        <v>1118</v>
      </c>
      <c r="E66" s="6" t="s">
        <v>838</v>
      </c>
    </row>
    <row r="68" spans="1:5" x14ac:dyDescent="0.15">
      <c r="A68" s="464" t="s">
        <v>1273</v>
      </c>
    </row>
    <row r="69" spans="1:5" x14ac:dyDescent="0.15">
      <c r="A69" s="602" t="s">
        <v>1280</v>
      </c>
      <c r="B69" s="456" t="s">
        <v>1281</v>
      </c>
      <c r="C69" s="721">
        <f>VLOOKUP(10^6,cart_cost_cl,1)-0.001</f>
        <v>4.32</v>
      </c>
      <c r="D69" s="526" t="s">
        <v>51</v>
      </c>
    </row>
    <row r="70" spans="1:5" x14ac:dyDescent="0.15">
      <c r="A70" s="108" t="s">
        <v>1301</v>
      </c>
      <c r="B70" s="3" t="s">
        <v>772</v>
      </c>
      <c r="C70" s="16">
        <f>IF(include_cart=0,0,MAX(ROUNDUP(design_flow/cart_per_flow,0),IF(design_flow&gt;=1,min_cart,0)))</f>
        <v>2</v>
      </c>
      <c r="D70" s="651" t="s">
        <v>64</v>
      </c>
    </row>
    <row r="71" spans="1:5" x14ac:dyDescent="0.15">
      <c r="A71" s="108" t="s">
        <v>1282</v>
      </c>
      <c r="B71" s="3" t="s">
        <v>773</v>
      </c>
      <c r="C71" s="16">
        <f>IF(include_cart=0,0,init_NRD_cart+ROUNDDOWN(design_flow/addl_redund_cart_per_flow,0))</f>
        <v>1</v>
      </c>
      <c r="D71" s="651" t="s">
        <v>64</v>
      </c>
    </row>
    <row r="72" spans="1:5" x14ac:dyDescent="0.15">
      <c r="A72" s="108" t="s">
        <v>774</v>
      </c>
      <c r="B72" s="3" t="s">
        <v>775</v>
      </c>
      <c r="C72" s="16">
        <f>active_filters+NRD_filters</f>
        <v>3</v>
      </c>
      <c r="D72" s="651" t="s">
        <v>64</v>
      </c>
    </row>
    <row r="73" spans="1:5" x14ac:dyDescent="0.15">
      <c r="A73" s="108" t="s">
        <v>776</v>
      </c>
      <c r="B73" s="3" t="s">
        <v>777</v>
      </c>
      <c r="C73" s="16">
        <f>IF(include_cart=0,0,design_flow/active_filters)</f>
        <v>1.0760000000000001</v>
      </c>
      <c r="D73" s="651" t="s">
        <v>51</v>
      </c>
    </row>
    <row r="74" spans="1:5" x14ac:dyDescent="0.15">
      <c r="A74" s="108" t="s">
        <v>778</v>
      </c>
      <c r="B74" s="3" t="s">
        <v>779</v>
      </c>
      <c r="C74" s="16">
        <f>IF(include_cart=0,0,VLOOKUP(filter_size,cart_dim_table_cl,5))</f>
        <v>3.5</v>
      </c>
      <c r="D74" s="651" t="s">
        <v>61</v>
      </c>
    </row>
    <row r="75" spans="1:5" x14ac:dyDescent="0.15">
      <c r="A75" s="108" t="s">
        <v>780</v>
      </c>
      <c r="B75" s="3" t="s">
        <v>781</v>
      </c>
      <c r="C75" s="16">
        <f>IF(include_cart=0,0,VLOOKUP(filter_size,cart_dim_table_cl,6))</f>
        <v>3.5</v>
      </c>
      <c r="D75" s="651" t="s">
        <v>61</v>
      </c>
    </row>
    <row r="76" spans="1:5" x14ac:dyDescent="0.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x14ac:dyDescent="0.15">
      <c r="A1" s="1" t="s">
        <v>3252</v>
      </c>
      <c r="B1" s="3"/>
    </row>
    <row r="2" spans="1:5" s="526" customFormat="1" x14ac:dyDescent="0.15">
      <c r="B2" s="3"/>
    </row>
    <row r="3" spans="1:5" s="526" customFormat="1" x14ac:dyDescent="0.15">
      <c r="A3" s="206" t="s">
        <v>2952</v>
      </c>
      <c r="B3" s="206" t="s">
        <v>277</v>
      </c>
      <c r="C3" s="207" t="s">
        <v>278</v>
      </c>
      <c r="D3" s="206" t="s">
        <v>279</v>
      </c>
      <c r="E3" s="206" t="s">
        <v>280</v>
      </c>
    </row>
    <row r="4" spans="1:5" x14ac:dyDescent="0.15">
      <c r="A4" s="2" t="s">
        <v>2954</v>
      </c>
    </row>
    <row r="5" spans="1:5" x14ac:dyDescent="0.15">
      <c r="A5" s="205" t="s">
        <v>1502</v>
      </c>
      <c r="B5" s="22" t="s">
        <v>2488</v>
      </c>
      <c r="C5" s="16">
        <f>IF(throwaway_I="regeneration",1,2)</f>
        <v>2</v>
      </c>
      <c r="D5" s="526" t="s">
        <v>832</v>
      </c>
    </row>
    <row r="6" spans="1:5" x14ac:dyDescent="0.15">
      <c r="A6" s="16" t="s">
        <v>640</v>
      </c>
      <c r="B6" s="3" t="s">
        <v>1812</v>
      </c>
      <c r="C6" s="16" t="str">
        <f>IF(no_backwash_I="existing pumps",1,IF(no_backwash_I="new pumps","",IF(ss_cat2=1,1,"")))</f>
        <v/>
      </c>
      <c r="D6" s="526" t="s">
        <v>1885</v>
      </c>
    </row>
    <row r="7" spans="1:5" x14ac:dyDescent="0.15">
      <c r="A7" s="16" t="s">
        <v>1884</v>
      </c>
      <c r="B7" s="3" t="s">
        <v>1162</v>
      </c>
      <c r="C7" s="16" t="str">
        <f>IF(no_back_tank_I="existing storage",1,IF(no_back_tank_I="new storage","",IF(ss_cat2=2,"",1)))</f>
        <v/>
      </c>
      <c r="D7" s="526" t="s">
        <v>1886</v>
      </c>
    </row>
    <row r="8" spans="1:5" x14ac:dyDescent="0.15">
      <c r="A8" t="s">
        <v>660</v>
      </c>
      <c r="B8" s="3" t="s">
        <v>743</v>
      </c>
      <c r="C8" t="str">
        <f>IF(brine_method_I="","",IF(brine_method_I="brine mixing tanks",1,2))</f>
        <v/>
      </c>
      <c r="D8" s="526" t="s">
        <v>639</v>
      </c>
    </row>
    <row r="10" spans="1:5" x14ac:dyDescent="0.15">
      <c r="A10" s="96" t="s">
        <v>3239</v>
      </c>
    </row>
    <row r="11" spans="1:5" x14ac:dyDescent="0.15">
      <c r="A11" s="651" t="s">
        <v>3236</v>
      </c>
      <c r="B11" s="22" t="s">
        <v>2508</v>
      </c>
      <c r="C11" s="20">
        <f>IF(BV_units="bed volumes",(num_treat_lines*IF(BV_definition="EBCT per vessel",1,Num_tanks)*media_volume_gal*BV_regen)/(average_flow*1000000),BV_regen*30)</f>
        <v>96.109625223851666</v>
      </c>
      <c r="D11" s="651" t="s">
        <v>268</v>
      </c>
      <c r="E11" s="15" t="s">
        <v>2507</v>
      </c>
    </row>
    <row r="12" spans="1:5" x14ac:dyDescent="0.15">
      <c r="A12" s="651" t="s">
        <v>3237</v>
      </c>
      <c r="B12" s="22" t="s">
        <v>3238</v>
      </c>
      <c r="C12" s="16">
        <f>regen_days/30</f>
        <v>3.2036541741283888</v>
      </c>
      <c r="D12" s="651" t="s">
        <v>1296</v>
      </c>
    </row>
    <row r="13" spans="1:5" s="651" customFormat="1" x14ac:dyDescent="0.15">
      <c r="A13" s="651" t="s">
        <v>833</v>
      </c>
      <c r="B13" s="22" t="s">
        <v>3499</v>
      </c>
      <c r="C13" s="776">
        <f>IF(BV_units="bed volumes",BV_regen,(average_flow*1000000)*BV_regen*30/(num_treat_lines*IF(BV_definition="EBCT per vessel",1,Num_tanks)*media_volume_gal))</f>
        <v>86800</v>
      </c>
      <c r="D13" s="651" t="s">
        <v>2679</v>
      </c>
      <c r="E13" s="792" t="s">
        <v>3498</v>
      </c>
    </row>
    <row r="15" spans="1:5" x14ac:dyDescent="0.15">
      <c r="A15" s="96" t="s">
        <v>3224</v>
      </c>
    </row>
    <row r="16" spans="1:5" x14ac:dyDescent="0.15">
      <c r="A16" s="16" t="s">
        <v>352</v>
      </c>
      <c r="B16" s="22" t="s">
        <v>976</v>
      </c>
      <c r="C16" s="18">
        <f>ROUND(h2oflush_backwash_rate*comm_SA,0)</f>
        <v>398</v>
      </c>
      <c r="D16" s="651" t="s">
        <v>142</v>
      </c>
    </row>
    <row r="17" spans="1:5" x14ac:dyDescent="0.15">
      <c r="A17" s="16" t="s">
        <v>353</v>
      </c>
      <c r="B17" s="22" t="s">
        <v>977</v>
      </c>
      <c r="C17" s="18">
        <f>water_flush*backwash_time</f>
        <v>4776</v>
      </c>
      <c r="D17" s="651" t="s">
        <v>143</v>
      </c>
    </row>
    <row r="18" spans="1:5" x14ac:dyDescent="0.15">
      <c r="A18" s="16" t="s">
        <v>1793</v>
      </c>
      <c r="B18" s="22" t="s">
        <v>1794</v>
      </c>
      <c r="C18" s="18">
        <f>vol_brine-vol_brine_sat</f>
        <v>0</v>
      </c>
      <c r="D18" s="651" t="s">
        <v>143</v>
      </c>
      <c r="E18" s="792" t="s">
        <v>3240</v>
      </c>
    </row>
    <row r="19" spans="1:5" x14ac:dyDescent="0.15">
      <c r="A19" s="16" t="s">
        <v>1795</v>
      </c>
      <c r="B19" s="22" t="s">
        <v>1796</v>
      </c>
      <c r="C19" s="18">
        <f>brine_dilution_vol/time_regen</f>
        <v>0</v>
      </c>
      <c r="D19" s="651" t="s">
        <v>142</v>
      </c>
      <c r="E19" s="792" t="s">
        <v>3240</v>
      </c>
    </row>
    <row r="20" spans="1:5" x14ac:dyDescent="0.15">
      <c r="A20" s="651" t="s">
        <v>3230</v>
      </c>
      <c r="B20" s="22" t="s">
        <v>1054</v>
      </c>
      <c r="C20" s="18">
        <f>media_volume_gal*rinse_BV</f>
        <v>0</v>
      </c>
      <c r="D20" s="651" t="s">
        <v>143</v>
      </c>
      <c r="E20" s="792" t="s">
        <v>3240</v>
      </c>
    </row>
    <row r="21" spans="1:5" x14ac:dyDescent="0.15">
      <c r="A21" s="651" t="s">
        <v>3231</v>
      </c>
      <c r="B21" s="22" t="s">
        <v>1055</v>
      </c>
      <c r="C21" s="18">
        <f>rinse_vol/(comm_SA*rinse_rate)</f>
        <v>0</v>
      </c>
      <c r="D21" s="651" t="s">
        <v>60</v>
      </c>
      <c r="E21" s="792" t="s">
        <v>3240</v>
      </c>
    </row>
    <row r="22" spans="1:5" x14ac:dyDescent="0.15">
      <c r="A22" s="651" t="s">
        <v>3232</v>
      </c>
      <c r="B22" s="22" t="s">
        <v>1056</v>
      </c>
      <c r="C22" s="18">
        <f>IF(rinse_time=0,0,rinse_vol/rinse_time)</f>
        <v>0</v>
      </c>
      <c r="D22" s="651" t="s">
        <v>142</v>
      </c>
      <c r="E22" s="792" t="s">
        <v>3240</v>
      </c>
    </row>
    <row r="23" spans="1:5" x14ac:dyDescent="0.15">
      <c r="A23" s="16" t="s">
        <v>351</v>
      </c>
      <c r="B23" s="22" t="s">
        <v>266</v>
      </c>
      <c r="C23" s="18">
        <f>waterflush_vol+rinse_vol+brine_dilution_vol</f>
        <v>4776</v>
      </c>
      <c r="D23" s="651" t="s">
        <v>143</v>
      </c>
    </row>
    <row r="24" spans="1:5" x14ac:dyDescent="0.15">
      <c r="A24" s="21"/>
      <c r="C24" s="18"/>
    </row>
    <row r="25" spans="1:5" x14ac:dyDescent="0.15">
      <c r="A25" s="96" t="s">
        <v>2515</v>
      </c>
      <c r="B25" s="16"/>
    </row>
    <row r="26" spans="1:5" customFormat="1" x14ac:dyDescent="0.15">
      <c r="A26" t="s">
        <v>1176</v>
      </c>
      <c r="B26" s="3" t="s">
        <v>1161</v>
      </c>
      <c r="C26" s="53">
        <f>MAX(VLOOKUP(10^6,st_bwt_cost_cl,1)-1,VLOOKUP(10^6,fg_bwt_cost_cl,1)-1,VLOOKUP(10^6,hdpe_bwt_cost_cl,1)-1)</f>
        <v>289000</v>
      </c>
      <c r="D26" s="526" t="s">
        <v>143</v>
      </c>
      <c r="E26" s="6" t="s">
        <v>730</v>
      </c>
    </row>
    <row r="27" spans="1:5" x14ac:dyDescent="0.15">
      <c r="A27" t="s">
        <v>2515</v>
      </c>
      <c r="B27" s="3" t="s">
        <v>2516</v>
      </c>
      <c r="C27">
        <f>IF(no_back_tank=1,0,ROUNDUP(total_backwash/max_back_tank_size,0))</f>
        <v>1</v>
      </c>
      <c r="D27" s="526" t="s">
        <v>64</v>
      </c>
    </row>
    <row r="28" spans="1:5" x14ac:dyDescent="0.15">
      <c r="A28" t="s">
        <v>1163</v>
      </c>
      <c r="B28" s="3" t="s">
        <v>1164</v>
      </c>
      <c r="C28" s="18">
        <f>IF(total_backwash=0,0,IF(back_tanks=0,0,total_backwash/back_tanks))</f>
        <v>4776</v>
      </c>
      <c r="D28" s="651" t="s">
        <v>1132</v>
      </c>
    </row>
    <row r="29" spans="1:5" x14ac:dyDescent="0.15">
      <c r="A29"/>
      <c r="B29" s="3"/>
      <c r="C29" s="18"/>
    </row>
    <row r="30" spans="1:5" x14ac:dyDescent="0.15">
      <c r="A30" s="6" t="s">
        <v>3228</v>
      </c>
      <c r="B30" s="3"/>
      <c r="C30" s="18"/>
    </row>
    <row r="31" spans="1:5" x14ac:dyDescent="0.15">
      <c r="A31" s="6" t="s">
        <v>3229</v>
      </c>
      <c r="B31" s="3"/>
      <c r="C31" s="18"/>
    </row>
    <row r="32" spans="1:5" x14ac:dyDescent="0.15">
      <c r="A32" s="2" t="s">
        <v>350</v>
      </c>
    </row>
    <row r="33" spans="1:5" x14ac:dyDescent="0.15">
      <c r="A33" s="16" t="s">
        <v>94</v>
      </c>
      <c r="B33" s="22" t="s">
        <v>2672</v>
      </c>
      <c r="C33" s="20">
        <f>final_num_tanks*media_volume</f>
        <v>955.6724852220151</v>
      </c>
      <c r="D33" s="651" t="s">
        <v>1118</v>
      </c>
    </row>
    <row r="34" spans="1:5" x14ac:dyDescent="0.15">
      <c r="A34" s="16" t="s">
        <v>2673</v>
      </c>
      <c r="B34" s="22" t="s">
        <v>2674</v>
      </c>
      <c r="C34" s="18">
        <f>comm_SA*brine_load</f>
        <v>0</v>
      </c>
      <c r="D34" s="651" t="s">
        <v>264</v>
      </c>
    </row>
    <row r="35" spans="1:5" x14ac:dyDescent="0.15">
      <c r="A35" s="16" t="s">
        <v>1791</v>
      </c>
      <c r="B35" s="22" t="s">
        <v>1792</v>
      </c>
      <c r="C35" s="18">
        <f>IF(regen_type=1,salt_regen/brine_conc_sat,0)</f>
        <v>0</v>
      </c>
      <c r="D35" s="651" t="s">
        <v>143</v>
      </c>
    </row>
    <row r="36" spans="1:5" x14ac:dyDescent="0.15">
      <c r="A36" s="16" t="s">
        <v>1790</v>
      </c>
      <c r="B36" s="22" t="s">
        <v>2675</v>
      </c>
      <c r="C36" s="18">
        <f>IF(regen_type=1,salt_regen/brine_conc,0)</f>
        <v>0</v>
      </c>
      <c r="D36" s="651" t="s">
        <v>143</v>
      </c>
    </row>
    <row r="37" spans="1:5" x14ac:dyDescent="0.15">
      <c r="A37" s="16" t="s">
        <v>2570</v>
      </c>
      <c r="B37" s="22" t="s">
        <v>2571</v>
      </c>
      <c r="C37" s="18">
        <f>(regen_per_month*cstore_days/30)*salt_regen*final_num_tanks/(regen_reuse+1)</f>
        <v>0</v>
      </c>
      <c r="D37" s="651" t="s">
        <v>264</v>
      </c>
    </row>
    <row r="38" spans="1:5" x14ac:dyDescent="0.15">
      <c r="C38" s="18"/>
    </row>
    <row r="39" spans="1:5" x14ac:dyDescent="0.15">
      <c r="A39" s="96" t="s">
        <v>2523</v>
      </c>
      <c r="E39" s="6" t="s">
        <v>3227</v>
      </c>
    </row>
    <row r="40" spans="1:5" x14ac:dyDescent="0.15">
      <c r="A40" s="27" t="s">
        <v>900</v>
      </c>
      <c r="B40" s="22" t="s">
        <v>901</v>
      </c>
      <c r="C40" s="18">
        <f>IF(regen_type=1,vol_brine,0)</f>
        <v>0</v>
      </c>
      <c r="D40" s="651" t="s">
        <v>143</v>
      </c>
    </row>
    <row r="41" spans="1:5" x14ac:dyDescent="0.15">
      <c r="A41" s="16" t="s">
        <v>2866</v>
      </c>
      <c r="B41" s="22" t="s">
        <v>2867</v>
      </c>
      <c r="C41" s="32">
        <f>vol_regen/(time_regen*comm_SA)</f>
        <v>0</v>
      </c>
      <c r="D41" s="651" t="s">
        <v>140</v>
      </c>
      <c r="E41" s="15"/>
    </row>
    <row r="42" spans="1:5" x14ac:dyDescent="0.15">
      <c r="A42" s="16" t="s">
        <v>1931</v>
      </c>
      <c r="B42" s="22" t="s">
        <v>1932</v>
      </c>
      <c r="C42" s="20">
        <f>regen_days/num_treat_lines*24*60</f>
        <v>138397.86032234642</v>
      </c>
      <c r="D42" s="651" t="s">
        <v>60</v>
      </c>
      <c r="E42" s="15" t="s">
        <v>1777</v>
      </c>
    </row>
    <row r="43" spans="1:5" x14ac:dyDescent="0.15">
      <c r="A43" s="16" t="s">
        <v>2509</v>
      </c>
      <c r="B43" s="22" t="s">
        <v>3251</v>
      </c>
      <c r="C43" s="20">
        <f>30/regen_days</f>
        <v>0.31214355409383965</v>
      </c>
      <c r="D43" s="651" t="s">
        <v>2510</v>
      </c>
    </row>
    <row r="44" spans="1:5" x14ac:dyDescent="0.15">
      <c r="A44" s="16" t="s">
        <v>265</v>
      </c>
      <c r="B44" s="22" t="s">
        <v>267</v>
      </c>
      <c r="C44" s="19">
        <f>backwash_time+rinse_time+time_regen</f>
        <v>57</v>
      </c>
      <c r="D44" s="651" t="s">
        <v>60</v>
      </c>
    </row>
    <row r="45" spans="1:5" x14ac:dyDescent="0.15">
      <c r="A45" s="16" t="s">
        <v>616</v>
      </c>
      <c r="B45" s="22" t="s">
        <v>617</v>
      </c>
      <c r="C45" s="20">
        <f>regeneration_downtime*final_num_tanks/(24*60)</f>
        <v>0.11874999999999999</v>
      </c>
      <c r="D45" s="651" t="s">
        <v>268</v>
      </c>
    </row>
    <row r="46" spans="1:5" x14ac:dyDescent="0.15">
      <c r="A46" s="16" t="s">
        <v>618</v>
      </c>
      <c r="B46" s="22" t="s">
        <v>619</v>
      </c>
      <c r="C46" s="20">
        <f>ROUNDUP(total_downtime/regen_days,0)</f>
        <v>1</v>
      </c>
    </row>
    <row r="47" spans="1:5" x14ac:dyDescent="0.15">
      <c r="B47" s="16"/>
    </row>
    <row r="48" spans="1:5" x14ac:dyDescent="0.15">
      <c r="A48" s="96" t="s">
        <v>902</v>
      </c>
      <c r="C48" s="18"/>
    </row>
    <row r="49" spans="1:5" x14ac:dyDescent="0.15">
      <c r="A49" s="27" t="s">
        <v>1800</v>
      </c>
      <c r="B49" s="22" t="s">
        <v>1801</v>
      </c>
      <c r="C49" s="49">
        <f>IF(OR(regen_type=2,brine_method=2),0,vol_brine_sat)</f>
        <v>0</v>
      </c>
      <c r="D49" s="651" t="s">
        <v>143</v>
      </c>
    </row>
    <row r="50" spans="1:5" customFormat="1" ht="12.75" customHeight="1" x14ac:dyDescent="0.15">
      <c r="A50" s="5" t="s">
        <v>2909</v>
      </c>
      <c r="B50" s="3" t="s">
        <v>1479</v>
      </c>
      <c r="C50" s="53">
        <f>MAX(VLOOKUP(10^6,pl_cst_cost_cl,1)-1,VLOOKUP(10^6,fg_cst_cost_cl,1)-1,VLOOKUP(10^6,ss_cst_cost_cl,1)-1)</f>
        <v>30000</v>
      </c>
      <c r="D50" s="526" t="s">
        <v>143</v>
      </c>
      <c r="E50" s="6" t="s">
        <v>730</v>
      </c>
    </row>
    <row r="51" spans="1:5" customFormat="1" ht="12.75" customHeight="1" x14ac:dyDescent="0.15">
      <c r="A51" s="660" t="s">
        <v>3430</v>
      </c>
      <c r="B51" s="3" t="s">
        <v>3431</v>
      </c>
      <c r="C51" s="53">
        <f>MAX(VLOOKUP(10^6,pl_cst_cost_cl,1)-1,VLOOKUP(10^6,fg_cst_cost_cl,1)-1)</f>
        <v>30000</v>
      </c>
      <c r="D51" s="526" t="s">
        <v>143</v>
      </c>
      <c r="E51" s="6" t="s">
        <v>3432</v>
      </c>
    </row>
    <row r="52" spans="1:5" x14ac:dyDescent="0.15">
      <c r="A52" t="s">
        <v>903</v>
      </c>
      <c r="B52" s="3" t="s">
        <v>354</v>
      </c>
      <c r="C52">
        <f>IF(OR(regen_type=2,brine_method=2),0,IF(mix_tank_vol_tot&gt;max_chem_tank_size,ROUNDUP(mix_tank_vol_tot/max_chem_tank_size,0)*regen_redun,regen_redun))</f>
        <v>0</v>
      </c>
      <c r="D52" s="526" t="s">
        <v>64</v>
      </c>
    </row>
    <row r="53" spans="1:5" x14ac:dyDescent="0.15">
      <c r="A53" s="16" t="s">
        <v>904</v>
      </c>
      <c r="B53" s="3" t="s">
        <v>355</v>
      </c>
      <c r="C53" s="49">
        <f>IF(mix_tanks=0,0,mix_tank_vol_tot*regen_redun/mix_tanks)</f>
        <v>0</v>
      </c>
      <c r="D53" s="526" t="s">
        <v>143</v>
      </c>
    </row>
    <row r="54" spans="1:5" x14ac:dyDescent="0.15">
      <c r="A54" t="s">
        <v>50</v>
      </c>
      <c r="B54" s="3" t="s">
        <v>2871</v>
      </c>
      <c r="C54">
        <f>mix_tanks</f>
        <v>0</v>
      </c>
      <c r="D54" s="526" t="s">
        <v>64</v>
      </c>
    </row>
    <row r="55" spans="1:5" x14ac:dyDescent="0.15">
      <c r="C55" s="18"/>
    </row>
    <row r="56" spans="1:5" x14ac:dyDescent="0.15">
      <c r="A56" s="96" t="s">
        <v>1462</v>
      </c>
      <c r="C56" s="18"/>
    </row>
    <row r="57" spans="1:5" customFormat="1" ht="12.75" customHeight="1" x14ac:dyDescent="0.15">
      <c r="A57" t="s">
        <v>728</v>
      </c>
      <c r="B57" s="3" t="s">
        <v>729</v>
      </c>
      <c r="C57">
        <f>MAX(VLOOKUP(10^6,fg_saltbox_cost_cl,1)-0.1,VLOOKUP(10^6,pl_saltbox_cost_cl,1)-0.1)</f>
        <v>80</v>
      </c>
      <c r="D57" s="526" t="s">
        <v>2285</v>
      </c>
      <c r="E57" s="6" t="s">
        <v>730</v>
      </c>
    </row>
    <row r="58" spans="1:5" x14ac:dyDescent="0.15">
      <c r="A58" s="16" t="s">
        <v>2281</v>
      </c>
      <c r="B58" s="22" t="s">
        <v>2282</v>
      </c>
      <c r="C58" s="32">
        <f>IF(salt_store/cstore_days/2000&gt;=min_saltbox,salt_store/cstore_days/2000,IF(salt_store/(cstore_days/7)/2000&gt;=min_saltbox,salt_store/(cstore_days/7)/2000,salt_store/(cstore_days/30)/2000))</f>
        <v>0</v>
      </c>
      <c r="D58" s="651" t="s">
        <v>2285</v>
      </c>
      <c r="E58" s="15" t="s">
        <v>1650</v>
      </c>
    </row>
    <row r="59" spans="1:5" x14ac:dyDescent="0.15">
      <c r="A59" s="16" t="s">
        <v>2572</v>
      </c>
      <c r="B59" s="22" t="s">
        <v>2573</v>
      </c>
      <c r="C59" s="18">
        <f>IF(salt_store/cstore_days/2000&gt;=min_saltbox,1,IF(salt_store/(cstore_days/7)/2000&gt;=min_saltbox,7,30))</f>
        <v>30</v>
      </c>
      <c r="D59" s="651" t="s">
        <v>268</v>
      </c>
      <c r="E59" s="15"/>
    </row>
    <row r="60" spans="1:5" x14ac:dyDescent="0.15">
      <c r="A60" s="16" t="s">
        <v>1649</v>
      </c>
      <c r="B60" s="22" t="s">
        <v>1469</v>
      </c>
      <c r="C60" s="18">
        <f>IF(cstore_days-salt_box_days&gt;0,cstore_days-salt_box_days,0)</f>
        <v>0</v>
      </c>
      <c r="D60" s="651" t="s">
        <v>268</v>
      </c>
      <c r="E60" s="15" t="s">
        <v>1468</v>
      </c>
    </row>
    <row r="61" spans="1:5" x14ac:dyDescent="0.15">
      <c r="A61" s="16" t="s">
        <v>2283</v>
      </c>
      <c r="B61" s="22" t="s">
        <v>2284</v>
      </c>
      <c r="C61" s="18">
        <f>IF(AND(regen_type=1,brine_method=2),ROUNDUP(salt_box_need/max_saltbox,0),0)</f>
        <v>0</v>
      </c>
      <c r="D61" s="651" t="s">
        <v>64</v>
      </c>
    </row>
    <row r="62" spans="1:5" x14ac:dyDescent="0.15">
      <c r="A62" s="16" t="s">
        <v>2279</v>
      </c>
      <c r="B62" s="22" t="s">
        <v>2280</v>
      </c>
      <c r="C62" s="18">
        <f>IF(AND(regen_type=1,brine_method=2),IF(ROUNDUP(salt_box_need/num_salt_box,0)&lt;min_saltbox,min_saltbox,ROUNDUP(salt_box_need/num_salt_box,0)),0)</f>
        <v>0</v>
      </c>
      <c r="D62" s="651" t="s">
        <v>2285</v>
      </c>
    </row>
    <row r="63" spans="1:5" x14ac:dyDescent="0.15">
      <c r="C63" s="18"/>
    </row>
    <row r="64" spans="1:5" x14ac:dyDescent="0.15">
      <c r="A64" s="96" t="s">
        <v>1466</v>
      </c>
      <c r="C64" s="18"/>
    </row>
    <row r="65" spans="1:5" customFormat="1" x14ac:dyDescent="0.15">
      <c r="A65" t="s">
        <v>197</v>
      </c>
      <c r="B65" s="3" t="s">
        <v>198</v>
      </c>
      <c r="C65" s="562">
        <f>VLOOKUP(10^6,eductor_size_table_cl,1)</f>
        <v>53.5</v>
      </c>
      <c r="D65" s="526" t="s">
        <v>142</v>
      </c>
      <c r="E65" s="6" t="s">
        <v>730</v>
      </c>
    </row>
    <row r="66" spans="1:5" x14ac:dyDescent="0.15">
      <c r="A66" s="16" t="s">
        <v>1427</v>
      </c>
      <c r="B66" s="22" t="s">
        <v>1428</v>
      </c>
      <c r="C66" s="18">
        <f>IF(regen_type=2,0,IF(brine_method=1,mix_tanks,num_salt_box))</f>
        <v>0</v>
      </c>
      <c r="D66" s="651" t="s">
        <v>64</v>
      </c>
    </row>
    <row r="67" spans="1:5" x14ac:dyDescent="0.15">
      <c r="C67" s="18"/>
    </row>
    <row r="68" spans="1:5" x14ac:dyDescent="0.15">
      <c r="A68" s="783" t="s">
        <v>2990</v>
      </c>
      <c r="C68" s="18"/>
    </row>
    <row r="69" spans="1:5" x14ac:dyDescent="0.15">
      <c r="A69" s="784" t="s">
        <v>2991</v>
      </c>
      <c r="C69" s="720">
        <f>VLOOKUP("Sodium Chloride - Large Qty",chem_break_table_cl,2,FALSE)</f>
        <v>27500</v>
      </c>
      <c r="D69" s="651" t="s">
        <v>264</v>
      </c>
      <c r="E69" s="6" t="s">
        <v>2992</v>
      </c>
    </row>
    <row r="70" spans="1:5" x14ac:dyDescent="0.15">
      <c r="A70" s="784" t="s">
        <v>2993</v>
      </c>
      <c r="C70" s="720">
        <f>VLOOKUP("Sodium Chloride - Mid Qty",chem_break_table_cl,2,FALSE)</f>
        <v>5000</v>
      </c>
      <c r="D70" s="651" t="s">
        <v>264</v>
      </c>
      <c r="E70" s="6" t="s">
        <v>2992</v>
      </c>
    </row>
    <row r="71" spans="1:5" x14ac:dyDescent="0.15">
      <c r="A71" s="784" t="s">
        <v>2994</v>
      </c>
      <c r="C71" s="720">
        <f>VLOOKUP("Sodium Chloride - Small Qty",chem_break_table_cl,2,FALSE)</f>
        <v>0</v>
      </c>
      <c r="D71" s="651" t="s">
        <v>264</v>
      </c>
      <c r="E71" s="6" t="s">
        <v>2992</v>
      </c>
    </row>
    <row r="72" spans="1:5" x14ac:dyDescent="0.15">
      <c r="A72" s="784" t="s">
        <v>3000</v>
      </c>
      <c r="B72" s="22" t="s">
        <v>2995</v>
      </c>
      <c r="C72" s="18" t="str">
        <f>IF(AND(ISNA(C69),ISNA(C70),ISNA(C71)),"",IF(salt_store&gt;=C69," - Large Qty",IF(salt_store&gt;=C70," - Mid Qty"," - Small Qty")))</f>
        <v xml:space="preserve"> - Small Qty</v>
      </c>
      <c r="E72" s="657" t="s">
        <v>2996</v>
      </c>
    </row>
    <row r="74" spans="1:5" x14ac:dyDescent="0.15">
      <c r="A74" s="2" t="s">
        <v>3543</v>
      </c>
      <c r="B74" s="651"/>
    </row>
    <row r="75" spans="1:5" x14ac:dyDescent="0.15">
      <c r="A75" s="526" t="s">
        <v>3145</v>
      </c>
      <c r="B75" s="3" t="s">
        <v>3544</v>
      </c>
      <c r="C75" s="16">
        <f>MAX(mix_tanks*mix_tank_vol*sec_cont_pct_of_total,mix_tank_vol*sec_cont_pct_of_largest)/7.48</f>
        <v>0</v>
      </c>
      <c r="D75" s="526" t="s">
        <v>1118</v>
      </c>
      <c r="E75" s="657" t="s">
        <v>3161</v>
      </c>
    </row>
    <row r="76" spans="1:5" x14ac:dyDescent="0.15">
      <c r="A76" s="526" t="s">
        <v>3147</v>
      </c>
      <c r="B76" s="3" t="s">
        <v>3545</v>
      </c>
      <c r="C76" s="16">
        <f>IF(mix_tanks=0,0,mix_tank_fp-mix_tanks*PI()*(mx_diam/2)^2)</f>
        <v>0</v>
      </c>
      <c r="D76" s="526" t="s">
        <v>1068</v>
      </c>
      <c r="E76" s="657" t="s">
        <v>3162</v>
      </c>
    </row>
    <row r="77" spans="1:5" x14ac:dyDescent="0.15">
      <c r="A77" s="526" t="s">
        <v>3149</v>
      </c>
      <c r="B77" s="3" t="s">
        <v>3546</v>
      </c>
      <c r="C77" s="16">
        <f>IF(mix_tanks=0,0,mix_cont_volume/mix_cont_fp+sec_cont_freeboard/12)</f>
        <v>0</v>
      </c>
      <c r="D77" s="526" t="s">
        <v>61</v>
      </c>
      <c r="E77"/>
    </row>
    <row r="78" spans="1:5" x14ac:dyDescent="0.15">
      <c r="A78" s="526" t="s">
        <v>3151</v>
      </c>
      <c r="B78" s="3" t="s">
        <v>3547</v>
      </c>
      <c r="C78" s="16">
        <f>IF(mix_tanks=0,0,MIN(sec_cont_max_thick,mix_curb_height))</f>
        <v>0</v>
      </c>
      <c r="D78" s="526" t="s">
        <v>61</v>
      </c>
      <c r="E78"/>
    </row>
    <row r="79" spans="1:5" x14ac:dyDescent="0.15">
      <c r="A79" s="526" t="s">
        <v>3153</v>
      </c>
      <c r="B79" s="3" t="s">
        <v>3548</v>
      </c>
      <c r="C79" s="16">
        <f>IF(mix_tanks=0,0,mix_tanks*mx_diam+2*space_st+(mix_tanks-1)*space_st+2*mix_curb_thick)</f>
        <v>0</v>
      </c>
      <c r="D79" s="526" t="s">
        <v>61</v>
      </c>
      <c r="E79"/>
    </row>
    <row r="80" spans="1:5" x14ac:dyDescent="0.15">
      <c r="A80" s="526" t="s">
        <v>3155</v>
      </c>
      <c r="B80" s="3" t="s">
        <v>3549</v>
      </c>
      <c r="C80" s="16">
        <f>IF(mix_tanks=0,0,mx_diam+2*space_st)</f>
        <v>0</v>
      </c>
      <c r="D80" s="526" t="s">
        <v>61</v>
      </c>
      <c r="E80"/>
    </row>
    <row r="81" spans="1:5" x14ac:dyDescent="0.15">
      <c r="A81" s="526" t="s">
        <v>3157</v>
      </c>
      <c r="B81" s="3" t="s">
        <v>3550</v>
      </c>
      <c r="C81" s="16">
        <f>IF(mix_tanks=0,0,ROUNDUP((mix_curb_len_long*2+mix_curb_len_short*2)*mix_curb_height*mix_curb_thick/27,0))</f>
        <v>0</v>
      </c>
      <c r="D81" s="526" t="s">
        <v>1908</v>
      </c>
      <c r="E81" s="657" t="s">
        <v>3163</v>
      </c>
    </row>
    <row r="82" spans="1:5" x14ac:dyDescent="0.15">
      <c r="A82" s="526" t="s">
        <v>3159</v>
      </c>
      <c r="B82" s="3" t="s">
        <v>3551</v>
      </c>
      <c r="C82" s="16">
        <f>IF(mix_tanks=0,0,ROUNDUP((mix_tank_fp+2*(mix_curb_len_long-2*mix_curb_thick)*mix_curb_height+2*mix_curb_len_short*mix_curb_height)/sec_cont_coating_cvg,0))</f>
        <v>0</v>
      </c>
      <c r="D82" s="526" t="s">
        <v>143</v>
      </c>
      <c r="E82" s="657" t="s">
        <v>3164</v>
      </c>
    </row>
  </sheetData>
  <phoneticPr fontId="0" type="noConversion"/>
  <pageMargins left="0.75" right="0.75" top="1" bottom="1" header="0.5" footer="0.5"/>
  <pageSetup orientation="landscape" horizontalDpi="200" verticalDpi="2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x14ac:dyDescent="0.15"/>
  <cols>
    <col min="1" max="1" width="48.33203125" customWidth="1"/>
    <col min="2" max="2" width="25.83203125" customWidth="1"/>
    <col min="3" max="3" width="19" customWidth="1"/>
    <col min="4" max="4" width="10.83203125" style="526" customWidth="1"/>
  </cols>
  <sheetData>
    <row r="1" spans="1:5" x14ac:dyDescent="0.15">
      <c r="A1" s="1" t="s">
        <v>1484</v>
      </c>
    </row>
    <row r="2" spans="1:5" s="526" customFormat="1" x14ac:dyDescent="0.15">
      <c r="B2" s="3"/>
    </row>
    <row r="3" spans="1:5" s="526" customFormat="1" x14ac:dyDescent="0.15">
      <c r="A3" s="206" t="s">
        <v>2952</v>
      </c>
      <c r="B3" s="206" t="s">
        <v>277</v>
      </c>
      <c r="C3" s="207" t="s">
        <v>278</v>
      </c>
      <c r="D3" s="206" t="s">
        <v>279</v>
      </c>
      <c r="E3" s="206" t="s">
        <v>280</v>
      </c>
    </row>
    <row r="4" spans="1:5" s="526" customFormat="1" x14ac:dyDescent="0.15">
      <c r="A4" s="2" t="s">
        <v>3040</v>
      </c>
      <c r="B4"/>
      <c r="C4"/>
      <c r="E4"/>
    </row>
    <row r="5" spans="1:5" s="526" customFormat="1" x14ac:dyDescent="0.15">
      <c r="A5" s="526" t="s">
        <v>3041</v>
      </c>
      <c r="B5" s="3" t="s">
        <v>3042</v>
      </c>
      <c r="C5">
        <f>TDS_I/40000</f>
        <v>5.0000000000000001E-3</v>
      </c>
      <c r="D5" s="526" t="s">
        <v>3089</v>
      </c>
      <c r="E5" s="6" t="s">
        <v>3090</v>
      </c>
    </row>
    <row r="6" spans="1:5" s="526" customFormat="1" x14ac:dyDescent="0.15">
      <c r="A6" s="526" t="s">
        <v>3043</v>
      </c>
      <c r="B6" s="3" t="s">
        <v>3044</v>
      </c>
      <c r="C6">
        <f>t_I-25</f>
        <v>-15</v>
      </c>
      <c r="D6" s="526" t="s">
        <v>3091</v>
      </c>
      <c r="E6" s="6" t="s">
        <v>3092</v>
      </c>
    </row>
    <row r="7" spans="1:5" s="526" customFormat="1" x14ac:dyDescent="0.15">
      <c r="A7" s="526" t="s">
        <v>3045</v>
      </c>
      <c r="B7" s="3" t="s">
        <v>3046</v>
      </c>
      <c r="C7">
        <f>78.54*(1-0.004579*t_minus25+0.0000119*t_minus25^2+0.000000028*t_minus25^3)</f>
        <v>84.137388720000004</v>
      </c>
      <c r="E7" s="6" t="s">
        <v>3093</v>
      </c>
    </row>
    <row r="8" spans="1:5" s="526" customFormat="1" x14ac:dyDescent="0.15">
      <c r="A8" s="526" t="s">
        <v>3047</v>
      </c>
      <c r="B8" s="3" t="s">
        <v>3048</v>
      </c>
      <c r="C8">
        <f>t_I+273</f>
        <v>283</v>
      </c>
      <c r="D8" s="526" t="s">
        <v>3094</v>
      </c>
      <c r="E8" s="6" t="s">
        <v>3095</v>
      </c>
    </row>
    <row r="9" spans="1:5" s="526" customFormat="1" x14ac:dyDescent="0.15">
      <c r="A9" s="526" t="s">
        <v>3049</v>
      </c>
      <c r="B9" s="3" t="s">
        <v>3050</v>
      </c>
      <c r="C9">
        <f>1290000*(SQRT(2)/(D_dielectric*T_K)^1.5)</f>
        <v>0.49652544704237711</v>
      </c>
      <c r="E9" s="6" t="s">
        <v>3096</v>
      </c>
    </row>
    <row r="10" spans="1:5" s="526" customFormat="1" x14ac:dyDescent="0.15">
      <c r="A10" s="526" t="s">
        <v>3051</v>
      </c>
      <c r="B10" s="3" t="s">
        <v>3052</v>
      </c>
      <c r="C10">
        <f>A_slope_lim*1^2*(SQRT(I_ion_str)/(1+SQRT(I_ion_str))-0.3*I_ion_str)</f>
        <v>3.2046190551368897E-2</v>
      </c>
      <c r="E10" s="6" t="s">
        <v>3097</v>
      </c>
    </row>
    <row r="11" spans="1:5" s="526" customFormat="1" x14ac:dyDescent="0.15">
      <c r="A11" s="526" t="s">
        <v>3053</v>
      </c>
      <c r="B11" s="3" t="s">
        <v>3054</v>
      </c>
      <c r="C11">
        <f>A_slope_lim*2^2*(SQRT(I_ion_str)/(1+SQRT(I_ion_str))-0.3*I_ion_str)</f>
        <v>0.12818476220547559</v>
      </c>
      <c r="E11" s="6" t="s">
        <v>3097</v>
      </c>
    </row>
    <row r="12" spans="1:5" s="526" customFormat="1" ht="15" x14ac:dyDescent="0.2">
      <c r="A12" s="526" t="s">
        <v>3055</v>
      </c>
      <c r="B12" s="3" t="s">
        <v>3056</v>
      </c>
      <c r="C12">
        <f>10^-log_gamma_1</f>
        <v>0.92886758932889413</v>
      </c>
      <c r="E12" s="6"/>
    </row>
    <row r="13" spans="1:5" s="526" customFormat="1" ht="15" x14ac:dyDescent="0.2">
      <c r="A13" s="526" t="s">
        <v>3057</v>
      </c>
      <c r="B13" s="3" t="s">
        <v>3058</v>
      </c>
      <c r="C13">
        <f>10^-log_gamma_2</f>
        <v>0.74441520944640127</v>
      </c>
      <c r="E13" s="6"/>
    </row>
    <row r="14" spans="1:5" s="526" customFormat="1" ht="15" x14ac:dyDescent="0.2">
      <c r="A14" s="526" t="s">
        <v>3059</v>
      </c>
      <c r="B14" s="3" t="s">
        <v>3060</v>
      </c>
      <c r="C14" s="376">
        <f>a1_K1+a2_K1/T_K+a3_K1*LOG10(T_K)+a4_K1*T_K+a5_K1/T_K^2</f>
        <v>6.4766411440902338</v>
      </c>
      <c r="E14" s="6"/>
    </row>
    <row r="15" spans="1:5" s="526" customFormat="1" ht="16" x14ac:dyDescent="0.2">
      <c r="A15" s="526" t="s">
        <v>3061</v>
      </c>
      <c r="B15" s="3" t="s">
        <v>3062</v>
      </c>
      <c r="C15" s="376">
        <f>a1_K2+a2_K2/T_K+a3_K2*LOG10(T_K)+a4_K2*T_K+a5_K2/T_K^2</f>
        <v>10.488538243033085</v>
      </c>
      <c r="E15" s="6"/>
    </row>
    <row r="16" spans="1:5" s="526" customFormat="1" ht="15" x14ac:dyDescent="0.2">
      <c r="A16" s="526" t="s">
        <v>3063</v>
      </c>
      <c r="B16" s="3" t="s">
        <v>3064</v>
      </c>
      <c r="C16" s="376">
        <f>a1_Kw+a2_Kw/T_K+a3_Kw*LOG10(T_K)+a4_Kw*T_K+a5_Kw/T_K^2</f>
        <v>14.538566572438164</v>
      </c>
      <c r="E16" s="6"/>
    </row>
    <row r="17" spans="1:5" s="526" customFormat="1" ht="15" x14ac:dyDescent="0.2">
      <c r="A17" s="526" t="s">
        <v>3065</v>
      </c>
      <c r="B17" s="3" t="s">
        <v>3066</v>
      </c>
      <c r="C17">
        <f>10^-pK_1</f>
        <v>3.3370203562126103E-7</v>
      </c>
      <c r="E17" s="6"/>
    </row>
    <row r="18" spans="1:5" s="526" customFormat="1" ht="16" x14ac:dyDescent="0.2">
      <c r="A18" s="526" t="s">
        <v>3067</v>
      </c>
      <c r="B18" s="3" t="s">
        <v>3068</v>
      </c>
      <c r="C18">
        <f>10^-pK_2</f>
        <v>3.2468464988066683E-11</v>
      </c>
      <c r="E18" s="6"/>
    </row>
    <row r="19" spans="1:5" s="526" customFormat="1" ht="15" x14ac:dyDescent="0.2">
      <c r="A19" s="526" t="s">
        <v>3069</v>
      </c>
      <c r="B19" s="3" t="s">
        <v>3070</v>
      </c>
      <c r="C19">
        <f>10^-pK_w</f>
        <v>2.8935662320507785E-15</v>
      </c>
      <c r="E19" s="6"/>
    </row>
    <row r="20" spans="1:5" s="526" customFormat="1" ht="16" x14ac:dyDescent="0.2">
      <c r="A20" s="526" t="s">
        <v>3071</v>
      </c>
      <c r="B20" s="3" t="s">
        <v>3072</v>
      </c>
      <c r="C20">
        <f>gamma_1*10^-pHo/K_1</f>
        <v>0.27835238931030171</v>
      </c>
      <c r="E20" s="6" t="s">
        <v>3098</v>
      </c>
    </row>
    <row r="21" spans="1:5" s="526" customFormat="1" ht="16" x14ac:dyDescent="0.2">
      <c r="A21" s="526" t="s">
        <v>3071</v>
      </c>
      <c r="B21" s="3" t="s">
        <v>3073</v>
      </c>
      <c r="C21">
        <f>(gamma_1*K_2)/(gamma_2*10^-pHo)</f>
        <v>4.0513552678623203E-4</v>
      </c>
      <c r="E21" s="6" t="s">
        <v>3099</v>
      </c>
    </row>
    <row r="22" spans="1:5" s="526" customFormat="1" x14ac:dyDescent="0.15">
      <c r="A22" s="526" t="s">
        <v>3071</v>
      </c>
      <c r="B22" s="3" t="s">
        <v>3074</v>
      </c>
      <c r="C22">
        <f>alk_I/50000</f>
        <v>5.0000000000000001E-4</v>
      </c>
      <c r="D22" s="526" t="s">
        <v>3100</v>
      </c>
      <c r="E22" s="6" t="s">
        <v>3101</v>
      </c>
    </row>
    <row r="23" spans="1:5" s="526" customFormat="1" ht="16" x14ac:dyDescent="0.2">
      <c r="A23" s="526" t="s">
        <v>3071</v>
      </c>
      <c r="B23" s="3" t="s">
        <v>3075</v>
      </c>
      <c r="C23">
        <f>K_w/(gamma_1*10^-pHo)</f>
        <v>3.1151546951286968E-8</v>
      </c>
      <c r="E23" s="6" t="s">
        <v>3102</v>
      </c>
    </row>
    <row r="24" spans="1:5" s="526" customFormat="1" ht="16" x14ac:dyDescent="0.2">
      <c r="A24" s="526" t="s">
        <v>3071</v>
      </c>
      <c r="B24" s="3" t="s">
        <v>3076</v>
      </c>
      <c r="C24">
        <f>10^-pHo/gamma_1</f>
        <v>1.0765797100558745E-7</v>
      </c>
      <c r="E24" s="6" t="s">
        <v>3103</v>
      </c>
    </row>
    <row r="25" spans="1:5" s="526" customFormat="1" ht="16" x14ac:dyDescent="0.2">
      <c r="A25" s="526" t="s">
        <v>3071</v>
      </c>
      <c r="B25" s="3" t="s">
        <v>3077</v>
      </c>
      <c r="C25">
        <f>(2*K_2*gamma_1)/(gamma_2*10^-pHo)</f>
        <v>8.1027105357246406E-4</v>
      </c>
      <c r="E25" s="6" t="s">
        <v>3104</v>
      </c>
    </row>
    <row r="26" spans="1:5" s="526" customFormat="1" ht="15" x14ac:dyDescent="0.2">
      <c r="A26" s="526" t="s">
        <v>3078</v>
      </c>
      <c r="B26" s="3" t="s">
        <v>3079</v>
      </c>
      <c r="C26">
        <f>(1+term1_i+term2_i)*((term3_i-term4_i+term5_i)/(1+term6_i))</f>
        <v>6.3895886571069282E-4</v>
      </c>
      <c r="D26" s="526" t="s">
        <v>3089</v>
      </c>
      <c r="E26" s="6" t="s">
        <v>3105</v>
      </c>
    </row>
    <row r="27" spans="1:5" s="526" customFormat="1" ht="16" x14ac:dyDescent="0.2">
      <c r="A27" s="526" t="s">
        <v>3071</v>
      </c>
      <c r="B27" s="3" t="s">
        <v>3080</v>
      </c>
      <c r="C27">
        <f>(2*K_2*gamma_1)/(gamma_2*10^-pHf)</f>
        <v>1.2841930768552922E-2</v>
      </c>
      <c r="E27" s="6" t="s">
        <v>3104</v>
      </c>
    </row>
    <row r="28" spans="1:5" s="526" customFormat="1" ht="16" x14ac:dyDescent="0.2">
      <c r="A28" s="526" t="s">
        <v>3071</v>
      </c>
      <c r="B28" s="3" t="s">
        <v>3081</v>
      </c>
      <c r="C28">
        <f>(gamma_1*10^-pHf)/K_1</f>
        <v>1.7562848438894489E-2</v>
      </c>
      <c r="E28" s="6" t="s">
        <v>3098</v>
      </c>
    </row>
    <row r="29" spans="1:5" s="526" customFormat="1" ht="16" x14ac:dyDescent="0.2">
      <c r="A29" s="526" t="s">
        <v>3071</v>
      </c>
      <c r="B29" s="3" t="s">
        <v>3082</v>
      </c>
      <c r="C29">
        <f>(gamma_1*K_2)/(gamma_2*10^-pHf)</f>
        <v>6.4209653842764612E-3</v>
      </c>
      <c r="E29" s="6" t="s">
        <v>3099</v>
      </c>
    </row>
    <row r="30" spans="1:5" s="526" customFormat="1" ht="16" x14ac:dyDescent="0.2">
      <c r="A30" s="526" t="s">
        <v>3071</v>
      </c>
      <c r="B30" s="3" t="s">
        <v>3083</v>
      </c>
      <c r="C30">
        <f>K_w/(gamma_1*10^-pHf)</f>
        <v>4.9371874697727459E-7</v>
      </c>
      <c r="E30" s="6" t="s">
        <v>3102</v>
      </c>
    </row>
    <row r="31" spans="1:5" s="526" customFormat="1" ht="16" x14ac:dyDescent="0.2">
      <c r="A31" s="526" t="s">
        <v>3071</v>
      </c>
      <c r="B31" s="3" t="s">
        <v>3084</v>
      </c>
      <c r="C31">
        <f>10^-pHf/gamma_1</f>
        <v>6.7927587497811107E-9</v>
      </c>
      <c r="E31" s="6" t="s">
        <v>3103</v>
      </c>
    </row>
    <row r="32" spans="1:5" s="526" customFormat="1" ht="15" x14ac:dyDescent="0.2">
      <c r="A32" s="526" t="s">
        <v>3085</v>
      </c>
      <c r="B32" s="3" t="s">
        <v>3086</v>
      </c>
      <c r="C32">
        <f>50000*((C_T_i*(1+term1_f))/(1+term2_f+term3_f)+term4_f-term5_f)</f>
        <v>31.624666660523044</v>
      </c>
      <c r="D32" s="526" t="s">
        <v>3106</v>
      </c>
      <c r="E32" s="6" t="s">
        <v>3107</v>
      </c>
    </row>
    <row r="33" spans="1:5" s="526" customFormat="1" ht="15" x14ac:dyDescent="0.15">
      <c r="A33" s="526" t="s">
        <v>3087</v>
      </c>
      <c r="B33" s="3" t="s">
        <v>3088</v>
      </c>
      <c r="C33">
        <f>(alk_f-alk_I)/50000</f>
        <v>1.3249333321046087E-4</v>
      </c>
      <c r="D33" s="526" t="s">
        <v>3089</v>
      </c>
      <c r="E33" s="6" t="s">
        <v>3108</v>
      </c>
    </row>
    <row r="34" spans="1:5" s="526" customFormat="1" x14ac:dyDescent="0.15">
      <c r="A34" s="1"/>
      <c r="B34" s="1"/>
      <c r="C34" s="208"/>
      <c r="D34" s="1"/>
      <c r="E34" s="1"/>
    </row>
    <row r="35" spans="1:5" s="526" customFormat="1" x14ac:dyDescent="0.15">
      <c r="A35" s="2" t="s">
        <v>3110</v>
      </c>
      <c r="B35" s="1"/>
      <c r="C35" s="208"/>
      <c r="D35" s="1"/>
      <c r="E35" s="1"/>
    </row>
    <row r="36" spans="1:5" x14ac:dyDescent="0.15">
      <c r="A36" t="s">
        <v>1456</v>
      </c>
      <c r="B36" s="3" t="s">
        <v>1457</v>
      </c>
      <c r="C36">
        <f>IF(pH_adj="yes",39.997*OH_tot*1000,0)</f>
        <v>0</v>
      </c>
      <c r="D36" s="526" t="s">
        <v>2514</v>
      </c>
      <c r="E36" s="6" t="s">
        <v>3109</v>
      </c>
    </row>
    <row r="37" spans="1:5" x14ac:dyDescent="0.15">
      <c r="A37" t="s">
        <v>1487</v>
      </c>
      <c r="B37" s="3" t="s">
        <v>1488</v>
      </c>
      <c r="C37">
        <f>VLOOKUP(NaOH_pct,NaOH_table_cl,2)</f>
        <v>6.3639999999999999</v>
      </c>
      <c r="D37" s="526" t="s">
        <v>2649</v>
      </c>
    </row>
    <row r="38" spans="1:5" x14ac:dyDescent="0.15">
      <c r="A38" t="s">
        <v>1921</v>
      </c>
      <c r="B38" s="3" t="s">
        <v>1489</v>
      </c>
      <c r="C38" s="49">
        <f>1000000*3.7854*NaOH_tot*2.2*average_flow/1000000</f>
        <v>0</v>
      </c>
      <c r="D38" s="526" t="s">
        <v>264</v>
      </c>
    </row>
    <row r="39" spans="1:5" x14ac:dyDescent="0.15">
      <c r="A39" t="s">
        <v>1922</v>
      </c>
      <c r="B39" s="3" t="s">
        <v>1490</v>
      </c>
      <c r="C39" s="18">
        <f>ROUNDUP(lb_NaOH_day*cstore_days,0)</f>
        <v>0</v>
      </c>
      <c r="D39" s="526" t="s">
        <v>264</v>
      </c>
    </row>
    <row r="40" spans="1:5" x14ac:dyDescent="0.15">
      <c r="A40" t="s">
        <v>1491</v>
      </c>
      <c r="B40" s="3" t="s">
        <v>1492</v>
      </c>
      <c r="C40" s="18">
        <f>lb_NaOH_day/caustic_conc_lb</f>
        <v>0</v>
      </c>
      <c r="D40" s="526" t="s">
        <v>1132</v>
      </c>
    </row>
    <row r="41" spans="1:5" x14ac:dyDescent="0.15">
      <c r="A41" t="s">
        <v>1451</v>
      </c>
      <c r="B41" s="3" t="s">
        <v>1452</v>
      </c>
      <c r="C41" s="18">
        <f>ROUNDUP(lb_NaOH_store/caustic_conc_lb,0)</f>
        <v>0</v>
      </c>
      <c r="D41" s="526" t="s">
        <v>1132</v>
      </c>
    </row>
    <row r="42" spans="1:5" x14ac:dyDescent="0.15">
      <c r="A42" t="s">
        <v>1453</v>
      </c>
      <c r="B42" s="3" t="s">
        <v>1454</v>
      </c>
      <c r="C42" s="20">
        <f>gal_NaOH_day/24*design_flow/average_flow</f>
        <v>0</v>
      </c>
      <c r="D42" s="526" t="s">
        <v>1030</v>
      </c>
    </row>
    <row r="43" spans="1:5" x14ac:dyDescent="0.15">
      <c r="A43" t="s">
        <v>2765</v>
      </c>
      <c r="B43" s="3" t="s">
        <v>2766</v>
      </c>
      <c r="C43" s="20">
        <f>VLOOKUP(NaOH_pct,NaOH_table_cl,4)</f>
        <v>1.5249999999999999</v>
      </c>
    </row>
    <row r="44" spans="1:5" x14ac:dyDescent="0.15">
      <c r="A44" t="s">
        <v>2763</v>
      </c>
      <c r="B44" s="3" t="s">
        <v>2764</v>
      </c>
      <c r="C44" s="17">
        <f>IF(gal_NaOH_store=0,0,ROUNDUP(gal_NaOH_store*NaOH_spgr*8.345,0))</f>
        <v>0</v>
      </c>
      <c r="D44" s="526" t="s">
        <v>264</v>
      </c>
    </row>
    <row r="46" spans="1:5" x14ac:dyDescent="0.15">
      <c r="A46" s="2" t="s">
        <v>1458</v>
      </c>
    </row>
    <row r="47" spans="1:5" x14ac:dyDescent="0.15">
      <c r="A47" t="s">
        <v>1458</v>
      </c>
      <c r="B47" s="3" t="s">
        <v>1459</v>
      </c>
      <c r="C47">
        <f>IF(gal_NaOH_store=0,0,ROUNDUP(gal_NaOH_store/max_chem_tank_size,0))</f>
        <v>0</v>
      </c>
      <c r="D47" s="526" t="s">
        <v>64</v>
      </c>
    </row>
    <row r="48" spans="1:5" x14ac:dyDescent="0.15">
      <c r="A48" s="16" t="s">
        <v>1461</v>
      </c>
      <c r="B48" s="3" t="s">
        <v>1460</v>
      </c>
      <c r="C48" s="49">
        <f>IF(gal_NaOH_store=0,0,ROUNDUP(gal_NaOH_store/NaOH_tanks,0))</f>
        <v>0</v>
      </c>
      <c r="D48" s="526" t="s">
        <v>143</v>
      </c>
    </row>
    <row r="49" spans="1:5" x14ac:dyDescent="0.15">
      <c r="A49" s="76" t="s">
        <v>2534</v>
      </c>
      <c r="B49" s="47" t="s">
        <v>2537</v>
      </c>
      <c r="C49" s="374">
        <f>1000000*3.7854*NaOH_tot*2.2*design_flow/1000000/caustic_conc_lb</f>
        <v>0</v>
      </c>
      <c r="D49" s="526" t="s">
        <v>143</v>
      </c>
    </row>
    <row r="50" spans="1:5" x14ac:dyDescent="0.15">
      <c r="A50" t="s">
        <v>2535</v>
      </c>
      <c r="B50" s="3" t="s">
        <v>2528</v>
      </c>
      <c r="C50" s="72">
        <f>IF(NaOH_day_tank_vol_needed&lt;day_tank_needed,0,ROUNDUP(NaOH_day_tank_vol_needed/max_chem_tank_size,0))</f>
        <v>0</v>
      </c>
      <c r="D50" s="526" t="s">
        <v>64</v>
      </c>
    </row>
    <row r="51" spans="1:5" x14ac:dyDescent="0.15">
      <c r="A51" t="s">
        <v>2536</v>
      </c>
      <c r="B51" s="3" t="s">
        <v>2529</v>
      </c>
      <c r="C51" s="566">
        <f>IF(NaOH_day_tanks=0,0,ROUNDUP(NaOH_day_tank_vol_needed/NaOH_day_tanks,0))</f>
        <v>0</v>
      </c>
      <c r="D51" s="526" t="s">
        <v>143</v>
      </c>
    </row>
    <row r="52" spans="1:5" x14ac:dyDescent="0.15">
      <c r="B52" s="3"/>
      <c r="C52" s="566"/>
    </row>
    <row r="53" spans="1:5" s="16" customFormat="1" x14ac:dyDescent="0.15">
      <c r="A53" s="2" t="s">
        <v>2999</v>
      </c>
      <c r="B53" s="22"/>
      <c r="C53" s="18"/>
      <c r="D53" s="651"/>
    </row>
    <row r="54" spans="1:5" s="16" customFormat="1" x14ac:dyDescent="0.15">
      <c r="A54" t="s">
        <v>2991</v>
      </c>
      <c r="B54" s="22"/>
      <c r="C54" s="720">
        <f>VLOOKUP("Sodium Hydroxide "&amp;TEXT(NaOH_pct,"0%")&amp;" - Large Qty",chem_break_table_cl,2,FALSE)</f>
        <v>25436.999999999996</v>
      </c>
      <c r="D54" s="651" t="s">
        <v>264</v>
      </c>
      <c r="E54" s="6" t="s">
        <v>2992</v>
      </c>
    </row>
    <row r="55" spans="1:5" s="16" customFormat="1" x14ac:dyDescent="0.15">
      <c r="A55" s="16" t="s">
        <v>2993</v>
      </c>
      <c r="B55" s="22"/>
      <c r="C55" s="720">
        <f>VLOOKUP("Sodium Hydroxide "&amp;TEXT(NaOH_pct,"0%")&amp;" - Mid Qty",chem_break_table_cl,2,FALSE)</f>
        <v>5000</v>
      </c>
      <c r="D55" s="651" t="s">
        <v>264</v>
      </c>
      <c r="E55" s="6" t="s">
        <v>2992</v>
      </c>
    </row>
    <row r="56" spans="1:5" s="16" customFormat="1" x14ac:dyDescent="0.15">
      <c r="A56" s="76" t="s">
        <v>2994</v>
      </c>
      <c r="B56" s="22"/>
      <c r="C56" s="720">
        <f>VLOOKUP("Sodium Hydroxide "&amp;TEXT(NaOH_pct,"0%")&amp;" - Small Qty",chem_break_table_cl,2,FALSE)</f>
        <v>0</v>
      </c>
      <c r="D56" s="651" t="s">
        <v>264</v>
      </c>
      <c r="E56" s="6" t="s">
        <v>2992</v>
      </c>
    </row>
    <row r="57" spans="1:5" s="16" customFormat="1" x14ac:dyDescent="0.15">
      <c r="A57" t="s">
        <v>3000</v>
      </c>
      <c r="B57" s="22" t="s">
        <v>3001</v>
      </c>
      <c r="C57" s="18" t="str">
        <f>IF(AND(ISNA(C54),ISNA(C55),ISNA(C56)),"",IF(NaOH_lbs&gt;=C54," - Large Qty",IF(NaOH_lbs&gt;=C55," - Mid Qty"," - Small Qty")))</f>
        <v xml:space="preserve"> - Small Qty</v>
      </c>
      <c r="D57" s="651"/>
      <c r="E57" s="657" t="s">
        <v>2996</v>
      </c>
    </row>
    <row r="58" spans="1:5" s="16" customFormat="1" x14ac:dyDescent="0.15">
      <c r="A58" s="109"/>
      <c r="B58" s="22"/>
      <c r="C58" s="18"/>
      <c r="D58" s="651"/>
      <c r="E58" s="657"/>
    </row>
    <row r="59" spans="1:5" x14ac:dyDescent="0.15">
      <c r="A59" s="2" t="s">
        <v>1343</v>
      </c>
      <c r="B59" s="3"/>
      <c r="C59" s="566"/>
    </row>
    <row r="60" spans="1:5" x14ac:dyDescent="0.15">
      <c r="A60" t="s">
        <v>2538</v>
      </c>
      <c r="B60" s="563" t="s">
        <v>2539</v>
      </c>
      <c r="C60" s="73">
        <f>MAX(VLOOKUP(10^6,port_mix_cost_cl,1)-0.1,VLOOKUP(10^6,mount_mix_cost_cl,1)-0.1,VLOOKUP(10^6,imp_mix_cost_cl,1)-0.1)</f>
        <v>30</v>
      </c>
      <c r="D60" s="526" t="s">
        <v>1360</v>
      </c>
    </row>
    <row r="61" spans="1:5" x14ac:dyDescent="0.15">
      <c r="A61" t="s">
        <v>2540</v>
      </c>
      <c r="B61" s="3" t="s">
        <v>2541</v>
      </c>
      <c r="C61" s="72">
        <f>IF(AND(include_cmix=1,NaOH_tanks&lt;&gt;0),ROUNDUP(NaOH_tank_vol/1000*cmix_hp_per/cmix_hp_max,0),0)</f>
        <v>0</v>
      </c>
      <c r="D61" s="526" t="s">
        <v>64</v>
      </c>
    </row>
    <row r="62" spans="1:5" x14ac:dyDescent="0.15">
      <c r="A62" t="s">
        <v>2542</v>
      </c>
      <c r="B62" s="3" t="s">
        <v>2543</v>
      </c>
      <c r="C62" s="72">
        <f>NaOH_tanks*cmix_per_tank</f>
        <v>0</v>
      </c>
      <c r="D62" s="526" t="s">
        <v>64</v>
      </c>
    </row>
    <row r="63" spans="1:5" x14ac:dyDescent="0.15">
      <c r="A63" t="s">
        <v>2544</v>
      </c>
      <c r="B63" s="3" t="s">
        <v>2545</v>
      </c>
      <c r="C63" s="565">
        <f>IF(cmixers&lt;&gt;0,MAX(min_cmix_hp,NaOH_tank_vol/1000*cmix_hp_per/cmix_per_tank),0)</f>
        <v>0</v>
      </c>
      <c r="D63" s="526" t="s">
        <v>1360</v>
      </c>
    </row>
    <row r="64" spans="1:5" x14ac:dyDescent="0.15">
      <c r="A64" t="s">
        <v>2546</v>
      </c>
      <c r="B64" s="3" t="s">
        <v>2547</v>
      </c>
      <c r="C64" s="72">
        <f>IF(AND(include_cmix=1,NaOH_day_tanks&lt;&gt;0),ROUNDUP(NaOH_day_tank_vol/1000*cmix_hp_per/cmix_hp_max,0),0)</f>
        <v>0</v>
      </c>
      <c r="D64" s="526" t="s">
        <v>64</v>
      </c>
    </row>
    <row r="65" spans="1:5" x14ac:dyDescent="0.15">
      <c r="A65" t="s">
        <v>2548</v>
      </c>
      <c r="B65" s="3" t="s">
        <v>2549</v>
      </c>
      <c r="C65" s="72">
        <f>NaOH_day_tanks*dmix_per_tank</f>
        <v>0</v>
      </c>
      <c r="D65" s="526" t="s">
        <v>64</v>
      </c>
    </row>
    <row r="66" spans="1:5" x14ac:dyDescent="0.15">
      <c r="A66" t="s">
        <v>2550</v>
      </c>
      <c r="B66" s="3" t="s">
        <v>2551</v>
      </c>
      <c r="C66" s="564">
        <f>IF(dmixers&lt;&gt;0,MAX(min_cmix_hp,NaOH_day_tank_vol/1000*cmix_hp_per/dmix_per_tank),0)</f>
        <v>0</v>
      </c>
      <c r="D66" s="526" t="s">
        <v>1360</v>
      </c>
    </row>
    <row r="68" spans="1:5" x14ac:dyDescent="0.15">
      <c r="A68" s="2" t="s">
        <v>3173</v>
      </c>
    </row>
    <row r="69" spans="1:5" x14ac:dyDescent="0.15">
      <c r="A69" s="526" t="s">
        <v>3145</v>
      </c>
      <c r="B69" s="3" t="s">
        <v>3146</v>
      </c>
      <c r="C69">
        <f>MAX(NaOH_tanks*NaOH_tank_vol*sec_cont_pct_of_total,NaOH_tank_vol*sec_cont_pct_of_largest)/7.48</f>
        <v>0</v>
      </c>
      <c r="D69" s="526" t="s">
        <v>1118</v>
      </c>
      <c r="E69" s="657" t="s">
        <v>3161</v>
      </c>
    </row>
    <row r="70" spans="1:5" x14ac:dyDescent="0.15">
      <c r="A70" s="526" t="s">
        <v>3147</v>
      </c>
      <c r="B70" s="3" t="s">
        <v>3148</v>
      </c>
      <c r="C70">
        <f>IF(NaOH_tanks=0,0,NaOH_tank_fp-NaOH_tanks*PI()*(NaOHtank_diam/2)^2)</f>
        <v>0</v>
      </c>
      <c r="D70" s="526" t="s">
        <v>1068</v>
      </c>
      <c r="E70" s="657" t="s">
        <v>3162</v>
      </c>
    </row>
    <row r="71" spans="1:5" x14ac:dyDescent="0.15">
      <c r="A71" s="526" t="s">
        <v>3149</v>
      </c>
      <c r="B71" s="3" t="s">
        <v>3150</v>
      </c>
      <c r="C71">
        <f>IF(NaOH_tanks=0,0,ct_cont_volume/ct_cont_fp+sec_cont_freeboard/12)</f>
        <v>0</v>
      </c>
      <c r="D71" s="526" t="s">
        <v>61</v>
      </c>
    </row>
    <row r="72" spans="1:5" x14ac:dyDescent="0.15">
      <c r="A72" s="526" t="s">
        <v>3151</v>
      </c>
      <c r="B72" s="3" t="s">
        <v>3152</v>
      </c>
      <c r="C72">
        <f>IF(NaOH_tanks=0,0,MIN(sec_cont_max_thick,ct_curb_height))</f>
        <v>0</v>
      </c>
      <c r="D72" s="526" t="s">
        <v>61</v>
      </c>
    </row>
    <row r="73" spans="1:5" x14ac:dyDescent="0.15">
      <c r="A73" s="526" t="s">
        <v>3153</v>
      </c>
      <c r="B73" s="3" t="s">
        <v>3154</v>
      </c>
      <c r="C73">
        <f>IF(NaOH_tanks=0,0,NaOH_tanks*NaOHtank_diam+2*space_NaOHtank+(NaOH_tanks-1)*space_NaOHtank+2*ct_curb_thick)</f>
        <v>0</v>
      </c>
      <c r="D73" s="526" t="s">
        <v>61</v>
      </c>
    </row>
    <row r="74" spans="1:5" x14ac:dyDescent="0.15">
      <c r="A74" s="526" t="s">
        <v>3155</v>
      </c>
      <c r="B74" s="3" t="s">
        <v>3156</v>
      </c>
      <c r="C74">
        <f>IF(NaOH_tanks=0,0,NaOHtank_diam+2*space_NaOHtank)</f>
        <v>0</v>
      </c>
      <c r="D74" s="526" t="s">
        <v>61</v>
      </c>
    </row>
    <row r="75" spans="1:5" x14ac:dyDescent="0.15">
      <c r="A75" s="526" t="s">
        <v>3157</v>
      </c>
      <c r="B75" s="3" t="s">
        <v>3158</v>
      </c>
      <c r="C75">
        <f>IF(NaOH_tanks=0,0,ROUNDUP((ct_curb_len_long*2+ct_curb_len_short*2)*ct_curb_height*ct_curb_thick/27,0))</f>
        <v>0</v>
      </c>
      <c r="D75" s="526" t="s">
        <v>1908</v>
      </c>
      <c r="E75" s="657" t="s">
        <v>3163</v>
      </c>
    </row>
    <row r="76" spans="1:5" x14ac:dyDescent="0.15">
      <c r="A76" s="526" t="s">
        <v>3159</v>
      </c>
      <c r="B76" s="3" t="s">
        <v>3160</v>
      </c>
      <c r="C76">
        <f>IF(NaOH_tanks=0,0,ROUNDUP((NaOH_tank_fp+2*(ct_curb_len_long-2*ct_curb_thick)*ct_curb_height+2*ct_curb_len_short*ct_curb_height)/sec_cont_coating_cvg,0))</f>
        <v>0</v>
      </c>
      <c r="D76" s="526" t="s">
        <v>143</v>
      </c>
      <c r="E76" s="657" t="s">
        <v>3164</v>
      </c>
    </row>
    <row r="77" spans="1:5" x14ac:dyDescent="0.15">
      <c r="D77" s="651"/>
      <c r="E77" s="16"/>
    </row>
    <row r="78" spans="1:5" x14ac:dyDescent="0.15">
      <c r="A78" s="2" t="s">
        <v>3174</v>
      </c>
      <c r="D78" s="651"/>
      <c r="E78" s="16"/>
    </row>
    <row r="79" spans="1:5" x14ac:dyDescent="0.15">
      <c r="A79" s="526" t="s">
        <v>3145</v>
      </c>
      <c r="B79" s="3" t="s">
        <v>3165</v>
      </c>
      <c r="C79">
        <f>MAX(NaOH_day_tanks*NaOH_day_tank_vol*sec_cont_pct_of_total,NaOH_day_tank_vol*sec_cont_pct_of_largest)/7.48</f>
        <v>0</v>
      </c>
      <c r="D79" s="526" t="s">
        <v>1118</v>
      </c>
      <c r="E79" s="657" t="s">
        <v>3161</v>
      </c>
    </row>
    <row r="80" spans="1:5" x14ac:dyDescent="0.15">
      <c r="A80" s="526" t="s">
        <v>3147</v>
      </c>
      <c r="B80" s="3" t="s">
        <v>3166</v>
      </c>
      <c r="C80">
        <f>IF(NaOH_day_tanks=0,0,NaOHday_tank_fp-NaOH_day_tanks*PI()*(NaOHdaytank_diam/2)^2)</f>
        <v>0</v>
      </c>
      <c r="D80" s="526" t="s">
        <v>1068</v>
      </c>
      <c r="E80" s="657" t="s">
        <v>3162</v>
      </c>
    </row>
    <row r="81" spans="1:5" x14ac:dyDescent="0.15">
      <c r="A81" s="526" t="s">
        <v>3149</v>
      </c>
      <c r="B81" s="3" t="s">
        <v>3167</v>
      </c>
      <c r="C81">
        <f>IF(NaOH_day_tanks=0,0,dt_cont_volume/dt_cont_fp+sec_cont_freeboard/12)</f>
        <v>0</v>
      </c>
      <c r="D81" s="526" t="s">
        <v>61</v>
      </c>
    </row>
    <row r="82" spans="1:5" x14ac:dyDescent="0.15">
      <c r="A82" s="526" t="s">
        <v>3151</v>
      </c>
      <c r="B82" s="3" t="s">
        <v>3168</v>
      </c>
      <c r="C82">
        <f>IF(NaOH_day_tanks=0,0,MIN(sec_cont_max_thick,dt_curb_height))</f>
        <v>0</v>
      </c>
      <c r="D82" s="526" t="s">
        <v>61</v>
      </c>
    </row>
    <row r="83" spans="1:5" x14ac:dyDescent="0.15">
      <c r="A83" s="526" t="s">
        <v>3153</v>
      </c>
      <c r="B83" s="3" t="s">
        <v>3169</v>
      </c>
      <c r="C83">
        <f>IF(NaOH_day_tanks=0,0,NaOH_day_tanks*NaOHdaytank_diam+2*space_NaOHdaytank+(NaOH_day_tanks-1)*space_NaOHdaytank+2*dt_curb_thick)</f>
        <v>0</v>
      </c>
      <c r="D83" s="526" t="s">
        <v>61</v>
      </c>
    </row>
    <row r="84" spans="1:5" x14ac:dyDescent="0.15">
      <c r="A84" s="526" t="s">
        <v>3155</v>
      </c>
      <c r="B84" s="3" t="s">
        <v>3170</v>
      </c>
      <c r="C84">
        <f>IF(NaOH_day_tanks=0,0,NaOHdaytank_diam+2*space_NaOHdaytank)</f>
        <v>0</v>
      </c>
      <c r="D84" s="526" t="s">
        <v>61</v>
      </c>
    </row>
    <row r="85" spans="1:5" x14ac:dyDescent="0.15">
      <c r="A85" s="526" t="s">
        <v>3157</v>
      </c>
      <c r="B85" s="3" t="s">
        <v>3171</v>
      </c>
      <c r="C85">
        <f>IF(NaOH_day_tanks=0,0,ROUNDUP((dt_curb_len_long*2+dt_curb_len_short*2)*dt_curb_height*dt_curb_thick/27,0))</f>
        <v>0</v>
      </c>
      <c r="D85" s="526" t="s">
        <v>1908</v>
      </c>
      <c r="E85" s="657" t="s">
        <v>3163</v>
      </c>
    </row>
    <row r="86" spans="1:5" x14ac:dyDescent="0.15">
      <c r="A86" s="526" t="s">
        <v>3159</v>
      </c>
      <c r="B86" s="3" t="s">
        <v>3172</v>
      </c>
      <c r="C86">
        <f>IF(NaOH_day_tanks=0,0,ROUNDUP((NaOHday_tank_fp+2*(dt_curb_len_long-2*dt_curb_thick)*dt_curb_height+2*dt_curb_len_short*dt_curb_height)/sec_cont_coating_cvg,0))</f>
        <v>0</v>
      </c>
      <c r="D86" s="526" t="s">
        <v>143</v>
      </c>
      <c r="E86" s="657" t="s">
        <v>3164</v>
      </c>
    </row>
  </sheetData>
  <phoneticPr fontId="0" type="noConversion"/>
  <pageMargins left="0.75" right="0.75" top="1" bottom="1" header="0.5" footer="0.5"/>
  <pageSetup orientation="portrait" horizontalDpi="4294967293"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x14ac:dyDescent="0.15">
      <c r="A1" s="1" t="s">
        <v>2955</v>
      </c>
      <c r="B1" s="3"/>
    </row>
    <row r="2" spans="1:5" s="526" customFormat="1" x14ac:dyDescent="0.15">
      <c r="B2" s="3"/>
    </row>
    <row r="3" spans="1:5" s="526" customFormat="1" x14ac:dyDescent="0.15">
      <c r="A3" s="206" t="s">
        <v>2952</v>
      </c>
      <c r="B3" s="206" t="s">
        <v>277</v>
      </c>
      <c r="C3" s="207" t="s">
        <v>278</v>
      </c>
      <c r="D3" s="206" t="s">
        <v>279</v>
      </c>
      <c r="E3" s="206" t="s">
        <v>280</v>
      </c>
    </row>
    <row r="4" spans="1:5" x14ac:dyDescent="0.15">
      <c r="A4" s="96" t="s">
        <v>1863</v>
      </c>
    </row>
    <row r="5" spans="1:5" x14ac:dyDescent="0.15">
      <c r="A5" s="16" t="s">
        <v>1765</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971</v>
      </c>
    </row>
    <row r="6" spans="1:5" customFormat="1" x14ac:dyDescent="0.15">
      <c r="A6" t="s">
        <v>1170</v>
      </c>
      <c r="B6" s="3" t="s">
        <v>1173</v>
      </c>
      <c r="C6" s="53">
        <f>VLOOKUP(10^6,pump_cost_cl,1)-1</f>
        <v>10000</v>
      </c>
      <c r="D6" s="526" t="s">
        <v>142</v>
      </c>
      <c r="E6" s="6" t="s">
        <v>1781</v>
      </c>
    </row>
    <row r="7" spans="1:5" x14ac:dyDescent="0.15">
      <c r="A7" s="16" t="s">
        <v>226</v>
      </c>
      <c r="B7" s="22" t="s">
        <v>227</v>
      </c>
      <c r="C7" s="16">
        <f>IF(pump_rating=0,0,ROUNDUP((design_flow_rate+bp_flow_rate)*(1+pump_safety_factor)/pump_rating,0))</f>
        <v>1</v>
      </c>
      <c r="D7" s="651" t="s">
        <v>64</v>
      </c>
      <c r="E7" s="15"/>
    </row>
    <row r="8" spans="1:5" x14ac:dyDescent="0.15">
      <c r="A8" s="16" t="s">
        <v>229</v>
      </c>
      <c r="B8" s="22" t="s">
        <v>230</v>
      </c>
      <c r="C8" s="16">
        <f>IF(booster_pumps=0,0,booster_pumps+NRD_pumps)</f>
        <v>1</v>
      </c>
      <c r="D8" s="651" t="s">
        <v>64</v>
      </c>
      <c r="E8" s="15"/>
    </row>
    <row r="9" spans="1:5" x14ac:dyDescent="0.15">
      <c r="A9" s="16" t="s">
        <v>421</v>
      </c>
      <c r="B9" s="22" t="s">
        <v>1433</v>
      </c>
      <c r="C9" s="18">
        <f>MAX(water_flush,rinse_gpm)</f>
        <v>398</v>
      </c>
      <c r="D9" s="651" t="s">
        <v>142</v>
      </c>
      <c r="E9" s="15"/>
    </row>
    <row r="10" spans="1:5" x14ac:dyDescent="0.15">
      <c r="A10" t="s">
        <v>67</v>
      </c>
      <c r="B10" s="3" t="s">
        <v>69</v>
      </c>
      <c r="C10">
        <f>IF(OR(no_backwash=1,max_back_flow=0),0,ROUNDUP(max_back_flow*(1+pump_safety_factor)/max_pump_size,0)+NRD_back_pumps)</f>
        <v>2</v>
      </c>
      <c r="D10" s="526" t="s">
        <v>68</v>
      </c>
      <c r="E10" s="6" t="s">
        <v>970</v>
      </c>
    </row>
    <row r="11" spans="1:5" x14ac:dyDescent="0.15">
      <c r="A11" s="16" t="s">
        <v>1817</v>
      </c>
      <c r="B11" s="22" t="s">
        <v>1818</v>
      </c>
      <c r="C11" s="56">
        <f>IF(backwash_pumps=0,0,max_back_flow*(1+pump_safety_factor)/(backwash_pumps-NRD_back_pumps))</f>
        <v>497.5</v>
      </c>
      <c r="D11" s="651" t="s">
        <v>142</v>
      </c>
      <c r="E11" s="15" t="s">
        <v>971</v>
      </c>
    </row>
    <row r="12" spans="1:5" x14ac:dyDescent="0.15">
      <c r="C12" s="56"/>
      <c r="E12" s="15"/>
    </row>
    <row r="13" spans="1:5" x14ac:dyDescent="0.15">
      <c r="A13" s="96" t="s">
        <v>1145</v>
      </c>
      <c r="C13" s="56"/>
      <c r="E13" s="15"/>
    </row>
    <row r="14" spans="1:5" x14ac:dyDescent="0.15">
      <c r="A14" t="s">
        <v>1778</v>
      </c>
      <c r="B14" s="3" t="s">
        <v>1779</v>
      </c>
      <c r="C14" s="53">
        <f>MAX(VLOOKUP(10^6,ss_empump_cost_cl,1)-0.01,VLOOKUP(10^6,ss_mmpump_cost_cl,1)-0.01,VLOOKUP(10^6,pvc_empump_cost_cl,1)-0.01,VLOOKUP(10^6,pvc_mmpump_cost_cl,1)-0.01)</f>
        <v>132</v>
      </c>
      <c r="D14" s="526" t="s">
        <v>1030</v>
      </c>
      <c r="E14" s="6" t="s">
        <v>1780</v>
      </c>
    </row>
    <row r="15" spans="1:5" x14ac:dyDescent="0.15">
      <c r="A15" s="660" t="s">
        <v>3433</v>
      </c>
      <c r="B15" s="3" t="s">
        <v>3434</v>
      </c>
      <c r="C15" s="53">
        <f>MAX(VLOOKUP(10^6,pvc_empump_cost_cl,1)-0.01,VLOOKUP(10^6,pvc_mmpump_cost_cl,1)-0.01)</f>
        <v>132</v>
      </c>
      <c r="D15" s="526" t="s">
        <v>1030</v>
      </c>
      <c r="E15" s="6" t="s">
        <v>3432</v>
      </c>
    </row>
    <row r="16" spans="1:5" x14ac:dyDescent="0.15">
      <c r="A16" s="16" t="s">
        <v>245</v>
      </c>
      <c r="B16" s="22" t="s">
        <v>247</v>
      </c>
      <c r="C16">
        <f>IF(pH_adj="yes",ROUNDUP(des_NaOH_flow*(1+pump_safety_factor)/max_cm_pump_size,0)+NRD_pH_pumps,0)</f>
        <v>0</v>
      </c>
      <c r="D16" s="526" t="s">
        <v>68</v>
      </c>
      <c r="E16" s="6" t="s">
        <v>970</v>
      </c>
    </row>
    <row r="17" spans="1:5" x14ac:dyDescent="0.15">
      <c r="A17" s="16" t="s">
        <v>246</v>
      </c>
      <c r="B17" s="22" t="s">
        <v>248</v>
      </c>
      <c r="C17" s="366">
        <f>IF(pH_pumps=0,0,MAX(min_chem_flow,des_NaOH_flow*(1+pump_safety_factor)/(pH_pumps-NRD_pH_pumps)))</f>
        <v>0</v>
      </c>
      <c r="D17" s="651" t="s">
        <v>1030</v>
      </c>
      <c r="E17" s="15" t="s">
        <v>971</v>
      </c>
    </row>
    <row r="18" spans="1:5" x14ac:dyDescent="0.15">
      <c r="C18" s="18"/>
      <c r="E18" s="15"/>
    </row>
    <row r="19" spans="1:5" x14ac:dyDescent="0.15">
      <c r="A19" s="96" t="s">
        <v>1864</v>
      </c>
    </row>
    <row r="20" spans="1:5" x14ac:dyDescent="0.15">
      <c r="A20" s="16" t="s">
        <v>3447</v>
      </c>
      <c r="B20" s="22" t="s">
        <v>2853</v>
      </c>
      <c r="C20" s="18">
        <f>in_out_pipe_mult*facil_length</f>
        <v>120</v>
      </c>
      <c r="D20" s="651" t="s">
        <v>136</v>
      </c>
    </row>
    <row r="21" spans="1:5" x14ac:dyDescent="0.15">
      <c r="A21" s="16" t="s">
        <v>97</v>
      </c>
      <c r="B21" s="22" t="s">
        <v>98</v>
      </c>
      <c r="C21" s="18">
        <f>proc_pipe_mult*facil_length</f>
        <v>120</v>
      </c>
      <c r="D21" s="651" t="s">
        <v>136</v>
      </c>
    </row>
    <row r="22" spans="1:5" x14ac:dyDescent="0.15">
      <c r="A22" s="16" t="s">
        <v>99</v>
      </c>
      <c r="B22" s="22" t="s">
        <v>135</v>
      </c>
      <c r="C22" s="16">
        <f>IF(max_back_flow=0,0,back_pipe_mult*facil_length)</f>
        <v>150</v>
      </c>
      <c r="D22" s="651" t="s">
        <v>136</v>
      </c>
    </row>
    <row r="23" spans="1:5" x14ac:dyDescent="0.15">
      <c r="A23" s="16" t="s">
        <v>2868</v>
      </c>
      <c r="B23" s="22" t="s">
        <v>2869</v>
      </c>
      <c r="C23" s="16">
        <f>IF(bp_pct&gt;0,bp_pipe_mult*facil_length,0)</f>
        <v>0</v>
      </c>
      <c r="D23" s="651" t="s">
        <v>136</v>
      </c>
    </row>
    <row r="24" spans="1:5" x14ac:dyDescent="0.15">
      <c r="A24" s="651" t="s">
        <v>926</v>
      </c>
      <c r="B24" s="22" t="s">
        <v>2870</v>
      </c>
      <c r="C24" s="16">
        <f>IF(regen_type=2,0,chem_pipe_mult*facil_length)</f>
        <v>0</v>
      </c>
      <c r="D24" s="651" t="s">
        <v>136</v>
      </c>
    </row>
    <row r="25" spans="1:5" x14ac:dyDescent="0.15">
      <c r="A25" s="16" t="s">
        <v>106</v>
      </c>
      <c r="B25" s="22" t="s">
        <v>107</v>
      </c>
      <c r="C25" s="16">
        <f>IF(NaOH_tot=0,0,chem_pipe_mult*facil_length)</f>
        <v>0</v>
      </c>
      <c r="D25" s="651" t="s">
        <v>136</v>
      </c>
      <c r="E25" s="15" t="s">
        <v>689</v>
      </c>
    </row>
    <row r="26" spans="1:5" x14ac:dyDescent="0.15">
      <c r="A26" s="651" t="s">
        <v>3344</v>
      </c>
      <c r="B26" s="22" t="s">
        <v>3345</v>
      </c>
      <c r="C26">
        <f>IF(coag_day_gal=0,0,chem_pipe_mult*facil_length)</f>
        <v>0</v>
      </c>
      <c r="D26" s="526" t="s">
        <v>136</v>
      </c>
      <c r="E26" s="15" t="s">
        <v>3346</v>
      </c>
    </row>
    <row r="27" spans="1:5" x14ac:dyDescent="0.15">
      <c r="A27" s="27" t="s">
        <v>522</v>
      </c>
      <c r="B27" s="22" t="s">
        <v>523</v>
      </c>
      <c r="C27" s="627">
        <f>IF(polymer_day=0,0,chem_pipe_mult*facil_length)</f>
        <v>0</v>
      </c>
      <c r="D27" s="526" t="s">
        <v>136</v>
      </c>
      <c r="E27" s="15" t="s">
        <v>528</v>
      </c>
    </row>
    <row r="28" spans="1:5" x14ac:dyDescent="0.15">
      <c r="A28" s="16" t="s">
        <v>3448</v>
      </c>
      <c r="B28" s="22" t="s">
        <v>972</v>
      </c>
      <c r="C28" s="18">
        <f>design_flow_rate+bp_flow_rate</f>
        <v>1494.4444444444443</v>
      </c>
      <c r="D28" s="651" t="s">
        <v>142</v>
      </c>
    </row>
    <row r="29" spans="1:5" x14ac:dyDescent="0.15">
      <c r="A29" s="16" t="s">
        <v>3470</v>
      </c>
      <c r="B29" s="22" t="s">
        <v>2852</v>
      </c>
      <c r="C29" s="16">
        <f>VLOOKUP(in_out_pipe_flow,pipe_size_table_cl,2)</f>
        <v>10</v>
      </c>
      <c r="D29" s="651" t="s">
        <v>973</v>
      </c>
    </row>
    <row r="30" spans="1:5" x14ac:dyDescent="0.15">
      <c r="A30" s="16" t="s">
        <v>974</v>
      </c>
      <c r="B30" s="22" t="s">
        <v>975</v>
      </c>
      <c r="C30" s="16">
        <f>VLOOKUP(flow_per_vessel,pipe_size_table_cl,2)</f>
        <v>10</v>
      </c>
      <c r="D30" s="651" t="s">
        <v>973</v>
      </c>
    </row>
    <row r="31" spans="1:5" x14ac:dyDescent="0.15">
      <c r="A31" s="16" t="s">
        <v>1865</v>
      </c>
      <c r="B31" s="22" t="s">
        <v>263</v>
      </c>
      <c r="C31" s="16">
        <f>IF(max_back_flow=0,0,VLOOKUP(max_back_flow,pipe_size_table_cl,2))</f>
        <v>6</v>
      </c>
      <c r="D31" s="651" t="s">
        <v>973</v>
      </c>
    </row>
    <row r="32" spans="1:5" x14ac:dyDescent="0.15">
      <c r="A32" s="16" t="s">
        <v>260</v>
      </c>
      <c r="B32" s="22" t="s">
        <v>1200</v>
      </c>
      <c r="C32" s="16">
        <f>IF(regen_type=2,0,VLOOKUP(regen_flow,pipe_size_table_cl,2))</f>
        <v>0</v>
      </c>
      <c r="D32" s="651" t="s">
        <v>973</v>
      </c>
    </row>
    <row r="33" spans="1:4" x14ac:dyDescent="0.15">
      <c r="A33" s="16" t="s">
        <v>2517</v>
      </c>
      <c r="B33" s="22" t="s">
        <v>1201</v>
      </c>
      <c r="C33" s="16">
        <f>IF(bp_pct&gt;0,VLOOKUP(bp_flow_rate,pipe_size_table_cl,2),0)</f>
        <v>0</v>
      </c>
      <c r="D33" s="651" t="s">
        <v>973</v>
      </c>
    </row>
    <row r="34" spans="1:4" x14ac:dyDescent="0.15">
      <c r="A34" s="16" t="s">
        <v>2375</v>
      </c>
      <c r="B34" s="22" t="s">
        <v>108</v>
      </c>
      <c r="C34" s="18">
        <f>des_NaOH_flow*60</f>
        <v>0</v>
      </c>
      <c r="D34" s="651" t="s">
        <v>142</v>
      </c>
    </row>
    <row r="35" spans="1:4" x14ac:dyDescent="0.15">
      <c r="A35" s="16" t="s">
        <v>2376</v>
      </c>
      <c r="B35" s="22" t="s">
        <v>109</v>
      </c>
      <c r="C35" s="16">
        <f>IF(des_NaOH_flow&gt;0,VLOOKUP(caustic_pipe_flow,pipe_size_table_cl,2),0)</f>
        <v>0</v>
      </c>
      <c r="D35" s="651" t="s">
        <v>973</v>
      </c>
    </row>
    <row r="36" spans="1:4" x14ac:dyDescent="0.15">
      <c r="A36" s="526" t="s">
        <v>3347</v>
      </c>
      <c r="B36" s="22" t="s">
        <v>3348</v>
      </c>
      <c r="C36">
        <f>coag_rate/60</f>
        <v>0</v>
      </c>
      <c r="D36" s="526" t="s">
        <v>142</v>
      </c>
    </row>
    <row r="37" spans="1:4" x14ac:dyDescent="0.15">
      <c r="A37" s="526" t="s">
        <v>3349</v>
      </c>
      <c r="B37" s="3" t="s">
        <v>3350</v>
      </c>
      <c r="C37">
        <f>IF(coag_day_gal=0,0,VLOOKUP(coag_pipe_flow,pipe_size_table_cl,2))</f>
        <v>0</v>
      </c>
      <c r="D37" s="526" t="s">
        <v>973</v>
      </c>
    </row>
    <row r="38" spans="1:4" x14ac:dyDescent="0.15">
      <c r="A38" s="5" t="s">
        <v>524</v>
      </c>
      <c r="B38" s="22" t="s">
        <v>525</v>
      </c>
      <c r="C38" s="98">
        <f>polymer_rate/60</f>
        <v>0</v>
      </c>
      <c r="D38" s="526" t="s">
        <v>142</v>
      </c>
    </row>
    <row r="39" spans="1:4" x14ac:dyDescent="0.15">
      <c r="A39" s="5" t="s">
        <v>526</v>
      </c>
      <c r="B39" s="3" t="s">
        <v>527</v>
      </c>
      <c r="C39" s="73">
        <f>IF(polymer_day=0,0,VLOOKUP(polymer_pipe_flow,pipe_size_table_cl,2))</f>
        <v>0</v>
      </c>
      <c r="D39" s="526" t="s">
        <v>973</v>
      </c>
    </row>
    <row r="40" spans="1:4" x14ac:dyDescent="0.15">
      <c r="B40" s="23"/>
    </row>
    <row r="41" spans="1:4" x14ac:dyDescent="0.15">
      <c r="A41" s="96" t="s">
        <v>1534</v>
      </c>
    </row>
    <row r="42" spans="1:4" x14ac:dyDescent="0.15">
      <c r="A42" t="s">
        <v>2493</v>
      </c>
      <c r="B42" s="22" t="s">
        <v>2494</v>
      </c>
      <c r="C42" s="16">
        <f>ROUNDUP(2*(MAX((2*back_tank_vol/7.48/PI())^(1/3),(4*back_tank_vol/7.48/PI()/(Building_height-ceiling_clearance))^(1/2))),0)/2</f>
        <v>10</v>
      </c>
      <c r="D42" s="651" t="s">
        <v>61</v>
      </c>
    </row>
    <row r="43" spans="1:4" x14ac:dyDescent="0.15">
      <c r="A43" t="s">
        <v>2498</v>
      </c>
      <c r="B43" s="22" t="s">
        <v>2499</v>
      </c>
      <c r="C43" s="16">
        <f>ROUNDUP(2*(MAX((2*mix_tank_vol/7.48/PI())^(1/3),(4*mix_tank_vol/7.48/PI()/(Building_height-ceiling_clearance))^(1/2))),0)/2</f>
        <v>0</v>
      </c>
      <c r="D43" s="651" t="s">
        <v>61</v>
      </c>
    </row>
    <row r="44" spans="1:4" x14ac:dyDescent="0.15">
      <c r="A44" t="s">
        <v>2495</v>
      </c>
      <c r="B44" s="22" t="s">
        <v>2496</v>
      </c>
      <c r="C44" s="16">
        <f>ROUNDUP(VLOOKUP(salt_box_size,saltbox_dim_table_cl,3),0)</f>
        <v>8</v>
      </c>
      <c r="D44" s="651" t="s">
        <v>61</v>
      </c>
    </row>
    <row r="45" spans="1:4" x14ac:dyDescent="0.15">
      <c r="A45" s="5" t="s">
        <v>2553</v>
      </c>
      <c r="B45" s="22" t="s">
        <v>2554</v>
      </c>
      <c r="C45" s="16">
        <f>ROUNDUP(2*(MAX((2*NaOH_tank_vol/7.48/PI())^(1/3),(4*NaOH_tank_vol/7.48/PI()/(Building_height-ceiling_clearance))^(1/2))),0)/2</f>
        <v>0</v>
      </c>
      <c r="D45" s="651" t="s">
        <v>61</v>
      </c>
    </row>
    <row r="46" spans="1:4" x14ac:dyDescent="0.15">
      <c r="A46" s="5" t="s">
        <v>2555</v>
      </c>
      <c r="B46" s="22" t="s">
        <v>1938</v>
      </c>
      <c r="C46" s="16">
        <f>ROUNDUP(2*(MAX((2*NaOH_day_tank_vol/7.48/PI())^(1/3),(4*NaOH_day_tank_vol/7.48/PI()/(Building_height-ceiling_clearance))^(1/2))),0)/2</f>
        <v>0</v>
      </c>
      <c r="D46" s="651" t="s">
        <v>61</v>
      </c>
    </row>
    <row r="47" spans="1:4" x14ac:dyDescent="0.15">
      <c r="A47" s="651" t="s">
        <v>3351</v>
      </c>
      <c r="B47" s="22" t="s">
        <v>3352</v>
      </c>
      <c r="C47">
        <f>ROUNDUP(2*(MAX((2*coag_tank_vol/7.48/PI())^(1/3),(4*coag_tank_vol/7.48/PI()/(Building_height-ceiling_clearance))^(1/2))),0)/2</f>
        <v>0</v>
      </c>
      <c r="D47" s="526" t="s">
        <v>61</v>
      </c>
    </row>
    <row r="48" spans="1:4" x14ac:dyDescent="0.15">
      <c r="A48" s="27" t="s">
        <v>529</v>
      </c>
      <c r="B48" s="22" t="s">
        <v>530</v>
      </c>
      <c r="C48" s="73">
        <f>ROUNDUP(2*(MAX((2*polymer_tank_vol/7.48/PI())^(1/3),(4*polymer_tank_vol/7.48/PI()/(Building_height-ceiling_clearance))^(1/2))),0)/2</f>
        <v>0</v>
      </c>
      <c r="D48" s="651" t="s">
        <v>61</v>
      </c>
    </row>
    <row r="49" spans="1:5" x14ac:dyDescent="0.15">
      <c r="A49" s="5" t="s">
        <v>2552</v>
      </c>
      <c r="B49" s="22" t="s">
        <v>2497</v>
      </c>
      <c r="C49" s="16">
        <f>ROUNDUP(2*(MAX((2*htank_vol/7.48/PI())^(1/3),(4*htank_vol/7.48/PI()/(Building_height-ceiling_clearance))^(1/2))),0)/2</f>
        <v>13.5</v>
      </c>
      <c r="D49" s="651" t="s">
        <v>61</v>
      </c>
    </row>
    <row r="50" spans="1:5" customFormat="1" x14ac:dyDescent="0.15">
      <c r="A50" t="s">
        <v>2224</v>
      </c>
      <c r="B50" s="3" t="s">
        <v>2225</v>
      </c>
      <c r="C50">
        <f>IF(ss_cat2=1,max_space_vessels_pre,max_space_vessels_cust)</f>
        <v>6</v>
      </c>
      <c r="D50" s="526" t="s">
        <v>61</v>
      </c>
      <c r="E50" s="6"/>
    </row>
    <row r="51" spans="1:5" x14ac:dyDescent="0.15">
      <c r="A51" t="s">
        <v>146</v>
      </c>
      <c r="B51" s="3" t="s">
        <v>147</v>
      </c>
      <c r="C51">
        <f>IF(tank_geom=2,max_space_vessels,IF(comm_diam&gt;max_space_vessels,max_space_vessels,comm_diam))</f>
        <v>6</v>
      </c>
      <c r="D51" s="526" t="s">
        <v>61</v>
      </c>
    </row>
    <row r="52" spans="1:5" x14ac:dyDescent="0.15">
      <c r="A52" t="s">
        <v>2177</v>
      </c>
      <c r="B52" s="3" t="s">
        <v>2178</v>
      </c>
      <c r="C52" s="16">
        <f>IF(bt_diam&gt;max_space_vessels,max_space_vessels,bt_diam)</f>
        <v>6</v>
      </c>
      <c r="D52" s="526" t="s">
        <v>61</v>
      </c>
    </row>
    <row r="53" spans="1:5" x14ac:dyDescent="0.15">
      <c r="A53" t="s">
        <v>261</v>
      </c>
      <c r="B53" s="3" t="s">
        <v>2179</v>
      </c>
      <c r="C53" s="16">
        <f>IF(mx_diam&gt;max_space_vessels,max_space_vessels,mx_diam)</f>
        <v>0</v>
      </c>
      <c r="D53" s="526" t="s">
        <v>61</v>
      </c>
    </row>
    <row r="54" spans="1:5" x14ac:dyDescent="0.15">
      <c r="A54" t="s">
        <v>2180</v>
      </c>
      <c r="B54" s="3" t="s">
        <v>2181</v>
      </c>
      <c r="C54" s="16">
        <f>IF(ss_diam&gt;max_space_vessels,max_space_vessels,ss_diam)</f>
        <v>6</v>
      </c>
      <c r="D54" s="526" t="s">
        <v>61</v>
      </c>
    </row>
    <row r="55" spans="1:5" x14ac:dyDescent="0.15">
      <c r="A55" s="5" t="s">
        <v>1939</v>
      </c>
      <c r="B55" s="3" t="s">
        <v>1940</v>
      </c>
      <c r="C55" s="16">
        <f>IF(NaOHtank_diam&gt;max_space_vessels,max_space_vessels,NaOHtank_diam)</f>
        <v>0</v>
      </c>
      <c r="D55" s="526" t="s">
        <v>61</v>
      </c>
    </row>
    <row r="56" spans="1:5" x14ac:dyDescent="0.15">
      <c r="A56" s="5" t="s">
        <v>1941</v>
      </c>
      <c r="B56" s="3" t="s">
        <v>1942</v>
      </c>
      <c r="C56" s="16">
        <f>IF(NaOHdaytank_diam&gt;max_space_vessels,max_space_vessels,NaOHdaytank_diam)</f>
        <v>0</v>
      </c>
      <c r="D56" s="526" t="s">
        <v>61</v>
      </c>
    </row>
    <row r="57" spans="1:5" x14ac:dyDescent="0.15">
      <c r="A57" s="526" t="s">
        <v>3354</v>
      </c>
      <c r="B57" s="3" t="s">
        <v>3355</v>
      </c>
      <c r="C57">
        <f>IF(coag_st_diam&gt;max_space_vessels,max_space_vessels,coag_st_diam)</f>
        <v>0</v>
      </c>
      <c r="D57" s="526" t="s">
        <v>61</v>
      </c>
    </row>
    <row r="58" spans="1:5" x14ac:dyDescent="0.15">
      <c r="A58" s="526" t="s">
        <v>3353</v>
      </c>
      <c r="B58" s="3" t="s">
        <v>531</v>
      </c>
      <c r="C58" s="73">
        <f>IF(polymer_st_diam&gt;max_space_vessels,max_space_vessels,polymer_st_diam)</f>
        <v>0</v>
      </c>
      <c r="D58" s="526" t="s">
        <v>61</v>
      </c>
    </row>
    <row r="59" spans="1:5" x14ac:dyDescent="0.15">
      <c r="A59" t="s">
        <v>2212</v>
      </c>
      <c r="B59" s="3" t="s">
        <v>2213</v>
      </c>
      <c r="C59" s="16">
        <f>IF(ht_diam&gt;max_space_vessels,max_space_vessels,ht_diam)</f>
        <v>6</v>
      </c>
      <c r="D59" s="526" t="s">
        <v>61</v>
      </c>
    </row>
    <row r="60" spans="1:5" customFormat="1" x14ac:dyDescent="0.15">
      <c r="A60" t="s">
        <v>1909</v>
      </c>
      <c r="B60" s="3" t="s">
        <v>1910</v>
      </c>
      <c r="C60">
        <f>IF(ss_cat2=1,space_pumps_pre,space_pumps_cust)</f>
        <v>4</v>
      </c>
      <c r="D60" s="526" t="s">
        <v>61</v>
      </c>
      <c r="E60" s="6"/>
    </row>
    <row r="61" spans="1:5" x14ac:dyDescent="0.15">
      <c r="A61" t="s">
        <v>2793</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1068</v>
      </c>
    </row>
    <row r="62" spans="1:5" x14ac:dyDescent="0.15">
      <c r="A62" t="s">
        <v>2794</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1068</v>
      </c>
      <c r="E62" s="6" t="s">
        <v>2490</v>
      </c>
    </row>
    <row r="63" spans="1:5" x14ac:dyDescent="0.15">
      <c r="A63" s="16" t="s">
        <v>1535</v>
      </c>
      <c r="B63" s="22" t="s">
        <v>1536</v>
      </c>
      <c r="C63" s="18">
        <f>IF(ss_cat2=1,C62,C61)</f>
        <v>1575</v>
      </c>
      <c r="D63" s="651" t="s">
        <v>1068</v>
      </c>
    </row>
    <row r="64" spans="1:5" x14ac:dyDescent="0.15">
      <c r="A64" s="16" t="s">
        <v>1537</v>
      </c>
      <c r="B64" s="22" t="s">
        <v>1538</v>
      </c>
      <c r="C64" s="18">
        <f>IF(back_tanks=0,0,ROUNDUP((bt_diam+2*space_bt)^2+(back_tanks-1)*(bt_diam+2*space_bt)*(bt_diam+space_bt),0))</f>
        <v>484</v>
      </c>
      <c r="D64" s="651" t="s">
        <v>1068</v>
      </c>
    </row>
    <row r="65" spans="1:5" x14ac:dyDescent="0.15">
      <c r="A65" s="5" t="s">
        <v>1177</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1068</v>
      </c>
    </row>
    <row r="66" spans="1:5" x14ac:dyDescent="0.15">
      <c r="A66" s="5" t="s">
        <v>1178</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1068</v>
      </c>
    </row>
    <row r="67" spans="1:5" x14ac:dyDescent="0.15">
      <c r="A67" s="5" t="s">
        <v>2214</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1068</v>
      </c>
    </row>
    <row r="68" spans="1:5" x14ac:dyDescent="0.15">
      <c r="A68" s="5" t="s">
        <v>2795</v>
      </c>
      <c r="B68" s="3"/>
      <c r="C68" s="49">
        <f>IF(res_transfer_method=1,ROUNDUP(IF(res_transfer_rate&lt;40000,99.152*res_transfer_rate^0.0434,0.8761*res_transfer_rate^0.49),0),0)</f>
        <v>0</v>
      </c>
      <c r="D68" s="651" t="s">
        <v>1068</v>
      </c>
      <c r="E68" s="6" t="s">
        <v>2796</v>
      </c>
    </row>
    <row r="69" spans="1:5" x14ac:dyDescent="0.15">
      <c r="A69" s="16" t="s">
        <v>1179</v>
      </c>
      <c r="B69" s="22" t="s">
        <v>1904</v>
      </c>
      <c r="C69" s="18">
        <f>SUM(C65:C68)</f>
        <v>380</v>
      </c>
      <c r="D69" s="651" t="s">
        <v>1068</v>
      </c>
    </row>
    <row r="70" spans="1:5" x14ac:dyDescent="0.15">
      <c r="A70" s="16" t="s">
        <v>2615</v>
      </c>
      <c r="B70" s="22" t="s">
        <v>2616</v>
      </c>
      <c r="C70" s="18">
        <f>IF(mix_tanks=0,0,ROUNDUP((mx_diam+2*space_st)^2+(mix_tanks-1)*(mx_diam+2*space_st)*(mx_diam+space_st),0))</f>
        <v>0</v>
      </c>
      <c r="D70" s="651" t="s">
        <v>1068</v>
      </c>
    </row>
    <row r="71" spans="1:5" x14ac:dyDescent="0.15">
      <c r="A71" s="16" t="s">
        <v>2617</v>
      </c>
      <c r="B71" s="22" t="s">
        <v>2618</v>
      </c>
      <c r="C71" s="18">
        <f>IF(num_salt_box=0,0,ROUNDUP((VLOOKUP(salt_box_size,saltbox_dim_table_cl,3)+2*space_ss)^2+(num_salt_box-1)*(VLOOKUP(salt_box_size,saltbox_dim_table_cl,3)+2*space_ss)*(VLOOKUP(salt_box_size,saltbox_dim_table_cl,3)+space_ss),0))</f>
        <v>0</v>
      </c>
      <c r="D71" s="651" t="s">
        <v>1068</v>
      </c>
    </row>
    <row r="72" spans="1:5" x14ac:dyDescent="0.15">
      <c r="A72" s="651" t="s">
        <v>3412</v>
      </c>
      <c r="B72" s="22" t="s">
        <v>1144</v>
      </c>
      <c r="C72" s="18">
        <f>IF(regen_type=2,0,IF(brine_method=1,ROUNDUP(salt_store/salt_density/storage_height,0),ROUNDUP((salt_store*add_salt_store/cstore_days)/salt_density/storage_height,0)))</f>
        <v>0</v>
      </c>
      <c r="D72" s="651" t="s">
        <v>1068</v>
      </c>
      <c r="E72" s="15"/>
    </row>
    <row r="73" spans="1:5" x14ac:dyDescent="0.15">
      <c r="A73" s="27" t="s">
        <v>1943</v>
      </c>
      <c r="B73" s="22" t="s">
        <v>1944</v>
      </c>
      <c r="C73" s="18">
        <f>IF(NaOH_tanks=0,0,ROUNDUP((NaOHtank_diam+2*space_NaOHtank)^2+(NaOH_tanks-1)*(NaOHtank_diam+2*space_NaOHtank)*(NaOHtank_diam+space_NaOHtank),0))</f>
        <v>0</v>
      </c>
      <c r="D73" s="651" t="s">
        <v>1068</v>
      </c>
      <c r="E73" s="39"/>
    </row>
    <row r="74" spans="1:5" x14ac:dyDescent="0.15">
      <c r="A74" s="27" t="s">
        <v>1945</v>
      </c>
      <c r="B74" s="22" t="s">
        <v>1946</v>
      </c>
      <c r="C74" s="18">
        <f>IF(NaOH_tanks=0,0,ROUNDUP((NaOHdaytank_diam+2*space_NaOHdaytank)^2+(NaOH_day_tanks-1)*(NaOHdaytank_diam+2*space_NaOHdaytank)*(NaOHdaytank_diam+space_NaOHdaytank),0))</f>
        <v>0</v>
      </c>
      <c r="D74" s="651" t="s">
        <v>1068</v>
      </c>
      <c r="E74" s="39"/>
    </row>
    <row r="75" spans="1:5" x14ac:dyDescent="0.15">
      <c r="A75" s="651" t="s">
        <v>3356</v>
      </c>
      <c r="B75" s="107" t="s">
        <v>3357</v>
      </c>
      <c r="C75" s="49">
        <f>IF(coag_tanks=0,0,ROUNDUP((coag_st_diam+2*space_coag_st)^2+(coag_tanks-1)*(coag_st_diam+2*space_coag_st)*(coag_st_diam+space_coag_st),0))</f>
        <v>0</v>
      </c>
      <c r="D75" s="651" t="s">
        <v>1068</v>
      </c>
      <c r="E75" s="39"/>
    </row>
    <row r="76" spans="1:5" x14ac:dyDescent="0.15">
      <c r="A76" s="27" t="s">
        <v>532</v>
      </c>
      <c r="B76" s="107" t="s">
        <v>533</v>
      </c>
      <c r="C76" s="49">
        <f>IF(polymer_tanks=0,0,ROUNDUP((polymer_st_diam+2*space_polymer_st)^2+(polymer_tanks-1)*(polymer_st_diam+2*space_polymer_st)*(polymer_st_diam+space_polymer_st),0))</f>
        <v>0</v>
      </c>
      <c r="D76" s="651" t="s">
        <v>1068</v>
      </c>
      <c r="E76" s="39"/>
    </row>
    <row r="77" spans="1:5" x14ac:dyDescent="0.15">
      <c r="A77" s="16" t="s">
        <v>2168</v>
      </c>
      <c r="B77" s="107" t="s">
        <v>2169</v>
      </c>
      <c r="C77" s="49">
        <f>IF(OR(res_holding&lt;&gt;"tanks",htanks=0),0,ROUNDUP((ht_diam+2*space_ht)^2+(htanks-1)*(ht_diam+2*space_ht)*(ht_diam+space_ht),0))</f>
        <v>651</v>
      </c>
      <c r="D77" s="651" t="s">
        <v>1068</v>
      </c>
      <c r="E77" s="39"/>
    </row>
    <row r="78" spans="1:5" x14ac:dyDescent="0.15">
      <c r="A78" s="27" t="s">
        <v>472</v>
      </c>
      <c r="B78" s="107" t="s">
        <v>471</v>
      </c>
      <c r="C78" s="49">
        <f>IF(res_holding&lt;&gt;"basins",0,ROUNDUP(hbasins*hbasin_length*hbasin_width*2,0))</f>
        <v>0</v>
      </c>
      <c r="D78" s="651" t="s">
        <v>1068</v>
      </c>
      <c r="E78" s="39"/>
    </row>
    <row r="79" spans="1:5" x14ac:dyDescent="0.15">
      <c r="A79" s="16" t="s">
        <v>882</v>
      </c>
      <c r="B79" s="107" t="s">
        <v>2403</v>
      </c>
      <c r="C79" s="49">
        <f>IF(include_cart=0,0,(filter_len+2*space_other_equip)*(filter_wid+2*space_other_equip)+(num_filters-1)*(filter_len+2*space_other_equip)*(filter_wid+space_other_equip))</f>
        <v>213.75</v>
      </c>
      <c r="D79" s="651" t="s">
        <v>1068</v>
      </c>
      <c r="E79" s="39"/>
    </row>
    <row r="80" spans="1:5" x14ac:dyDescent="0.15">
      <c r="A80" t="s">
        <v>1869</v>
      </c>
      <c r="B80" s="3" t="s">
        <v>608</v>
      </c>
      <c r="C80" s="56">
        <f>VLOOKUP(design_flow,labor_table_cl,3)*IF(ss_cat2=1,space_office_small,space_office)</f>
        <v>160</v>
      </c>
      <c r="D80" s="651" t="s">
        <v>1068</v>
      </c>
      <c r="E80" s="33"/>
    </row>
    <row r="81" spans="1:5" x14ac:dyDescent="0.15">
      <c r="A81" s="16" t="s">
        <v>733</v>
      </c>
      <c r="B81" s="22" t="s">
        <v>731</v>
      </c>
      <c r="C81" s="39">
        <f>SUM(C69:C80,back_tank_fp,vessel_fp)</f>
        <v>3463.75</v>
      </c>
      <c r="D81" s="651" t="s">
        <v>1068</v>
      </c>
      <c r="E81" s="33"/>
    </row>
    <row r="82" spans="1:5" x14ac:dyDescent="0.15">
      <c r="A82" s="16" t="s">
        <v>1813</v>
      </c>
      <c r="B82" s="22" t="s">
        <v>1814</v>
      </c>
      <c r="C82" s="18">
        <f>ROUNDUP(IF(fp_required&lt;add_2nd_building,fp_required,vessel_fp),-1)</f>
        <v>3470</v>
      </c>
      <c r="D82" s="651" t="s">
        <v>1068</v>
      </c>
      <c r="E82" s="6" t="s">
        <v>1166</v>
      </c>
    </row>
    <row r="83" spans="1:5" x14ac:dyDescent="0.15">
      <c r="A83" s="16" t="s">
        <v>1815</v>
      </c>
      <c r="B83" s="22" t="s">
        <v>1816</v>
      </c>
      <c r="C83" s="18">
        <f>ROUNDUP(IF(fp_required&lt;add_2nd_building,0,SUM(back_tank_fp,C69:C80)),-1)</f>
        <v>0</v>
      </c>
      <c r="D83" s="651" t="s">
        <v>1068</v>
      </c>
      <c r="E83" s="6" t="s">
        <v>848</v>
      </c>
    </row>
    <row r="84" spans="1:5" x14ac:dyDescent="0.15">
      <c r="A84" s="16" t="s">
        <v>732</v>
      </c>
      <c r="B84" s="22" t="s">
        <v>1905</v>
      </c>
      <c r="C84" s="39">
        <f>build1_fp+build2_fp</f>
        <v>3470</v>
      </c>
      <c r="D84" s="651" t="s">
        <v>1068</v>
      </c>
      <c r="E84" s="6"/>
    </row>
    <row r="85" spans="1:5" x14ac:dyDescent="0.15">
      <c r="A85" s="16" t="s">
        <v>1906</v>
      </c>
      <c r="B85" s="22" t="s">
        <v>1907</v>
      </c>
      <c r="C85" s="49">
        <f>ROUNDUP((fp_required-office_fp)*IF(ss_cat2=1,pad_thick_small,pad_thick)/27,0)</f>
        <v>62</v>
      </c>
      <c r="D85" s="651" t="s">
        <v>1908</v>
      </c>
      <c r="E85" s="15"/>
    </row>
    <row r="86" spans="1:5" x14ac:dyDescent="0.15">
      <c r="A86" s="16" t="s">
        <v>2850</v>
      </c>
      <c r="B86" s="22" t="s">
        <v>2851</v>
      </c>
      <c r="C86" s="16">
        <f>ROUNDUP(total_fp^0.5,-1)</f>
        <v>60</v>
      </c>
      <c r="D86" s="651" t="s">
        <v>61</v>
      </c>
    </row>
    <row r="87" spans="1:5" x14ac:dyDescent="0.15">
      <c r="A87" s="16" t="s">
        <v>2170</v>
      </c>
      <c r="B87" s="22" t="s">
        <v>2171</v>
      </c>
      <c r="C87" s="18">
        <f>IF(ep_cells=0,0,ROUNDUP((ep_cell_side+2*non_fire_buffer)^2+(ep_cells-1)*(ep_cell_side+2*non_fire_buffer)*(ep_cell_side+non_fire_buffer),0))</f>
        <v>0</v>
      </c>
      <c r="D87" s="651" t="s">
        <v>1068</v>
      </c>
    </row>
    <row r="88" spans="1:5" x14ac:dyDescent="0.15">
      <c r="A88" s="16" t="s">
        <v>1102</v>
      </c>
      <c r="B88" s="22" t="s">
        <v>1103</v>
      </c>
      <c r="C88" s="40">
        <f>ROUNDUP(((build1_fp)^0.5+(2*non_fire_buffer))*((build1_fp)^0.5+(non_fire_buffer+fire_buffer))+IF(build2_fp=0,0,((build2_fp)^0.5+(2*non_fire_buffer))*((build2_fp)^0.5+(non_fire_buffer+fire_buffer)))+ep_fp+solids_pad_area,-2)/43560</f>
        <v>0.19742883379247014</v>
      </c>
      <c r="D88" s="651" t="s">
        <v>1104</v>
      </c>
    </row>
    <row r="90" spans="1:5" x14ac:dyDescent="0.15">
      <c r="A90" s="5" t="s">
        <v>2846</v>
      </c>
      <c r="B90" s="3" t="s">
        <v>2847</v>
      </c>
      <c r="C90" s="7">
        <f>VLOOKUP(design_flow,land_cost_cl,3)</f>
        <v>31219.845835377939</v>
      </c>
      <c r="D90" s="643" t="s">
        <v>2848</v>
      </c>
    </row>
    <row r="91" spans="1:5" x14ac:dyDescent="0.15">
      <c r="C91" s="31"/>
    </row>
    <row r="95" spans="1:5" x14ac:dyDescent="0.15">
      <c r="B95" s="16"/>
      <c r="E95" s="33"/>
    </row>
    <row r="96" spans="1:5" x14ac:dyDescent="0.15">
      <c r="B96" s="16"/>
      <c r="E96" s="33"/>
    </row>
    <row r="97" spans="2:5" x14ac:dyDescent="0.15">
      <c r="B97" s="23"/>
      <c r="C97" s="39"/>
      <c r="E97" s="15"/>
    </row>
    <row r="98" spans="2:5" x14ac:dyDescent="0.15">
      <c r="B98" s="23"/>
      <c r="C98" s="39"/>
      <c r="E98" s="15"/>
    </row>
    <row r="99" spans="2:5" x14ac:dyDescent="0.15">
      <c r="B99" s="23"/>
    </row>
    <row r="100" spans="2:5" x14ac:dyDescent="0.15">
      <c r="B100" s="23"/>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x14ac:dyDescent="0.15"/>
  <cols>
    <col min="1" max="1" width="44.5" customWidth="1"/>
    <col min="2" max="2" width="17.5" bestFit="1" customWidth="1"/>
    <col min="4" max="4" width="29" style="526" customWidth="1"/>
  </cols>
  <sheetData>
    <row r="1" spans="1:12" s="526" customFormat="1" x14ac:dyDescent="0.15">
      <c r="A1" s="1" t="s">
        <v>2956</v>
      </c>
    </row>
    <row r="2" spans="1:12" s="526" customFormat="1" x14ac:dyDescent="0.15"/>
    <row r="3" spans="1:12" s="526" customFormat="1" x14ac:dyDescent="0.15">
      <c r="A3" s="206" t="s">
        <v>2952</v>
      </c>
      <c r="B3" s="206" t="s">
        <v>277</v>
      </c>
      <c r="C3" s="207" t="s">
        <v>278</v>
      </c>
      <c r="D3" s="206" t="s">
        <v>279</v>
      </c>
      <c r="E3" s="206" t="s">
        <v>280</v>
      </c>
    </row>
    <row r="4" spans="1:12" x14ac:dyDescent="0.15">
      <c r="A4" s="2" t="s">
        <v>658</v>
      </c>
    </row>
    <row r="5" spans="1:12" x14ac:dyDescent="0.15">
      <c r="A5" s="5" t="s">
        <v>158</v>
      </c>
      <c r="B5" s="3" t="s">
        <v>163</v>
      </c>
      <c r="C5" t="str">
        <f>IF(component_level_I="high cost",2,IF(component_level_I="mid cost",1,""))</f>
        <v/>
      </c>
      <c r="D5" s="526" t="s">
        <v>919</v>
      </c>
    </row>
    <row r="6" spans="1:12" ht="42" x14ac:dyDescent="0.15">
      <c r="A6" t="s">
        <v>2199</v>
      </c>
      <c r="B6" s="3" t="s">
        <v>719</v>
      </c>
      <c r="C6">
        <f>IF(manual_I="manual",1,IF(manual_I="semi-automated",2,IF(manual_I="fully automated",3,IF(component_level="",1,IF(component_level=2,3,CHOOSE(ss_cat2,3,3,3))))))</f>
        <v>1</v>
      </c>
      <c r="D6" s="723" t="s">
        <v>920</v>
      </c>
      <c r="E6" s="6" t="s">
        <v>2957</v>
      </c>
    </row>
    <row r="8" spans="1:12" s="16" customFormat="1" x14ac:dyDescent="0.15">
      <c r="A8" s="2" t="s">
        <v>610</v>
      </c>
      <c r="B8" s="22"/>
      <c r="D8" s="651"/>
      <c r="E8"/>
      <c r="F8"/>
      <c r="G8"/>
      <c r="H8"/>
      <c r="I8"/>
      <c r="J8"/>
      <c r="K8"/>
      <c r="L8"/>
    </row>
    <row r="9" spans="1:12" s="16" customFormat="1" x14ac:dyDescent="0.15">
      <c r="A9" s="5" t="s">
        <v>3456</v>
      </c>
      <c r="B9" s="3" t="s">
        <v>2196</v>
      </c>
      <c r="C9" s="16">
        <f>in_out_pipe_diam</f>
        <v>10</v>
      </c>
      <c r="D9" s="526" t="s">
        <v>973</v>
      </c>
      <c r="F9"/>
      <c r="G9" s="4"/>
      <c r="H9" s="4"/>
    </row>
    <row r="10" spans="1:12" s="16" customFormat="1" x14ac:dyDescent="0.15">
      <c r="A10" s="16" t="s">
        <v>1356</v>
      </c>
      <c r="B10" s="22" t="s">
        <v>269</v>
      </c>
      <c r="C10" s="16">
        <f>proc_pipe_diam</f>
        <v>10</v>
      </c>
      <c r="D10" s="526" t="s">
        <v>973</v>
      </c>
      <c r="F10" s="4"/>
      <c r="G10" s="4"/>
      <c r="H10" s="4"/>
    </row>
    <row r="11" spans="1:12" x14ac:dyDescent="0.15">
      <c r="A11" t="s">
        <v>2197</v>
      </c>
      <c r="B11" s="3" t="s">
        <v>270</v>
      </c>
      <c r="C11" s="16">
        <f>back_pipe_diam</f>
        <v>6</v>
      </c>
      <c r="D11" s="526" t="s">
        <v>973</v>
      </c>
      <c r="E11" s="16"/>
      <c r="F11" s="4"/>
      <c r="G11" s="4"/>
      <c r="H11" s="4"/>
      <c r="I11" s="16"/>
      <c r="J11" s="16"/>
      <c r="K11" s="16"/>
      <c r="L11" s="16"/>
    </row>
    <row r="12" spans="1:12" s="16" customFormat="1" x14ac:dyDescent="0.15">
      <c r="A12" s="16" t="s">
        <v>1609</v>
      </c>
      <c r="B12" s="22" t="s">
        <v>1206</v>
      </c>
      <c r="C12" s="16">
        <f>brine_pipe_diam</f>
        <v>0</v>
      </c>
      <c r="D12" s="526" t="s">
        <v>973</v>
      </c>
      <c r="E12"/>
      <c r="F12" s="4"/>
      <c r="G12" s="4"/>
      <c r="H12" s="4"/>
      <c r="I12"/>
      <c r="J12"/>
      <c r="K12"/>
      <c r="L12"/>
    </row>
    <row r="13" spans="1:12" s="16" customFormat="1" x14ac:dyDescent="0.15">
      <c r="A13" s="16" t="s">
        <v>1610</v>
      </c>
      <c r="B13" s="22" t="s">
        <v>1611</v>
      </c>
      <c r="C13" s="16">
        <f>caustic_pipe_diam</f>
        <v>0</v>
      </c>
      <c r="D13" s="526" t="s">
        <v>973</v>
      </c>
      <c r="F13" s="4"/>
      <c r="G13" s="4"/>
      <c r="H13" s="4"/>
    </row>
    <row r="14" spans="1:12" s="16" customFormat="1" x14ac:dyDescent="0.15">
      <c r="A14" s="16" t="s">
        <v>1352</v>
      </c>
      <c r="B14" s="22" t="s">
        <v>2825</v>
      </c>
      <c r="C14" s="16">
        <f>bp_pipe_diam</f>
        <v>0</v>
      </c>
      <c r="D14" s="526" t="s">
        <v>973</v>
      </c>
      <c r="F14" s="4"/>
      <c r="G14" s="4"/>
      <c r="H14" s="4"/>
    </row>
    <row r="15" spans="1:12" s="16" customFormat="1" x14ac:dyDescent="0.15">
      <c r="A15" s="651" t="s">
        <v>3367</v>
      </c>
      <c r="B15" s="22" t="s">
        <v>3368</v>
      </c>
      <c r="C15">
        <f>coag_pipe_diam</f>
        <v>0</v>
      </c>
      <c r="D15" s="526" t="s">
        <v>973</v>
      </c>
      <c r="F15" s="4"/>
      <c r="G15" s="4"/>
      <c r="H15" s="4"/>
    </row>
    <row r="16" spans="1:12" s="16" customFormat="1" x14ac:dyDescent="0.15">
      <c r="A16" s="16" t="s">
        <v>534</v>
      </c>
      <c r="B16" s="22" t="s">
        <v>535</v>
      </c>
      <c r="C16" s="73">
        <f>polymer_pipe_diam</f>
        <v>0</v>
      </c>
      <c r="D16" s="526" t="s">
        <v>973</v>
      </c>
      <c r="F16" s="4"/>
      <c r="G16" s="4"/>
      <c r="H16" s="4"/>
    </row>
    <row r="17" spans="1:12" s="16" customFormat="1" x14ac:dyDescent="0.15">
      <c r="B17" s="22"/>
      <c r="D17" s="526"/>
      <c r="F17" s="4"/>
      <c r="G17" s="4"/>
      <c r="H17" s="4"/>
    </row>
    <row r="18" spans="1:12" x14ac:dyDescent="0.15">
      <c r="A18" t="s">
        <v>641</v>
      </c>
      <c r="B18" s="3" t="s">
        <v>942</v>
      </c>
      <c r="C18">
        <f>VLOOKUP(IF(Num_tanks=1,"proc_mov_vessel_par","proc_mov_vessel_ser"),valve_table,manual+1,FALSE)</f>
        <v>0</v>
      </c>
      <c r="D18" s="526" t="s">
        <v>943</v>
      </c>
      <c r="E18" s="6" t="s">
        <v>1555</v>
      </c>
      <c r="F18" s="16"/>
      <c r="G18" s="16"/>
      <c r="H18" s="16"/>
      <c r="I18" s="16"/>
      <c r="J18" s="16"/>
      <c r="K18" s="16"/>
      <c r="L18" s="16"/>
    </row>
    <row r="19" spans="1:12" x14ac:dyDescent="0.15">
      <c r="A19" t="s">
        <v>1768</v>
      </c>
      <c r="B19" s="3" t="s">
        <v>1769</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x14ac:dyDescent="0.15">
      <c r="A20" t="s">
        <v>1770</v>
      </c>
      <c r="B20" s="3" t="s">
        <v>1771</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x14ac:dyDescent="0.15">
      <c r="A21" t="s">
        <v>1612</v>
      </c>
      <c r="B21" s="3" t="s">
        <v>2826</v>
      </c>
      <c r="C21" s="72">
        <f>IF(brine_pipe_length=0,0,IF(brine_method=1,mix_tanks,num_salt_box)*VLOOKUP("brine_MOV_tank",valve_table,manual+1,FALSE)+VLOOKUP("brine_MOV_vessel",valve_table,manual+1,FALSE)*final_num_tanks)</f>
        <v>0</v>
      </c>
      <c r="D21" s="526" t="s">
        <v>144</v>
      </c>
    </row>
    <row r="22" spans="1:12" x14ac:dyDescent="0.15">
      <c r="A22" t="s">
        <v>1614</v>
      </c>
      <c r="B22" s="3" t="s">
        <v>1613</v>
      </c>
      <c r="C22" s="72">
        <f>IF(caustic_pipe_length=0,0,pH_pumps*VLOOKUP("caustic_MOV_pump",valve_table,manual+1,FALSE)+VLOOKUP("chem_MOV_day",valve_table,manual+1,FALSE)*NaOH_day_tanks)</f>
        <v>0</v>
      </c>
      <c r="D22" s="526" t="s">
        <v>144</v>
      </c>
      <c r="E22" s="6" t="s">
        <v>1041</v>
      </c>
      <c r="F22" s="3"/>
    </row>
    <row r="23" spans="1:12" x14ac:dyDescent="0.15">
      <c r="A23" t="s">
        <v>365</v>
      </c>
      <c r="B23" s="3" t="s">
        <v>2254</v>
      </c>
      <c r="C23" s="72">
        <f>IF(bp_pipe_length=0,0,VLOOKUP("tot_bp_movs",valve_table,manual+1,FALSE))</f>
        <v>0</v>
      </c>
      <c r="D23" s="526" t="s">
        <v>144</v>
      </c>
      <c r="E23" s="6"/>
      <c r="F23" s="3"/>
    </row>
    <row r="24" spans="1:12" x14ac:dyDescent="0.15">
      <c r="A24" s="526" t="s">
        <v>3369</v>
      </c>
      <c r="B24" s="3" t="s">
        <v>3370</v>
      </c>
      <c r="C24">
        <f>IF(coag_day_gal=0,0,(cm_pumps_coag)*VLOOKUP("chem_MOV_pump",valve_table,manual+1,FALSE))</f>
        <v>0</v>
      </c>
      <c r="D24" s="526" t="s">
        <v>144</v>
      </c>
      <c r="E24" s="6"/>
      <c r="F24" s="3"/>
    </row>
    <row r="25" spans="1:12" x14ac:dyDescent="0.15">
      <c r="A25" s="5" t="s">
        <v>536</v>
      </c>
      <c r="B25" s="3" t="s">
        <v>537</v>
      </c>
      <c r="C25" s="73">
        <f>IF(polymer_day=0,0,(cm_pumps_polymer)*VLOOKUP("chem_MOV_pump",valve_table,manual+1,FALSE))</f>
        <v>0</v>
      </c>
      <c r="D25" s="526" t="s">
        <v>144</v>
      </c>
      <c r="E25" s="6"/>
      <c r="F25" s="3"/>
    </row>
    <row r="26" spans="1:12" x14ac:dyDescent="0.15">
      <c r="A26" t="s">
        <v>1426</v>
      </c>
      <c r="B26" s="3" t="s">
        <v>1633</v>
      </c>
      <c r="C26" s="72">
        <f>tot_bp_MOVs+tot_caustic_MOVs+tot_brine_MOVs+tot_back_MOVs+tot_proc_MOVs+tot_coag_MOVs+tot_polymer_MOVs</f>
        <v>0</v>
      </c>
      <c r="D26" s="526" t="s">
        <v>144</v>
      </c>
      <c r="E26" s="6"/>
      <c r="F26" s="3"/>
    </row>
    <row r="27" spans="1:12" x14ac:dyDescent="0.15">
      <c r="B27" s="3"/>
      <c r="C27" s="72"/>
      <c r="E27" s="6"/>
      <c r="F27" s="3"/>
    </row>
    <row r="28" spans="1:12" x14ac:dyDescent="0.15">
      <c r="A28" t="s">
        <v>1556</v>
      </c>
      <c r="B28" s="3" t="s">
        <v>1563</v>
      </c>
      <c r="C28" s="72">
        <f>VLOOKUP(IF(Num_tanks=1,"proc_man_vessel_par","proc_man_vessel_ser"),valve_table,manual+1,FALSE)</f>
        <v>2</v>
      </c>
      <c r="D28" s="526" t="s">
        <v>943</v>
      </c>
      <c r="E28" s="6" t="s">
        <v>1555</v>
      </c>
      <c r="F28" s="3"/>
    </row>
    <row r="29" spans="1:12" x14ac:dyDescent="0.15">
      <c r="A29" s="5" t="s">
        <v>683</v>
      </c>
      <c r="B29" s="3" t="s">
        <v>684</v>
      </c>
      <c r="C29" s="5">
        <f>(proc_man_vessel_cont+proc_man_vessel)*final_num_tanks+total_booster_pumps*VLOOKUP("proc_man_pump",valve_table,manual+1,FALSE)+num_filters*VLOOKUP("proc_man_filter",valve_table,manual+1,FALSE)</f>
        <v>14</v>
      </c>
      <c r="D29" s="526" t="s">
        <v>144</v>
      </c>
    </row>
    <row r="30" spans="1:12" x14ac:dyDescent="0.15">
      <c r="A30" t="s">
        <v>1557</v>
      </c>
      <c r="B30" s="3" t="s">
        <v>1560</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x14ac:dyDescent="0.15">
      <c r="A31" t="s">
        <v>1558</v>
      </c>
      <c r="B31" s="3" t="s">
        <v>1561</v>
      </c>
      <c r="C31" s="72">
        <f>IF(brine_pipe_length=0,0,IF(brine_method=1,mix_tanks,num_salt_box)*VLOOKUP("brine_man_tank",valve_table,manual+1,FALSE)+VLOOKUP("brine_man_vessel",valve_table,manual+1,FALSE)*final_num_tanks)</f>
        <v>0</v>
      </c>
      <c r="D31" s="526" t="s">
        <v>144</v>
      </c>
      <c r="E31" s="72"/>
      <c r="F31" s="3"/>
    </row>
    <row r="32" spans="1:12" x14ac:dyDescent="0.15">
      <c r="A32" t="s">
        <v>1559</v>
      </c>
      <c r="B32" s="3" t="s">
        <v>1562</v>
      </c>
      <c r="C32" s="72">
        <f>IF(caustic_pipe_length=0,0,pH_pumps*VLOOKUP("caustic_man_pump",valve_table,manual+1,FALSE)+VLOOKUP("chem_man_day",valve_table,manual+1,FALSE)*NaOH_day_tanks)</f>
        <v>0</v>
      </c>
      <c r="D32" s="526" t="s">
        <v>144</v>
      </c>
      <c r="E32" s="6" t="s">
        <v>1041</v>
      </c>
      <c r="F32" s="3"/>
    </row>
    <row r="33" spans="1:6" x14ac:dyDescent="0.15">
      <c r="A33" t="s">
        <v>366</v>
      </c>
      <c r="B33" s="3" t="s">
        <v>2143</v>
      </c>
      <c r="C33" s="72">
        <f>IF(bp_pipe_length=0,0,VLOOKUP("tot_bp_man",valve_table,manual+1,FALSE))</f>
        <v>0</v>
      </c>
      <c r="D33" s="526" t="s">
        <v>144</v>
      </c>
      <c r="E33" s="6"/>
      <c r="F33" s="3"/>
    </row>
    <row r="34" spans="1:6" x14ac:dyDescent="0.15">
      <c r="A34" s="526" t="s">
        <v>3371</v>
      </c>
      <c r="B34" s="3" t="s">
        <v>3372</v>
      </c>
      <c r="C34">
        <f>IF(coag_day_gal=0,0,(cm_pumps_coag)*VLOOKUP("chem_man_pump",valve_table,manual+1,FALSE))</f>
        <v>0</v>
      </c>
      <c r="D34" s="526" t="s">
        <v>144</v>
      </c>
      <c r="E34" s="6"/>
      <c r="F34" s="3"/>
    </row>
    <row r="35" spans="1:6" x14ac:dyDescent="0.15">
      <c r="A35" s="5" t="s">
        <v>538</v>
      </c>
      <c r="B35" s="3" t="s">
        <v>539</v>
      </c>
      <c r="C35" s="73">
        <f>IF(polymer_day=0,0,(cm_pumps_polymer)*VLOOKUP("chem_man_pump",valve_table,manual+1,FALSE))</f>
        <v>0</v>
      </c>
      <c r="D35" s="526" t="s">
        <v>144</v>
      </c>
      <c r="E35" s="6"/>
      <c r="F35" s="3"/>
    </row>
    <row r="36" spans="1:6" x14ac:dyDescent="0.15">
      <c r="B36" s="3"/>
      <c r="C36" s="72"/>
      <c r="E36" s="6"/>
      <c r="F36" s="3"/>
    </row>
    <row r="37" spans="1:6" x14ac:dyDescent="0.15">
      <c r="A37" s="526" t="s">
        <v>3375</v>
      </c>
      <c r="B37" s="3" t="s">
        <v>1772</v>
      </c>
      <c r="C37">
        <f>back_chv_pump*backwash_pumps</f>
        <v>2</v>
      </c>
      <c r="D37" s="526" t="s">
        <v>144</v>
      </c>
      <c r="F37" s="3"/>
    </row>
    <row r="38" spans="1:6" x14ac:dyDescent="0.15">
      <c r="A38" s="526" t="s">
        <v>3376</v>
      </c>
      <c r="B38" s="3" t="s">
        <v>1615</v>
      </c>
      <c r="C38">
        <f>caustic_chv_pump*pH_pumps</f>
        <v>0</v>
      </c>
      <c r="D38" s="526" t="s">
        <v>144</v>
      </c>
      <c r="E38" s="6" t="s">
        <v>1041</v>
      </c>
    </row>
    <row r="39" spans="1:6" x14ac:dyDescent="0.15">
      <c r="A39" s="526" t="s">
        <v>3373</v>
      </c>
      <c r="B39" s="3" t="s">
        <v>3374</v>
      </c>
      <c r="C39">
        <f>coag_chv_pump*cm_pumps_coag</f>
        <v>0</v>
      </c>
      <c r="D39" s="526" t="s">
        <v>144</v>
      </c>
      <c r="E39" s="6"/>
    </row>
    <row r="40" spans="1:6" x14ac:dyDescent="0.15">
      <c r="A40" s="526" t="s">
        <v>3377</v>
      </c>
      <c r="B40" s="3" t="s">
        <v>1368</v>
      </c>
      <c r="C40">
        <f>polymer_chv_pump*cm_pumps_polymer</f>
        <v>0</v>
      </c>
      <c r="D40" s="526" t="s">
        <v>144</v>
      </c>
      <c r="E40" s="6"/>
    </row>
    <row r="41" spans="1:6" x14ac:dyDescent="0.15">
      <c r="B41" s="3"/>
    </row>
    <row r="42" spans="1:6" x14ac:dyDescent="0.15">
      <c r="A42" t="s">
        <v>1773</v>
      </c>
      <c r="B42" s="3" t="s">
        <v>1774</v>
      </c>
      <c r="C42" s="16">
        <f>in_out_pipe_diam</f>
        <v>10</v>
      </c>
      <c r="D42" s="526" t="s">
        <v>973</v>
      </c>
      <c r="F42" s="72"/>
    </row>
    <row r="43" spans="1:6" x14ac:dyDescent="0.15">
      <c r="A43" t="s">
        <v>1775</v>
      </c>
      <c r="B43" s="3" t="s">
        <v>1776</v>
      </c>
      <c r="C43">
        <f>proc_pipe_diam</f>
        <v>10</v>
      </c>
      <c r="D43" s="526" t="s">
        <v>973</v>
      </c>
      <c r="F43" s="72"/>
    </row>
    <row r="44" spans="1:6" x14ac:dyDescent="0.15">
      <c r="A44" t="s">
        <v>1512</v>
      </c>
      <c r="B44" s="3" t="s">
        <v>1344</v>
      </c>
      <c r="C44" s="16">
        <f>back_pipe_diam</f>
        <v>6</v>
      </c>
      <c r="D44" s="526" t="s">
        <v>973</v>
      </c>
    </row>
    <row r="45" spans="1:6" x14ac:dyDescent="0.15">
      <c r="A45" t="s">
        <v>90</v>
      </c>
      <c r="B45" s="3" t="s">
        <v>91</v>
      </c>
      <c r="C45" s="16">
        <f>fm_proc*final_num_tanks</f>
        <v>0</v>
      </c>
      <c r="D45" s="526" t="s">
        <v>64</v>
      </c>
    </row>
    <row r="46" spans="1:6" x14ac:dyDescent="0.15">
      <c r="A46" t="s">
        <v>1438</v>
      </c>
      <c r="B46" s="3" t="s">
        <v>1182</v>
      </c>
      <c r="C46">
        <f>IF(max_back_flow=0,0,fm_back)</f>
        <v>1</v>
      </c>
      <c r="D46" s="526" t="s">
        <v>64</v>
      </c>
    </row>
    <row r="47" spans="1:6" x14ac:dyDescent="0.15">
      <c r="B47" s="3"/>
    </row>
    <row r="48" spans="1:6" x14ac:dyDescent="0.15">
      <c r="A48" t="s">
        <v>1183</v>
      </c>
      <c r="B48" s="3" t="s">
        <v>1184</v>
      </c>
      <c r="C48" s="16">
        <f>final_num_tanks*IF(ss_cat2=1,level_switch_small,level_switch)</f>
        <v>0</v>
      </c>
      <c r="D48" s="526" t="s">
        <v>64</v>
      </c>
    </row>
    <row r="49" spans="1:6" x14ac:dyDescent="0.15">
      <c r="A49" t="s">
        <v>217</v>
      </c>
      <c r="B49" s="3" t="s">
        <v>1363</v>
      </c>
      <c r="C49" s="16">
        <f>back_tanks*alarm_back</f>
        <v>1</v>
      </c>
      <c r="D49" s="526" t="s">
        <v>64</v>
      </c>
    </row>
    <row r="50" spans="1:6" x14ac:dyDescent="0.15">
      <c r="A50" t="s">
        <v>216</v>
      </c>
      <c r="B50" s="3" t="s">
        <v>2827</v>
      </c>
      <c r="C50">
        <f>alarm_brine*mix_tanks</f>
        <v>0</v>
      </c>
      <c r="D50" s="526" t="s">
        <v>64</v>
      </c>
    </row>
    <row r="51" spans="1:6" x14ac:dyDescent="0.15">
      <c r="A51" t="s">
        <v>1670</v>
      </c>
      <c r="B51" s="3" t="s">
        <v>218</v>
      </c>
      <c r="C51">
        <f>alarm_caustic*(NaOH_tanks+NaOH_day_tanks)</f>
        <v>0</v>
      </c>
      <c r="D51" s="526" t="s">
        <v>64</v>
      </c>
    </row>
    <row r="52" spans="1:6" x14ac:dyDescent="0.15">
      <c r="A52" t="s">
        <v>2294</v>
      </c>
      <c r="B52" s="3" t="s">
        <v>2295</v>
      </c>
      <c r="C52">
        <f>IF(pH_adj="yes",pH_corr,pH_nocorr)</f>
        <v>0</v>
      </c>
      <c r="D52" s="526" t="s">
        <v>64</v>
      </c>
    </row>
    <row r="53" spans="1:6" x14ac:dyDescent="0.15">
      <c r="A53" t="s">
        <v>1450</v>
      </c>
      <c r="B53" s="3" t="s">
        <v>997</v>
      </c>
      <c r="C53" s="16">
        <f>IF(ss_cat2=1,turb_tank_small*final_num_tanks+add_turb_small,turb_tank*final_num_tanks+add_turb)</f>
        <v>1</v>
      </c>
      <c r="D53" s="526" t="s">
        <v>64</v>
      </c>
    </row>
    <row r="54" spans="1:6" x14ac:dyDescent="0.15">
      <c r="A54" t="s">
        <v>999</v>
      </c>
      <c r="B54" s="3" t="s">
        <v>998</v>
      </c>
      <c r="C54" s="16">
        <f>cond_tank*final_num_tanks+add_cond</f>
        <v>0</v>
      </c>
      <c r="D54" s="526" t="s">
        <v>64</v>
      </c>
    </row>
    <row r="55" spans="1:6" x14ac:dyDescent="0.15">
      <c r="A55" t="s">
        <v>0</v>
      </c>
      <c r="B55" s="3" t="s">
        <v>1</v>
      </c>
      <c r="C55" s="16">
        <f>IF(ss_cat2=1,head_tank_small,head_tank)*final_num_tanks+headloss_cart*num_filters</f>
        <v>6</v>
      </c>
      <c r="D55" s="526" t="s">
        <v>64</v>
      </c>
    </row>
    <row r="56" spans="1:6" x14ac:dyDescent="0.15">
      <c r="A56" t="s">
        <v>1514</v>
      </c>
      <c r="B56" s="3" t="s">
        <v>1347</v>
      </c>
      <c r="C56" s="16">
        <f>ports_tank*final_num_tanks+add_ports+IF(bp_pct&gt;0,ports_bp,0)</f>
        <v>6</v>
      </c>
      <c r="D56" s="526" t="s">
        <v>64</v>
      </c>
    </row>
    <row r="57" spans="1:6" x14ac:dyDescent="0.15">
      <c r="A57" t="s">
        <v>1636</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x14ac:dyDescent="0.15">
      <c r="B58" s="3"/>
      <c r="C58" s="73"/>
      <c r="E58" s="73"/>
    </row>
    <row r="59" spans="1:6" x14ac:dyDescent="0.15">
      <c r="A59" s="2" t="s">
        <v>134</v>
      </c>
      <c r="C59" s="5"/>
      <c r="E59" s="6"/>
      <c r="F59" s="73"/>
    </row>
    <row r="60" spans="1:6" x14ac:dyDescent="0.15">
      <c r="A60" t="s">
        <v>3467</v>
      </c>
      <c r="B60" s="3" t="s">
        <v>2469</v>
      </c>
      <c r="C60" t="str">
        <f>IF(OUTPUT!L247=1,"flow_op",IF(OUTPUT!L248=1,"flow_prop",IF(OUTPUT!L249=1,"flow_ven","flow_mag")))</f>
        <v>flow_prop</v>
      </c>
      <c r="E60" s="6" t="s">
        <v>912</v>
      </c>
    </row>
    <row r="61" spans="1:6" x14ac:dyDescent="0.15">
      <c r="A61" t="s">
        <v>913</v>
      </c>
      <c r="B61" s="3" t="s">
        <v>914</v>
      </c>
      <c r="C61" t="str">
        <f>IF(OUTPUT!L252=1,"flow_op",IF(OUTPUT!L253=1,"flow_prop",IF(OUTPUT!L254=1,"flow_ven","flow_mag")))</f>
        <v>flow_mag</v>
      </c>
    </row>
    <row r="62" spans="1:6" x14ac:dyDescent="0.15">
      <c r="A62" t="s">
        <v>915</v>
      </c>
      <c r="B62" s="3" t="s">
        <v>916</v>
      </c>
      <c r="C62" t="str">
        <f>IF(OUTPUT!L257=1,"flow_op",IF(OUTPUT!L258=1,"flow_prop",IF(OUTPUT!L259=1,"flow_ven","flow_mag")))</f>
        <v>flow_prop</v>
      </c>
    </row>
    <row r="63" spans="1:6" x14ac:dyDescent="0.15">
      <c r="A63" t="s">
        <v>917</v>
      </c>
      <c r="B63" s="3" t="s">
        <v>918</v>
      </c>
      <c r="C63" t="str">
        <f>IF(OUTPUT!L262=1,"flow_op",IF(OUTPUT!L263=1,"flow_prop",IF(OUTPUT!L264=1,"flow_ven","flow_mag")))</f>
        <v>flow_prop</v>
      </c>
    </row>
    <row r="64" spans="1:6" x14ac:dyDescent="0.15">
      <c r="A64" t="s">
        <v>1739</v>
      </c>
      <c r="B64" s="3" t="s">
        <v>1740</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x14ac:dyDescent="0.15">
      <c r="A65" t="s">
        <v>1741</v>
      </c>
      <c r="B65" s="3" t="s">
        <v>1742</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x14ac:dyDescent="0.15">
      <c r="A66" t="s">
        <v>1743</v>
      </c>
      <c r="B66" s="3" t="s">
        <v>1744</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x14ac:dyDescent="0.15">
      <c r="A67" t="s">
        <v>1745</v>
      </c>
      <c r="B67" s="3" t="s">
        <v>1746</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x14ac:dyDescent="0.15">
      <c r="B68" s="3"/>
    </row>
    <row r="69" spans="1:12" x14ac:dyDescent="0.15">
      <c r="A69" s="5" t="s">
        <v>1731</v>
      </c>
      <c r="B69" s="3" t="s">
        <v>1732</v>
      </c>
      <c r="C69">
        <f>ROUNDUP(discrete_outputs/32,0)</f>
        <v>1</v>
      </c>
      <c r="D69" s="526" t="s">
        <v>64</v>
      </c>
    </row>
    <row r="70" spans="1:12" x14ac:dyDescent="0.15">
      <c r="A70" s="5" t="s">
        <v>1733</v>
      </c>
      <c r="B70" s="3" t="s">
        <v>1734</v>
      </c>
      <c r="C70">
        <f>ROUNDUP(discrete_inputs/32,0)</f>
        <v>1</v>
      </c>
      <c r="D70" s="526" t="s">
        <v>64</v>
      </c>
    </row>
    <row r="71" spans="1:12" x14ac:dyDescent="0.15">
      <c r="A71" s="5" t="s">
        <v>1735</v>
      </c>
      <c r="B71" s="3" t="s">
        <v>1736</v>
      </c>
      <c r="C71">
        <f>ROUNDUP((analog_inputs + analog_outputs)/12,0)</f>
        <v>1</v>
      </c>
      <c r="D71" s="526" t="s">
        <v>64</v>
      </c>
    </row>
    <row r="72" spans="1:12" x14ac:dyDescent="0.15">
      <c r="A72" s="5" t="s">
        <v>1737</v>
      </c>
      <c r="B72" s="3" t="s">
        <v>1738</v>
      </c>
      <c r="C72">
        <f>plc_cpu + plc_ethernet + plc_discrete_input + plc_discrete_output +  plc_combination_analog</f>
        <v>7</v>
      </c>
      <c r="D72" s="526" t="s">
        <v>64</v>
      </c>
    </row>
    <row r="73" spans="1:12" x14ac:dyDescent="0.15">
      <c r="A73" s="5" t="s">
        <v>633</v>
      </c>
      <c r="B73" s="3" t="s">
        <v>634</v>
      </c>
      <c r="C73">
        <f>IF(plc_slots&lt;=9,0,ROUNDUP((plc_slots-9)/8,0))</f>
        <v>0</v>
      </c>
      <c r="D73" s="526" t="s">
        <v>64</v>
      </c>
    </row>
    <row r="74" spans="1:12" x14ac:dyDescent="0.15">
      <c r="A74" s="5" t="s">
        <v>635</v>
      </c>
      <c r="B74" s="3" t="s">
        <v>636</v>
      </c>
      <c r="C74">
        <f>1+plc_expansions</f>
        <v>1</v>
      </c>
      <c r="D74" s="526" t="s">
        <v>64</v>
      </c>
    </row>
    <row r="75" spans="1:12" x14ac:dyDescent="0.15">
      <c r="A75" s="5" t="s">
        <v>637</v>
      </c>
      <c r="B75" s="3" t="s">
        <v>638</v>
      </c>
      <c r="C75">
        <f>plc_expansions</f>
        <v>0</v>
      </c>
      <c r="D75" s="526" t="s">
        <v>64</v>
      </c>
    </row>
    <row r="76" spans="1:12" x14ac:dyDescent="0.15">
      <c r="A76" t="s">
        <v>291</v>
      </c>
      <c r="B76" s="3" t="s">
        <v>292</v>
      </c>
      <c r="C76">
        <f>plc_expansions</f>
        <v>0</v>
      </c>
      <c r="D76" s="526" t="s">
        <v>64</v>
      </c>
    </row>
    <row r="77" spans="1:12" x14ac:dyDescent="0.15">
      <c r="A77" t="s">
        <v>1747</v>
      </c>
      <c r="B77" s="3" t="s">
        <v>1748</v>
      </c>
      <c r="C77">
        <f>ROUNDUP(Operator_LOE/2080/shifts_day/workstation_ratio,0)</f>
        <v>1</v>
      </c>
      <c r="D77" s="526" t="s">
        <v>64</v>
      </c>
    </row>
    <row r="78" spans="1:12" x14ac:dyDescent="0.15">
      <c r="A78" t="s">
        <v>1749</v>
      </c>
      <c r="B78" s="3" t="s">
        <v>1750</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200" activePane="bottomLeft" state="frozen"/>
      <selection activeCell="D18" sqref="D18"/>
      <selection pane="bottomLeft" activeCell="C209" sqref="C209"/>
    </sheetView>
  </sheetViews>
  <sheetFormatPr baseColWidth="10" defaultColWidth="8.83203125" defaultRowHeight="13" x14ac:dyDescent="0.15"/>
  <cols>
    <col min="1" max="1" width="43.83203125" customWidth="1"/>
    <col min="2" max="2" width="22.5" customWidth="1"/>
    <col min="3" max="3" width="14.5" customWidth="1"/>
    <col min="4" max="4" width="25.6640625" style="526" customWidth="1"/>
  </cols>
  <sheetData>
    <row r="1" spans="1:5" x14ac:dyDescent="0.15">
      <c r="A1" s="1" t="s">
        <v>2958</v>
      </c>
    </row>
    <row r="3" spans="1:5" x14ac:dyDescent="0.15">
      <c r="A3" s="206" t="s">
        <v>2952</v>
      </c>
      <c r="B3" s="206" t="s">
        <v>277</v>
      </c>
      <c r="C3" s="207" t="s">
        <v>278</v>
      </c>
      <c r="D3" s="206" t="s">
        <v>279</v>
      </c>
      <c r="E3" s="206" t="s">
        <v>280</v>
      </c>
    </row>
    <row r="4" spans="1:5" s="2" customFormat="1" x14ac:dyDescent="0.15">
      <c r="A4" s="2" t="s">
        <v>658</v>
      </c>
    </row>
    <row r="5" spans="1:5" x14ac:dyDescent="0.15">
      <c r="A5" s="5" t="s">
        <v>1821</v>
      </c>
      <c r="B5" s="3" t="s">
        <v>1151</v>
      </c>
      <c r="C5">
        <f>IF(res_s2_opt_I="","",IF(res_s2_opt_I="surface water",1,IF(res_s2_opt_I="POTW",2,IF(res_s2_opt_I="evaporation pond",3,4))))</f>
        <v>4</v>
      </c>
      <c r="D5" s="526" t="s">
        <v>1546</v>
      </c>
    </row>
    <row r="6" spans="1:5" x14ac:dyDescent="0.15">
      <c r="A6" s="5" t="s">
        <v>1820</v>
      </c>
      <c r="B6" s="3" t="s">
        <v>1152</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x14ac:dyDescent="0.15">
      <c r="A7" s="5" t="s">
        <v>1153</v>
      </c>
      <c r="B7" s="3" t="s">
        <v>1154</v>
      </c>
      <c r="C7">
        <f>VLOOKUP(media_haz_I,resin_haz_table,2,FALSE)</f>
        <v>6</v>
      </c>
      <c r="D7" s="730" t="s">
        <v>3213</v>
      </c>
    </row>
    <row r="8" spans="1:5" x14ac:dyDescent="0.15">
      <c r="A8" t="str">
        <f>IF(res_s2_opt=3,"Characteristics of evaporation pond solids","Characteristics of holding tank solids")</f>
        <v>Characteristics of holding tank solids</v>
      </c>
      <c r="B8" s="3" t="s">
        <v>1155</v>
      </c>
      <c r="C8">
        <f>IF(solids_haz_I="hazardous",2,IF(solids_haz_I="radioactive",3,IF(solids_haz_I="radioactive hazardous",4,1)))</f>
        <v>2</v>
      </c>
      <c r="D8" s="526" t="s">
        <v>2470</v>
      </c>
    </row>
    <row r="10" spans="1:5" x14ac:dyDescent="0.15">
      <c r="A10" s="2" t="s">
        <v>3250</v>
      </c>
      <c r="B10" s="3"/>
      <c r="C10" s="5"/>
    </row>
    <row r="11" spans="1:5" x14ac:dyDescent="0.15">
      <c r="A11" s="5" t="s">
        <v>1158</v>
      </c>
      <c r="B11" s="3" t="s">
        <v>1159</v>
      </c>
      <c r="C11" s="57">
        <f>IF(regen_type=2,0,vol_brine)</f>
        <v>0</v>
      </c>
      <c r="D11" s="526" t="s">
        <v>1132</v>
      </c>
      <c r="E11" s="6" t="s">
        <v>3254</v>
      </c>
    </row>
    <row r="12" spans="1:5" x14ac:dyDescent="0.15">
      <c r="A12" t="s">
        <v>1403</v>
      </c>
      <c r="B12" s="3" t="s">
        <v>1156</v>
      </c>
      <c r="C12" s="77">
        <f>(total_backwash+regen_vol/(regen_reuse+1))</f>
        <v>4776</v>
      </c>
      <c r="D12" s="526" t="s">
        <v>1132</v>
      </c>
      <c r="E12" s="6" t="s">
        <v>1407</v>
      </c>
    </row>
    <row r="13" spans="1:5" x14ac:dyDescent="0.15">
      <c r="A13" t="s">
        <v>1405</v>
      </c>
      <c r="B13" s="3" t="s">
        <v>1404</v>
      </c>
      <c r="C13" s="77">
        <f>IF(add_backwash_freq=0,0,total_backwash)</f>
        <v>0</v>
      </c>
      <c r="D13" s="526" t="s">
        <v>1132</v>
      </c>
      <c r="E13" s="6" t="s">
        <v>1406</v>
      </c>
    </row>
    <row r="14" spans="1:5" x14ac:dyDescent="0.15">
      <c r="A14" t="s">
        <v>1408</v>
      </c>
      <c r="B14" s="3" t="s">
        <v>1160</v>
      </c>
      <c r="C14" s="100">
        <f>IF(regen_redun&gt;1,"NA",regen_days*24*60/num_treat_lines)</f>
        <v>138397.86032234642</v>
      </c>
      <c r="D14" s="526" t="s">
        <v>60</v>
      </c>
      <c r="E14" s="6" t="s">
        <v>886</v>
      </c>
    </row>
    <row r="15" spans="1:5" x14ac:dyDescent="0.15">
      <c r="A15" t="s">
        <v>1409</v>
      </c>
      <c r="B15" s="3" t="s">
        <v>1410</v>
      </c>
      <c r="C15" s="100">
        <f>add_backwash_freq*24*60/final_num_tanks</f>
        <v>0</v>
      </c>
      <c r="D15" s="526" t="s">
        <v>60</v>
      </c>
      <c r="E15" s="6" t="s">
        <v>1411</v>
      </c>
    </row>
    <row r="16" spans="1:5" x14ac:dyDescent="0.15">
      <c r="A16" t="s">
        <v>1662</v>
      </c>
      <c r="B16" s="3" t="s">
        <v>1663</v>
      </c>
      <c r="C16" s="101">
        <f>IF(regen_redun&gt;1,res_vol*regen_redun/regeneration_downtime,IF(AND(res_s1_opt=1,res_s2_opt&lt;&gt;3),res_vol/res_stagger_time,res_vol*regen_redun/regeneration_downtime))</f>
        <v>3.4509204035930045E-2</v>
      </c>
      <c r="D16" s="526" t="s">
        <v>142</v>
      </c>
      <c r="E16" s="6" t="s">
        <v>1664</v>
      </c>
    </row>
    <row r="17" spans="1:5" x14ac:dyDescent="0.15">
      <c r="A17" s="5" t="s">
        <v>1412</v>
      </c>
      <c r="B17" s="3" t="s">
        <v>1413</v>
      </c>
      <c r="C17" s="101">
        <f>IF(add_backwash_freq=0,0,IF(AND(res_s1_opt=1,res_s2_opt&lt;&gt;3),res_outcycle_vol/res_outcycle_stagger_time,total_backwash/backwash_time))</f>
        <v>0</v>
      </c>
      <c r="D17" s="526" t="s">
        <v>142</v>
      </c>
      <c r="E17" s="6" t="s">
        <v>1664</v>
      </c>
    </row>
    <row r="18" spans="1:5" x14ac:dyDescent="0.15">
      <c r="A18" t="s">
        <v>1665</v>
      </c>
      <c r="B18" s="3" t="s">
        <v>1666</v>
      </c>
      <c r="C18" s="101">
        <f>IF(regen_redun&gt;1,res_flow_actual,IF(AND(res_s1_opt=1,res_s2_opt&lt;&gt;3),res_cap_factor*res_vol/res_stagger_time,res_flow_actual))</f>
        <v>6.9018408071860091E-2</v>
      </c>
      <c r="D18" s="526" t="s">
        <v>142</v>
      </c>
      <c r="E18" s="6" t="s">
        <v>1667</v>
      </c>
    </row>
    <row r="19" spans="1:5" x14ac:dyDescent="0.15">
      <c r="A19" s="5" t="s">
        <v>2134</v>
      </c>
      <c r="B19" s="3" t="s">
        <v>1414</v>
      </c>
      <c r="C19" s="101">
        <f>IF(add_backwash_freq=0,0,IF(AND(res_s1_opt=1,res_s2_opt&lt;&gt;3),res_cap_factor*res_outcycle_vol/res_outcycle_stagger_time,res_outcycle_flow_actual))</f>
        <v>0</v>
      </c>
      <c r="D19" s="526" t="s">
        <v>142</v>
      </c>
      <c r="E19" s="6" t="s">
        <v>1667</v>
      </c>
    </row>
    <row r="20" spans="1:5" x14ac:dyDescent="0.15">
      <c r="A20" t="s">
        <v>1668</v>
      </c>
      <c r="B20" s="3" t="s">
        <v>1669</v>
      </c>
      <c r="C20" s="57">
        <f>IF(regen_redun&gt;1,res_flow*365*24*60,res_vol*num_treat_lines*(365/regen_days))+IF(add_backwash_freq=0,0,res_outcycle_vol*final_num_tanks*(365/add_backwash_freq))</f>
        <v>18138.037641284835</v>
      </c>
      <c r="D20" s="526" t="s">
        <v>1132</v>
      </c>
      <c r="E20" s="6" t="s">
        <v>1415</v>
      </c>
    </row>
    <row r="21" spans="1:5" x14ac:dyDescent="0.15">
      <c r="A21" t="s">
        <v>1704</v>
      </c>
      <c r="B21" s="3" t="s">
        <v>1705</v>
      </c>
      <c r="C21" s="57">
        <f>IF(regen_redun&gt;1,(regen_vol/(regen_reuse+1)*regen_redun/regeneration_downtime)*365*24*60,regen_vol/(regen_reuse+1)*num_treat_lines*(365/regen_days))</f>
        <v>0</v>
      </c>
      <c r="D21" s="526" t="s">
        <v>1132</v>
      </c>
    </row>
    <row r="23" spans="1:5" x14ac:dyDescent="0.15">
      <c r="A23" s="2" t="s">
        <v>1706</v>
      </c>
      <c r="B23" s="3"/>
      <c r="C23" s="78"/>
      <c r="E23" s="6" t="s">
        <v>2563</v>
      </c>
    </row>
    <row r="24" spans="1:5" x14ac:dyDescent="0.15">
      <c r="A24" s="5" t="s">
        <v>897</v>
      </c>
      <c r="B24" s="3"/>
      <c r="C24" s="78">
        <f>(influent_TSS-effluent_TSS)*average_flow*1000000*365/res_flow_annual</f>
        <v>64958.515540743967</v>
      </c>
      <c r="D24" s="526" t="s">
        <v>141</v>
      </c>
      <c r="E24" s="6"/>
    </row>
    <row r="25" spans="1:5" x14ac:dyDescent="0.15">
      <c r="A25" s="5" t="s">
        <v>898</v>
      </c>
      <c r="B25" s="3"/>
      <c r="C25" s="78">
        <f>resin_loss_vol_annual*media_density*453590/(res_flow_annual*3.78)</f>
        <v>0</v>
      </c>
      <c r="D25" s="526" t="s">
        <v>141</v>
      </c>
      <c r="E25" s="6"/>
    </row>
    <row r="26" spans="1:5" x14ac:dyDescent="0.15">
      <c r="A26" t="s">
        <v>613</v>
      </c>
      <c r="B26" s="3" t="s">
        <v>614</v>
      </c>
      <c r="C26" s="78">
        <f>SUM(C24:C25)</f>
        <v>64958.515540743967</v>
      </c>
      <c r="D26" s="526" t="s">
        <v>141</v>
      </c>
    </row>
    <row r="27" spans="1:5" x14ac:dyDescent="0.15">
      <c r="A27" t="s">
        <v>1707</v>
      </c>
      <c r="B27" s="3"/>
      <c r="C27" s="57">
        <f>IF(res_s2_opt=3,TSS_residuals*res_flow_annual*3.785/1000/453.59/dredging_freq,0)</f>
        <v>0</v>
      </c>
      <c r="D27" s="526" t="s">
        <v>264</v>
      </c>
    </row>
    <row r="28" spans="1:5" x14ac:dyDescent="0.15">
      <c r="A28" t="s">
        <v>1708</v>
      </c>
      <c r="B28" s="3"/>
      <c r="C28" s="78">
        <f>IF(res_s2_opt=3,brine_conc*regen_flow_annual/dredging_freq,0)</f>
        <v>0</v>
      </c>
      <c r="D28" s="526" t="s">
        <v>264</v>
      </c>
    </row>
    <row r="29" spans="1:5" x14ac:dyDescent="0.15">
      <c r="A29" t="s">
        <v>2576</v>
      </c>
      <c r="B29" s="3" t="s">
        <v>2577</v>
      </c>
      <c r="C29" s="78">
        <f>C27+C28</f>
        <v>0</v>
      </c>
      <c r="D29" s="526" t="s">
        <v>264</v>
      </c>
      <c r="E29" s="6" t="s">
        <v>2659</v>
      </c>
    </row>
    <row r="30" spans="1:5" x14ac:dyDescent="0.15">
      <c r="A30" t="s">
        <v>2660</v>
      </c>
      <c r="B30" s="3"/>
      <c r="C30" s="101">
        <f>IF(res_holding&lt;&gt;"none",TSS_residuals*IF(coag_res=1,coag_TSSrem,htank_TSSrem)*res_flow_annual*3.785/1000/453.59,0)</f>
        <v>0</v>
      </c>
      <c r="D30" s="526" t="s">
        <v>2661</v>
      </c>
    </row>
    <row r="31" spans="1:5" x14ac:dyDescent="0.15">
      <c r="A31" t="s">
        <v>2662</v>
      </c>
      <c r="B31" s="3"/>
      <c r="C31" s="101">
        <f>IF(AND(res_holding&lt;&gt;"none",coag_res=1),IF(coag_type&lt;&gt;1,coag_dose*coag_spf*8.34*res_flow_annual/10^6,0)+IF(coag_type&lt;&gt;2,polymer_dose*polymer_spf*8.34*res_flow_annual/10^6,0),0)</f>
        <v>0</v>
      </c>
      <c r="D31" s="526" t="s">
        <v>2661</v>
      </c>
    </row>
    <row r="32" spans="1:5" x14ac:dyDescent="0.15">
      <c r="A32" t="s">
        <v>2663</v>
      </c>
      <c r="B32" s="3" t="s">
        <v>1047</v>
      </c>
      <c r="C32" s="57">
        <f>C31+C30</f>
        <v>0</v>
      </c>
      <c r="D32" s="526" t="s">
        <v>2661</v>
      </c>
    </row>
    <row r="33" spans="1:5" x14ac:dyDescent="0.15">
      <c r="A33" t="s">
        <v>1048</v>
      </c>
      <c r="B33" s="3" t="s">
        <v>1049</v>
      </c>
      <c r="C33" s="78">
        <f>IF(res_holding="none",0,ROUNDUP((ht_solids/ht_solids_density*7.48)/(IF(res_holding="tanks",htanks*htank_vol,hbasins*hbasin_vol)*htank_clean_pct),0))</f>
        <v>0</v>
      </c>
      <c r="D33" s="724" t="s">
        <v>1050</v>
      </c>
    </row>
    <row r="34" spans="1:5" x14ac:dyDescent="0.15">
      <c r="A34" t="s">
        <v>1051</v>
      </c>
      <c r="B34" s="3" t="s">
        <v>1052</v>
      </c>
      <c r="C34" s="103">
        <f>IF(res_s2_opt=3,ep_solids,IF(OR(res_holding="none",ht_solids=0),0,ht_solids/ht_clean_freq))/2000</f>
        <v>0</v>
      </c>
      <c r="D34" s="724" t="s">
        <v>2285</v>
      </c>
    </row>
    <row r="35" spans="1:5" x14ac:dyDescent="0.15">
      <c r="A35" t="s">
        <v>664</v>
      </c>
      <c r="B35" s="3" t="s">
        <v>665</v>
      </c>
      <c r="C35" s="78">
        <f>IF(res_s2_opt=3,dredging_freq,IF(res_s1_opt=1,ht_clean_freq,0))</f>
        <v>0</v>
      </c>
      <c r="D35" s="724" t="s">
        <v>1050</v>
      </c>
    </row>
    <row r="37" spans="1:5" x14ac:dyDescent="0.15">
      <c r="A37" s="2" t="s">
        <v>770</v>
      </c>
      <c r="B37" s="3"/>
      <c r="C37" s="78"/>
    </row>
    <row r="38" spans="1:5" x14ac:dyDescent="0.15">
      <c r="A38" t="s">
        <v>666</v>
      </c>
      <c r="B38" s="3" t="s">
        <v>667</v>
      </c>
      <c r="C38" s="102">
        <f>IF(regen_type=1,1/resin_life,365/regen_days)</f>
        <v>3.7977465748083827</v>
      </c>
      <c r="D38" s="526" t="s">
        <v>1050</v>
      </c>
    </row>
    <row r="39" spans="1:5" x14ac:dyDescent="0.15">
      <c r="A39" t="s">
        <v>1671</v>
      </c>
      <c r="B39" s="3" t="s">
        <v>2367</v>
      </c>
      <c r="C39" s="78">
        <f>IF(regen_type=1,total_media-resin_loss_vol_annual*media_density,media_per_vessel*num_treat_lines)/2000</f>
        <v>6.848986144091108</v>
      </c>
      <c r="D39" s="526" t="s">
        <v>2285</v>
      </c>
      <c r="E39" s="6" t="s">
        <v>891</v>
      </c>
    </row>
    <row r="40" spans="1:5" x14ac:dyDescent="0.15">
      <c r="A40" t="s">
        <v>889</v>
      </c>
      <c r="B40" s="3" t="s">
        <v>890</v>
      </c>
      <c r="C40" s="103">
        <f>spent_media*disp_freq</f>
        <v>26.010713669632079</v>
      </c>
      <c r="D40" s="526" t="s">
        <v>2285</v>
      </c>
    </row>
    <row r="42" spans="1:5" x14ac:dyDescent="0.15">
      <c r="A42" s="2" t="s">
        <v>874</v>
      </c>
      <c r="B42" s="470"/>
    </row>
    <row r="43" spans="1:5" x14ac:dyDescent="0.15">
      <c r="A43" t="s">
        <v>666</v>
      </c>
      <c r="B43" s="470" t="s">
        <v>875</v>
      </c>
      <c r="C43">
        <f>12/cart_life</f>
        <v>2.4</v>
      </c>
      <c r="D43" s="526" t="s">
        <v>1050</v>
      </c>
    </row>
    <row r="44" spans="1:5" x14ac:dyDescent="0.15">
      <c r="A44" t="s">
        <v>876</v>
      </c>
      <c r="B44" s="470" t="s">
        <v>877</v>
      </c>
      <c r="C44">
        <f>active_filters*filter_elements*VLOOKUP(filter_size,cart_wt_table,3)/2000</f>
        <v>0.192</v>
      </c>
      <c r="D44" s="526" t="s">
        <v>2285</v>
      </c>
    </row>
    <row r="46" spans="1:5" x14ac:dyDescent="0.15">
      <c r="A46" s="2" t="s">
        <v>1672</v>
      </c>
      <c r="B46" s="3"/>
    </row>
    <row r="47" spans="1:5" x14ac:dyDescent="0.15">
      <c r="A47" s="661" t="s">
        <v>1673</v>
      </c>
      <c r="B47" s="3"/>
    </row>
    <row r="48" spans="1:5" x14ac:dyDescent="0.15">
      <c r="A48" s="660" t="s">
        <v>840</v>
      </c>
      <c r="B48" s="3" t="s">
        <v>841</v>
      </c>
      <c r="C48" s="53">
        <f>MAX(VLOOKUP(10^6,st_bwt_cost_cl,1)-1,VLOOKUP(10^6,fg_bwt_cost_cl,1)-1,VLOOKUP(10^6,hdpe_bwt_cost_cl,1)-1)</f>
        <v>289000</v>
      </c>
      <c r="D48" s="526" t="s">
        <v>1132</v>
      </c>
      <c r="E48" s="6" t="s">
        <v>730</v>
      </c>
    </row>
    <row r="49" spans="1:5" x14ac:dyDescent="0.15">
      <c r="A49" s="660" t="s">
        <v>1674</v>
      </c>
      <c r="B49" s="3" t="s">
        <v>1675</v>
      </c>
      <c r="C49">
        <f>IF(coag_res=1,0,IF(regen_redun&gt;1,0,IF(AND(res_s1_opt=1,res_s2_opt&lt;&gt;3),ROUNDUP(MAX(res_flow*res_stagger_time,res_outcycle_flow*res_outcycle_stagger_time)/max_htank_size,0),0)))</f>
        <v>1</v>
      </c>
      <c r="D49" s="526" t="s">
        <v>64</v>
      </c>
      <c r="E49" s="6" t="s">
        <v>442</v>
      </c>
    </row>
    <row r="50" spans="1:5" x14ac:dyDescent="0.15">
      <c r="A50" s="660" t="s">
        <v>1676</v>
      </c>
      <c r="B50" s="3" t="s">
        <v>1677</v>
      </c>
      <c r="C50" s="49">
        <f>IF(htanks=0,0,res_cap_factor*MAX(regen_redun*res_vol,res_outcycle_vol)/htanks)</f>
        <v>9552</v>
      </c>
      <c r="D50" s="526" t="s">
        <v>1132</v>
      </c>
    </row>
    <row r="51" spans="1:5" x14ac:dyDescent="0.15">
      <c r="A51" s="5"/>
      <c r="B51" s="3"/>
      <c r="C51" s="49"/>
    </row>
    <row r="52" spans="1:5" x14ac:dyDescent="0.15">
      <c r="A52" s="661" t="s">
        <v>443</v>
      </c>
      <c r="B52" s="3"/>
      <c r="C52" s="526"/>
    </row>
    <row r="53" spans="1:5" x14ac:dyDescent="0.15">
      <c r="A53" s="660" t="s">
        <v>1091</v>
      </c>
      <c r="B53" s="3" t="s">
        <v>1092</v>
      </c>
      <c r="C53" s="526">
        <f>IF(coag_res=1,ROUNDUP(res_coag_settle_time/IF(res_outcycle_vol=0,res_stagger_time,MIN(res_stagger_time,res_outcycle_stagger_time)),0),1)</f>
        <v>1</v>
      </c>
      <c r="E53" s="6" t="s">
        <v>1093</v>
      </c>
    </row>
    <row r="54" spans="1:5" x14ac:dyDescent="0.15">
      <c r="A54" s="660" t="s">
        <v>444</v>
      </c>
      <c r="B54" s="3" t="s">
        <v>445</v>
      </c>
      <c r="C54" s="625">
        <f>IF(regen_redun&gt;1,0,IF(AND(res_s1_opt=1,res_s2_opt&lt;&gt;3),hbasins_default*hbasin_redun,0))</f>
        <v>1</v>
      </c>
      <c r="D54" s="526" t="s">
        <v>64</v>
      </c>
      <c r="E54" s="6" t="s">
        <v>446</v>
      </c>
    </row>
    <row r="55" spans="1:5" x14ac:dyDescent="0.15">
      <c r="A55" s="660" t="s">
        <v>1089</v>
      </c>
      <c r="B55" s="22" t="s">
        <v>1090</v>
      </c>
      <c r="C55" s="641">
        <f>IF(hbasins=0,0,MAX(res_cap_factor*res_vol,res_cap_factor*res_outcycle_vol)*hbasin_redun/7.48)</f>
        <v>1277.0053475935829</v>
      </c>
      <c r="D55" s="526" t="s">
        <v>1118</v>
      </c>
      <c r="E55" s="6" t="s">
        <v>446</v>
      </c>
    </row>
    <row r="56" spans="1:5" x14ac:dyDescent="0.15">
      <c r="A56" s="660" t="s">
        <v>1083</v>
      </c>
      <c r="B56" s="22" t="s">
        <v>447</v>
      </c>
      <c r="C56" s="625">
        <f>IF(hbasins=0,0,total_hvol_ft/hbasins)</f>
        <v>1277.0053475935829</v>
      </c>
      <c r="D56" s="526" t="s">
        <v>1118</v>
      </c>
      <c r="E56" s="6" t="s">
        <v>446</v>
      </c>
    </row>
    <row r="57" spans="1:5" x14ac:dyDescent="0.15">
      <c r="A57" s="660" t="s">
        <v>1084</v>
      </c>
      <c r="B57" s="22" t="s">
        <v>448</v>
      </c>
      <c r="C57" s="625">
        <f>IF(hbasins=0,0,ROUNDUP(hvol_ft^(1/3)*holding_ratio,0))</f>
        <v>7</v>
      </c>
      <c r="D57" s="526" t="s">
        <v>2845</v>
      </c>
      <c r="E57" s="6" t="s">
        <v>446</v>
      </c>
    </row>
    <row r="58" spans="1:5" x14ac:dyDescent="0.15">
      <c r="A58" s="660" t="s">
        <v>1085</v>
      </c>
      <c r="B58" s="22" t="s">
        <v>449</v>
      </c>
      <c r="C58" s="625">
        <f>IF(hbasins=0,0,ROUNDUP((hvol_ft/hbasin_op_depth)^0.5,0))</f>
        <v>14</v>
      </c>
      <c r="D58" s="526" t="s">
        <v>2845</v>
      </c>
      <c r="E58" s="6" t="s">
        <v>446</v>
      </c>
    </row>
    <row r="59" spans="1:5" x14ac:dyDescent="0.15">
      <c r="A59" s="660" t="s">
        <v>1086</v>
      </c>
      <c r="B59" s="22" t="s">
        <v>450</v>
      </c>
      <c r="C59" s="625">
        <f>hbasin_width</f>
        <v>14</v>
      </c>
      <c r="D59" s="526" t="s">
        <v>2845</v>
      </c>
      <c r="E59" s="6" t="s">
        <v>446</v>
      </c>
    </row>
    <row r="60" spans="1:5" x14ac:dyDescent="0.15">
      <c r="A60" s="660" t="s">
        <v>1087</v>
      </c>
      <c r="B60" s="22" t="s">
        <v>451</v>
      </c>
      <c r="C60" s="625">
        <f>IF(hbasins=0,0,hbasin_op_depth+holding_freeboard)</f>
        <v>10</v>
      </c>
      <c r="D60" s="526" t="s">
        <v>2845</v>
      </c>
      <c r="E60" s="6" t="s">
        <v>446</v>
      </c>
    </row>
    <row r="61" spans="1:5" x14ac:dyDescent="0.15">
      <c r="A61" s="660" t="s">
        <v>1088</v>
      </c>
      <c r="B61" s="22" t="s">
        <v>452</v>
      </c>
      <c r="C61" s="625">
        <f>ROUND(hbasin_width*hbasin_length*hbasin_depth*7.48,0)</f>
        <v>14661</v>
      </c>
      <c r="D61" s="526" t="s">
        <v>1132</v>
      </c>
      <c r="E61" s="6" t="s">
        <v>446</v>
      </c>
    </row>
    <row r="62" spans="1:5" x14ac:dyDescent="0.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1908</v>
      </c>
      <c r="E62" s="6" t="s">
        <v>446</v>
      </c>
    </row>
    <row r="63" spans="1:5" x14ac:dyDescent="0.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1908</v>
      </c>
      <c r="E63" s="6" t="s">
        <v>446</v>
      </c>
    </row>
    <row r="64" spans="1:5" x14ac:dyDescent="0.15">
      <c r="A64" s="660" t="s">
        <v>457</v>
      </c>
      <c r="B64" s="22" t="s">
        <v>458</v>
      </c>
      <c r="C64" s="625">
        <f>IF(hbasins=0,0,hexcavation_vol-(hbasins*hbasin_width+(hbasins+1)*conc_thick)*(hbasin_length+2*conc_thick)*(hbasin_depth+conc_thick)/27)</f>
        <v>367.92592592592592</v>
      </c>
      <c r="D64" s="526" t="s">
        <v>1908</v>
      </c>
      <c r="E64" s="6" t="s">
        <v>446</v>
      </c>
    </row>
    <row r="65" spans="1:5" x14ac:dyDescent="0.15">
      <c r="A65" s="660" t="s">
        <v>459</v>
      </c>
      <c r="B65" s="22" t="s">
        <v>460</v>
      </c>
      <c r="C65" s="625">
        <f>IF(hbasins=0,0,2*(hbasins*hbasin_width+2*conc_thick/2+(hbasins-1)*conc_thick)+2*(hbasin_length+2*conc_thick/2))</f>
        <v>60</v>
      </c>
      <c r="D65" s="526" t="s">
        <v>1332</v>
      </c>
      <c r="E65" s="6" t="s">
        <v>446</v>
      </c>
    </row>
    <row r="66" spans="1:5" x14ac:dyDescent="0.15">
      <c r="B66" s="22"/>
      <c r="C66" s="625"/>
      <c r="E66" s="6"/>
    </row>
    <row r="67" spans="1:5" x14ac:dyDescent="0.15">
      <c r="A67" s="660" t="s">
        <v>468</v>
      </c>
      <c r="B67" s="3" t="s">
        <v>469</v>
      </c>
      <c r="C67" s="73" t="str">
        <f>IF(AND(hbasins&lt;&gt;0,coag_res=1),"basins",IF(OUTPUT!L68=1,"basins",IF(OR(OUTPUT!L69=1,OUTPUT!L70=1,OUTPUT!L71=1),"tanks","none")))</f>
        <v>tanks</v>
      </c>
      <c r="D67" s="526" t="s">
        <v>64</v>
      </c>
      <c r="E67" s="6" t="s">
        <v>470</v>
      </c>
    </row>
    <row r="69" spans="1:5" x14ac:dyDescent="0.15">
      <c r="A69" s="661" t="s">
        <v>3318</v>
      </c>
      <c r="B69" s="3"/>
      <c r="C69" s="49"/>
    </row>
    <row r="70" spans="1:5" x14ac:dyDescent="0.15">
      <c r="A70" s="660" t="s">
        <v>3319</v>
      </c>
      <c r="B70" s="3" t="s">
        <v>1698</v>
      </c>
      <c r="C70" s="37">
        <f>IF(AND(res_holding&lt;&gt;"none",coag_res=1),ROUNDUP(IF(res_holding="tanks",htank_vol,hbasin_vol)/1000*hmix_hp_per/hmix_hp_max,0),0)</f>
        <v>0</v>
      </c>
      <c r="D70" s="526" t="s">
        <v>64</v>
      </c>
    </row>
    <row r="71" spans="1:5" x14ac:dyDescent="0.15">
      <c r="A71" s="843" t="s">
        <v>1695</v>
      </c>
      <c r="B71" s="3" t="s">
        <v>1696</v>
      </c>
      <c r="C71" s="44">
        <f>VLOOKUP(10^6,imp_mix_cost_cl,1)-0.1</f>
        <v>30</v>
      </c>
      <c r="D71" s="526" t="s">
        <v>1360</v>
      </c>
      <c r="E71" s="6" t="s">
        <v>1697</v>
      </c>
    </row>
    <row r="72" spans="1:5" x14ac:dyDescent="0.15">
      <c r="A72" s="660" t="s">
        <v>3320</v>
      </c>
      <c r="B72" s="3" t="s">
        <v>1678</v>
      </c>
      <c r="C72" s="57">
        <f>IF(AND(res_holding&lt;&gt;"none",coag_res=1),IF(res_holding="tanks",htanks,hbasins)*hmix_per_tank,0)</f>
        <v>0</v>
      </c>
      <c r="D72" s="526" t="s">
        <v>64</v>
      </c>
    </row>
    <row r="73" spans="1:5" x14ac:dyDescent="0.15">
      <c r="A73" s="660" t="s">
        <v>3321</v>
      </c>
      <c r="B73" s="3" t="s">
        <v>842</v>
      </c>
      <c r="C73" s="30">
        <f>IF(AND(res_holding&lt;&gt;"none",coag_res=1),MAX(min_hmix_hp,IF(res_holding="tanks",htank_vol,hbasin_vol)/1000*hmix_hp_per/hmix_per_tank),0)</f>
        <v>0</v>
      </c>
      <c r="D73" s="526" t="s">
        <v>1360</v>
      </c>
    </row>
    <row r="74" spans="1:5" x14ac:dyDescent="0.15">
      <c r="A74" s="5"/>
      <c r="B74" s="3"/>
      <c r="C74" s="57"/>
    </row>
    <row r="75" spans="1:5" x14ac:dyDescent="0.15">
      <c r="A75" s="661" t="s">
        <v>503</v>
      </c>
      <c r="D75"/>
    </row>
    <row r="76" spans="1:5" x14ac:dyDescent="0.15">
      <c r="A76" s="660" t="s">
        <v>3322</v>
      </c>
      <c r="B76" s="3" t="s">
        <v>3323</v>
      </c>
      <c r="C76" s="73">
        <f>IF(AND(res_holding&lt;&gt;"none",coag_res=1,coag_type&lt;&gt;1),coag_dose*8.34*MAX(res_vol,res_outcycle_vol)/10^6,0)</f>
        <v>0</v>
      </c>
      <c r="D76" s="526" t="s">
        <v>264</v>
      </c>
    </row>
    <row r="77" spans="1:5" x14ac:dyDescent="0.15">
      <c r="A77" s="660" t="s">
        <v>3324</v>
      </c>
      <c r="B77" s="3" t="s">
        <v>3325</v>
      </c>
      <c r="C77" s="643">
        <f>coag_day_lbs/coag_pct/coag_density</f>
        <v>0</v>
      </c>
      <c r="D77" s="526" t="s">
        <v>1132</v>
      </c>
    </row>
    <row r="78" spans="1:5" x14ac:dyDescent="0.15">
      <c r="A78" s="660" t="s">
        <v>3435</v>
      </c>
      <c r="B78" s="3" t="s">
        <v>3326</v>
      </c>
      <c r="C78" s="73">
        <f>IF(AND(res_holding&lt;&gt;"none",coag_res=1,coag_type&lt;&gt;1),coag_dose*8.34*res_flow_annual/10^6/365*cstore_days,0)</f>
        <v>0</v>
      </c>
      <c r="D78" s="526" t="s">
        <v>264</v>
      </c>
    </row>
    <row r="79" spans="1:5" x14ac:dyDescent="0.15">
      <c r="A79" s="660" t="s">
        <v>3327</v>
      </c>
      <c r="B79" s="3" t="s">
        <v>3328</v>
      </c>
      <c r="C79">
        <f>coag_storage_lbs/coag_pct/coag_density</f>
        <v>0</v>
      </c>
      <c r="D79" s="526" t="s">
        <v>1132</v>
      </c>
    </row>
    <row r="80" spans="1:5" x14ac:dyDescent="0.15">
      <c r="A80" s="660" t="s">
        <v>3329</v>
      </c>
      <c r="B80" s="3" t="s">
        <v>3330</v>
      </c>
      <c r="C80">
        <f>ROUNDUP(coag_storage_gal/max_chem_tank_size_noSS,0)</f>
        <v>0</v>
      </c>
      <c r="D80" s="526" t="s">
        <v>64</v>
      </c>
    </row>
    <row r="81" spans="1:5" x14ac:dyDescent="0.15">
      <c r="A81" s="660" t="s">
        <v>3331</v>
      </c>
      <c r="B81" s="3" t="s">
        <v>3332</v>
      </c>
      <c r="C81">
        <f>IF(coag_tanks&gt;0,ROUNDUP(coag_storage_gal/coag_tanks,0),0)</f>
        <v>0</v>
      </c>
      <c r="D81" s="526" t="s">
        <v>1132</v>
      </c>
    </row>
    <row r="82" spans="1:5" x14ac:dyDescent="0.15">
      <c r="A82" s="660" t="s">
        <v>3333</v>
      </c>
      <c r="B82" s="3" t="s">
        <v>3334</v>
      </c>
      <c r="C82">
        <f>IF(AND(include_cmix=1,coag_tanks&lt;&gt;0),ROUNDUP(coag_tank_vol/1000*cmix_hp_per/cmix_hp_max,0),0)</f>
        <v>0</v>
      </c>
      <c r="D82" s="526" t="s">
        <v>64</v>
      </c>
    </row>
    <row r="83" spans="1:5" x14ac:dyDescent="0.15">
      <c r="A83" s="660" t="s">
        <v>3335</v>
      </c>
      <c r="B83" s="3" t="s">
        <v>3336</v>
      </c>
      <c r="C83">
        <f>IF(AND(res_holding&lt;&gt;"none",coag_res=1,coag_type&lt;&gt;1),coag_tanks*coag_cmix_per_tank,0)</f>
        <v>0</v>
      </c>
      <c r="D83" s="526" t="s">
        <v>64</v>
      </c>
    </row>
    <row r="84" spans="1:5" x14ac:dyDescent="0.15">
      <c r="A84" s="660" t="s">
        <v>2544</v>
      </c>
      <c r="B84" s="3" t="s">
        <v>3337</v>
      </c>
      <c r="C84">
        <f>IF(coag_cmixers&lt;&gt;0,MAX(min_cmix_hp,coag_tank_vol/1000*cmix_hp_per/coag_cmix_per_tank),0)</f>
        <v>0</v>
      </c>
      <c r="D84" s="526" t="s">
        <v>1360</v>
      </c>
    </row>
    <row r="85" spans="1:5" x14ac:dyDescent="0.15">
      <c r="A85" s="660" t="s">
        <v>3338</v>
      </c>
      <c r="B85" s="3" t="s">
        <v>3339</v>
      </c>
      <c r="C85" s="73">
        <f>IF(coag_day_gal=0,0,coag_dose*8.34*MAX(res_vol/regeneration_downtime,res_outcycle_vol/backwash_time)*60/10^6/coag_pct/coag_density)</f>
        <v>0</v>
      </c>
      <c r="D85" s="526" t="s">
        <v>1030</v>
      </c>
    </row>
    <row r="86" spans="1:5" x14ac:dyDescent="0.15">
      <c r="A86" s="660" t="s">
        <v>3340</v>
      </c>
      <c r="B86" s="3" t="s">
        <v>3341</v>
      </c>
      <c r="C86">
        <f>IF(coag_day_gal=0,0,ROUNDUP(coag_rate/max_cm_pump_size_noSS,0)+NRD_cm_pump)</f>
        <v>0</v>
      </c>
      <c r="D86" s="651" t="s">
        <v>64</v>
      </c>
    </row>
    <row r="87" spans="1:5" x14ac:dyDescent="0.15">
      <c r="A87" s="660" t="s">
        <v>3342</v>
      </c>
      <c r="B87" s="3" t="s">
        <v>3343</v>
      </c>
      <c r="C87">
        <f>IF(coag_day_gal=0,0,MAX(min_chem_flow,coag_rate*(1+pump_safety_factor))/(cm_pumps_coag-NRD_cm_pump))</f>
        <v>0</v>
      </c>
      <c r="D87" s="651" t="s">
        <v>1030</v>
      </c>
    </row>
    <row r="88" spans="1:5" x14ac:dyDescent="0.15">
      <c r="A88" s="660" t="s">
        <v>3436</v>
      </c>
      <c r="B88" s="3" t="s">
        <v>3437</v>
      </c>
      <c r="C88" s="526">
        <f>coag_storage_gal*coag_density</f>
        <v>0</v>
      </c>
      <c r="D88" s="651" t="s">
        <v>264</v>
      </c>
    </row>
    <row r="89" spans="1:5" x14ac:dyDescent="0.15">
      <c r="A89" s="5"/>
      <c r="B89" s="3"/>
      <c r="C89" s="57"/>
    </row>
    <row r="90" spans="1:5" x14ac:dyDescent="0.15">
      <c r="A90" s="661" t="s">
        <v>3358</v>
      </c>
      <c r="D90"/>
    </row>
    <row r="91" spans="1:5" x14ac:dyDescent="0.15">
      <c r="A91" s="660" t="s">
        <v>3145</v>
      </c>
      <c r="B91" s="3" t="s">
        <v>3359</v>
      </c>
      <c r="C91">
        <f>MAX(coag_tanks*coag_tank_vol*sec_cont_pct_of_total,coag_tank_vol*sec_cont_pct_of_largest)/7.48</f>
        <v>0</v>
      </c>
      <c r="D91" s="526" t="s">
        <v>1118</v>
      </c>
      <c r="E91" s="657" t="s">
        <v>3161</v>
      </c>
    </row>
    <row r="92" spans="1:5" x14ac:dyDescent="0.15">
      <c r="A92" s="660" t="s">
        <v>3147</v>
      </c>
      <c r="B92" s="3" t="s">
        <v>3360</v>
      </c>
      <c r="C92">
        <f>IF(coag_tanks=0,0,coag_fp-coag_tanks*PI()*(coag_st_diam/2)^2)</f>
        <v>0</v>
      </c>
      <c r="D92" s="526" t="s">
        <v>1068</v>
      </c>
      <c r="E92" s="657" t="s">
        <v>3162</v>
      </c>
    </row>
    <row r="93" spans="1:5" x14ac:dyDescent="0.15">
      <c r="A93" s="660" t="s">
        <v>3149</v>
      </c>
      <c r="B93" s="3" t="s">
        <v>3361</v>
      </c>
      <c r="C93">
        <f>IF(coag_tanks=0,0,coag_cont_volume/coag_cont_fp+sec_cont_freeboard/12)</f>
        <v>0</v>
      </c>
      <c r="D93" s="526" t="s">
        <v>61</v>
      </c>
    </row>
    <row r="94" spans="1:5" x14ac:dyDescent="0.15">
      <c r="A94" s="660" t="s">
        <v>3151</v>
      </c>
      <c r="B94" s="3" t="s">
        <v>3362</v>
      </c>
      <c r="C94">
        <f>IF(coag_tanks=0,0,MIN(sec_cont_max_thick,coag_curb_height))</f>
        <v>0</v>
      </c>
      <c r="D94" s="526" t="s">
        <v>61</v>
      </c>
    </row>
    <row r="95" spans="1:5" x14ac:dyDescent="0.15">
      <c r="A95" s="660" t="s">
        <v>3153</v>
      </c>
      <c r="B95" s="3" t="s">
        <v>3363</v>
      </c>
      <c r="C95">
        <f>IF(coag_tanks=0,0,coag_tanks*coag_st_diam+2*space_coag_st+(coag_tanks-1)*space_coag_st+2*coag_curb_thick)</f>
        <v>0</v>
      </c>
      <c r="D95" s="526" t="s">
        <v>61</v>
      </c>
    </row>
    <row r="96" spans="1:5" x14ac:dyDescent="0.15">
      <c r="A96" s="660" t="s">
        <v>3155</v>
      </c>
      <c r="B96" s="3" t="s">
        <v>3364</v>
      </c>
      <c r="C96">
        <f>IF(coag_tanks=0,0,coag_st_diam+2*space_coag_st)</f>
        <v>0</v>
      </c>
      <c r="D96" s="526" t="s">
        <v>61</v>
      </c>
    </row>
    <row r="97" spans="1:5" x14ac:dyDescent="0.15">
      <c r="A97" s="660" t="s">
        <v>3157</v>
      </c>
      <c r="B97" s="3" t="s">
        <v>3365</v>
      </c>
      <c r="C97">
        <f>IF(coag_tanks=0,0,ROUNDUP((coag_curb_len_long*2+coag_curb_len_short*2)*coag_curb_height*coag_curb_thick/27,0))</f>
        <v>0</v>
      </c>
      <c r="D97" s="526" t="s">
        <v>1908</v>
      </c>
      <c r="E97" s="657" t="s">
        <v>3163</v>
      </c>
    </row>
    <row r="98" spans="1:5" x14ac:dyDescent="0.15">
      <c r="A98" s="660" t="s">
        <v>3159</v>
      </c>
      <c r="B98" s="3" t="s">
        <v>3366</v>
      </c>
      <c r="C98">
        <f>IF(coag_tanks=0,0,ROUNDUP((coag_fp+2*(coag_curb_len_long-2*coag_curb_thick)*coag_curb_height+2*coag_curb_len_short*coag_curb_height)/sec_cont_coating_cvg,0))</f>
        <v>0</v>
      </c>
      <c r="D98" s="526" t="s">
        <v>143</v>
      </c>
      <c r="E98" s="657" t="s">
        <v>3164</v>
      </c>
    </row>
    <row r="99" spans="1:5" x14ac:dyDescent="0.15">
      <c r="A99" s="5"/>
      <c r="B99" s="3"/>
      <c r="C99" s="57"/>
    </row>
    <row r="100" spans="1:5" x14ac:dyDescent="0.15">
      <c r="A100" s="661" t="s">
        <v>504</v>
      </c>
      <c r="C100" s="72"/>
    </row>
    <row r="101" spans="1:5" x14ac:dyDescent="0.15">
      <c r="A101" s="108" t="s">
        <v>540</v>
      </c>
      <c r="B101" s="3" t="s">
        <v>505</v>
      </c>
      <c r="C101" s="73">
        <f>IF(AND(res_holding&lt;&gt;"none",coag_res=1,coag_type&lt;&gt;2),polymer_dose*8.34*MAX(res_vol,res_outcycle_vol)/10^6/polymer_density,0)</f>
        <v>0</v>
      </c>
      <c r="D101" s="526" t="s">
        <v>1132</v>
      </c>
      <c r="E101" s="596"/>
    </row>
    <row r="102" spans="1:5" x14ac:dyDescent="0.15">
      <c r="A102" s="108" t="s">
        <v>506</v>
      </c>
      <c r="B102" s="3" t="s">
        <v>507</v>
      </c>
      <c r="C102" s="73">
        <f>IF(AND(res_holding&lt;&gt;"none",coag_res=1,coag_type&lt;&gt;2),polymer_dose*8.34*res_flow_annual/10^6/polymer_density/365*cstore_days,0)</f>
        <v>0</v>
      </c>
      <c r="D102" s="526" t="s">
        <v>1132</v>
      </c>
      <c r="E102" s="596"/>
    </row>
    <row r="103" spans="1:5" x14ac:dyDescent="0.15">
      <c r="A103" s="108" t="s">
        <v>2927</v>
      </c>
      <c r="B103" s="3" t="s">
        <v>2928</v>
      </c>
      <c r="C103" s="643">
        <f>polymer_storage*polymer_density</f>
        <v>0</v>
      </c>
      <c r="D103" s="526" t="s">
        <v>264</v>
      </c>
      <c r="E103" s="596"/>
    </row>
    <row r="104" spans="1:5" x14ac:dyDescent="0.15">
      <c r="A104" s="108" t="s">
        <v>508</v>
      </c>
      <c r="B104" s="3" t="s">
        <v>509</v>
      </c>
      <c r="C104" s="73">
        <f>ROUNDUP(polymer_storage/max_chem_tank_size,0)</f>
        <v>0</v>
      </c>
      <c r="D104" s="526" t="s">
        <v>64</v>
      </c>
      <c r="E104" s="596"/>
    </row>
    <row r="105" spans="1:5" x14ac:dyDescent="0.15">
      <c r="A105" s="108" t="s">
        <v>510</v>
      </c>
      <c r="B105" s="3" t="s">
        <v>511</v>
      </c>
      <c r="C105" s="73">
        <f>IF(polymer_tanks&gt;0,ROUNDUP(polymer_storage/polymer_tanks,0),0)</f>
        <v>0</v>
      </c>
      <c r="D105" s="526" t="s">
        <v>1132</v>
      </c>
      <c r="E105" s="596"/>
    </row>
    <row r="106" spans="1:5" x14ac:dyDescent="0.15">
      <c r="A106" s="108" t="s">
        <v>2540</v>
      </c>
      <c r="B106" s="3" t="s">
        <v>512</v>
      </c>
      <c r="C106" s="73">
        <f>IF(AND(include_cmix=1,polymer_tanks&lt;&gt;0),ROUNDUP(polymer_tank_vol/1000*cmix_hp_per/cmix_hp_max,0),0)</f>
        <v>0</v>
      </c>
      <c r="D106" s="526" t="s">
        <v>64</v>
      </c>
      <c r="E106" s="596"/>
    </row>
    <row r="107" spans="1:5" x14ac:dyDescent="0.15">
      <c r="A107" s="108" t="s">
        <v>2542</v>
      </c>
      <c r="B107" s="3" t="s">
        <v>513</v>
      </c>
      <c r="C107" s="73">
        <f>IF(AND(res_holding&lt;&gt;"none",coag_res=1,coag_type&lt;&gt;2),polymer_tanks*polymer_cmix_per_tank,0)</f>
        <v>0</v>
      </c>
      <c r="D107" s="526" t="s">
        <v>64</v>
      </c>
      <c r="E107" s="596"/>
    </row>
    <row r="108" spans="1:5" x14ac:dyDescent="0.15">
      <c r="A108" s="108" t="s">
        <v>2544</v>
      </c>
      <c r="B108" s="3" t="s">
        <v>514</v>
      </c>
      <c r="C108" s="73">
        <f>IF(polymer_cmixers&lt;&gt;0,polymer_tank_vol/1000*cmix_hp_per/polymer_cmix_per_tank,0)</f>
        <v>0</v>
      </c>
      <c r="D108" s="526" t="s">
        <v>1360</v>
      </c>
      <c r="E108" s="596"/>
    </row>
    <row r="109" spans="1:5" x14ac:dyDescent="0.15">
      <c r="A109" s="108" t="s">
        <v>541</v>
      </c>
      <c r="B109" s="3" t="s">
        <v>515</v>
      </c>
      <c r="C109" s="73">
        <f>IF(polymer_day=0,0,polymer_dose*8.34*MAX(res_vol/regeneration_downtime,res_outcycle_vol/backwash_time)*60/10^6/polymer_density)</f>
        <v>0</v>
      </c>
      <c r="D109" s="526" t="s">
        <v>1030</v>
      </c>
      <c r="E109" s="596"/>
    </row>
    <row r="110" spans="1:5" x14ac:dyDescent="0.15">
      <c r="A110" s="108" t="s">
        <v>516</v>
      </c>
      <c r="B110" s="3" t="s">
        <v>517</v>
      </c>
      <c r="C110" s="73">
        <f>IF(polymer_day=0,0,ROUNDUP(polymer_rate/max_cm_pump_size,0)+NRD_cm_pump)</f>
        <v>0</v>
      </c>
      <c r="D110" s="651" t="s">
        <v>64</v>
      </c>
      <c r="E110" s="596"/>
    </row>
    <row r="111" spans="1:5" x14ac:dyDescent="0.15">
      <c r="A111" s="108" t="s">
        <v>518</v>
      </c>
      <c r="B111" s="3" t="s">
        <v>519</v>
      </c>
      <c r="C111" s="73">
        <f>IF(polymer_day=0,0,MAX(min_chem_flow,polymer_rate*(1+pump_safety_factor)/(cm_pumps_polymer-NRD_cm_pump)))</f>
        <v>0</v>
      </c>
      <c r="D111" s="651" t="s">
        <v>1030</v>
      </c>
      <c r="E111" s="596"/>
    </row>
    <row r="113" spans="1:4" x14ac:dyDescent="0.15">
      <c r="A113" s="661" t="s">
        <v>1340</v>
      </c>
      <c r="B113" s="3"/>
    </row>
    <row r="114" spans="1:4" x14ac:dyDescent="0.15">
      <c r="A114" s="108" t="s">
        <v>1679</v>
      </c>
      <c r="B114" s="3" t="s">
        <v>1680</v>
      </c>
      <c r="C114">
        <f>IF(res_holding&lt;&gt;"none",ROUNDUP(MAX(res_flow,res_outcycle_flow)*(1+pump_safety_factor)/max_pump_size,0)+NRD_res_pump,0)</f>
        <v>2</v>
      </c>
      <c r="D114" s="526" t="s">
        <v>64</v>
      </c>
    </row>
    <row r="115" spans="1:4" x14ac:dyDescent="0.15">
      <c r="A115" s="108" t="s">
        <v>1681</v>
      </c>
      <c r="B115" s="3" t="s">
        <v>1682</v>
      </c>
      <c r="C115" s="101">
        <f>IF(res_holding&lt;&gt;"none",MAX(res_flow,res_outcycle_flow)*(1+pump_safety_factor)/(res_pumps-NRD_res_pump),0)</f>
        <v>8.6273010089825117E-2</v>
      </c>
      <c r="D115" s="526" t="s">
        <v>142</v>
      </c>
    </row>
    <row r="116" spans="1:4" x14ac:dyDescent="0.15">
      <c r="A116" s="5"/>
      <c r="B116" s="3"/>
      <c r="C116" s="101"/>
    </row>
    <row r="117" spans="1:4" x14ac:dyDescent="0.15">
      <c r="A117" s="661" t="s">
        <v>199</v>
      </c>
      <c r="B117" s="3"/>
      <c r="C117" s="101"/>
    </row>
    <row r="118" spans="1:4" x14ac:dyDescent="0.15">
      <c r="A118" s="108" t="s">
        <v>200</v>
      </c>
      <c r="B118" s="3" t="s">
        <v>201</v>
      </c>
      <c r="C118" s="18">
        <f>res_solids*2000/transfer_time</f>
        <v>0</v>
      </c>
      <c r="D118" s="526" t="s">
        <v>211</v>
      </c>
    </row>
    <row r="119" spans="1:4" x14ac:dyDescent="0.15">
      <c r="A119" s="108" t="s">
        <v>202</v>
      </c>
      <c r="B119" s="3" t="s">
        <v>203</v>
      </c>
      <c r="C119" s="97">
        <f>res_transfer_rate/(ht_solids_density/7.48*60)</f>
        <v>0</v>
      </c>
      <c r="D119" s="526" t="s">
        <v>142</v>
      </c>
    </row>
    <row r="120" spans="1:4" x14ac:dyDescent="0.15">
      <c r="A120" s="108" t="s">
        <v>204</v>
      </c>
      <c r="B120" s="3" t="s">
        <v>205</v>
      </c>
      <c r="C120" s="379">
        <f>IF(res_transfer_method=1,1,0)</f>
        <v>0</v>
      </c>
      <c r="D120" s="526" t="s">
        <v>64</v>
      </c>
    </row>
    <row r="121" spans="1:4" x14ac:dyDescent="0.15">
      <c r="A121" s="108" t="s">
        <v>1427</v>
      </c>
      <c r="B121" s="3" t="s">
        <v>206</v>
      </c>
      <c r="C121" s="380">
        <f>IF(res_transfer_method&lt;&gt;2,0,ROUNDUP(res_transfer_rate_gal/max_eductor_size,0))</f>
        <v>0</v>
      </c>
      <c r="D121" s="526" t="s">
        <v>64</v>
      </c>
    </row>
    <row r="122" spans="1:4" x14ac:dyDescent="0.15">
      <c r="A122" s="108" t="s">
        <v>207</v>
      </c>
      <c r="B122" s="3" t="s">
        <v>208</v>
      </c>
      <c r="C122" s="18">
        <f>IF(res_eductors=0,0,res_transfer_rate_gal/res_eductors)</f>
        <v>0</v>
      </c>
      <c r="D122" s="526" t="s">
        <v>142</v>
      </c>
    </row>
    <row r="123" spans="1:4" x14ac:dyDescent="0.15">
      <c r="A123" s="108" t="s">
        <v>209</v>
      </c>
      <c r="B123" s="3" t="s">
        <v>210</v>
      </c>
      <c r="C123" s="37" t="str">
        <f>IF(res_transfer_method=2,VLOOKUP(res_eff_transfer_rate,eductor_size_table_cl,2),"NA")</f>
        <v>NA</v>
      </c>
      <c r="D123" s="526" t="s">
        <v>973</v>
      </c>
    </row>
    <row r="124" spans="1:4" x14ac:dyDescent="0.15">
      <c r="A124" s="5"/>
      <c r="B124" s="3"/>
      <c r="C124" s="101"/>
    </row>
    <row r="125" spans="1:4" x14ac:dyDescent="0.15">
      <c r="A125" s="661" t="s">
        <v>1647</v>
      </c>
      <c r="B125" s="3"/>
      <c r="C125" s="101"/>
    </row>
    <row r="126" spans="1:4" x14ac:dyDescent="0.15">
      <c r="A126" s="108" t="s">
        <v>1648</v>
      </c>
      <c r="B126" s="3" t="s">
        <v>186</v>
      </c>
      <c r="C126" s="101">
        <f>ROUNDUP(res_solids*2000/ht_solids_density/solids_storage_height,-1)</f>
        <v>0</v>
      </c>
      <c r="D126" s="526" t="s">
        <v>851</v>
      </c>
    </row>
    <row r="127" spans="1:4" x14ac:dyDescent="0.15">
      <c r="A127" s="108" t="s">
        <v>187</v>
      </c>
      <c r="B127" s="3" t="s">
        <v>188</v>
      </c>
      <c r="C127" s="49">
        <f>ROUNDUP(solids_pad_area*IF(ss_cat2=1,pad_thick_small,pad_thick)/27,0)</f>
        <v>0</v>
      </c>
      <c r="D127" s="526" t="s">
        <v>189</v>
      </c>
    </row>
    <row r="129" spans="1:5" x14ac:dyDescent="0.15">
      <c r="A129" s="661" t="s">
        <v>1683</v>
      </c>
    </row>
    <row r="130" spans="1:5" x14ac:dyDescent="0.15">
      <c r="A130" s="108" t="s">
        <v>1684</v>
      </c>
      <c r="B130" s="3" t="s">
        <v>1685</v>
      </c>
      <c r="C130" s="49">
        <f>IF(res_s2_opt=3,(res_flow_annual/7.48)*ep_safety_factor/((pan_evap*evap_ratio-precip)*0.0328),0)</f>
        <v>0</v>
      </c>
      <c r="D130" s="526" t="s">
        <v>1068</v>
      </c>
    </row>
    <row r="131" spans="1:5" x14ac:dyDescent="0.15">
      <c r="A131" s="108" t="s">
        <v>1686</v>
      </c>
      <c r="B131" s="3" t="s">
        <v>1687</v>
      </c>
      <c r="C131" s="104">
        <f>IF(res_s2_opt=3,ep_solids/ep_solids_density/ep_total_sa,0)</f>
        <v>0</v>
      </c>
      <c r="D131" s="526" t="s">
        <v>61</v>
      </c>
    </row>
    <row r="132" spans="1:5" x14ac:dyDescent="0.15">
      <c r="A132" s="108" t="s">
        <v>1688</v>
      </c>
      <c r="B132" s="3" t="s">
        <v>1689</v>
      </c>
      <c r="C132" s="104">
        <f>IF(res_s2_opt=3,(res_flow_annual/7.48)*winter_days/365/ep_total_sa,0)</f>
        <v>0</v>
      </c>
      <c r="D132" s="526" t="s">
        <v>61</v>
      </c>
    </row>
    <row r="133" spans="1:5" x14ac:dyDescent="0.15">
      <c r="A133" s="108" t="s">
        <v>1690</v>
      </c>
      <c r="B133" s="3" t="s">
        <v>1691</v>
      </c>
      <c r="C133" s="104">
        <f>IF(res_s2_opt=3,ep_solids_depth+ep_water_depth+ep_freeboard,0)</f>
        <v>0</v>
      </c>
      <c r="D133" s="526" t="s">
        <v>61</v>
      </c>
      <c r="E133" s="6" t="s">
        <v>1692</v>
      </c>
    </row>
    <row r="134" spans="1:5" x14ac:dyDescent="0.15">
      <c r="A134" s="108" t="s">
        <v>1234</v>
      </c>
      <c r="B134" s="3" t="s">
        <v>1235</v>
      </c>
      <c r="C134">
        <f>IF(res_s2_opt=3,IF(ROUNDUP(ep_total_sa/(max_ep_cell_area*43560),0)&lt;min_ep_cells,min_ep_cells,ROUNDUP(ep_total_sa/(max_ep_cell_area*43560),0)),0)</f>
        <v>0</v>
      </c>
      <c r="D134" s="526" t="s">
        <v>290</v>
      </c>
    </row>
    <row r="135" spans="1:5" x14ac:dyDescent="0.15">
      <c r="A135" s="108" t="s">
        <v>1236</v>
      </c>
      <c r="B135" s="3" t="s">
        <v>1237</v>
      </c>
      <c r="C135" s="49">
        <f>IF(res_s2_opt=3,SQRT(ep_total_sa/ep_cells),0)</f>
        <v>0</v>
      </c>
      <c r="D135" s="526" t="s">
        <v>61</v>
      </c>
    </row>
    <row r="136" spans="1:5" x14ac:dyDescent="0.15">
      <c r="A136" s="108" t="s">
        <v>1238</v>
      </c>
      <c r="B136" s="3" t="s">
        <v>1239</v>
      </c>
      <c r="C136" s="49">
        <f>IF(res_s2_opt=3,ROUNDUP(((ep_cell_side+ep_overexcavate)^2*(ep_depth+ep_overexcavate)+0.5*(3*(ep_depth+ep_overexcavate)*(ep_cell_side+ep_overexcavate)*(ep_depth+ep_overexcavate)))*ep_cells/27,0),0)</f>
        <v>0</v>
      </c>
      <c r="D136" s="526" t="s">
        <v>1908</v>
      </c>
    </row>
    <row r="137" spans="1:5" x14ac:dyDescent="0.15">
      <c r="A137" s="108" t="s">
        <v>1240</v>
      </c>
      <c r="B137" s="3" t="s">
        <v>1241</v>
      </c>
      <c r="C137" s="49">
        <f>IF(res_s2_opt=3,ROUNDUP(ep_excavation_vol-(ep_cell_side^2*ep_depth*ep_cells)/27,0),0)</f>
        <v>0</v>
      </c>
      <c r="D137" s="526" t="s">
        <v>1908</v>
      </c>
    </row>
    <row r="138" spans="1:5" x14ac:dyDescent="0.15">
      <c r="A138" s="108" t="s">
        <v>1242</v>
      </c>
      <c r="B138" s="3" t="s">
        <v>1243</v>
      </c>
      <c r="C138" s="49">
        <f>IF(res_s2_opt=3,ep_cells*ep_cell_side*4*dike_xsection/27,0)</f>
        <v>0</v>
      </c>
      <c r="D138" s="526" t="s">
        <v>1908</v>
      </c>
    </row>
    <row r="139" spans="1:5" x14ac:dyDescent="0.15">
      <c r="A139" s="108" t="s">
        <v>1244</v>
      </c>
      <c r="B139" s="3" t="s">
        <v>1245</v>
      </c>
      <c r="C139" s="49">
        <f>(ep_cell_side^2+ep_cell_side*(ep_depth+2)*4)*ep_cells</f>
        <v>0</v>
      </c>
      <c r="D139" s="526" t="s">
        <v>1068</v>
      </c>
      <c r="E139" s="6" t="s">
        <v>1246</v>
      </c>
    </row>
    <row r="141" spans="1:5" x14ac:dyDescent="0.15">
      <c r="A141" s="661" t="s">
        <v>1330</v>
      </c>
      <c r="B141" s="3"/>
    </row>
    <row r="142" spans="1:5" x14ac:dyDescent="0.15">
      <c r="A142" s="108" t="s">
        <v>2839</v>
      </c>
      <c r="B142" s="3" t="s">
        <v>2844</v>
      </c>
      <c r="C142" s="27">
        <f>res_pipe_mult*facil_length+add_res_pipe_length</f>
        <v>100</v>
      </c>
      <c r="D142" s="526" t="s">
        <v>2845</v>
      </c>
    </row>
    <row r="143" spans="1:5" x14ac:dyDescent="0.15">
      <c r="A143" s="108" t="s">
        <v>1247</v>
      </c>
      <c r="B143" s="3" t="s">
        <v>1248</v>
      </c>
      <c r="C143" s="27">
        <f>MAX(min_res_pipe_size,VLOOKUP(MAX(res_flow,res_outcycle_flow),pipe_size_table_cl,2))</f>
        <v>1</v>
      </c>
      <c r="D143" s="526" t="s">
        <v>973</v>
      </c>
    </row>
    <row r="144" spans="1:5" x14ac:dyDescent="0.15">
      <c r="A144" s="108" t="s">
        <v>335</v>
      </c>
      <c r="B144" s="3" t="s">
        <v>336</v>
      </c>
      <c r="C144" s="27">
        <f>IF(res_s2_opt=4,0,add_res_pipe_length)</f>
        <v>0</v>
      </c>
      <c r="D144" s="526" t="s">
        <v>2845</v>
      </c>
    </row>
    <row r="145" spans="1:4" x14ac:dyDescent="0.15">
      <c r="A145" s="108" t="s">
        <v>2799</v>
      </c>
      <c r="B145" s="3" t="s">
        <v>337</v>
      </c>
      <c r="C145">
        <f>MAX(frost,min_trench_depth)</f>
        <v>38</v>
      </c>
      <c r="D145" s="526" t="s">
        <v>1333</v>
      </c>
    </row>
    <row r="146" spans="1:4" x14ac:dyDescent="0.15">
      <c r="A146" s="108" t="s">
        <v>2801</v>
      </c>
      <c r="B146" s="3" t="s">
        <v>338</v>
      </c>
      <c r="C146" s="519">
        <f>VLOOKUP(res_pipe_diam,thrust_block_table_cl,2)*2.2</f>
        <v>764.79838682438469</v>
      </c>
      <c r="D146" s="526" t="s">
        <v>973</v>
      </c>
    </row>
    <row r="147" spans="1:4" x14ac:dyDescent="0.15">
      <c r="A147" s="108" t="s">
        <v>1188</v>
      </c>
      <c r="B147" s="3" t="s">
        <v>339</v>
      </c>
      <c r="C147">
        <f>1.5*res_thrust_force/(soil_dens*(res_trn_depth/12+res_pipe_diam/12)*Coeff_Kp*Reduction)</f>
        <v>2.5974368149556186</v>
      </c>
      <c r="D147" s="526" t="s">
        <v>264</v>
      </c>
    </row>
    <row r="148" spans="1:4" x14ac:dyDescent="0.15">
      <c r="A148" s="108" t="s">
        <v>1190</v>
      </c>
      <c r="B148" s="3"/>
      <c r="C148">
        <f>res_bearing_area/C149</f>
        <v>2.2792265420337747</v>
      </c>
      <c r="D148" s="526" t="s">
        <v>851</v>
      </c>
    </row>
    <row r="149" spans="1:4" x14ac:dyDescent="0.15">
      <c r="A149" s="108" t="s">
        <v>1191</v>
      </c>
      <c r="B149" s="3"/>
      <c r="C149">
        <f>(res_bearing_area/2)^0.5</f>
        <v>1.1396132710168871</v>
      </c>
      <c r="D149" s="526" t="s">
        <v>2845</v>
      </c>
    </row>
    <row r="150" spans="1:4" x14ac:dyDescent="0.15">
      <c r="A150" s="108" t="s">
        <v>1192</v>
      </c>
      <c r="B150" s="3"/>
      <c r="C150">
        <f>MAX(0.5,res_pipe_diam/12)</f>
        <v>0.5</v>
      </c>
      <c r="D150" s="526" t="s">
        <v>2845</v>
      </c>
    </row>
    <row r="151" spans="1:4" x14ac:dyDescent="0.15">
      <c r="A151" s="108" t="s">
        <v>1194</v>
      </c>
      <c r="B151" s="3"/>
      <c r="C151">
        <f>C148/2</f>
        <v>1.1396132710168874</v>
      </c>
      <c r="D151" s="526" t="s">
        <v>2845</v>
      </c>
    </row>
    <row r="152" spans="1:4" x14ac:dyDescent="0.15">
      <c r="A152" s="108" t="s">
        <v>1195</v>
      </c>
      <c r="B152" s="3" t="s">
        <v>340</v>
      </c>
      <c r="C152">
        <f>IF(OR(buried_res_pipe_length=0,res_pipe_diam=0),0,(C151+(buried_res_pipe_length/12)/2)*(C148+C150)/2*C149/27)</f>
        <v>0</v>
      </c>
      <c r="D152" s="526" t="s">
        <v>1351</v>
      </c>
    </row>
    <row r="153" spans="1:4" x14ac:dyDescent="0.15">
      <c r="A153" s="108" t="s">
        <v>341</v>
      </c>
      <c r="B153" s="3" t="s">
        <v>342</v>
      </c>
      <c r="C153" s="83">
        <f>IF(res_pipe_diam=0,0,(res_pipe_diam/12+2)*(bedding_depth/12+res_pipe_diam/12+res_trn_depth/12)+(bedding_depth/12+res_pipe_diam/12+res_trn_depth/12)^2*TAN(trench_angle))</f>
        <v>21.875</v>
      </c>
      <c r="D153" s="526" t="s">
        <v>1351</v>
      </c>
    </row>
    <row r="154" spans="1:4" x14ac:dyDescent="0.15">
      <c r="A154" s="108" t="s">
        <v>343</v>
      </c>
      <c r="B154" s="3"/>
      <c r="C154" s="9">
        <f>res_trench_area*buried_res_pipe_length/27</f>
        <v>0</v>
      </c>
      <c r="D154" s="526" t="s">
        <v>851</v>
      </c>
    </row>
    <row r="155" spans="1:4" x14ac:dyDescent="0.15">
      <c r="A155" s="108" t="s">
        <v>344</v>
      </c>
      <c r="B155" s="3" t="s">
        <v>345</v>
      </c>
      <c r="C155" s="9">
        <f>IF(OR(buried_res_pipe_length=0,res_pipe_diam=0),0,C154+res_block_vol)</f>
        <v>0</v>
      </c>
      <c r="D155" s="526" t="s">
        <v>1351</v>
      </c>
    </row>
    <row r="156" spans="1:4" x14ac:dyDescent="0.15">
      <c r="A156" s="108" t="s">
        <v>2195</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x14ac:dyDescent="0.15">
      <c r="A157" s="108" t="s">
        <v>1802</v>
      </c>
      <c r="B157" s="3" t="s">
        <v>346</v>
      </c>
      <c r="C157">
        <f>C156*buried_res_pipe_length/2/27</f>
        <v>0</v>
      </c>
      <c r="D157" s="526" t="s">
        <v>1351</v>
      </c>
    </row>
    <row r="158" spans="1:4" x14ac:dyDescent="0.15">
      <c r="B158" s="3"/>
      <c r="C158" s="27"/>
    </row>
    <row r="159" spans="1:4" x14ac:dyDescent="0.15">
      <c r="A159" s="661" t="s">
        <v>1249</v>
      </c>
      <c r="B159" s="3"/>
      <c r="C159" s="27"/>
    </row>
    <row r="160" spans="1:4" x14ac:dyDescent="0.15">
      <c r="A160" s="108" t="s">
        <v>1250</v>
      </c>
      <c r="B160" s="3" t="s">
        <v>1251</v>
      </c>
      <c r="C160" s="27">
        <f>res_pipe_diam</f>
        <v>1</v>
      </c>
      <c r="D160" s="526" t="s">
        <v>973</v>
      </c>
    </row>
    <row r="161" spans="1:4" x14ac:dyDescent="0.15">
      <c r="A161" s="108" t="s">
        <v>1252</v>
      </c>
      <c r="B161" s="3" t="s">
        <v>1253</v>
      </c>
      <c r="C161" s="27">
        <f>VLOOKUP("res_MOV_pump",valve_table,manual+1,FALSE)*res_pumps+VLOOKUP("res_MOV_tank",valve_table,manual+1,FALSE)*IF(res_holding="tanks",htanks,IF(res_holding="basins",hbasins,0))+VLOOKUP("res_MOV_ep",valve_table,manual+1,FALSE)*ep_cells</f>
        <v>0</v>
      </c>
      <c r="D161" s="526" t="s">
        <v>144</v>
      </c>
    </row>
    <row r="162" spans="1:4" x14ac:dyDescent="0.15">
      <c r="A162" s="108" t="s">
        <v>2125</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x14ac:dyDescent="0.15">
      <c r="A163" s="108" t="s">
        <v>1254</v>
      </c>
      <c r="B163" s="3" t="s">
        <v>1255</v>
      </c>
      <c r="C163">
        <f>res_chv_pump*res_pumps+IF(res_pumps=0,res_chv_no_pump,0)</f>
        <v>2</v>
      </c>
      <c r="D163" s="526" t="s">
        <v>144</v>
      </c>
    </row>
    <row r="164" spans="1:4" x14ac:dyDescent="0.15">
      <c r="A164" s="108" t="s">
        <v>1256</v>
      </c>
      <c r="B164" s="3" t="s">
        <v>1257</v>
      </c>
      <c r="C164">
        <f>IF(res_holding="tanks",htanks,IF(res_holding="basins",hbasins,0))*alarm_res</f>
        <v>1</v>
      </c>
      <c r="D164" s="526" t="s">
        <v>64</v>
      </c>
    </row>
    <row r="165" spans="1:4" x14ac:dyDescent="0.15">
      <c r="A165" s="108" t="s">
        <v>1258</v>
      </c>
      <c r="B165" s="3" t="s">
        <v>1259</v>
      </c>
      <c r="C165" s="27">
        <f>res_pipe_diam</f>
        <v>1</v>
      </c>
      <c r="D165" s="526" t="s">
        <v>973</v>
      </c>
    </row>
    <row r="167" spans="1:4" x14ac:dyDescent="0.15">
      <c r="A167" s="2" t="s">
        <v>473</v>
      </c>
    </row>
    <row r="168" spans="1:4" x14ac:dyDescent="0.15">
      <c r="A168" s="661" t="s">
        <v>1340</v>
      </c>
      <c r="B168" s="3"/>
    </row>
    <row r="169" spans="1:4" x14ac:dyDescent="0.15">
      <c r="A169" s="108" t="s">
        <v>1262</v>
      </c>
      <c r="B169" s="3"/>
      <c r="C169" s="621">
        <f>IF(res_pumps=0,0,MAX(res_flow_actual,res_outcycle_flow_actual)*res_pump_psi/(res_pumps-NRD_res_pump)/booster_pump_efficiency/14.7*33.9*8.34/550/60)</f>
        <v>6.7042185255702296E-4</v>
      </c>
      <c r="D169" s="526" t="s">
        <v>1360</v>
      </c>
    </row>
    <row r="170" spans="1:4" x14ac:dyDescent="0.15">
      <c r="A170" s="108" t="s">
        <v>1263</v>
      </c>
      <c r="B170" s="3"/>
      <c r="C170" s="622">
        <f>C169*0.7457/1000*24*365</f>
        <v>4.379418120957523E-3</v>
      </c>
      <c r="D170" s="526" t="s">
        <v>179</v>
      </c>
    </row>
    <row r="171" spans="1:4" x14ac:dyDescent="0.15">
      <c r="A171" s="108" t="s">
        <v>1264</v>
      </c>
      <c r="B171" s="3" t="s">
        <v>1265</v>
      </c>
      <c r="C171" s="622">
        <f>C170*(res_pumps-NRD_res_pump)</f>
        <v>4.379418120957523E-3</v>
      </c>
      <c r="D171" s="526" t="s">
        <v>179</v>
      </c>
    </row>
    <row r="172" spans="1:4" x14ac:dyDescent="0.15">
      <c r="A172" s="108" t="s">
        <v>570</v>
      </c>
      <c r="B172" s="3" t="s">
        <v>571</v>
      </c>
      <c r="C172" s="7">
        <f>IF(res_pumps=0,0,OUTPUT!J204*booster_pump_maintenance)</f>
        <v>81.895445962954696</v>
      </c>
      <c r="D172" s="643" t="s">
        <v>177</v>
      </c>
    </row>
    <row r="174" spans="1:4" x14ac:dyDescent="0.15">
      <c r="A174" s="661" t="s">
        <v>572</v>
      </c>
      <c r="B174" s="3"/>
      <c r="C174" s="7"/>
      <c r="D174" s="643"/>
    </row>
    <row r="175" spans="1:4" x14ac:dyDescent="0.15">
      <c r="A175" s="660" t="s">
        <v>3438</v>
      </c>
      <c r="B175" s="3" t="s">
        <v>573</v>
      </c>
      <c r="C175" s="101">
        <f>IF(AND(res_holding&lt;&gt;"none",coag_res=1,coag_type&lt;&gt;1),coag_dose*8.34*res_flow_annual/10^6,0)/coag_pct</f>
        <v>0</v>
      </c>
      <c r="D175" s="526" t="s">
        <v>264</v>
      </c>
    </row>
    <row r="176" spans="1:4" x14ac:dyDescent="0.15">
      <c r="A176" s="108" t="s">
        <v>520</v>
      </c>
      <c r="B176" s="3" t="s">
        <v>521</v>
      </c>
      <c r="C176" s="101">
        <f>IF(AND(res_holding&lt;&gt;"none",coag_res=1, coag_type&lt;&gt;2),polymer_dose*8.34*res_flow_annual/10^6,0)</f>
        <v>0</v>
      </c>
      <c r="D176" s="526" t="s">
        <v>264</v>
      </c>
    </row>
    <row r="177" spans="1:5" x14ac:dyDescent="0.15">
      <c r="A177" s="108"/>
      <c r="B177" s="3"/>
      <c r="C177" s="101"/>
    </row>
    <row r="178" spans="1:5" s="16" customFormat="1" x14ac:dyDescent="0.15">
      <c r="A178" s="661" t="s">
        <v>2997</v>
      </c>
      <c r="B178" s="3"/>
      <c r="C178" s="719"/>
      <c r="D178" s="719"/>
      <c r="E178" s="719"/>
    </row>
    <row r="179" spans="1:5" s="16" customFormat="1" x14ac:dyDescent="0.15">
      <c r="A179" s="108" t="s">
        <v>2991</v>
      </c>
      <c r="B179" s="3"/>
      <c r="C179" s="720" t="e">
        <f>VLOOKUP("Ferric Chloride - Large Qty",chem_break_table_cl,2,FALSE)</f>
        <v>#N/A</v>
      </c>
      <c r="D179" s="719" t="s">
        <v>264</v>
      </c>
      <c r="E179" s="657" t="s">
        <v>2992</v>
      </c>
    </row>
    <row r="180" spans="1:5" s="16" customFormat="1" x14ac:dyDescent="0.15">
      <c r="A180" s="108" t="s">
        <v>2993</v>
      </c>
      <c r="B180" s="3"/>
      <c r="C180" s="720" t="e">
        <f>VLOOKUP("Ferric Chloride - Mid Qty",chem_break_table_cl,2,FALSE)</f>
        <v>#N/A</v>
      </c>
      <c r="D180" s="719" t="s">
        <v>264</v>
      </c>
      <c r="E180" s="657" t="s">
        <v>2992</v>
      </c>
    </row>
    <row r="181" spans="1:5" s="16" customFormat="1" x14ac:dyDescent="0.15">
      <c r="A181" s="108" t="s">
        <v>2994</v>
      </c>
      <c r="B181" s="3"/>
      <c r="C181" s="720" t="e">
        <f>VLOOKUP("Ferric Chloride - Small Qty",chem_break_table_cl,2,FALSE)</f>
        <v>#N/A</v>
      </c>
      <c r="D181" s="719" t="s">
        <v>264</v>
      </c>
      <c r="E181" s="657" t="s">
        <v>2992</v>
      </c>
    </row>
    <row r="182" spans="1:5" s="16" customFormat="1" x14ac:dyDescent="0.15">
      <c r="A182" s="109" t="s">
        <v>3000</v>
      </c>
      <c r="B182" s="22" t="s">
        <v>2998</v>
      </c>
      <c r="C182" s="18" t="str">
        <f>IF(AND(ISNA(C179),ISNA(C180),ISNA(C181)),"",IF(coag_storage_lbs_bulk&gt;=C179," - Large Qty",IF(coag_storage_lbs_bulk&gt;=C180," - Mid Qty"," - Small Qty")))</f>
        <v/>
      </c>
      <c r="D182" s="651"/>
      <c r="E182" s="657" t="s">
        <v>2996</v>
      </c>
    </row>
    <row r="183" spans="1:5" s="16" customFormat="1" x14ac:dyDescent="0.15">
      <c r="A183" s="109"/>
      <c r="B183" s="22"/>
      <c r="C183" s="18"/>
      <c r="D183" s="651"/>
      <c r="E183" s="657"/>
    </row>
    <row r="184" spans="1:5" x14ac:dyDescent="0.15">
      <c r="A184" s="661" t="s">
        <v>3013</v>
      </c>
      <c r="B184" s="3"/>
      <c r="C184" s="101"/>
    </row>
    <row r="185" spans="1:5" x14ac:dyDescent="0.15">
      <c r="A185" s="108" t="s">
        <v>2991</v>
      </c>
      <c r="B185" s="3"/>
      <c r="C185" s="720" t="e">
        <f>VLOOKUP("Polymers - Large Qty",chem_break_table_cl,2,FALSE)</f>
        <v>#N/A</v>
      </c>
      <c r="D185" s="526" t="s">
        <v>264</v>
      </c>
      <c r="E185" s="657" t="s">
        <v>2992</v>
      </c>
    </row>
    <row r="186" spans="1:5" x14ac:dyDescent="0.15">
      <c r="A186" s="108" t="s">
        <v>2993</v>
      </c>
      <c r="B186" s="3"/>
      <c r="C186" s="720" t="e">
        <f>VLOOKUP("Polymers - Mid Qty",chem_break_table_cl,2,FALSE)</f>
        <v>#N/A</v>
      </c>
      <c r="D186" s="526" t="s">
        <v>264</v>
      </c>
      <c r="E186" s="657" t="s">
        <v>2992</v>
      </c>
    </row>
    <row r="187" spans="1:5" x14ac:dyDescent="0.15">
      <c r="A187" s="108" t="s">
        <v>2994</v>
      </c>
      <c r="B187" s="3"/>
      <c r="C187" s="720" t="e">
        <f>VLOOKUP("Polymers - Small Qty",chem_break_table_cl,2,FALSE)</f>
        <v>#N/A</v>
      </c>
      <c r="D187" s="526" t="s">
        <v>264</v>
      </c>
      <c r="E187" s="657" t="s">
        <v>2992</v>
      </c>
    </row>
    <row r="188" spans="1:5" x14ac:dyDescent="0.15">
      <c r="A188" s="108" t="s">
        <v>3000</v>
      </c>
      <c r="B188" s="3" t="s">
        <v>3002</v>
      </c>
      <c r="C188" s="18" t="str">
        <f>IF(AND(ISNA(C185),ISNA(C186),ISNA(C187)),"",IF(polymer_storage_lbs&gt;=C185," - Large Qty",IF(polymer_storage_lbs&gt;=C186," - Mid Qty"," - Small Qty")))</f>
        <v/>
      </c>
      <c r="E188" s="657" t="s">
        <v>2996</v>
      </c>
    </row>
    <row r="190" spans="1:5" x14ac:dyDescent="0.15">
      <c r="A190" s="661" t="s">
        <v>574</v>
      </c>
      <c r="B190" s="3"/>
    </row>
    <row r="191" spans="1:5" x14ac:dyDescent="0.15">
      <c r="A191" s="108" t="s">
        <v>575</v>
      </c>
      <c r="B191" s="3" t="s">
        <v>576</v>
      </c>
      <c r="C191" s="49">
        <f>IF(res_holding&lt;&gt;"none",TSS_residuals*(1-IF(coag_res=1,coag_TSSrem,htank_TSSrem)),TSS_residuals)</f>
        <v>64958.515540743967</v>
      </c>
      <c r="D191" s="526" t="s">
        <v>141</v>
      </c>
    </row>
    <row r="192" spans="1:5" x14ac:dyDescent="0.15">
      <c r="A192" s="108" t="s">
        <v>577</v>
      </c>
      <c r="B192" s="3" t="s">
        <v>615</v>
      </c>
      <c r="C192" s="57">
        <f>IF((TSS_residuals_dis-POTW_TSS_limit)*res_flow_annual*3.785/1000/453.59&gt;0,(TSS_residuals_dis-POTW_TSS_limit)*res_flow_annual*3.785/1000/453.59,0)</f>
        <v>9793.8657860224739</v>
      </c>
      <c r="D192" s="651" t="s">
        <v>2661</v>
      </c>
    </row>
    <row r="193" spans="1:5" x14ac:dyDescent="0.15">
      <c r="A193" s="108" t="s">
        <v>578</v>
      </c>
      <c r="B193" s="3"/>
      <c r="C193" s="60">
        <f>IF(POTW_rate_type=1,POTW_base_cost_avg_cl,IF(POTW_base_fee=1,POTW_base_cost_typ_cl,0))*12</f>
        <v>206.41019947671711</v>
      </c>
      <c r="D193" s="526" t="s">
        <v>579</v>
      </c>
    </row>
    <row r="194" spans="1:5" x14ac:dyDescent="0.15">
      <c r="A194" s="108" t="s">
        <v>580</v>
      </c>
      <c r="B194" s="3"/>
      <c r="C194" s="60">
        <f>IF(POTW_rate_type=1,POTW_vol_cost_avg_cl,IF(POTW_volume_fee=1,POTW_vol_cost_typ_cl,0))*res_flow_annual/1000</f>
        <v>100.79967186018979</v>
      </c>
      <c r="D194" s="526" t="s">
        <v>579</v>
      </c>
    </row>
    <row r="195" spans="1:5" x14ac:dyDescent="0.15">
      <c r="A195" s="108" t="s">
        <v>581</v>
      </c>
      <c r="B195" s="3"/>
      <c r="C195" s="60">
        <f>IF(POTW_rate_type=1,POTW_TSS_cost_avg_cl,IF(POTW_TSS_fee=1,POTW_TSS_cost_typ_cl,0))*ex_TSS_total</f>
        <v>2605.1495680070029</v>
      </c>
      <c r="D195" s="526" t="s">
        <v>579</v>
      </c>
    </row>
    <row r="196" spans="1:5" x14ac:dyDescent="0.15">
      <c r="A196" s="108" t="s">
        <v>582</v>
      </c>
      <c r="B196" s="3" t="s">
        <v>583</v>
      </c>
      <c r="C196" s="105">
        <f>SUM(C193:C195)</f>
        <v>2912.3594393439098</v>
      </c>
      <c r="D196" s="526" t="s">
        <v>579</v>
      </c>
    </row>
    <row r="198" spans="1:5" x14ac:dyDescent="0.15">
      <c r="A198" s="661" t="s">
        <v>1547</v>
      </c>
      <c r="B198" s="3"/>
    </row>
    <row r="199" spans="1:5" x14ac:dyDescent="0.15">
      <c r="A199" s="108" t="s">
        <v>585</v>
      </c>
      <c r="B199" s="3"/>
      <c r="C199">
        <f>IF(res_s2_opt=4,lhaz_disposal_cost_cl*res_flow_annual,0)</f>
        <v>69124.079602219674</v>
      </c>
      <c r="D199" s="526" t="s">
        <v>579</v>
      </c>
    </row>
    <row r="200" spans="1:5" x14ac:dyDescent="0.15">
      <c r="A200" s="108" t="s">
        <v>1548</v>
      </c>
      <c r="B200" s="3"/>
      <c r="C200" s="376">
        <f>365*24*60/res_stagger_time</f>
        <v>3.7977465748083823</v>
      </c>
      <c r="D200" s="526" t="s">
        <v>1050</v>
      </c>
    </row>
    <row r="201" spans="1:5" x14ac:dyDescent="0.15">
      <c r="A201" s="108" t="s">
        <v>1417</v>
      </c>
      <c r="B201" s="3"/>
      <c r="C201" s="376">
        <f>+IF(res_outcycle_stagger_time=0,0,365*24*60/res_outcycle_stagger_time)</f>
        <v>0</v>
      </c>
      <c r="D201" s="526" t="s">
        <v>1050</v>
      </c>
    </row>
    <row r="202" spans="1:5" x14ac:dyDescent="0.15">
      <c r="A202" s="108" t="s">
        <v>586</v>
      </c>
      <c r="B202" s="3"/>
      <c r="C202" s="376">
        <f>IF(res_vol&gt;max_lhaz_ship,ROUNDUP(res_vol/max_lhaz_ship,0)*C200,C200)+IF(res_outcycle_vol&gt;max_lhaz_ship,ROUNDUP(res_outcycle_vol/max_lhaz_ship,0)*C201,C201)</f>
        <v>3.7977465748083823</v>
      </c>
      <c r="E202" s="6"/>
    </row>
    <row r="203" spans="1:5" x14ac:dyDescent="0.15">
      <c r="A203" s="108" t="s">
        <v>587</v>
      </c>
      <c r="B203" s="3"/>
      <c r="C203" s="7">
        <f>MAX(C202*lhaz_trans_min_cost_cl,res_flow_annual*haz_miles*lhaz_transportation_cost_cl)</f>
        <v>12882.752700728444</v>
      </c>
      <c r="D203" s="526" t="s">
        <v>579</v>
      </c>
    </row>
    <row r="204" spans="1:5" x14ac:dyDescent="0.15">
      <c r="A204" s="108" t="s">
        <v>1549</v>
      </c>
      <c r="B204" s="3" t="s">
        <v>1550</v>
      </c>
      <c r="C204" s="74">
        <f>C199+C203</f>
        <v>82006.832302948111</v>
      </c>
      <c r="D204" s="526" t="s">
        <v>579</v>
      </c>
    </row>
    <row r="205" spans="1:5" x14ac:dyDescent="0.15">
      <c r="B205" s="3"/>
    </row>
    <row r="206" spans="1:5" x14ac:dyDescent="0.15">
      <c r="A206" s="661" t="s">
        <v>584</v>
      </c>
      <c r="B206" s="5"/>
    </row>
    <row r="207" spans="1:5" x14ac:dyDescent="0.15">
      <c r="A207" s="660" t="s">
        <v>3519</v>
      </c>
      <c r="B207" s="1"/>
      <c r="C207" s="865">
        <f>VLOOKUP(current_year_cl,esc_factor_table,2,FALSE)/VLOOKUP(alt_media_disp_year,esc_factor_table,2,FALSE)</f>
        <v>1</v>
      </c>
      <c r="D207" s="1"/>
      <c r="E207" s="657" t="s">
        <v>3520</v>
      </c>
    </row>
    <row r="208" spans="1:5" x14ac:dyDescent="0.15">
      <c r="A208" s="660" t="s">
        <v>3524</v>
      </c>
      <c r="B208" s="3" t="s">
        <v>3525</v>
      </c>
      <c r="C208" s="866">
        <f>C207*alt_media_disp</f>
        <v>2558.1395348837209</v>
      </c>
      <c r="D208" s="643" t="s">
        <v>2174</v>
      </c>
      <c r="E208" s="6" t="s">
        <v>3526</v>
      </c>
    </row>
    <row r="209" spans="1:5" x14ac:dyDescent="0.15">
      <c r="A209" s="660" t="s">
        <v>3532</v>
      </c>
      <c r="B209" s="3" t="s">
        <v>3533</v>
      </c>
      <c r="C209" s="866">
        <f>C207*alt_media_disp_haz</f>
        <v>3488.3720930232557</v>
      </c>
      <c r="D209" s="643" t="s">
        <v>2174</v>
      </c>
      <c r="E209" s="6" t="s">
        <v>3526</v>
      </c>
    </row>
    <row r="210" spans="1:5" x14ac:dyDescent="0.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x14ac:dyDescent="0.15">
      <c r="A211" s="108" t="s">
        <v>586</v>
      </c>
      <c r="B211" s="3" t="s">
        <v>2986</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x14ac:dyDescent="0.15">
      <c r="A212" s="108" t="s">
        <v>2935</v>
      </c>
      <c r="B212" s="3"/>
      <c r="C212" s="650">
        <f>CHOOSE(media_haz,0,nonhaz_transportation_cost_cl,haz_transportation_cost_cl,rad_transportation_cost_cl,hazrad_transportation_cost_cl,haz_transportation_cost_cl)</f>
        <v>0.28268414016405796</v>
      </c>
      <c r="D212" s="526" t="s">
        <v>2938</v>
      </c>
      <c r="E212" s="6" t="str">
        <f>IF(media_haz=1,"Included in disposal cost","")</f>
        <v/>
      </c>
    </row>
    <row r="213" spans="1:5" x14ac:dyDescent="0.15">
      <c r="A213" s="108" t="s">
        <v>2936</v>
      </c>
      <c r="B213" s="3"/>
      <c r="C213" s="650">
        <f>CHOOSE(media_haz,0,0,haz_trans_min_cost_cl,rad_trans_min_cost_cl,hazrad_trans_min_cost_cl,haz_trans_min_cost_cl)</f>
        <v>3392.2096819686953</v>
      </c>
      <c r="D213" s="526" t="s">
        <v>2939</v>
      </c>
      <c r="E213" s="6"/>
    </row>
    <row r="214" spans="1:5" x14ac:dyDescent="0.15">
      <c r="A214" s="108" t="s">
        <v>2937</v>
      </c>
      <c r="B214" s="3" t="s">
        <v>2987</v>
      </c>
      <c r="C214" s="43">
        <f>CHOOSE(media_haz,non_haz_miles,non_haz_miles,haz_miles,rad_miles,hazrad_miles,haz_miles)</f>
        <v>200</v>
      </c>
      <c r="D214" s="526" t="s">
        <v>985</v>
      </c>
      <c r="E214" s="6"/>
    </row>
    <row r="215" spans="1:5" x14ac:dyDescent="0.15">
      <c r="A215" s="108" t="s">
        <v>587</v>
      </c>
      <c r="B215" s="3"/>
      <c r="C215" s="80">
        <f>MAX(spent_media*C211*C212*C214,C211*C213)</f>
        <v>12882.752700728446</v>
      </c>
      <c r="D215" s="526" t="s">
        <v>579</v>
      </c>
      <c r="E215" s="6" t="str">
        <f>IF(media_haz=1,"Included in disposal cost","")</f>
        <v/>
      </c>
    </row>
    <row r="216" spans="1:5" x14ac:dyDescent="0.15">
      <c r="A216" s="660" t="s">
        <v>3439</v>
      </c>
      <c r="B216" s="3"/>
      <c r="C216" s="80">
        <f>CHOOSE(media_haz,0,0,0,VLOOKUP(households*hh_size,rad_annual_fee_cl,2),VLOOKUP(households*hh_size,hazrad_annual_fee_cl,2),0)</f>
        <v>0</v>
      </c>
      <c r="D216" s="526" t="s">
        <v>579</v>
      </c>
      <c r="E216" s="6"/>
    </row>
    <row r="217" spans="1:5" x14ac:dyDescent="0.15">
      <c r="A217" s="108" t="s">
        <v>2207</v>
      </c>
      <c r="B217" s="3" t="s">
        <v>2208</v>
      </c>
      <c r="C217" s="85">
        <f>C215+C210+C216</f>
        <v>103617.80038549152</v>
      </c>
      <c r="D217" s="526" t="s">
        <v>579</v>
      </c>
    </row>
    <row r="219" spans="1:5" x14ac:dyDescent="0.15">
      <c r="A219" s="661" t="s">
        <v>2209</v>
      </c>
      <c r="B219" s="5"/>
    </row>
    <row r="220" spans="1:5" x14ac:dyDescent="0.15">
      <c r="A220" s="108" t="s">
        <v>585</v>
      </c>
      <c r="B220" s="3"/>
      <c r="C220" s="80">
        <f>res_solids*sol_disp_freq*CHOOSE(solids_haz,nonhaz_disposal_cost_cl,haz_disposal_cost_cl,rad_disposal_cost_cl,hazrad_disposal_cost_cl)</f>
        <v>0</v>
      </c>
      <c r="D220" s="526" t="s">
        <v>579</v>
      </c>
    </row>
    <row r="221" spans="1:5" x14ac:dyDescent="0.15">
      <c r="A221" s="108" t="s">
        <v>586</v>
      </c>
      <c r="B221" s="3" t="s">
        <v>2988</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x14ac:dyDescent="0.15">
      <c r="A222" s="108" t="s">
        <v>2935</v>
      </c>
      <c r="B222" s="3"/>
      <c r="C222" s="650">
        <f>CHOOSE(solids_haz,nonhaz_transportation_cost_cl,haz_transportation_cost_cl,rad_transportation_cost_cl,hazrad_transportation_cost_cl)</f>
        <v>0.28268414016405796</v>
      </c>
      <c r="D222" s="526" t="s">
        <v>2938</v>
      </c>
      <c r="E222" s="6"/>
    </row>
    <row r="223" spans="1:5" x14ac:dyDescent="0.15">
      <c r="A223" s="108" t="s">
        <v>2936</v>
      </c>
      <c r="B223" s="3"/>
      <c r="C223" s="650">
        <f>CHOOSE(solids_haz,0,haz_trans_min_cost_cl,rad_trans_min_cost_cl,hazrad_trans_min_cost_cl)</f>
        <v>3392.2096819686953</v>
      </c>
      <c r="D223" s="526" t="s">
        <v>2939</v>
      </c>
      <c r="E223" s="6"/>
    </row>
    <row r="224" spans="1:5" x14ac:dyDescent="0.15">
      <c r="A224" s="108" t="s">
        <v>2937</v>
      </c>
      <c r="B224" s="3" t="s">
        <v>2989</v>
      </c>
      <c r="C224" s="43">
        <f>CHOOSE(solids_haz,non_haz_miles,haz_miles,rad_miles,hazrad_miles)</f>
        <v>200</v>
      </c>
      <c r="D224" s="526" t="s">
        <v>985</v>
      </c>
      <c r="E224" s="6"/>
    </row>
    <row r="225" spans="1:4" x14ac:dyDescent="0.15">
      <c r="A225" s="108" t="s">
        <v>587</v>
      </c>
      <c r="B225" s="3"/>
      <c r="C225" s="80">
        <f>MAX(C221*C223,res_solids*C221*C224*C222)</f>
        <v>0</v>
      </c>
      <c r="D225" s="526" t="s">
        <v>579</v>
      </c>
    </row>
    <row r="226" spans="1:4" x14ac:dyDescent="0.15">
      <c r="A226" s="660" t="s">
        <v>3439</v>
      </c>
      <c r="B226" s="3"/>
      <c r="C226" s="80">
        <f>CHOOSE(solids_haz,0,0,VLOOKUP(households*hh_size,rad_annual_fee_cl,2),VLOOKUP(households*hh_size,hazrad_annual_fee_cl,2))</f>
        <v>0</v>
      </c>
      <c r="D226" s="526" t="s">
        <v>579</v>
      </c>
    </row>
    <row r="227" spans="1:4" x14ac:dyDescent="0.15">
      <c r="A227" s="108" t="s">
        <v>2210</v>
      </c>
      <c r="B227" s="3" t="s">
        <v>2211</v>
      </c>
      <c r="C227" s="85">
        <f>IF(AND(solids_haz=1,solids_method=2),0,C225+C220+C226)</f>
        <v>0</v>
      </c>
      <c r="D227" s="526" t="s">
        <v>579</v>
      </c>
    </row>
    <row r="229" spans="1:4" x14ac:dyDescent="0.15">
      <c r="A229" s="661" t="s">
        <v>878</v>
      </c>
      <c r="B229" s="470"/>
    </row>
    <row r="230" spans="1:4" x14ac:dyDescent="0.15">
      <c r="A230" s="108" t="s">
        <v>585</v>
      </c>
      <c r="B230" s="470"/>
      <c r="C230" s="471">
        <f>cart_disp_wt*cart_disp_freq*nonhaz_disposal_cost_cl</f>
        <v>50.705242677320506</v>
      </c>
      <c r="D230" s="724" t="s">
        <v>579</v>
      </c>
    </row>
    <row r="231" spans="1:4" x14ac:dyDescent="0.15">
      <c r="A231" s="108" t="s">
        <v>587</v>
      </c>
      <c r="B231" s="470"/>
      <c r="C231" s="471">
        <f>cart_disp_wt*cart_disp_freq*non_haz_miles*nonhaz_transportation_cost_cl</f>
        <v>0.9767989579788543</v>
      </c>
      <c r="D231" s="724" t="s">
        <v>579</v>
      </c>
    </row>
    <row r="232" spans="1:4" x14ac:dyDescent="0.15">
      <c r="A232" s="108" t="s">
        <v>2941</v>
      </c>
      <c r="B232" s="470" t="s">
        <v>879</v>
      </c>
      <c r="C232" s="471">
        <f>SUM(C230:C231)</f>
        <v>51.682041635299363</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x14ac:dyDescent="0.15">
      <c r="A1" s="1" t="s">
        <v>2959</v>
      </c>
      <c r="B1" s="3"/>
      <c r="C1" s="526"/>
      <c r="D1" s="526"/>
    </row>
    <row r="2" spans="1:5" customFormat="1" x14ac:dyDescent="0.15">
      <c r="B2" s="3"/>
      <c r="C2" s="526"/>
      <c r="D2" s="526"/>
    </row>
    <row r="3" spans="1:5" customFormat="1" x14ac:dyDescent="0.15">
      <c r="A3" s="206" t="s">
        <v>2952</v>
      </c>
      <c r="B3" s="206" t="s">
        <v>277</v>
      </c>
      <c r="C3" s="207" t="s">
        <v>278</v>
      </c>
      <c r="D3" s="206" t="s">
        <v>279</v>
      </c>
      <c r="E3" s="206" t="s">
        <v>280</v>
      </c>
    </row>
    <row r="4" spans="1:5" s="2" customFormat="1" x14ac:dyDescent="0.15">
      <c r="A4" s="2" t="s">
        <v>1701</v>
      </c>
    </row>
    <row r="5" spans="1:5" s="2" customFormat="1" x14ac:dyDescent="0.15">
      <c r="A5" s="660" t="s">
        <v>3255</v>
      </c>
      <c r="B5" s="3" t="s">
        <v>3256</v>
      </c>
      <c r="C5" s="526">
        <f>IF(regen_days&lt;=7,1,IF(AND(add_backwash_freq&lt;=7,NOT(ISBLANK(add_backwash_freq))),1,0))</f>
        <v>0</v>
      </c>
      <c r="D5" s="526" t="s">
        <v>3257</v>
      </c>
      <c r="E5" s="657" t="s">
        <v>3258</v>
      </c>
    </row>
    <row r="6" spans="1:5" s="2" customFormat="1" x14ac:dyDescent="0.15"/>
    <row r="7" spans="1:5" x14ac:dyDescent="0.15">
      <c r="A7" s="661" t="s">
        <v>2309</v>
      </c>
      <c r="E7" s="6"/>
    </row>
    <row r="8" spans="1:5" x14ac:dyDescent="0.15">
      <c r="A8" s="108" t="s">
        <v>624</v>
      </c>
      <c r="B8" s="22" t="s">
        <v>726</v>
      </c>
      <c r="C8" s="36">
        <f>IF(booster_pumps=0,0,OUTPUT!J197*booster_pump_maintenance)</f>
        <v>294.19399557293565</v>
      </c>
      <c r="D8" s="24" t="s">
        <v>177</v>
      </c>
    </row>
    <row r="9" spans="1:5" x14ac:dyDescent="0.15">
      <c r="A9" s="108" t="s">
        <v>625</v>
      </c>
      <c r="B9" s="22" t="s">
        <v>626</v>
      </c>
      <c r="C9" s="804">
        <f>IF(backwash_pumps=0,0,IF(include_back_maint=0,0,OUTPUT!J198*booster_pump_maintenance))</f>
        <v>0</v>
      </c>
      <c r="D9" s="24" t="s">
        <v>177</v>
      </c>
    </row>
    <row r="10" spans="1:5" x14ac:dyDescent="0.15">
      <c r="A10" s="108" t="s">
        <v>959</v>
      </c>
      <c r="B10" s="22" t="s">
        <v>2308</v>
      </c>
      <c r="C10" s="36">
        <f>IF(regen_freq/60/24&lt;=7,IF(ISNUMBER(OUTPUT!J196),OUTPUT!J196*booster_pump_maintenance,0),0)</f>
        <v>0</v>
      </c>
      <c r="D10" s="24" t="s">
        <v>177</v>
      </c>
    </row>
    <row r="11" spans="1:5" x14ac:dyDescent="0.15">
      <c r="A11"/>
      <c r="B11" s="23"/>
      <c r="C11" s="34"/>
    </row>
    <row r="12" spans="1:5" x14ac:dyDescent="0.15">
      <c r="A12" s="661" t="s">
        <v>1470</v>
      </c>
      <c r="B12" s="23"/>
      <c r="C12" s="34"/>
    </row>
    <row r="13" spans="1:5" x14ac:dyDescent="0.15">
      <c r="A13" s="108" t="s">
        <v>2511</v>
      </c>
      <c r="B13" s="22" t="s">
        <v>49</v>
      </c>
      <c r="C13" s="18">
        <f>365*salt_store/cstore_days</f>
        <v>0</v>
      </c>
      <c r="D13" s="16" t="s">
        <v>264</v>
      </c>
    </row>
    <row r="14" spans="1:5" x14ac:dyDescent="0.15">
      <c r="A14" s="108" t="s">
        <v>678</v>
      </c>
      <c r="B14" s="22" t="s">
        <v>679</v>
      </c>
      <c r="C14" s="18">
        <f>365*NaOH_lbs/cstore_days</f>
        <v>0</v>
      </c>
      <c r="D14" s="16" t="s">
        <v>264</v>
      </c>
    </row>
    <row r="15" spans="1:5" ht="12.75" customHeight="1" x14ac:dyDescent="0.15">
      <c r="A15" s="660"/>
      <c r="C15" s="18"/>
      <c r="E15" s="15"/>
    </row>
    <row r="16" spans="1:5" x14ac:dyDescent="0.15">
      <c r="A16" s="108" t="s">
        <v>888</v>
      </c>
      <c r="B16" s="22" t="s">
        <v>1080</v>
      </c>
      <c r="C16" s="18">
        <f>IF(OR(regen_type=1,add_backwash_freq&lt;&gt;0),media_volume*op_num_tanks*resin_loss_annual,0)</f>
        <v>0</v>
      </c>
      <c r="D16" s="16" t="s">
        <v>1100</v>
      </c>
      <c r="E16" s="6" t="s">
        <v>2124</v>
      </c>
    </row>
    <row r="17" spans="1:5" x14ac:dyDescent="0.15">
      <c r="A17" s="108" t="s">
        <v>887</v>
      </c>
      <c r="B17" s="22" t="s">
        <v>1474</v>
      </c>
      <c r="C17" s="34">
        <f>spent_media_yr*2000/media_density</f>
        <v>1209.8006357968409</v>
      </c>
      <c r="D17" s="16" t="s">
        <v>1100</v>
      </c>
      <c r="E17" s="15" t="str">
        <f>IF(regen_type=2,"Total annual replacement","Averaged over media life and reduced by one year's attrition loss to avoid double counting (no attrition replacement needed in the year you completely replace the bed)")</f>
        <v>Total annual replacement</v>
      </c>
    </row>
    <row r="18" spans="1:5" x14ac:dyDescent="0.15">
      <c r="A18"/>
      <c r="B18" s="23"/>
      <c r="C18" s="34"/>
    </row>
    <row r="19" spans="1:5" x14ac:dyDescent="0.15">
      <c r="A19" s="661" t="s">
        <v>785</v>
      </c>
      <c r="B19" s="23"/>
      <c r="C19" s="34"/>
    </row>
    <row r="20" spans="1:5" x14ac:dyDescent="0.15">
      <c r="A20" s="108" t="s">
        <v>720</v>
      </c>
      <c r="B20" s="465" t="s">
        <v>786</v>
      </c>
      <c r="C20" s="57">
        <f>active_filters*hrs_filter</f>
        <v>24</v>
      </c>
      <c r="D20" t="s">
        <v>722</v>
      </c>
      <c r="E20" s="6" t="s">
        <v>787</v>
      </c>
    </row>
    <row r="21" spans="1:5" x14ac:dyDescent="0.15">
      <c r="A21" s="108" t="s">
        <v>788</v>
      </c>
      <c r="B21" s="465" t="s">
        <v>789</v>
      </c>
      <c r="C21" s="466">
        <f>active_filters*filter_elements*12/cart_life</f>
        <v>38.4</v>
      </c>
      <c r="D21" s="72" t="s">
        <v>790</v>
      </c>
      <c r="E21" s="6" t="s">
        <v>791</v>
      </c>
    </row>
    <row r="22" spans="1:5" x14ac:dyDescent="0.15">
      <c r="A22"/>
      <c r="B22" s="23"/>
      <c r="C22" s="34"/>
    </row>
    <row r="23" spans="1:5" x14ac:dyDescent="0.15">
      <c r="A23" s="661" t="s">
        <v>1726</v>
      </c>
      <c r="B23" s="23"/>
      <c r="C23" s="34"/>
    </row>
    <row r="24" spans="1:5" x14ac:dyDescent="0.15">
      <c r="A24" s="108" t="s">
        <v>318</v>
      </c>
      <c r="B24" s="22" t="s">
        <v>1147</v>
      </c>
      <c r="C24">
        <f>tot_fm_in+tot_fm_proc+tot_level_switch+tot_turb_meters+tot_head_sens+pH_controls+IF(ss_cat2=1,temp_meters_small,temp_meters)+ORP_sensor+tot_cond_meters</f>
        <v>9</v>
      </c>
    </row>
    <row r="25" spans="1:5" x14ac:dyDescent="0.15">
      <c r="A25" s="108" t="s">
        <v>319</v>
      </c>
      <c r="B25" s="22" t="s">
        <v>320</v>
      </c>
      <c r="C25">
        <f>tot_fm_in+tot_fm_proc+tot_level_switch+tot_turb_meters+tot_head_sens+pH_controls+IF(ss_cat2=1,temp_meters_small,temp_meters)+ORP_sensor+tot_cond_meters+tot_fm_back+tot_fm_res</f>
        <v>11</v>
      </c>
    </row>
    <row r="26" spans="1:5" x14ac:dyDescent="0.15">
      <c r="A26" s="108" t="s">
        <v>321</v>
      </c>
      <c r="B26" s="22" t="s">
        <v>252</v>
      </c>
      <c r="C26">
        <f>booster_pumps+MAX(0,pH_pumps-NRD_pH_pumps)</f>
        <v>1</v>
      </c>
    </row>
    <row r="27" spans="1:5" x14ac:dyDescent="0.15">
      <c r="A27" s="108" t="s">
        <v>322</v>
      </c>
      <c r="B27" s="22" t="s">
        <v>323</v>
      </c>
      <c r="C27">
        <f>booster_pumps+res_pumps+IF(include_back_maint=1,backwash_pumps,0)</f>
        <v>3</v>
      </c>
    </row>
    <row r="28" spans="1:5" x14ac:dyDescent="0.15">
      <c r="A28" s="108" t="s">
        <v>1146</v>
      </c>
      <c r="B28" s="22" t="s">
        <v>1148</v>
      </c>
      <c r="C28">
        <f>tot_proc_MOVs+tot_proc_man+tot_bp_MOVs+tot_bp_man</f>
        <v>14</v>
      </c>
      <c r="E28" s="6" t="s">
        <v>324</v>
      </c>
    </row>
    <row r="29" spans="1:5" x14ac:dyDescent="0.15">
      <c r="A29" s="108" t="s">
        <v>325</v>
      </c>
      <c r="B29" s="22" t="s">
        <v>326</v>
      </c>
      <c r="C29">
        <f>NaOH_tanks+mix_tanks+num_salt_box+polymer_tanks+coag_tanks</f>
        <v>0</v>
      </c>
      <c r="E29" s="6"/>
    </row>
    <row r="30" spans="1:5" x14ac:dyDescent="0.15">
      <c r="A30" s="108" t="s">
        <v>253</v>
      </c>
      <c r="B30" s="22" t="s">
        <v>254</v>
      </c>
      <c r="C30">
        <f>365/regen_days*final_num_tanks</f>
        <v>11.393239724425149</v>
      </c>
      <c r="D30"/>
      <c r="E30" s="15" t="s">
        <v>1419</v>
      </c>
    </row>
    <row r="31" spans="1:5" x14ac:dyDescent="0.15">
      <c r="A31" s="108" t="s">
        <v>1416</v>
      </c>
      <c r="B31" s="22" t="s">
        <v>621</v>
      </c>
      <c r="C31">
        <f>IF(add_backwash_freq&lt;&gt;0,365/add_backwash_freq*final_num_tanks,0)</f>
        <v>0</v>
      </c>
      <c r="D31"/>
    </row>
    <row r="32" spans="1:5" x14ac:dyDescent="0.15">
      <c r="A32" s="108" t="s">
        <v>892</v>
      </c>
      <c r="B32" s="22" t="s">
        <v>893</v>
      </c>
      <c r="C32" s="49">
        <f>spent_media_yr*2000/media_density+resin_loss_vol_annual+resin_yr</f>
        <v>2419.6012715936818</v>
      </c>
      <c r="D32" s="16" t="s">
        <v>1100</v>
      </c>
      <c r="E32" s="6" t="s">
        <v>894</v>
      </c>
    </row>
    <row r="33" spans="1:5" x14ac:dyDescent="0.15">
      <c r="A33" s="108"/>
      <c r="B33" s="23"/>
      <c r="C33" s="34"/>
    </row>
    <row r="34" spans="1:5" x14ac:dyDescent="0.15">
      <c r="A34" s="108" t="s">
        <v>327</v>
      </c>
      <c r="B34" s="23"/>
      <c r="C34" s="516">
        <f>IF(manual=1,tot_inst*uloe_inst*365/60,uloe_inst_auto*365/60)</f>
        <v>273.75</v>
      </c>
      <c r="D34" s="16" t="s">
        <v>1361</v>
      </c>
      <c r="E34" s="521" t="s">
        <v>2758</v>
      </c>
    </row>
    <row r="35" spans="1:5" customFormat="1" x14ac:dyDescent="0.15">
      <c r="A35" s="108" t="s">
        <v>332</v>
      </c>
      <c r="B35" s="5"/>
      <c r="C35" s="517">
        <f>tot_inst_maint*uloe_inst_maint*12/60</f>
        <v>22</v>
      </c>
      <c r="D35" t="s">
        <v>1361</v>
      </c>
      <c r="E35" s="521" t="s">
        <v>2759</v>
      </c>
    </row>
    <row r="36" spans="1:5" x14ac:dyDescent="0.15">
      <c r="A36" s="108" t="s">
        <v>329</v>
      </c>
      <c r="B36" s="23"/>
      <c r="C36" s="516">
        <f>IF(OR(manual=1,manual=2,),tot_pumps*uloe_pump*365/60,0)</f>
        <v>30.416666666666668</v>
      </c>
      <c r="D36" s="16" t="s">
        <v>1361</v>
      </c>
      <c r="E36" s="521" t="s">
        <v>2760</v>
      </c>
    </row>
    <row r="37" spans="1:5" customFormat="1" x14ac:dyDescent="0.15">
      <c r="A37" s="108" t="s">
        <v>330</v>
      </c>
      <c r="B37" s="5"/>
      <c r="C37" s="517">
        <f>tot_pumps_maint*uloe_pump_maint</f>
        <v>90.75</v>
      </c>
      <c r="D37" t="s">
        <v>1361</v>
      </c>
      <c r="E37" s="6" t="s">
        <v>2761</v>
      </c>
    </row>
    <row r="38" spans="1:5" x14ac:dyDescent="0.15">
      <c r="A38" s="108" t="s">
        <v>331</v>
      </c>
      <c r="B38" s="23"/>
      <c r="C38" s="516">
        <f>IF(OR(manual=1,manual=2,),tot_valves*uloe_valve*52/60,0)</f>
        <v>60.666666666666664</v>
      </c>
      <c r="D38" s="16" t="s">
        <v>1361</v>
      </c>
      <c r="E38" s="6" t="s">
        <v>324</v>
      </c>
    </row>
    <row r="39" spans="1:5" customFormat="1" x14ac:dyDescent="0.15">
      <c r="A39" s="108" t="s">
        <v>328</v>
      </c>
      <c r="B39" s="5"/>
      <c r="C39" s="517">
        <f>tot_valves*uloe_valve_maint/60</f>
        <v>1.1666666666666667</v>
      </c>
      <c r="D39" t="s">
        <v>1361</v>
      </c>
      <c r="E39" s="6"/>
    </row>
    <row r="40" spans="1:5" x14ac:dyDescent="0.15">
      <c r="A40" s="108" t="s">
        <v>334</v>
      </c>
      <c r="B40" s="23"/>
      <c r="C40" s="516">
        <f>total_fp/100*uloe_fp*365/60</f>
        <v>211.0916666666667</v>
      </c>
      <c r="D40" s="16" t="s">
        <v>1361</v>
      </c>
    </row>
    <row r="41" spans="1:5" customFormat="1" x14ac:dyDescent="0.15">
      <c r="A41" s="108" t="s">
        <v>333</v>
      </c>
      <c r="B41" s="5"/>
      <c r="C41" s="517">
        <f>tot_chem*uloe_chem_maint*12/60</f>
        <v>0</v>
      </c>
      <c r="D41" t="s">
        <v>1361</v>
      </c>
      <c r="E41" s="6"/>
    </row>
    <row r="42" spans="1:5" x14ac:dyDescent="0.15">
      <c r="A42" s="108" t="s">
        <v>1418</v>
      </c>
      <c r="B42" s="23"/>
      <c r="C42" s="516">
        <f>IF(OR(manual=1,manual=2),regen_yr*regeneration_downtime/60+backwash_yr*backwash_time/60,(regen_yr+backwash_yr)*uloe_autoregen/60)</f>
        <v>10.823577738203891</v>
      </c>
      <c r="D42" s="16" t="s">
        <v>1361</v>
      </c>
    </row>
    <row r="43" spans="1:5" x14ac:dyDescent="0.15">
      <c r="A43" s="108" t="s">
        <v>1918</v>
      </c>
      <c r="B43" s="23"/>
      <c r="C43" s="516">
        <f>media_changes_cf*uloe_throwaway</f>
        <v>35.84594476435084</v>
      </c>
      <c r="D43" s="16" t="s">
        <v>1361</v>
      </c>
    </row>
    <row r="44" spans="1:5" x14ac:dyDescent="0.15">
      <c r="A44" s="108" t="s">
        <v>899</v>
      </c>
      <c r="B44" s="5"/>
      <c r="C44" s="517">
        <f>IF(OR(res_s2_opt=3,res_transfer_method=3),res_solids*2000/ht_solids_density*sol_disp_freq*uloe_throwaway,sol_disp_freq*transfer_time)</f>
        <v>0</v>
      </c>
      <c r="D44" t="s">
        <v>1361</v>
      </c>
    </row>
    <row r="45" spans="1:5" x14ac:dyDescent="0.15">
      <c r="A45" s="108" t="s">
        <v>1510</v>
      </c>
      <c r="B45" s="3" t="s">
        <v>2840</v>
      </c>
      <c r="C45" s="518">
        <f>SUM(C34:C44)</f>
        <v>736.51118916922144</v>
      </c>
      <c r="D45" s="16" t="s">
        <v>1361</v>
      </c>
      <c r="E45" s="6"/>
    </row>
    <row r="46" spans="1:5" x14ac:dyDescent="0.15">
      <c r="A46" s="108"/>
      <c r="B46" s="3"/>
      <c r="C46" s="518"/>
      <c r="E46" s="6"/>
    </row>
    <row r="47" spans="1:5" x14ac:dyDescent="0.15">
      <c r="A47" s="108" t="s">
        <v>1511</v>
      </c>
      <c r="B47" s="3" t="s">
        <v>413</v>
      </c>
      <c r="C47" s="518">
        <f>General_Oper_Labor+cart_labor</f>
        <v>760.51118916922144</v>
      </c>
      <c r="D47" s="16" t="s">
        <v>1361</v>
      </c>
      <c r="E47" s="6" t="s">
        <v>3500</v>
      </c>
    </row>
    <row r="48" spans="1:5" x14ac:dyDescent="0.15">
      <c r="A48" s="108" t="s">
        <v>1478</v>
      </c>
      <c r="B48" s="3" t="s">
        <v>411</v>
      </c>
      <c r="C48" s="34">
        <f>Operator_LOE*Manager_percent</f>
        <v>76.05111891692215</v>
      </c>
      <c r="D48" s="16" t="s">
        <v>1361</v>
      </c>
      <c r="E48" s="6" t="s">
        <v>2841</v>
      </c>
    </row>
    <row r="49" spans="1:5" x14ac:dyDescent="0.15">
      <c r="A49" s="108" t="s">
        <v>2306</v>
      </c>
      <c r="B49" s="3" t="s">
        <v>412</v>
      </c>
      <c r="C49" s="34">
        <f>Operator_LOE*Clerical_percent</f>
        <v>76.05111891692215</v>
      </c>
      <c r="D49" s="16" t="s">
        <v>1361</v>
      </c>
      <c r="E49" s="6" t="s">
        <v>2841</v>
      </c>
    </row>
    <row r="50" spans="1:5" x14ac:dyDescent="0.15">
      <c r="B50" s="16"/>
      <c r="C50" s="16"/>
    </row>
    <row r="51" spans="1:5" x14ac:dyDescent="0.15">
      <c r="A51" s="661" t="s">
        <v>3199</v>
      </c>
      <c r="B51" s="3"/>
      <c r="C51" s="16"/>
    </row>
    <row r="52" spans="1:5" x14ac:dyDescent="0.15">
      <c r="A52" s="660" t="s">
        <v>3198</v>
      </c>
      <c r="B52" s="3"/>
      <c r="C52" s="507">
        <f>IF(include_buildings=0,0,building_matl_rate_cl*total_fp)</f>
        <v>0</v>
      </c>
      <c r="D52" s="72" t="s">
        <v>177</v>
      </c>
      <c r="E52" s="6" t="s">
        <v>2733</v>
      </c>
    </row>
    <row r="53" spans="1:5" x14ac:dyDescent="0.15">
      <c r="A53" s="108" t="s">
        <v>2728</v>
      </c>
      <c r="B53" s="3"/>
      <c r="C53" s="507">
        <f>build1_need_heat*heating_matl_rate_cl*build1_fp</f>
        <v>515.55660205173115</v>
      </c>
      <c r="D53" s="72" t="s">
        <v>177</v>
      </c>
      <c r="E53"/>
    </row>
    <row r="54" spans="1:5" x14ac:dyDescent="0.15">
      <c r="A54" s="108" t="s">
        <v>2729</v>
      </c>
      <c r="B54" s="3"/>
      <c r="C54" s="507">
        <f>build1_need_cool*cooling_matl_rate_cl*build1_fp</f>
        <v>0</v>
      </c>
      <c r="D54" s="72" t="s">
        <v>177</v>
      </c>
      <c r="E54"/>
    </row>
    <row r="55" spans="1:5" x14ac:dyDescent="0.15">
      <c r="A55" s="108" t="s">
        <v>2730</v>
      </c>
      <c r="B55" s="3"/>
      <c r="C55" s="507">
        <f>build2_need_heat*heating_matl_rate_cl*build2_fp</f>
        <v>0</v>
      </c>
      <c r="D55" s="72" t="s">
        <v>177</v>
      </c>
      <c r="E55"/>
    </row>
    <row r="56" spans="1:5" x14ac:dyDescent="0.15">
      <c r="A56" s="108" t="s">
        <v>2731</v>
      </c>
      <c r="B56" s="3"/>
      <c r="C56" s="507">
        <f>build2_need_cool*cooling_matl_rate_cl*build2_fp</f>
        <v>0</v>
      </c>
      <c r="D56" s="72" t="s">
        <v>177</v>
      </c>
      <c r="E56"/>
    </row>
    <row r="57" spans="1:5" x14ac:dyDescent="0.15">
      <c r="A57" s="660" t="s">
        <v>3200</v>
      </c>
      <c r="B57" s="3" t="s">
        <v>2732</v>
      </c>
      <c r="C57" s="507">
        <f>SUM(C52:C56)</f>
        <v>515.55660205173115</v>
      </c>
      <c r="D57"/>
      <c r="E57" s="6" t="s">
        <v>2734</v>
      </c>
    </row>
    <row r="58" spans="1:5" x14ac:dyDescent="0.15">
      <c r="A58"/>
      <c r="B58" s="3"/>
      <c r="C58" s="16"/>
    </row>
    <row r="59" spans="1:5" x14ac:dyDescent="0.15">
      <c r="A59" s="2" t="s">
        <v>735</v>
      </c>
      <c r="B59" s="23"/>
      <c r="C59" s="34"/>
    </row>
    <row r="60" spans="1:5" x14ac:dyDescent="0.15">
      <c r="A60" s="661" t="s">
        <v>2960</v>
      </c>
      <c r="B60" s="23"/>
      <c r="C60" s="34"/>
      <c r="E60" s="6" t="s">
        <v>1480</v>
      </c>
    </row>
    <row r="61" spans="1:5" x14ac:dyDescent="0.15">
      <c r="A61" s="108" t="s">
        <v>402</v>
      </c>
      <c r="B61" s="22" t="s">
        <v>2931</v>
      </c>
      <c r="C61" s="58">
        <f>IF(booster_pumps=0,0,(average_flow_rate/IF(bp_pct&gt;0,bp_pct,1))*booster_pump_head/booster_pumps/booster_pump_efficiency/14.7*33.9*8.34/550/60)</f>
        <v>29.033072218786504</v>
      </c>
      <c r="D61" t="s">
        <v>1360</v>
      </c>
    </row>
    <row r="62" spans="1:5" x14ac:dyDescent="0.15">
      <c r="A62" s="602" t="s">
        <v>2736</v>
      </c>
      <c r="B62" s="3"/>
      <c r="C62" s="58">
        <f>pump_hp*0.7457/1000*24*365</f>
        <v>189.65366671309013</v>
      </c>
      <c r="D62" t="s">
        <v>179</v>
      </c>
    </row>
    <row r="63" spans="1:5" x14ac:dyDescent="0.15">
      <c r="A63" s="602" t="s">
        <v>2737</v>
      </c>
      <c r="B63" s="22" t="s">
        <v>736</v>
      </c>
      <c r="C63" s="59">
        <f>C62*booster_pumps</f>
        <v>189.65366671309013</v>
      </c>
      <c r="D63" s="16" t="s">
        <v>179</v>
      </c>
    </row>
    <row r="64" spans="1:5" x14ac:dyDescent="0.15">
      <c r="A64" s="21"/>
      <c r="C64" s="35"/>
    </row>
    <row r="65" spans="1:5" x14ac:dyDescent="0.15">
      <c r="A65" s="661" t="s">
        <v>627</v>
      </c>
      <c r="C65" s="59"/>
    </row>
    <row r="66" spans="1:5" x14ac:dyDescent="0.15">
      <c r="A66" s="108" t="s">
        <v>628</v>
      </c>
      <c r="B66" s="22" t="s">
        <v>2932</v>
      </c>
      <c r="C66" s="72">
        <f>water_flush*backwash_pump_head/booster_pump_efficiency/14.7*33.9*8.34/550/60</f>
        <v>4.5464625454545455</v>
      </c>
      <c r="D66" t="s">
        <v>1360</v>
      </c>
    </row>
    <row r="67" spans="1:5" x14ac:dyDescent="0.15">
      <c r="A67" s="602" t="s">
        <v>629</v>
      </c>
      <c r="B67" s="3" t="s">
        <v>2929</v>
      </c>
      <c r="C67" s="72">
        <f>(regen_yr+backwash_yr)*backwash_time/60</f>
        <v>2.2786479448850296</v>
      </c>
      <c r="D67" t="s">
        <v>630</v>
      </c>
    </row>
    <row r="68" spans="1:5" x14ac:dyDescent="0.15">
      <c r="A68" s="602" t="s">
        <v>631</v>
      </c>
      <c r="B68" s="22" t="s">
        <v>632</v>
      </c>
      <c r="C68" s="566">
        <f>back_pump_hp*0.7457/1000*back_pump_op_hours</f>
        <v>7.7252935653690747E-3</v>
      </c>
      <c r="D68" s="16" t="s">
        <v>179</v>
      </c>
    </row>
    <row r="69" spans="1:5" x14ac:dyDescent="0.15">
      <c r="A69" s="21"/>
      <c r="C69" s="35"/>
    </row>
    <row r="70" spans="1:5" x14ac:dyDescent="0.15">
      <c r="A70" s="661" t="s">
        <v>2925</v>
      </c>
      <c r="C70" s="34"/>
    </row>
    <row r="71" spans="1:5" x14ac:dyDescent="0.15">
      <c r="A71" s="108" t="s">
        <v>120</v>
      </c>
      <c r="B71" s="3" t="s">
        <v>121</v>
      </c>
      <c r="C71" s="515">
        <f>IF(OR(build1_fp&lt;500,component_level=""),lighting_power_low,CHOOSE(component_level,lighting_power_mid,lighting_power_high))*24*365/1000</f>
        <v>2.6279999999999997</v>
      </c>
      <c r="D71" t="s">
        <v>1495</v>
      </c>
    </row>
    <row r="72" spans="1:5" x14ac:dyDescent="0.15">
      <c r="A72" s="602" t="s">
        <v>122</v>
      </c>
      <c r="B72" s="3" t="s">
        <v>123</v>
      </c>
      <c r="C72" s="515">
        <f>IF(OR(build2_fp&lt;500,component_level=""),lighting_power_low,CHOOSE(component_level,lighting_power_mid,lighting_power_high))*24*365/1000</f>
        <v>2.6279999999999997</v>
      </c>
      <c r="D72" t="s">
        <v>1495</v>
      </c>
    </row>
    <row r="73" spans="1:5" x14ac:dyDescent="0.15">
      <c r="A73" s="602" t="s">
        <v>2166</v>
      </c>
      <c r="B73" s="3" t="s">
        <v>2167</v>
      </c>
      <c r="C73" s="515">
        <f>IF(include_buildings=0,0,MIN(1,Operator_LOE/(24*365))*(build1_fp*lighting_energy_1+build2_fp*lighting_energy_2)/1000)</f>
        <v>0</v>
      </c>
      <c r="D73" t="s">
        <v>179</v>
      </c>
    </row>
    <row r="74" spans="1:5" x14ac:dyDescent="0.15">
      <c r="A74" s="5"/>
      <c r="B74" s="3"/>
      <c r="C74" s="75"/>
      <c r="D74"/>
      <c r="E74" s="6"/>
    </row>
    <row r="75" spans="1:5" x14ac:dyDescent="0.15">
      <c r="A75" s="661" t="s">
        <v>2099</v>
      </c>
      <c r="B75" s="3"/>
      <c r="C75"/>
      <c r="D75"/>
    </row>
    <row r="76" spans="1:5" x14ac:dyDescent="0.15">
      <c r="A76" s="108" t="s">
        <v>2100</v>
      </c>
      <c r="B76" s="3"/>
      <c r="C76"/>
      <c r="D76"/>
    </row>
    <row r="77" spans="1:5" x14ac:dyDescent="0.15">
      <c r="A77" s="602" t="s">
        <v>854</v>
      </c>
      <c r="B77" s="3" t="s">
        <v>1761</v>
      </c>
      <c r="C77" s="603">
        <f t="shared" ref="C77:C82" si="0">IF(build1_heat=A77,VLOOKUP(A77,build1_heat_options, 7,FALSE),0)+IF(build2_heat=A77,VLOOKUP(A77,build2_heat_options, 7,FALSE),0)</f>
        <v>0</v>
      </c>
      <c r="D77" t="s">
        <v>179</v>
      </c>
    </row>
    <row r="78" spans="1:5" x14ac:dyDescent="0.15">
      <c r="A78" s="602" t="s">
        <v>856</v>
      </c>
      <c r="B78" s="3" t="s">
        <v>1763</v>
      </c>
      <c r="C78" s="603">
        <f t="shared" si="0"/>
        <v>0</v>
      </c>
      <c r="D78" t="s">
        <v>857</v>
      </c>
    </row>
    <row r="79" spans="1:5" x14ac:dyDescent="0.15">
      <c r="A79" s="602" t="s">
        <v>2741</v>
      </c>
      <c r="B79" s="3" t="s">
        <v>1866</v>
      </c>
      <c r="C79" s="603">
        <f t="shared" si="0"/>
        <v>6225.1476079782524</v>
      </c>
      <c r="D79" t="s">
        <v>857</v>
      </c>
    </row>
    <row r="80" spans="1:5" x14ac:dyDescent="0.15">
      <c r="A80" s="602" t="s">
        <v>12</v>
      </c>
      <c r="B80" s="3" t="s">
        <v>1867</v>
      </c>
      <c r="C80" s="603">
        <f t="shared" si="0"/>
        <v>0</v>
      </c>
      <c r="D80" t="s">
        <v>2742</v>
      </c>
    </row>
    <row r="81" spans="1:4" x14ac:dyDescent="0.15">
      <c r="A81" s="602" t="s">
        <v>13</v>
      </c>
      <c r="B81" s="3" t="s">
        <v>1868</v>
      </c>
      <c r="C81" s="603">
        <f t="shared" si="0"/>
        <v>0</v>
      </c>
      <c r="D81" t="s">
        <v>2742</v>
      </c>
    </row>
    <row r="82" spans="1:4" x14ac:dyDescent="0.15">
      <c r="A82" s="602" t="s">
        <v>855</v>
      </c>
      <c r="B82" s="3" t="s">
        <v>1762</v>
      </c>
      <c r="C82" s="603">
        <f t="shared" si="0"/>
        <v>0</v>
      </c>
      <c r="D82" t="s">
        <v>179</v>
      </c>
    </row>
    <row r="83" spans="1:4" x14ac:dyDescent="0.15">
      <c r="A83" s="5"/>
      <c r="B83" s="3"/>
      <c r="C83" s="603"/>
      <c r="D83"/>
    </row>
    <row r="84" spans="1:4" x14ac:dyDescent="0.15">
      <c r="A84" s="5" t="s">
        <v>2101</v>
      </c>
      <c r="B84" s="3"/>
      <c r="C84" s="603"/>
      <c r="D84"/>
    </row>
    <row r="85" spans="1:4" x14ac:dyDescent="0.15">
      <c r="A85" s="602" t="s">
        <v>1970</v>
      </c>
      <c r="B85" s="3" t="s">
        <v>409</v>
      </c>
      <c r="C85" s="603">
        <f>IF(build1_cool=A85,VLOOKUP(A85,build1_cool_options, 7,FALSE),0)+IF(build2_cool=A85,VLOOKUP(A85,build2_cool_options, 7,FALSE),0)</f>
        <v>0</v>
      </c>
      <c r="D85" t="s">
        <v>179</v>
      </c>
    </row>
    <row r="86" spans="1:4" x14ac:dyDescent="0.15">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x14ac:dyDescent="0.15"/>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x14ac:dyDescent="0.15">
      <c r="A1" s="595" t="s">
        <v>2961</v>
      </c>
      <c r="B1" s="578"/>
      <c r="E1" s="577"/>
    </row>
    <row r="2" spans="1:5" s="644" customFormat="1" x14ac:dyDescent="0.15">
      <c r="A2" s="595"/>
      <c r="B2" s="578"/>
      <c r="E2" s="577"/>
    </row>
    <row r="3" spans="1:5" s="644" customFormat="1" x14ac:dyDescent="0.15">
      <c r="A3" s="206" t="s">
        <v>2952</v>
      </c>
      <c r="B3" s="206" t="s">
        <v>277</v>
      </c>
      <c r="C3" s="207" t="s">
        <v>278</v>
      </c>
      <c r="D3" s="206" t="s">
        <v>279</v>
      </c>
      <c r="E3" s="206" t="s">
        <v>280</v>
      </c>
    </row>
    <row r="4" spans="1:5" x14ac:dyDescent="0.15">
      <c r="A4" s="581" t="s">
        <v>2054</v>
      </c>
      <c r="E4" s="577" t="s">
        <v>1530</v>
      </c>
    </row>
    <row r="5" spans="1:5" x14ac:dyDescent="0.15">
      <c r="A5" s="576" t="s">
        <v>1531</v>
      </c>
      <c r="B5" s="578" t="s">
        <v>1532</v>
      </c>
      <c r="C5" s="586">
        <f>IF(design_flow&lt;1,1,IF(design_flow&lt;10,2,3))</f>
        <v>2</v>
      </c>
      <c r="D5" s="644" t="s">
        <v>1533</v>
      </c>
    </row>
    <row r="6" spans="1:5" x14ac:dyDescent="0.15">
      <c r="A6" s="576" t="s">
        <v>1936</v>
      </c>
      <c r="B6" s="578" t="s">
        <v>1937</v>
      </c>
      <c r="C6">
        <f>IF(tank_geom=1,comm_height_length,comm_diam)+Top_bottom_Vessel_space</f>
        <v>12</v>
      </c>
      <c r="D6" s="644" t="s">
        <v>2845</v>
      </c>
    </row>
    <row r="7" spans="1:5" x14ac:dyDescent="0.15">
      <c r="A7" s="576" t="s">
        <v>2220</v>
      </c>
      <c r="B7" s="578" t="s">
        <v>2221</v>
      </c>
      <c r="C7" s="594">
        <f>build1_fp^0.5</f>
        <v>58.906705900092561</v>
      </c>
      <c r="D7" s="644" t="s">
        <v>2845</v>
      </c>
    </row>
    <row r="8" spans="1:5" x14ac:dyDescent="0.15">
      <c r="A8" s="576" t="s">
        <v>2222</v>
      </c>
      <c r="B8" s="578" t="s">
        <v>2223</v>
      </c>
      <c r="C8" s="594">
        <f>build2_fp^0.5</f>
        <v>0</v>
      </c>
      <c r="D8" s="644" t="s">
        <v>2845</v>
      </c>
    </row>
    <row r="9" spans="1:5" x14ac:dyDescent="0.15">
      <c r="A9" s="766" t="s">
        <v>3187</v>
      </c>
      <c r="B9" s="767" t="s">
        <v>3193</v>
      </c>
      <c r="C9" s="654">
        <f>IF(include_HVAC_I="no",0,IF(include_HVAC_I="yes",1,2))</f>
        <v>2</v>
      </c>
      <c r="D9" s="526" t="s">
        <v>3194</v>
      </c>
    </row>
    <row r="10" spans="1:5" x14ac:dyDescent="0.15">
      <c r="C10" s="586"/>
    </row>
    <row r="11" spans="1:5" x14ac:dyDescent="0.15">
      <c r="A11" s="581" t="s">
        <v>2053</v>
      </c>
    </row>
    <row r="12" spans="1:5" x14ac:dyDescent="0.15">
      <c r="A12" s="576" t="s">
        <v>1496</v>
      </c>
      <c r="B12" s="578" t="s">
        <v>1497</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2668</v>
      </c>
    </row>
    <row r="13" spans="1:5" x14ac:dyDescent="0.15">
      <c r="A13" s="576" t="s">
        <v>1498</v>
      </c>
      <c r="B13" s="578" t="s">
        <v>2215</v>
      </c>
      <c r="C13" s="597">
        <f>IF(build2_fp=0,0,(air_changes_contactor*(back_tank_fp+htank_fp)+air_changes_pump*pump_fp+air_changes_chem_storage*(store_fp+mix_tank_fp+saltbox_fp+NaOH_tank_fp+NaOHday_tank_fp+polymer_fp+coag_fp)+air_changes_office*office_fp)/build2_fp)</f>
        <v>0</v>
      </c>
      <c r="D13" s="645" t="s">
        <v>2668</v>
      </c>
    </row>
    <row r="14" spans="1:5" x14ac:dyDescent="0.15">
      <c r="A14" s="576" t="s">
        <v>2216</v>
      </c>
      <c r="C14" s="594">
        <f>CHOOSE(ss_cat2,fan_days_build1_small,fan_days_build1_medium,fan_days_build1_large)*24*0.746*fan_pressure_drop*build1_fp*Building_height*air_changes_build1/33000</f>
        <v>3134.827636363636</v>
      </c>
      <c r="D14" s="644" t="s">
        <v>178</v>
      </c>
    </row>
    <row r="15" spans="1:5" x14ac:dyDescent="0.15">
      <c r="A15" s="576" t="s">
        <v>2217</v>
      </c>
      <c r="C15" s="594">
        <f>CHOOSE(ss_cat2,fan_days_build2_small,fan_days_build2_medium,fan_days_build2_large)*24*0.746*fan_pressure_drop*build2_fp*Building_height*air_changes_build2/33000</f>
        <v>0</v>
      </c>
      <c r="D15" s="644" t="s">
        <v>178</v>
      </c>
    </row>
    <row r="16" spans="1:5" x14ac:dyDescent="0.15">
      <c r="A16" s="576" t="s">
        <v>2218</v>
      </c>
      <c r="B16" s="578" t="s">
        <v>2219</v>
      </c>
      <c r="C16" s="594">
        <f>IF(include_HVAC=0,0,SUM(C14:C15)/1000)</f>
        <v>3.134827636363636</v>
      </c>
      <c r="D16" s="644" t="s">
        <v>179</v>
      </c>
    </row>
    <row r="17" spans="1:5" x14ac:dyDescent="0.15">
      <c r="C17" s="594"/>
    </row>
    <row r="18" spans="1:5" x14ac:dyDescent="0.15">
      <c r="A18" s="576" t="s">
        <v>2182</v>
      </c>
      <c r="B18" s="578" t="s">
        <v>2183</v>
      </c>
      <c r="C18" s="590">
        <f>build1_fp*Building_height*air_changes_build1/60</f>
        <v>3210</v>
      </c>
      <c r="D18" s="644" t="s">
        <v>1128</v>
      </c>
    </row>
    <row r="19" spans="1:5" x14ac:dyDescent="0.15">
      <c r="A19" s="576" t="s">
        <v>2184</v>
      </c>
      <c r="B19" s="578" t="s">
        <v>1434</v>
      </c>
      <c r="C19" s="590">
        <f>build2_fp*Building_height*air_changes_build2/60</f>
        <v>0</v>
      </c>
      <c r="D19" s="644" t="s">
        <v>1128</v>
      </c>
    </row>
    <row r="20" spans="1:5" x14ac:dyDescent="0.15">
      <c r="C20" s="594"/>
    </row>
    <row r="21" spans="1:5" x14ac:dyDescent="0.15">
      <c r="A21" s="581" t="s">
        <v>2052</v>
      </c>
      <c r="C21" s="594"/>
    </row>
    <row r="22" spans="1:5" x14ac:dyDescent="0.15">
      <c r="A22" s="576" t="s">
        <v>149</v>
      </c>
      <c r="B22" s="578" t="s">
        <v>150</v>
      </c>
      <c r="C22" s="598">
        <f>IF(include_HVAC=0,0,IF(include_HVAC=1,1,VLOOKUP(IF(component_level_I="","low cost",component_level_I),IF(build1_fp&lt;500,heating_table_shed,heating_table),ss_cat2+2,FALSE)))</f>
        <v>1</v>
      </c>
      <c r="D22" s="644" t="s">
        <v>2200</v>
      </c>
      <c r="E22" s="577" t="s">
        <v>3195</v>
      </c>
    </row>
    <row r="23" spans="1:5" x14ac:dyDescent="0.15">
      <c r="A23" s="576" t="s">
        <v>152</v>
      </c>
      <c r="B23" s="578" t="s">
        <v>153</v>
      </c>
      <c r="C23" s="598">
        <f>IF(include_HVAC=0,0,IF(include_HVAC=1,1,VLOOKUP(IF(component_level_I="","low cost",component_level_I),IF(build1_fp&lt;500,cooling_table_shed,cooling_table),ss_cat2+2,FALSE)))</f>
        <v>0</v>
      </c>
      <c r="D23" s="644" t="s">
        <v>2200</v>
      </c>
    </row>
    <row r="24" spans="1:5" x14ac:dyDescent="0.15">
      <c r="A24" s="576" t="s">
        <v>154</v>
      </c>
      <c r="B24" s="578" t="s">
        <v>155</v>
      </c>
      <c r="C24" s="598">
        <f>IF(build2_fp=0,0,IF(include_HVAC=0,0,IF(include_HVAC=1,1,VLOOKUP(IF(component_level_I="","low cost",component_level_I),IF(build2_fp&lt;500,heating_table_shed,heating_table),ss_cat2+2,FALSE))))</f>
        <v>0</v>
      </c>
      <c r="D24" s="644" t="s">
        <v>2200</v>
      </c>
    </row>
    <row r="25" spans="1:5" x14ac:dyDescent="0.15">
      <c r="A25" s="576" t="s">
        <v>156</v>
      </c>
      <c r="B25" s="578" t="s">
        <v>157</v>
      </c>
      <c r="C25" s="598">
        <f>IF(build2_fp=0,0,IF(include_HVAC=0,0,IF(include_HVAC=1,1,VLOOKUP(IF(component_level_I="","low cost",component_level_I),IF(build2_fp&lt;500,cooling_table_shed,cooling_table),ss_cat2+2,FALSE))))</f>
        <v>0</v>
      </c>
      <c r="D25" s="644" t="s">
        <v>2200</v>
      </c>
    </row>
    <row r="27" spans="1:5" x14ac:dyDescent="0.15">
      <c r="A27" s="581" t="s">
        <v>2051</v>
      </c>
      <c r="C27" s="594"/>
    </row>
    <row r="28" spans="1:5" ht="13.5" customHeight="1" x14ac:dyDescent="0.15">
      <c r="A28" s="576" t="s">
        <v>1435</v>
      </c>
      <c r="B28" s="599"/>
      <c r="C28" s="594">
        <f>4*build1_side*Building_height*heat_DD*24/R_wall</f>
        <v>11563433.49355289</v>
      </c>
      <c r="D28" s="644" t="s">
        <v>1129</v>
      </c>
    </row>
    <row r="29" spans="1:5" x14ac:dyDescent="0.15">
      <c r="A29" s="576" t="s">
        <v>1436</v>
      </c>
      <c r="B29" s="600"/>
      <c r="C29" s="594">
        <f>build1_fp*heat_DD*24/R_ceiling</f>
        <v>7240261.224489796</v>
      </c>
      <c r="D29" s="644" t="s">
        <v>1129</v>
      </c>
    </row>
    <row r="30" spans="1:5" x14ac:dyDescent="0.15">
      <c r="A30" s="576" t="s">
        <v>1437</v>
      </c>
      <c r="C30" s="590">
        <f>build1_cfm*heat_viload</f>
        <v>541459590</v>
      </c>
      <c r="D30" s="644" t="s">
        <v>1129</v>
      </c>
    </row>
    <row r="31" spans="1:5" x14ac:dyDescent="0.15">
      <c r="A31" s="576" t="s">
        <v>2050</v>
      </c>
      <c r="B31" s="578" t="s">
        <v>2049</v>
      </c>
      <c r="C31" s="590">
        <f>SUM(C28:C30)</f>
        <v>560263284.71804273</v>
      </c>
      <c r="D31" s="644" t="s">
        <v>1129</v>
      </c>
    </row>
    <row r="32" spans="1:5" x14ac:dyDescent="0.15">
      <c r="A32" s="576" t="s">
        <v>2048</v>
      </c>
      <c r="B32" s="578" t="s">
        <v>2047</v>
      </c>
      <c r="C32" s="590">
        <f>build1_heat_loss_yr/365.25/24/1000</f>
        <v>63.913219794437907</v>
      </c>
      <c r="D32" s="644" t="s">
        <v>2040</v>
      </c>
      <c r="E32" s="577" t="s">
        <v>3586</v>
      </c>
    </row>
    <row r="33" spans="1:5" x14ac:dyDescent="0.15">
      <c r="A33" s="576" t="s">
        <v>2046</v>
      </c>
      <c r="B33" s="578" t="s">
        <v>2045</v>
      </c>
      <c r="C33" s="590">
        <f>ROUNDUP(build1_heat_mbh/max_heat_cl,0)</f>
        <v>1</v>
      </c>
    </row>
    <row r="34" spans="1:5" x14ac:dyDescent="0.15">
      <c r="C34" s="590"/>
    </row>
    <row r="35" spans="1:5" x14ac:dyDescent="0.15">
      <c r="A35" s="576" t="s">
        <v>1440</v>
      </c>
      <c r="B35" s="599"/>
      <c r="C35" s="594">
        <f>4*build2_side*Building_height*heat_DD*24/R_wall</f>
        <v>0</v>
      </c>
      <c r="D35" s="644" t="s">
        <v>1129</v>
      </c>
    </row>
    <row r="36" spans="1:5" x14ac:dyDescent="0.15">
      <c r="A36" s="576" t="s">
        <v>1441</v>
      </c>
      <c r="B36" s="600"/>
      <c r="C36" s="594">
        <f>build2_fp*heat_DD*24/R_ceiling</f>
        <v>0</v>
      </c>
      <c r="D36" s="644" t="s">
        <v>1129</v>
      </c>
    </row>
    <row r="37" spans="1:5" x14ac:dyDescent="0.15">
      <c r="A37" s="576" t="s">
        <v>1442</v>
      </c>
      <c r="C37" s="590">
        <f>build2_cfm*heat_viload</f>
        <v>0</v>
      </c>
      <c r="D37" s="644" t="s">
        <v>1129</v>
      </c>
    </row>
    <row r="38" spans="1:5" x14ac:dyDescent="0.15">
      <c r="A38" s="576" t="s">
        <v>2044</v>
      </c>
      <c r="B38" s="578" t="s">
        <v>2043</v>
      </c>
      <c r="C38" s="590">
        <f>SUM(C35:C37)</f>
        <v>0</v>
      </c>
      <c r="D38" s="644" t="s">
        <v>1129</v>
      </c>
    </row>
    <row r="39" spans="1:5" x14ac:dyDescent="0.15">
      <c r="A39" s="576" t="s">
        <v>2042</v>
      </c>
      <c r="B39" s="578" t="s">
        <v>2041</v>
      </c>
      <c r="C39" s="590">
        <f>build2_heat_loss_yr/365.25/24/1000</f>
        <v>0</v>
      </c>
      <c r="D39" s="644" t="s">
        <v>2040</v>
      </c>
      <c r="E39" s="577" t="s">
        <v>3586</v>
      </c>
    </row>
    <row r="40" spans="1:5" x14ac:dyDescent="0.15">
      <c r="A40" s="576" t="s">
        <v>2039</v>
      </c>
      <c r="B40" s="578" t="s">
        <v>2038</v>
      </c>
      <c r="C40" s="590">
        <f>ROUNDUP(build2_heat_mbh/max_heat_cl,0)</f>
        <v>0</v>
      </c>
    </row>
    <row r="42" spans="1:5" x14ac:dyDescent="0.15">
      <c r="A42" s="581" t="s">
        <v>2037</v>
      </c>
      <c r="C42" s="594"/>
    </row>
    <row r="43" spans="1:5" x14ac:dyDescent="0.15">
      <c r="A43" s="576" t="s">
        <v>2055</v>
      </c>
      <c r="B43" s="578" t="s">
        <v>2057</v>
      </c>
      <c r="C43" s="593">
        <f>booster_pumps*pump_hp*(1-booster_pump_efficiency)*0.7457</f>
        <v>5.4124904883872746</v>
      </c>
      <c r="D43" s="644" t="s">
        <v>601</v>
      </c>
    </row>
    <row r="44" spans="1:5" x14ac:dyDescent="0.15">
      <c r="A44" s="576" t="s">
        <v>2056</v>
      </c>
      <c r="B44" s="578" t="s">
        <v>2058</v>
      </c>
      <c r="C44" s="591">
        <f>eloss_pumps*3415</f>
        <v>18483.655017842542</v>
      </c>
      <c r="D44" s="644" t="s">
        <v>2277</v>
      </c>
    </row>
    <row r="45" spans="1:5" x14ac:dyDescent="0.15">
      <c r="A45" s="576" t="s">
        <v>2059</v>
      </c>
      <c r="B45" s="578" t="s">
        <v>2061</v>
      </c>
      <c r="C45" s="593">
        <f>back_pump_hp*(1-booster_pump_efficiency)*0.7457</f>
        <v>0.8475742800363637</v>
      </c>
      <c r="D45" s="644" t="s">
        <v>601</v>
      </c>
    </row>
    <row r="46" spans="1:5" x14ac:dyDescent="0.15">
      <c r="A46" s="576" t="s">
        <v>2060</v>
      </c>
      <c r="B46" s="578" t="s">
        <v>2062</v>
      </c>
      <c r="C46" s="591">
        <f>eloss_bw_pumps*3415</f>
        <v>2894.4661663241823</v>
      </c>
      <c r="D46" s="644" t="s">
        <v>2277</v>
      </c>
    </row>
    <row r="47" spans="1:5" x14ac:dyDescent="0.15">
      <c r="A47" s="581"/>
      <c r="C47" s="594"/>
    </row>
    <row r="48" spans="1:5" x14ac:dyDescent="0.15">
      <c r="A48" s="576" t="s">
        <v>403</v>
      </c>
      <c r="B48" s="599"/>
      <c r="C48" s="601">
        <f>4*build1_side*Building_height*cool_DD*24/R_wall</f>
        <v>3840905.7261449154</v>
      </c>
      <c r="D48" s="644" t="s">
        <v>1129</v>
      </c>
    </row>
    <row r="49" spans="1:12" x14ac:dyDescent="0.15">
      <c r="A49" s="576" t="s">
        <v>404</v>
      </c>
      <c r="B49" s="600"/>
      <c r="C49" s="601">
        <f>build1_fp*cool_DD*24/R_ceiling</f>
        <v>2404922.448979592</v>
      </c>
      <c r="D49" s="644" t="s">
        <v>1129</v>
      </c>
    </row>
    <row r="50" spans="1:12" x14ac:dyDescent="0.15">
      <c r="A50" s="576" t="s">
        <v>405</v>
      </c>
      <c r="C50" s="591">
        <f>build1_cfm*cool_viload</f>
        <v>166184910</v>
      </c>
      <c r="D50" s="644" t="s">
        <v>1129</v>
      </c>
    </row>
    <row r="51" spans="1:12" x14ac:dyDescent="0.15">
      <c r="A51" s="576" t="s">
        <v>2036</v>
      </c>
      <c r="B51" s="578" t="s">
        <v>2035</v>
      </c>
      <c r="C51" s="591">
        <f>SUM(C48:C50)</f>
        <v>172430738.1751245</v>
      </c>
      <c r="D51" s="644" t="s">
        <v>1129</v>
      </c>
    </row>
    <row r="52" spans="1:12" x14ac:dyDescent="0.15">
      <c r="A52" s="576" t="s">
        <v>2034</v>
      </c>
      <c r="B52" s="578" t="s">
        <v>2033</v>
      </c>
      <c r="C52" s="591">
        <f>build1_cooling_loss_yr/365.25/24</f>
        <v>19670.401343272246</v>
      </c>
      <c r="D52" s="644" t="s">
        <v>2277</v>
      </c>
    </row>
    <row r="53" spans="1:12" x14ac:dyDescent="0.15">
      <c r="C53" s="590"/>
    </row>
    <row r="54" spans="1:12" s="577" customFormat="1" x14ac:dyDescent="0.15">
      <c r="A54" s="576" t="s">
        <v>2032</v>
      </c>
      <c r="B54" s="578" t="s">
        <v>2031</v>
      </c>
      <c r="C54" s="591">
        <f>build1_cooling_loss_hr+IF(fp_required&lt;add_2nd_building,waste_heat_pumps+waste_heat_bw_pumps,0)</f>
        <v>41048.522527438967</v>
      </c>
      <c r="D54" s="644" t="s">
        <v>2277</v>
      </c>
      <c r="F54" s="576"/>
      <c r="G54" s="576"/>
      <c r="H54" s="576"/>
      <c r="I54" s="576"/>
      <c r="J54" s="576"/>
      <c r="K54" s="576"/>
      <c r="L54" s="576"/>
    </row>
    <row r="55" spans="1:12" s="577" customFormat="1" x14ac:dyDescent="0.15">
      <c r="A55" s="576" t="s">
        <v>2030</v>
      </c>
      <c r="B55" s="578" t="s">
        <v>2029</v>
      </c>
      <c r="C55" s="591">
        <f>IF(fp_required&lt;add_2nd_building,(build1_cooling_loss_hr+waste_heat_pumps)*365.25*24+waste_heat_bw_pumps*back_pump_op_hours,build1_cooling_loss_hr*365.25*24)</f>
        <v>334465053.53091365</v>
      </c>
      <c r="D55" s="644" t="s">
        <v>1129</v>
      </c>
      <c r="F55" s="576"/>
      <c r="G55" s="576"/>
      <c r="H55" s="576"/>
      <c r="I55" s="576"/>
      <c r="J55" s="576"/>
      <c r="K55" s="576"/>
      <c r="L55" s="576"/>
    </row>
    <row r="56" spans="1:12" s="577" customFormat="1" x14ac:dyDescent="0.15">
      <c r="A56" s="576" t="s">
        <v>2028</v>
      </c>
      <c r="B56" s="578" t="s">
        <v>2027</v>
      </c>
      <c r="C56" s="593">
        <f>build1_cooling_req/12000</f>
        <v>3.4207102106199141</v>
      </c>
      <c r="D56" s="644" t="s">
        <v>2285</v>
      </c>
      <c r="E56" s="577" t="s">
        <v>3587</v>
      </c>
      <c r="F56" s="576"/>
      <c r="G56" s="576"/>
      <c r="H56" s="576"/>
      <c r="I56" s="576"/>
      <c r="J56" s="576"/>
      <c r="K56" s="576"/>
      <c r="L56" s="576"/>
    </row>
    <row r="57" spans="1:12" s="577" customFormat="1" x14ac:dyDescent="0.15">
      <c r="A57" s="576" t="s">
        <v>2026</v>
      </c>
      <c r="B57" s="578" t="s">
        <v>2025</v>
      </c>
      <c r="C57" s="590">
        <f>ROUNDUP(build1_cooling_tons/max_cool_cl,0)</f>
        <v>1</v>
      </c>
      <c r="D57" s="644"/>
      <c r="F57" s="576"/>
      <c r="G57" s="576"/>
      <c r="H57" s="576"/>
      <c r="I57" s="576"/>
      <c r="J57" s="576"/>
      <c r="K57" s="576"/>
      <c r="L57" s="576"/>
    </row>
    <row r="58" spans="1:12" s="577" customFormat="1" x14ac:dyDescent="0.15">
      <c r="A58" s="576"/>
      <c r="B58" s="578"/>
      <c r="C58" s="590"/>
      <c r="D58" s="644"/>
      <c r="F58" s="576"/>
      <c r="G58" s="576"/>
      <c r="H58" s="576"/>
      <c r="I58" s="576"/>
      <c r="J58" s="576"/>
      <c r="K58" s="576"/>
      <c r="L58" s="576"/>
    </row>
    <row r="59" spans="1:12" s="577" customFormat="1" x14ac:dyDescent="0.15">
      <c r="A59" s="576" t="s">
        <v>406</v>
      </c>
      <c r="B59" s="599"/>
      <c r="C59" s="594">
        <f>4*build2_side*Building_height*cool_DD*24/R_wall</f>
        <v>0</v>
      </c>
      <c r="D59" s="644" t="s">
        <v>1129</v>
      </c>
      <c r="F59" s="576"/>
      <c r="G59" s="576"/>
      <c r="H59" s="576"/>
      <c r="I59" s="576"/>
      <c r="J59" s="576"/>
      <c r="K59" s="576"/>
      <c r="L59" s="576"/>
    </row>
    <row r="60" spans="1:12" s="577" customFormat="1" x14ac:dyDescent="0.15">
      <c r="A60" s="576" t="s">
        <v>407</v>
      </c>
      <c r="B60" s="600"/>
      <c r="C60" s="594">
        <f>build2_fp*cool_DD*24/R_ceiling</f>
        <v>0</v>
      </c>
      <c r="D60" s="644" t="s">
        <v>1129</v>
      </c>
      <c r="F60" s="576"/>
      <c r="G60" s="576"/>
      <c r="H60" s="576"/>
      <c r="I60" s="576"/>
      <c r="J60" s="576"/>
      <c r="K60" s="576"/>
      <c r="L60" s="576"/>
    </row>
    <row r="61" spans="1:12" s="577" customFormat="1" x14ac:dyDescent="0.15">
      <c r="A61" s="576" t="s">
        <v>408</v>
      </c>
      <c r="B61" s="578"/>
      <c r="C61" s="590">
        <f>build2_cfm*cool_viload</f>
        <v>0</v>
      </c>
      <c r="D61" s="644" t="s">
        <v>1129</v>
      </c>
      <c r="F61" s="576"/>
      <c r="G61" s="576"/>
      <c r="H61" s="576"/>
      <c r="I61" s="576"/>
      <c r="J61" s="576"/>
      <c r="K61" s="576"/>
      <c r="L61" s="576"/>
    </row>
    <row r="62" spans="1:12" s="577" customFormat="1" x14ac:dyDescent="0.15">
      <c r="A62" s="576" t="s">
        <v>2024</v>
      </c>
      <c r="B62" s="578" t="s">
        <v>2023</v>
      </c>
      <c r="C62" s="590">
        <f>SUM(C59:C61)</f>
        <v>0</v>
      </c>
      <c r="D62" s="644" t="s">
        <v>1129</v>
      </c>
      <c r="F62" s="576"/>
      <c r="G62" s="576"/>
      <c r="H62" s="576"/>
      <c r="I62" s="576"/>
      <c r="J62" s="576"/>
      <c r="K62" s="576"/>
      <c r="L62" s="576"/>
    </row>
    <row r="63" spans="1:12" s="577" customFormat="1" x14ac:dyDescent="0.15">
      <c r="A63" s="576" t="s">
        <v>2022</v>
      </c>
      <c r="B63" s="578" t="s">
        <v>2021</v>
      </c>
      <c r="C63" s="590">
        <f>build2_cooling_loss_yr/365.25/24</f>
        <v>0</v>
      </c>
      <c r="D63" s="644" t="s">
        <v>2277</v>
      </c>
      <c r="F63" s="576"/>
      <c r="G63" s="576"/>
      <c r="H63" s="576"/>
      <c r="I63" s="576"/>
      <c r="J63" s="576"/>
      <c r="K63" s="576"/>
      <c r="L63" s="576"/>
    </row>
    <row r="64" spans="1:12" s="577" customFormat="1" x14ac:dyDescent="0.15">
      <c r="A64" s="576"/>
      <c r="B64" s="578"/>
      <c r="C64" s="590"/>
      <c r="D64" s="644"/>
      <c r="F64" s="576"/>
      <c r="G64" s="576"/>
      <c r="H64" s="576"/>
      <c r="I64" s="576"/>
      <c r="J64" s="576"/>
      <c r="K64" s="576"/>
      <c r="L64" s="576"/>
    </row>
    <row r="65" spans="1:12" x14ac:dyDescent="0.15">
      <c r="A65" s="576" t="s">
        <v>2020</v>
      </c>
      <c r="B65" s="578" t="s">
        <v>2019</v>
      </c>
      <c r="C65" s="591">
        <f>build2_cooling_loss_hr+IF(fp_required&lt;add_2nd_building,0,waste_heat_pumps+waste_heat_bw_pumps)</f>
        <v>0</v>
      </c>
      <c r="D65" s="644" t="s">
        <v>2277</v>
      </c>
    </row>
    <row r="66" spans="1:12" x14ac:dyDescent="0.15">
      <c r="A66" s="576" t="s">
        <v>2018</v>
      </c>
      <c r="B66" s="578" t="s">
        <v>2017</v>
      </c>
      <c r="C66" s="591">
        <f>IF(fp_required&lt;add_2nd_building,0,(build1_cooling_loss_hr+waste_heat_pumps)*365.25*24+waste_heat_bw_pumps*back_pump_op_hours)</f>
        <v>0</v>
      </c>
      <c r="D66" s="644" t="s">
        <v>1129</v>
      </c>
    </row>
    <row r="67" spans="1:12" x14ac:dyDescent="0.15">
      <c r="A67" s="576" t="s">
        <v>2016</v>
      </c>
      <c r="B67" s="578" t="s">
        <v>2015</v>
      </c>
      <c r="C67" s="593">
        <f>build2_cooling_req/12000</f>
        <v>0</v>
      </c>
      <c r="D67" s="644" t="s">
        <v>2285</v>
      </c>
      <c r="E67" s="577" t="s">
        <v>3587</v>
      </c>
    </row>
    <row r="68" spans="1:12" x14ac:dyDescent="0.15">
      <c r="A68" s="576" t="s">
        <v>2014</v>
      </c>
      <c r="B68" s="578" t="s">
        <v>2013</v>
      </c>
      <c r="C68" s="590">
        <f>ROUNDUP(build2_cooling_tons/max_cool_cl,0)</f>
        <v>0</v>
      </c>
    </row>
    <row r="70" spans="1:12" x14ac:dyDescent="0.15">
      <c r="A70" s="581" t="s">
        <v>2012</v>
      </c>
      <c r="F70" s="577"/>
    </row>
    <row r="71" spans="1:12" x14ac:dyDescent="0.15">
      <c r="C71" s="592"/>
    </row>
    <row r="72" spans="1:12" x14ac:dyDescent="0.15">
      <c r="A72" s="576" t="s">
        <v>2011</v>
      </c>
      <c r="B72" s="578" t="s">
        <v>2010</v>
      </c>
      <c r="C72" s="592">
        <f>MAX(build1_heat_zones, build1_cool_zones)</f>
        <v>1</v>
      </c>
    </row>
    <row r="73" spans="1:12" x14ac:dyDescent="0.15">
      <c r="A73" s="576" t="s">
        <v>2009</v>
      </c>
      <c r="B73" s="578" t="s">
        <v>2008</v>
      </c>
      <c r="C73" s="592">
        <f>MAX(build2_heat_zones, build2_cool_zones)</f>
        <v>0</v>
      </c>
    </row>
    <row r="74" spans="1:12" x14ac:dyDescent="0.15">
      <c r="C74" s="592"/>
    </row>
    <row r="75" spans="1:12" x14ac:dyDescent="0.15">
      <c r="A75" s="576" t="s">
        <v>2007</v>
      </c>
      <c r="B75" s="578" t="s">
        <v>2006</v>
      </c>
      <c r="C75" s="591" t="b">
        <f>AND(build1_heat_mbh&lt;=hp_max_heat_cl,build1_cooling_tons&lt;=hp_max_cool_cl)</f>
        <v>1</v>
      </c>
      <c r="E75" s="577" t="s">
        <v>2005</v>
      </c>
    </row>
    <row r="76" spans="1:12" x14ac:dyDescent="0.15">
      <c r="A76" s="576" t="s">
        <v>2004</v>
      </c>
      <c r="B76" s="578" t="s">
        <v>2003</v>
      </c>
      <c r="C76" s="591" t="b">
        <f>AND(build2_heat_mbh&lt;=hp_max_heat_cl,build2_cooling_tons&lt;=hp_max_cool_cl)</f>
        <v>1</v>
      </c>
    </row>
    <row r="77" spans="1:12" x14ac:dyDescent="0.15">
      <c r="C77" s="591"/>
    </row>
    <row r="78" spans="1:12" x14ac:dyDescent="0.15">
      <c r="A78" s="578" t="s">
        <v>1111</v>
      </c>
      <c r="B78" s="578" t="s">
        <v>2002</v>
      </c>
      <c r="F78" s="577"/>
    </row>
    <row r="79" spans="1:12" x14ac:dyDescent="0.15">
      <c r="A79" s="581" t="s">
        <v>1993</v>
      </c>
      <c r="B79" s="581" t="s">
        <v>2000</v>
      </c>
      <c r="C79" s="581" t="s">
        <v>1999</v>
      </c>
      <c r="D79" s="581" t="s">
        <v>1990</v>
      </c>
      <c r="E79" s="581" t="s">
        <v>1989</v>
      </c>
      <c r="F79" s="581" t="s">
        <v>1988</v>
      </c>
      <c r="G79" s="581" t="s">
        <v>1987</v>
      </c>
      <c r="H79" s="581"/>
      <c r="I79" s="581" t="s">
        <v>1986</v>
      </c>
      <c r="J79" s="581"/>
      <c r="K79" s="581" t="s">
        <v>1985</v>
      </c>
      <c r="L79" s="581" t="s">
        <v>1984</v>
      </c>
    </row>
    <row r="80" spans="1:12" x14ac:dyDescent="0.15">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0.11001750924784216</v>
      </c>
      <c r="J80" s="582" t="s">
        <v>46</v>
      </c>
      <c r="K80" s="579">
        <f>I80*G80*1000</f>
        <v>18433.969874540548</v>
      </c>
      <c r="L80" s="580">
        <f t="shared" ref="L80:L85" si="0">IF(OR(F80="n/a",K80="n/a"),"n/a",F80+K80)</f>
        <v>20840.332801949146</v>
      </c>
    </row>
    <row r="81" spans="1:12" x14ac:dyDescent="0.15">
      <c r="A81" s="576" t="s">
        <v>855</v>
      </c>
      <c r="B81" s="990" t="s">
        <v>1998</v>
      </c>
      <c r="C81" s="990"/>
      <c r="D81" s="990"/>
      <c r="E81" s="990"/>
      <c r="F81" s="586" t="s">
        <v>1997</v>
      </c>
      <c r="G81" s="584">
        <f>IF(hp_ok_1,build1_heat_loss_yr/3412000/COP,"n/a")</f>
        <v>49.758720089349779</v>
      </c>
      <c r="H81" s="576" t="s">
        <v>179</v>
      </c>
      <c r="I81" s="583">
        <f>energy_cost_cl</f>
        <v>0.11001750924784216</v>
      </c>
      <c r="J81" s="582" t="s">
        <v>46</v>
      </c>
      <c r="K81" s="579">
        <f>IF(G81="n/a","n/a",I81*G81*1000)</f>
        <v>5474.330447590829</v>
      </c>
      <c r="L81" s="580" t="str">
        <f t="shared" si="0"/>
        <v>n/a</v>
      </c>
    </row>
    <row r="82" spans="1:12" x14ac:dyDescent="0.15">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0.57856140350877194</v>
      </c>
      <c r="J82" s="588" t="s">
        <v>2740</v>
      </c>
      <c r="K82" s="579">
        <f>I82*G82</f>
        <v>3813.4907334224176</v>
      </c>
      <c r="L82" s="580">
        <f t="shared" si="0"/>
        <v>5534.4441402074817</v>
      </c>
    </row>
    <row r="83" spans="1:12" x14ac:dyDescent="0.15">
      <c r="A83" s="576" t="s">
        <v>2741</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0.57856140350877194</v>
      </c>
      <c r="J83" s="588" t="s">
        <v>2740</v>
      </c>
      <c r="K83" s="579">
        <f>I83*G83</f>
        <v>3601.6301371211721</v>
      </c>
      <c r="L83" s="580">
        <f t="shared" si="0"/>
        <v>5322.5835439062357</v>
      </c>
    </row>
    <row r="84" spans="1:12" x14ac:dyDescent="0.15">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2742</v>
      </c>
      <c r="I84" s="589">
        <f>diesel_cost_cl</f>
        <v>3.8295007720020586</v>
      </c>
      <c r="J84" s="588" t="s">
        <v>2743</v>
      </c>
      <c r="K84" s="579">
        <f>I84*G84</f>
        <v>18823.729438078208</v>
      </c>
      <c r="L84" s="580">
        <f t="shared" si="0"/>
        <v>20790.838885669607</v>
      </c>
    </row>
    <row r="85" spans="1:12" x14ac:dyDescent="0.15">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2742</v>
      </c>
      <c r="I85" s="589">
        <f>diesel_cost_cl</f>
        <v>3.8295007720020586</v>
      </c>
      <c r="J85" s="588" t="s">
        <v>2743</v>
      </c>
      <c r="K85" s="579">
        <f>I85*G85</f>
        <v>17150.509043582362</v>
      </c>
      <c r="L85" s="580">
        <f t="shared" si="0"/>
        <v>19117.618491173762</v>
      </c>
    </row>
    <row r="86" spans="1:12" x14ac:dyDescent="0.15">
      <c r="F86" s="577"/>
    </row>
    <row r="87" spans="1:12" x14ac:dyDescent="0.15">
      <c r="A87" s="578" t="s">
        <v>1112</v>
      </c>
      <c r="B87" s="578" t="s">
        <v>2001</v>
      </c>
      <c r="F87" s="577"/>
    </row>
    <row r="88" spans="1:12" x14ac:dyDescent="0.15">
      <c r="A88" s="581" t="s">
        <v>1993</v>
      </c>
      <c r="B88" s="581" t="s">
        <v>2000</v>
      </c>
      <c r="C88" s="581" t="s">
        <v>1999</v>
      </c>
      <c r="D88" s="581" t="s">
        <v>1990</v>
      </c>
      <c r="E88" s="581" t="s">
        <v>1989</v>
      </c>
      <c r="F88" s="581" t="s">
        <v>1988</v>
      </c>
      <c r="G88" s="581" t="s">
        <v>1987</v>
      </c>
      <c r="H88" s="581"/>
      <c r="I88" s="581" t="s">
        <v>1986</v>
      </c>
      <c r="J88" s="581"/>
      <c r="K88" s="581" t="s">
        <v>1985</v>
      </c>
      <c r="L88" s="581" t="s">
        <v>1984</v>
      </c>
    </row>
    <row r="89" spans="1:12" x14ac:dyDescent="0.15">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0.11001750924784216</v>
      </c>
      <c r="J89" s="582" t="s">
        <v>46</v>
      </c>
      <c r="K89" s="579">
        <f>I89*G89*1000</f>
        <v>0</v>
      </c>
      <c r="L89" s="580" t="e">
        <f>IF(F89="n/a","n/a",F89+K89)</f>
        <v>#DIV/0!</v>
      </c>
    </row>
    <row r="90" spans="1:12" x14ac:dyDescent="0.15">
      <c r="A90" s="576" t="s">
        <v>855</v>
      </c>
      <c r="B90" s="990" t="s">
        <v>1998</v>
      </c>
      <c r="C90" s="990"/>
      <c r="D90" s="990"/>
      <c r="E90" s="990"/>
      <c r="F90" s="586" t="s">
        <v>1997</v>
      </c>
      <c r="G90" s="584">
        <f>IF(hp_ok_2,build2_heat_loss_yr/3412000/COP,"n/a")</f>
        <v>0</v>
      </c>
      <c r="H90" s="576" t="s">
        <v>179</v>
      </c>
      <c r="I90" s="583">
        <f>energy_cost_cl</f>
        <v>0.11001750924784216</v>
      </c>
      <c r="J90" s="582" t="s">
        <v>46</v>
      </c>
      <c r="K90" s="579">
        <f>IF(G90="n/a","n/a",I90*G90*1000)</f>
        <v>0</v>
      </c>
      <c r="L90" s="580" t="str">
        <f>IF(OR(F90="n/a",K90="n/a"),"n/a",F90+K90)</f>
        <v>n/a</v>
      </c>
    </row>
    <row r="91" spans="1:12" x14ac:dyDescent="0.15">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0.57856140350877194</v>
      </c>
      <c r="J91" s="588" t="s">
        <v>2740</v>
      </c>
      <c r="K91" s="579">
        <f>I91*G91</f>
        <v>0</v>
      </c>
      <c r="L91" s="580" t="e">
        <f>IF(F91="n/a","n/a",F91+K91)</f>
        <v>#DIV/0!</v>
      </c>
    </row>
    <row r="92" spans="1:12" x14ac:dyDescent="0.15">
      <c r="A92" s="576" t="s">
        <v>2741</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0.57856140350877194</v>
      </c>
      <c r="J92" s="588" t="s">
        <v>2740</v>
      </c>
      <c r="K92" s="579">
        <f>I92*G92</f>
        <v>0</v>
      </c>
      <c r="L92" s="580" t="e">
        <f>IF(F92="n/a","n/a",F92+K92)</f>
        <v>#DIV/0!</v>
      </c>
    </row>
    <row r="93" spans="1:12" x14ac:dyDescent="0.15">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2742</v>
      </c>
      <c r="I93" s="589">
        <f>diesel_cost_cl</f>
        <v>3.8295007720020586</v>
      </c>
      <c r="J93" s="588" t="s">
        <v>2743</v>
      </c>
      <c r="K93" s="579">
        <f>I93*G93</f>
        <v>0</v>
      </c>
      <c r="L93" s="580" t="e">
        <f>IF(F93="n/a","n/a",F93+K93)</f>
        <v>#DIV/0!</v>
      </c>
    </row>
    <row r="94" spans="1:12" x14ac:dyDescent="0.15">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2742</v>
      </c>
      <c r="I94" s="589">
        <f>diesel_cost_cl</f>
        <v>3.8295007720020586</v>
      </c>
      <c r="J94" s="588" t="s">
        <v>2743</v>
      </c>
      <c r="K94" s="579">
        <f>I94*G94</f>
        <v>0</v>
      </c>
      <c r="L94" s="580" t="e">
        <f>IF(F94="n/a","n/a",F94+K94)</f>
        <v>#DIV/0!</v>
      </c>
    </row>
    <row r="96" spans="1:12" x14ac:dyDescent="0.15">
      <c r="A96" s="581" t="s">
        <v>1996</v>
      </c>
      <c r="F96" s="577"/>
    </row>
    <row r="97" spans="1:12" x14ac:dyDescent="0.15">
      <c r="A97" s="578" t="s">
        <v>1111</v>
      </c>
      <c r="B97" s="578" t="s">
        <v>1995</v>
      </c>
      <c r="F97" s="577"/>
    </row>
    <row r="98" spans="1:12" x14ac:dyDescent="0.15">
      <c r="A98" s="581" t="s">
        <v>1993</v>
      </c>
      <c r="B98" s="581" t="s">
        <v>1992</v>
      </c>
      <c r="C98" s="581" t="s">
        <v>1991</v>
      </c>
      <c r="D98" s="581" t="s">
        <v>1990</v>
      </c>
      <c r="E98" s="581" t="s">
        <v>1989</v>
      </c>
      <c r="F98" s="581" t="s">
        <v>1988</v>
      </c>
      <c r="G98" s="581" t="s">
        <v>1987</v>
      </c>
      <c r="H98" s="581"/>
      <c r="I98" s="581" t="s">
        <v>1986</v>
      </c>
      <c r="J98" s="581"/>
      <c r="K98" s="581" t="s">
        <v>1985</v>
      </c>
      <c r="L98" s="581" t="s">
        <v>1984</v>
      </c>
    </row>
    <row r="99" spans="1:12" x14ac:dyDescent="0.15">
      <c r="A99" s="576" t="s">
        <v>1970</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0.11001750924784216</v>
      </c>
      <c r="J99" s="582" t="s">
        <v>46</v>
      </c>
      <c r="K99" s="579">
        <f>I99*G99*1000</f>
        <v>3118.3908576201111</v>
      </c>
      <c r="L99" s="580">
        <f>IF(F99="n/a","n/a",F99+K99)</f>
        <v>3963.3458801839661</v>
      </c>
    </row>
    <row r="100" spans="1:12" x14ac:dyDescent="0.15">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0.11001750924784216</v>
      </c>
      <c r="J100" s="582" t="s">
        <v>46</v>
      </c>
      <c r="K100" s="579">
        <f>IF(C100="n/a","n/a",I100*G100*1000)</f>
        <v>3118.3908576201111</v>
      </c>
      <c r="L100" s="580">
        <f>IF(F100="n/a","n/a",F100+K100)</f>
        <v>3703.0547409712603</v>
      </c>
    </row>
    <row r="102" spans="1:12" x14ac:dyDescent="0.15">
      <c r="A102" s="578" t="s">
        <v>1112</v>
      </c>
      <c r="B102" s="578" t="s">
        <v>1994</v>
      </c>
    </row>
    <row r="103" spans="1:12" x14ac:dyDescent="0.15">
      <c r="A103" s="581" t="s">
        <v>1993</v>
      </c>
      <c r="B103" s="581" t="s">
        <v>1992</v>
      </c>
      <c r="C103" s="581" t="s">
        <v>1991</v>
      </c>
      <c r="D103" s="581" t="s">
        <v>1990</v>
      </c>
      <c r="E103" s="581" t="s">
        <v>1989</v>
      </c>
      <c r="F103" s="581" t="s">
        <v>1988</v>
      </c>
      <c r="G103" s="581" t="s">
        <v>1987</v>
      </c>
      <c r="H103" s="581"/>
      <c r="I103" s="581" t="s">
        <v>1986</v>
      </c>
      <c r="J103" s="581"/>
      <c r="K103" s="581" t="s">
        <v>1985</v>
      </c>
      <c r="L103" s="581" t="s">
        <v>1984</v>
      </c>
    </row>
    <row r="104" spans="1:12" x14ac:dyDescent="0.15">
      <c r="A104" s="576" t="s">
        <v>1970</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0.11001750924784216</v>
      </c>
      <c r="J104" s="582" t="s">
        <v>46</v>
      </c>
      <c r="K104" s="579">
        <f>I104*G104*1000</f>
        <v>0</v>
      </c>
      <c r="L104" s="580" t="e">
        <f>IF(F104="n/a","n/a",F104+K104)</f>
        <v>#DIV/0!</v>
      </c>
    </row>
    <row r="105" spans="1:12" x14ac:dyDescent="0.15">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0.11001750924784216</v>
      </c>
      <c r="J105" s="582" t="s">
        <v>46</v>
      </c>
      <c r="K105" s="579" t="e">
        <f>IF(C105="n/a","n/a",I105*G105*1000)</f>
        <v>#DIV/0!</v>
      </c>
      <c r="L105" s="580" t="e">
        <f>IF(F105="n/a","n/a",F105+K105)</f>
        <v>#DIV/0!</v>
      </c>
    </row>
    <row r="108" spans="1:12" x14ac:dyDescent="0.15">
      <c r="A108" s="581" t="s">
        <v>1983</v>
      </c>
      <c r="E108" s="577" t="s">
        <v>1982</v>
      </c>
    </row>
    <row r="110" spans="1:12" x14ac:dyDescent="0.15">
      <c r="A110" s="578" t="s">
        <v>1981</v>
      </c>
      <c r="E110" s="576"/>
    </row>
    <row r="111" spans="1:12" x14ac:dyDescent="0.15">
      <c r="A111" s="581" t="s">
        <v>1974</v>
      </c>
      <c r="B111" s="581" t="s">
        <v>1972</v>
      </c>
      <c r="C111" s="581" t="s">
        <v>1973</v>
      </c>
      <c r="D111" s="581" t="s">
        <v>1972</v>
      </c>
      <c r="E111" s="581" t="s">
        <v>1971</v>
      </c>
    </row>
    <row r="112" spans="1:12" x14ac:dyDescent="0.15">
      <c r="A112" s="576" t="s">
        <v>854</v>
      </c>
      <c r="B112" s="579">
        <f>IF(build1_need_heat,VLOOKUP(A112,build1_heat_options,12,FALSE),0)</f>
        <v>20840.332801949146</v>
      </c>
      <c r="C112" s="576" t="s">
        <v>1970</v>
      </c>
      <c r="D112" s="647">
        <f>IF(build1_need_cool,VLOOKUP(C112,build1_cool_options,12,FALSE),0)</f>
        <v>0</v>
      </c>
      <c r="E112" s="579">
        <f t="shared" ref="E112:E117" si="1">IF(OR(B112="n/a",D112="n/a"),"n/a",ROUND(B112+D112,0))</f>
        <v>20840</v>
      </c>
    </row>
    <row r="113" spans="1:5" x14ac:dyDescent="0.15">
      <c r="A113" s="576" t="s">
        <v>856</v>
      </c>
      <c r="B113" s="579">
        <f>IF(build1_need_heat,VLOOKUP(A113,build1_heat_options,12,FALSE),0)</f>
        <v>5534.4441402074817</v>
      </c>
      <c r="C113" s="576" t="s">
        <v>1970</v>
      </c>
      <c r="D113" s="647">
        <f>IF(build1_need_cool,VLOOKUP(C113,build1_cool_options,12,FALSE),0)</f>
        <v>0</v>
      </c>
      <c r="E113" s="579">
        <f t="shared" si="1"/>
        <v>5534</v>
      </c>
    </row>
    <row r="114" spans="1:5" x14ac:dyDescent="0.15">
      <c r="A114" s="576" t="s">
        <v>2741</v>
      </c>
      <c r="B114" s="579">
        <f>IF(build1_need_heat,VLOOKUP(A114,build1_heat_options,12,FALSE),0)</f>
        <v>5322.5835439062357</v>
      </c>
      <c r="C114" s="576" t="s">
        <v>1970</v>
      </c>
      <c r="D114" s="647">
        <f>IF(build1_need_cool,VLOOKUP(C114,build1_cool_options,12,FALSE),0)</f>
        <v>0</v>
      </c>
      <c r="E114" s="579">
        <f t="shared" si="1"/>
        <v>5323</v>
      </c>
    </row>
    <row r="115" spans="1:5" x14ac:dyDescent="0.15">
      <c r="A115" s="576" t="s">
        <v>12</v>
      </c>
      <c r="B115" s="579">
        <f>IF(build1_need_heat,VLOOKUP(A115,build1_heat_options,12,FALSE),0)</f>
        <v>20790.838885669607</v>
      </c>
      <c r="C115" s="576" t="s">
        <v>1970</v>
      </c>
      <c r="D115" s="647">
        <f>IF(build1_need_cool,VLOOKUP(C115,build1_cool_options,12,FALSE),0)</f>
        <v>0</v>
      </c>
      <c r="E115" s="579">
        <f t="shared" si="1"/>
        <v>20791</v>
      </c>
    </row>
    <row r="116" spans="1:5" x14ac:dyDescent="0.15">
      <c r="A116" s="576" t="s">
        <v>13</v>
      </c>
      <c r="B116" s="579">
        <f>IF(build1_need_heat,VLOOKUP(A116,build1_heat_options,12,FALSE),0)</f>
        <v>19117.618491173762</v>
      </c>
      <c r="C116" s="576" t="s">
        <v>1970</v>
      </c>
      <c r="D116" s="647">
        <f>IF(build1_need_cool,VLOOKUP(C116,build1_cool_options,12,FALSE),0)</f>
        <v>0</v>
      </c>
      <c r="E116" s="579">
        <f t="shared" si="1"/>
        <v>19118</v>
      </c>
    </row>
    <row r="117" spans="1:5" x14ac:dyDescent="0.15">
      <c r="A117" s="576" t="s">
        <v>855</v>
      </c>
      <c r="B117" s="580" t="str">
        <f>IF(AND(build1_need_heat, build1_need_cool),K81,"n/a")</f>
        <v>n/a</v>
      </c>
      <c r="C117" s="576" t="s">
        <v>855</v>
      </c>
      <c r="D117" s="647">
        <f>IF(AND(build1_need_heat,build1_need_cool),VLOOKUP(C117,build1_cool_options,12,FALSE),0)</f>
        <v>0</v>
      </c>
      <c r="E117" s="579" t="str">
        <f t="shared" si="1"/>
        <v>n/a</v>
      </c>
    </row>
    <row r="118" spans="1:5" x14ac:dyDescent="0.15">
      <c r="B118" s="576"/>
      <c r="D118" s="647"/>
      <c r="E118" s="579"/>
    </row>
    <row r="119" spans="1:5" x14ac:dyDescent="0.15">
      <c r="A119" s="576" t="s">
        <v>1969</v>
      </c>
      <c r="B119" s="578" t="s">
        <v>1980</v>
      </c>
      <c r="C119" s="576">
        <f>MATCH(MIN(E112:E117),E112:E117,0)</f>
        <v>3</v>
      </c>
      <c r="D119" s="647"/>
      <c r="E119" s="579"/>
    </row>
    <row r="120" spans="1:5" x14ac:dyDescent="0.15">
      <c r="A120" s="576" t="s">
        <v>1979</v>
      </c>
      <c r="B120" s="578" t="s">
        <v>1978</v>
      </c>
      <c r="C120" s="576" t="str">
        <f>IF(build1_need_heat,INDEX(A112:A117,build1_row),"n/a")</f>
        <v>Natural gas condensing furnace</v>
      </c>
      <c r="D120" s="647"/>
      <c r="E120" s="579"/>
    </row>
    <row r="121" spans="1:5" x14ac:dyDescent="0.15">
      <c r="A121" s="576" t="s">
        <v>1977</v>
      </c>
      <c r="B121" s="578" t="s">
        <v>1976</v>
      </c>
      <c r="C121" s="576" t="str">
        <f>IF(build1_need_cool,INDEX(C112:C117,build1_row),"n/a")</f>
        <v>n/a</v>
      </c>
      <c r="D121" s="647"/>
      <c r="E121" s="579"/>
    </row>
    <row r="122" spans="1:5" x14ac:dyDescent="0.15">
      <c r="B122" s="576"/>
      <c r="D122" s="647"/>
      <c r="E122" s="579"/>
    </row>
    <row r="124" spans="1:5" x14ac:dyDescent="0.15">
      <c r="A124" s="578" t="s">
        <v>1975</v>
      </c>
      <c r="E124" s="576"/>
    </row>
    <row r="125" spans="1:5" x14ac:dyDescent="0.15">
      <c r="A125" s="581" t="s">
        <v>1974</v>
      </c>
      <c r="B125" s="581" t="s">
        <v>1972</v>
      </c>
      <c r="C125" s="581" t="s">
        <v>1973</v>
      </c>
      <c r="D125" s="581" t="s">
        <v>1972</v>
      </c>
      <c r="E125" s="581" t="s">
        <v>1971</v>
      </c>
    </row>
    <row r="126" spans="1:5" x14ac:dyDescent="0.15">
      <c r="A126" s="576" t="s">
        <v>854</v>
      </c>
      <c r="B126" s="579">
        <f>IF(build2_need_heat,VLOOKUP(A126,build2_heat_options,12,FALSE),0)</f>
        <v>0</v>
      </c>
      <c r="C126" s="576" t="s">
        <v>1970</v>
      </c>
      <c r="D126" s="647">
        <f>IF(build2_need_cool,VLOOKUP(C126,build2_cool_options,12,FALSE),0)</f>
        <v>0</v>
      </c>
      <c r="E126" s="579">
        <f t="shared" ref="E126:E131" si="2">IF(OR(B126="n/a",D126="n/a"),"n/a",ROUND(B126+D126,0))</f>
        <v>0</v>
      </c>
    </row>
    <row r="127" spans="1:5" x14ac:dyDescent="0.15">
      <c r="A127" s="576" t="s">
        <v>856</v>
      </c>
      <c r="B127" s="579">
        <f>IF(build2_need_heat,VLOOKUP(A127,build2_heat_options,12,FALSE),0)</f>
        <v>0</v>
      </c>
      <c r="C127" s="576" t="s">
        <v>1970</v>
      </c>
      <c r="D127" s="647">
        <f>IF(build2_need_cool,VLOOKUP(C127,build2_cool_options,12,FALSE),0)</f>
        <v>0</v>
      </c>
      <c r="E127" s="579">
        <f t="shared" si="2"/>
        <v>0</v>
      </c>
    </row>
    <row r="128" spans="1:5" x14ac:dyDescent="0.15">
      <c r="A128" s="576" t="s">
        <v>2741</v>
      </c>
      <c r="B128" s="579">
        <f>IF(build2_need_heat,VLOOKUP(A128,build2_heat_options,12,FALSE),0)</f>
        <v>0</v>
      </c>
      <c r="C128" s="576" t="s">
        <v>1970</v>
      </c>
      <c r="D128" s="647">
        <f>IF(build2_need_cool,VLOOKUP(C128,build2_cool_options,12,FALSE),0)</f>
        <v>0</v>
      </c>
      <c r="E128" s="579">
        <f t="shared" si="2"/>
        <v>0</v>
      </c>
    </row>
    <row r="129" spans="1:5" x14ac:dyDescent="0.15">
      <c r="A129" s="576" t="s">
        <v>12</v>
      </c>
      <c r="B129" s="579">
        <f>IF(build2_need_heat,VLOOKUP(A129,build2_heat_options,12,FALSE),0)</f>
        <v>0</v>
      </c>
      <c r="C129" s="576" t="s">
        <v>1970</v>
      </c>
      <c r="D129" s="647">
        <f>IF(build2_need_cool,VLOOKUP(C129,build2_cool_options,12,FALSE),0)</f>
        <v>0</v>
      </c>
      <c r="E129" s="579">
        <f t="shared" si="2"/>
        <v>0</v>
      </c>
    </row>
    <row r="130" spans="1:5" x14ac:dyDescent="0.15">
      <c r="A130" s="576" t="s">
        <v>13</v>
      </c>
      <c r="B130" s="579">
        <f>IF(build2_need_heat,VLOOKUP(A130,build2_heat_options,12,FALSE),0)</f>
        <v>0</v>
      </c>
      <c r="C130" s="576" t="s">
        <v>1970</v>
      </c>
      <c r="D130" s="647">
        <f>IF(build2_need_cool,VLOOKUP(C130,build2_cool_options,12,FALSE),0)</f>
        <v>0</v>
      </c>
      <c r="E130" s="579">
        <f t="shared" si="2"/>
        <v>0</v>
      </c>
    </row>
    <row r="131" spans="1:5" x14ac:dyDescent="0.15">
      <c r="A131" s="576" t="s">
        <v>855</v>
      </c>
      <c r="B131" s="580" t="str">
        <f>IF(AND(build2_need_heat, build2_need_cool),K90,"n/a")</f>
        <v>n/a</v>
      </c>
      <c r="C131" s="576" t="s">
        <v>855</v>
      </c>
      <c r="D131" s="647">
        <f>IF(AND(build1_need_heat,build2_need_cool),VLOOKUP(C131,build2_cool_options,12,FALSE),0)</f>
        <v>0</v>
      </c>
      <c r="E131" s="579" t="str">
        <f t="shared" si="2"/>
        <v>n/a</v>
      </c>
    </row>
    <row r="132" spans="1:5" x14ac:dyDescent="0.15">
      <c r="B132" s="576"/>
      <c r="D132" s="647"/>
      <c r="E132" s="579"/>
    </row>
    <row r="133" spans="1:5" x14ac:dyDescent="0.15">
      <c r="A133" s="576" t="s">
        <v>1969</v>
      </c>
      <c r="B133" s="578" t="s">
        <v>1968</v>
      </c>
      <c r="C133" s="576">
        <f>MATCH(MIN(E126:E131),E126:E131,0)</f>
        <v>1</v>
      </c>
      <c r="D133" s="647"/>
      <c r="E133" s="579"/>
    </row>
    <row r="134" spans="1:5" x14ac:dyDescent="0.15">
      <c r="A134" s="576" t="s">
        <v>1967</v>
      </c>
      <c r="B134" s="578" t="s">
        <v>1966</v>
      </c>
      <c r="C134" s="576" t="str">
        <f>IF(build2_need_heat,INDEX(A126:A131,build2_row),"n/a")</f>
        <v>n/a</v>
      </c>
      <c r="D134" s="647"/>
      <c r="E134" s="579"/>
    </row>
    <row r="135" spans="1:5" x14ac:dyDescent="0.15">
      <c r="A135" s="576" t="s">
        <v>1965</v>
      </c>
      <c r="B135" s="578" t="s">
        <v>1964</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x14ac:dyDescent="0.15"/>
  <cols>
    <col min="1" max="1" width="36.6640625" customWidth="1"/>
    <col min="2" max="2" width="22.6640625" customWidth="1"/>
    <col min="3" max="3" width="13.6640625" customWidth="1"/>
    <col min="4" max="4" width="13.1640625" customWidth="1"/>
  </cols>
  <sheetData>
    <row r="1" spans="1:5" x14ac:dyDescent="0.15">
      <c r="A1" s="1" t="s">
        <v>2962</v>
      </c>
    </row>
    <row r="3" spans="1:5" x14ac:dyDescent="0.15">
      <c r="A3" s="206" t="s">
        <v>2952</v>
      </c>
      <c r="B3" s="206" t="s">
        <v>277</v>
      </c>
      <c r="C3" s="207" t="s">
        <v>278</v>
      </c>
      <c r="D3" s="206" t="s">
        <v>279</v>
      </c>
      <c r="E3" s="206" t="s">
        <v>280</v>
      </c>
    </row>
    <row r="4" spans="1:5" x14ac:dyDescent="0.15">
      <c r="A4" s="2" t="s">
        <v>3196</v>
      </c>
      <c r="B4" s="1"/>
      <c r="C4" s="208"/>
      <c r="D4" s="1"/>
      <c r="E4" s="1"/>
    </row>
    <row r="5" spans="1:5" x14ac:dyDescent="0.15">
      <c r="A5" s="724" t="s">
        <v>3184</v>
      </c>
      <c r="B5" s="3" t="s">
        <v>2593</v>
      </c>
      <c r="C5" s="654">
        <f>IF(include_buildings_I="no",0,1)</f>
        <v>0</v>
      </c>
      <c r="D5" s="526" t="s">
        <v>3197</v>
      </c>
      <c r="E5" s="1"/>
    </row>
    <row r="6" spans="1:5" x14ac:dyDescent="0.15">
      <c r="A6" s="724" t="s">
        <v>3190</v>
      </c>
      <c r="B6" s="3" t="s">
        <v>2598</v>
      </c>
      <c r="C6" s="654">
        <f>IF(include_land_I="no",0,1)</f>
        <v>0</v>
      </c>
      <c r="D6" s="526" t="s">
        <v>3197</v>
      </c>
      <c r="E6" s="1"/>
    </row>
    <row r="7" spans="1:5" x14ac:dyDescent="0.15">
      <c r="A7" s="1"/>
      <c r="B7" s="1"/>
      <c r="C7" s="208"/>
      <c r="D7" s="1"/>
      <c r="E7" s="1"/>
    </row>
    <row r="8" spans="1:5" x14ac:dyDescent="0.15">
      <c r="A8" s="2" t="s">
        <v>2241</v>
      </c>
    </row>
    <row r="9" spans="1:5" x14ac:dyDescent="0.15">
      <c r="A9" s="108" t="s">
        <v>1725</v>
      </c>
      <c r="C9" s="49">
        <f>pump_energy*design_flow/average_flow/365/24*1000</f>
        <v>21.649961953549099</v>
      </c>
      <c r="D9" t="s">
        <v>601</v>
      </c>
    </row>
    <row r="10" spans="1:5" x14ac:dyDescent="0.15">
      <c r="A10" s="108" t="s">
        <v>2166</v>
      </c>
      <c r="C10" s="49">
        <f>IF(include_buildings=0,0,(build1_fp*lighting_energy_1+build2_fp*lighting_energy_2)/365/24)</f>
        <v>0</v>
      </c>
      <c r="D10" t="s">
        <v>601</v>
      </c>
    </row>
    <row r="11" spans="1:5" x14ac:dyDescent="0.15">
      <c r="A11" s="108" t="s">
        <v>2216</v>
      </c>
      <c r="B11" s="3"/>
      <c r="C11" s="75">
        <f>IF(include_HVAC=0,0,0.746*fan_pressure_drop*build1_fp*Building_height*air_changes_build1/33000)</f>
        <v>1.0884818181818183</v>
      </c>
      <c r="D11" t="s">
        <v>601</v>
      </c>
    </row>
    <row r="12" spans="1:5" x14ac:dyDescent="0.15">
      <c r="A12" s="108" t="s">
        <v>2217</v>
      </c>
      <c r="B12" s="3"/>
      <c r="C12" s="75">
        <f>IF(include_HVAC=0,0,0.746*fan_pressure_drop*build2_fp*Building_height*air_changes_build2/33000)</f>
        <v>0</v>
      </c>
      <c r="D12" t="s">
        <v>601</v>
      </c>
    </row>
    <row r="13" spans="1:5" x14ac:dyDescent="0.15">
      <c r="A13" s="108" t="s">
        <v>602</v>
      </c>
      <c r="B13" s="3" t="s">
        <v>603</v>
      </c>
      <c r="C13" s="82">
        <f>SUM(C9:C12)</f>
        <v>22.738443771730918</v>
      </c>
      <c r="D13" t="s">
        <v>601</v>
      </c>
    </row>
    <row r="14" spans="1:5" x14ac:dyDescent="0.15">
      <c r="A14" s="108"/>
      <c r="B14" s="3"/>
      <c r="C14" s="82"/>
    </row>
    <row r="15" spans="1:5" x14ac:dyDescent="0.15">
      <c r="A15" s="108" t="s">
        <v>2102</v>
      </c>
      <c r="B15" s="3" t="s">
        <v>2103</v>
      </c>
      <c r="C15" s="72" t="b">
        <f>IF(build1_need_heat=1,VLOOKUP(build1_heat,build1_heat_options,8,FALSE)="MWh/yr",FALSE)</f>
        <v>0</v>
      </c>
    </row>
    <row r="16" spans="1:5" x14ac:dyDescent="0.15">
      <c r="A16" s="108" t="s">
        <v>2104</v>
      </c>
      <c r="B16" s="3" t="s">
        <v>2105</v>
      </c>
      <c r="C16" s="604">
        <f>IF(build1_elec_heat,VLOOKUP(build1_heat,build1_heat_options,7,FALSE),0)*365.25*24/1000</f>
        <v>0</v>
      </c>
      <c r="D16" t="s">
        <v>601</v>
      </c>
    </row>
    <row r="17" spans="1:4" x14ac:dyDescent="0.15">
      <c r="A17" s="108" t="s">
        <v>2106</v>
      </c>
      <c r="B17" s="3" t="s">
        <v>2107</v>
      </c>
      <c r="C17" s="72" t="b">
        <f>IF(build2_need_heat,(VLOOKUP(build2_heat,build2_heat_options,8,FALSE)="MWh/yr"),FALSE)</f>
        <v>0</v>
      </c>
    </row>
    <row r="18" spans="1:4" x14ac:dyDescent="0.15">
      <c r="A18" s="108" t="s">
        <v>2108</v>
      </c>
      <c r="B18" s="3" t="s">
        <v>2109</v>
      </c>
      <c r="C18" s="604">
        <f>IF(build2_elec_heat,VLOOKUP(build2_heat,build2_heat_options,7,FALSE),0)*365.25*24/1000</f>
        <v>0</v>
      </c>
      <c r="D18" t="s">
        <v>601</v>
      </c>
    </row>
    <row r="19" spans="1:4" x14ac:dyDescent="0.15">
      <c r="A19" s="108" t="s">
        <v>604</v>
      </c>
      <c r="B19" s="3" t="s">
        <v>605</v>
      </c>
      <c r="C19" s="604">
        <f>build1_elec_heat_power+build2_elec_heat_power</f>
        <v>0</v>
      </c>
      <c r="D19" t="s">
        <v>601</v>
      </c>
    </row>
    <row r="20" spans="1:4" x14ac:dyDescent="0.15">
      <c r="A20" s="108"/>
    </row>
    <row r="21" spans="1:4" x14ac:dyDescent="0.15">
      <c r="A21" s="108" t="s">
        <v>2110</v>
      </c>
      <c r="B21" s="3" t="s">
        <v>2111</v>
      </c>
      <c r="C21" s="72" t="b">
        <f>IF(build1_need_cool,(VLOOKUP(build1_cool,build1_cool_options,8,FALSE)="MWh/yr"),FALSE)</f>
        <v>0</v>
      </c>
    </row>
    <row r="22" spans="1:4" x14ac:dyDescent="0.15">
      <c r="A22" s="108" t="s">
        <v>2112</v>
      </c>
      <c r="B22" s="3" t="s">
        <v>2113</v>
      </c>
      <c r="C22" s="604">
        <f>IF(build1_elec_cool,VLOOKUP(build1_cool,build1_cool_options,7,FALSE),0)*365.25*24/1000</f>
        <v>0</v>
      </c>
      <c r="D22" t="s">
        <v>601</v>
      </c>
    </row>
    <row r="23" spans="1:4" x14ac:dyDescent="0.15">
      <c r="A23" s="108" t="s">
        <v>2114</v>
      </c>
      <c r="B23" s="3" t="s">
        <v>2115</v>
      </c>
      <c r="C23" s="72" t="b">
        <f>IF(build2_need_cool,(VLOOKUP(build2_cool,build2_cool_options,8,FALSE)="MWh/yr"),FALSE)</f>
        <v>0</v>
      </c>
    </row>
    <row r="24" spans="1:4" x14ac:dyDescent="0.15">
      <c r="A24" s="108" t="s">
        <v>2116</v>
      </c>
      <c r="B24" s="3" t="s">
        <v>2117</v>
      </c>
      <c r="C24" s="604">
        <f>IF(build2_elec_cool,VLOOKUP(build2_cool,build2_cool_options,7,FALSE),0)*365.25*24/1000</f>
        <v>0</v>
      </c>
      <c r="D24" t="s">
        <v>601</v>
      </c>
    </row>
    <row r="25" spans="1:4" x14ac:dyDescent="0.15">
      <c r="A25" s="108" t="s">
        <v>1837</v>
      </c>
      <c r="B25" s="3" t="s">
        <v>1838</v>
      </c>
      <c r="C25" s="604">
        <f>build1_elec_cool_power+build2_elec_cool_power</f>
        <v>0</v>
      </c>
      <c r="D25" t="s">
        <v>601</v>
      </c>
    </row>
    <row r="26" spans="1:4" x14ac:dyDescent="0.15">
      <c r="A26" s="108"/>
    </row>
    <row r="27" spans="1:4" x14ac:dyDescent="0.15">
      <c r="A27" s="108" t="s">
        <v>1839</v>
      </c>
      <c r="B27" s="3" t="s">
        <v>1840</v>
      </c>
      <c r="C27" s="49">
        <f>ROUNDUP(2*MAX(min_standby,(IF(AND(need_heat=1,need_cool=1),MAX(std_heat,std_cool),need_heat*std_heat+need_cool*std_cool)+std_base)*(1+std_safety_factor)),0)/2</f>
        <v>23</v>
      </c>
      <c r="D27" t="s">
        <v>601</v>
      </c>
    </row>
    <row r="28" spans="1:4" x14ac:dyDescent="0.15">
      <c r="A28" s="108" t="s">
        <v>1841</v>
      </c>
      <c r="B28" s="3" t="s">
        <v>1842</v>
      </c>
      <c r="C28" s="7">
        <f>VLOOKUP(std_power,std_gen_cost_cl,3)*std_power</f>
        <v>15180</v>
      </c>
    </row>
    <row r="30" spans="1:4" x14ac:dyDescent="0.15">
      <c r="A30" s="2" t="s">
        <v>234</v>
      </c>
    </row>
    <row r="31" spans="1:4" x14ac:dyDescent="0.15">
      <c r="A31" s="108" t="s">
        <v>1843</v>
      </c>
      <c r="B31" s="3" t="s">
        <v>1844</v>
      </c>
      <c r="C31" s="49">
        <f>total_fp+ep_fp+solids_pad_area</f>
        <v>3470</v>
      </c>
      <c r="D31" t="s">
        <v>1068</v>
      </c>
    </row>
    <row r="32" spans="1:4" x14ac:dyDescent="0.15">
      <c r="A32" s="108" t="s">
        <v>484</v>
      </c>
      <c r="B32" s="3" t="s">
        <v>485</v>
      </c>
      <c r="C32" s="49">
        <f>IF(res_holding="basins",hbasin_depth,0)</f>
        <v>0</v>
      </c>
      <c r="D32" t="s">
        <v>61</v>
      </c>
    </row>
    <row r="33" spans="1:4" x14ac:dyDescent="0.15">
      <c r="A33" s="108" t="s">
        <v>1716</v>
      </c>
      <c r="B33" s="3" t="s">
        <v>1717</v>
      </c>
      <c r="C33">
        <f>IF(max_excav_depth=0,bore_depth_nobasin,IF(max_excav_depth&gt;deep_bore_need,bore_depth_max,bore_depth_min))</f>
        <v>10</v>
      </c>
      <c r="D33" s="5" t="s">
        <v>61</v>
      </c>
    </row>
    <row r="34" spans="1:4" x14ac:dyDescent="0.15">
      <c r="A34" s="108" t="s">
        <v>1845</v>
      </c>
      <c r="B34" s="3" t="s">
        <v>1846</v>
      </c>
      <c r="C34" s="49">
        <f>IF(OR(max_excav_depth&gt;0,tech_fp&gt;bore_need),0,ROUNDUP(tech_fp/hole_per_sf,0))</f>
        <v>0</v>
      </c>
    </row>
    <row r="35" spans="1:4" x14ac:dyDescent="0.15">
      <c r="A35" s="108" t="s">
        <v>1847</v>
      </c>
      <c r="B35" s="3" t="s">
        <v>1848</v>
      </c>
      <c r="C35" s="49">
        <f>IF(AND(max_excav_depth=0,tech_fp&lt;bore_need),0,IF(ROUNDUP(tech_fp/hole_per_sf,0)&lt;min_holes,min_holes,ROUNDUP(tech_fp/hole_per_sf,0)))</f>
        <v>4</v>
      </c>
    </row>
    <row r="36" spans="1:4" x14ac:dyDescent="0.15">
      <c r="B36" s="3"/>
      <c r="C36" s="49"/>
    </row>
    <row r="37" spans="1:4" x14ac:dyDescent="0.15">
      <c r="A37" s="661" t="s">
        <v>1849</v>
      </c>
      <c r="B37" s="3"/>
      <c r="C37" s="49"/>
    </row>
    <row r="38" spans="1:4" x14ac:dyDescent="0.15">
      <c r="A38" s="108" t="s">
        <v>1850</v>
      </c>
      <c r="C38" s="7">
        <f>IF(num_pits&gt;0,1,ROUNDUP(num_holes/hole_per_job,0))*VLOOKUP(0,stake_out_cost_cl,3)</f>
        <v>1475</v>
      </c>
    </row>
    <row r="39" spans="1:4" x14ac:dyDescent="0.15">
      <c r="A39" s="108" t="s">
        <v>1851</v>
      </c>
      <c r="C39" s="7">
        <f>ROUNDUP(num_holes/hole_per_job,0)*VLOOKUP(0,bore_draw_cost_cl,3)</f>
        <v>425</v>
      </c>
    </row>
    <row r="40" spans="1:4" x14ac:dyDescent="0.15">
      <c r="A40" s="108" t="s">
        <v>1852</v>
      </c>
      <c r="C40" s="7">
        <f>IF(num_pits&gt;0,1,ROUNDUP(num_holes/hole_per_job,0))*VLOOKUP(0,bore_report_cost_cl,3)</f>
        <v>970</v>
      </c>
    </row>
    <row r="41" spans="1:4" x14ac:dyDescent="0.15">
      <c r="A41" s="108" t="s">
        <v>1853</v>
      </c>
      <c r="C41" s="7">
        <f>IF(num_pits&gt;0,0,1)*VLOOKUP(0,bore_mob_cost_cl,3)</f>
        <v>660</v>
      </c>
    </row>
    <row r="42" spans="1:4" x14ac:dyDescent="0.15">
      <c r="A42" s="108" t="s">
        <v>1854</v>
      </c>
      <c r="C42" s="7">
        <f>ROUNDUP(bore_depth*num_holes/hole_per_day,0)*VLOOKUP(0,bore_rig_cost_cl,3)</f>
        <v>2650</v>
      </c>
    </row>
    <row r="43" spans="1:4" x14ac:dyDescent="0.15">
      <c r="A43" s="108" t="s">
        <v>1855</v>
      </c>
      <c r="C43" s="7">
        <f>num_holes*bore_depth*VLOOKUP(0,bore_cost_cl,3)</f>
        <v>2560</v>
      </c>
    </row>
    <row r="44" spans="1:4" x14ac:dyDescent="0.15">
      <c r="A44" s="108" t="s">
        <v>1856</v>
      </c>
      <c r="C44" s="7">
        <f>pit_width*pit_length*pit_depth/27*num_pits*VLOOKUP(0,pit_cost_cl,3)</f>
        <v>0</v>
      </c>
    </row>
    <row r="45" spans="1:4" x14ac:dyDescent="0.15">
      <c r="A45" s="108" t="s">
        <v>1857</v>
      </c>
      <c r="B45" s="3" t="s">
        <v>1858</v>
      </c>
      <c r="C45" s="7">
        <f>SUM(C38:C44)</f>
        <v>8740</v>
      </c>
    </row>
    <row r="46" spans="1:4" x14ac:dyDescent="0.15">
      <c r="A46" s="108"/>
    </row>
    <row r="47" spans="1:4" x14ac:dyDescent="0.15">
      <c r="A47" s="108" t="s">
        <v>1859</v>
      </c>
      <c r="B47" s="3" t="s">
        <v>1860</v>
      </c>
      <c r="C47" s="7">
        <f>(tech_fp-ep_fp)*sitework_sf_cl</f>
        <v>52713.494505494506</v>
      </c>
    </row>
    <row r="49" spans="1:5" x14ac:dyDescent="0.15">
      <c r="A49" s="2" t="s">
        <v>2238</v>
      </c>
    </row>
    <row r="50" spans="1:5" x14ac:dyDescent="0.15">
      <c r="A50" s="108" t="s">
        <v>2797</v>
      </c>
      <c r="B50" s="3" t="s">
        <v>2798</v>
      </c>
      <c r="C50">
        <f>SUMPRODUCT(OUTPUT!G105:G109,OUTPUT!L105:L109)</f>
        <v>10</v>
      </c>
      <c r="D50" t="s">
        <v>1333</v>
      </c>
      <c r="E50" s="6" t="s">
        <v>3457</v>
      </c>
    </row>
    <row r="51" spans="1:5" x14ac:dyDescent="0.15">
      <c r="A51" s="108" t="s">
        <v>2799</v>
      </c>
      <c r="B51" s="3" t="s">
        <v>2800</v>
      </c>
      <c r="C51">
        <f>MAX(frost,min_trench_depth)</f>
        <v>38</v>
      </c>
      <c r="D51" t="s">
        <v>973</v>
      </c>
    </row>
    <row r="52" spans="1:5" x14ac:dyDescent="0.15">
      <c r="A52" s="108" t="s">
        <v>2801</v>
      </c>
      <c r="B52" s="3" t="s">
        <v>1187</v>
      </c>
      <c r="C52" s="49">
        <f>VLOOKUP(yard_pipe_diam,thrust_block_table_cl,2)*2.2</f>
        <v>17189.503372607793</v>
      </c>
      <c r="D52" t="s">
        <v>264</v>
      </c>
    </row>
    <row r="53" spans="1:5" x14ac:dyDescent="0.15">
      <c r="A53" s="108" t="s">
        <v>1188</v>
      </c>
      <c r="B53" s="3" t="s">
        <v>1189</v>
      </c>
      <c r="C53">
        <f>1.5*thrust_force/(soil_dens*(trench_depth/12+yard_pipe_diam/12)*Coeff_Kp*Reduction)</f>
        <v>47.433451545861359</v>
      </c>
      <c r="D53" t="s">
        <v>851</v>
      </c>
    </row>
    <row r="54" spans="1:5" x14ac:dyDescent="0.15">
      <c r="A54" s="108" t="s">
        <v>1190</v>
      </c>
      <c r="B54" s="3"/>
      <c r="C54">
        <f>bearing_area/C55</f>
        <v>9.739964224355381</v>
      </c>
      <c r="D54" t="s">
        <v>2845</v>
      </c>
    </row>
    <row r="55" spans="1:5" x14ac:dyDescent="0.15">
      <c r="A55" s="108" t="s">
        <v>1191</v>
      </c>
      <c r="B55" s="3"/>
      <c r="C55">
        <f>(bearing_area/2)^0.5</f>
        <v>4.8699821121776905</v>
      </c>
      <c r="D55" t="s">
        <v>2845</v>
      </c>
    </row>
    <row r="56" spans="1:5" x14ac:dyDescent="0.15">
      <c r="A56" s="108" t="s">
        <v>1192</v>
      </c>
      <c r="B56" s="3"/>
      <c r="C56">
        <f>MAX(0.5,yard_pipe_diam/12)</f>
        <v>0.83333333333333337</v>
      </c>
      <c r="D56" t="s">
        <v>2845</v>
      </c>
      <c r="E56" s="6" t="s">
        <v>1193</v>
      </c>
    </row>
    <row r="57" spans="1:5" x14ac:dyDescent="0.15">
      <c r="A57" s="108" t="s">
        <v>1194</v>
      </c>
      <c r="B57" s="3"/>
      <c r="C57">
        <f>C54/2</f>
        <v>4.8699821121776905</v>
      </c>
      <c r="D57" t="s">
        <v>2845</v>
      </c>
    </row>
    <row r="58" spans="1:5" x14ac:dyDescent="0.15">
      <c r="A58" s="108" t="s">
        <v>1195</v>
      </c>
      <c r="B58" s="3" t="s">
        <v>1196</v>
      </c>
      <c r="C58">
        <f>(C57+(yard_pipe_diam/12)/2)*(C54+C56)/2*C55/27</f>
        <v>5.0410907934552354</v>
      </c>
      <c r="D58" t="s">
        <v>1351</v>
      </c>
    </row>
    <row r="59" spans="1:5" x14ac:dyDescent="0.15">
      <c r="A59" s="108" t="s">
        <v>1197</v>
      </c>
      <c r="B59" s="3" t="s">
        <v>1198</v>
      </c>
      <c r="C59" s="83">
        <f>(yard_pipe_diam/12+2)*(bedding_depth/12+yard_pipe_diam/12+trench_depth/12)+(bedding_depth/12+yard_pipe_diam/12+trench_depth/12)^2*TAN(trench_angle)</f>
        <v>33</v>
      </c>
      <c r="D59" t="s">
        <v>851</v>
      </c>
    </row>
    <row r="60" spans="1:5" x14ac:dyDescent="0.15">
      <c r="A60" s="108" t="s">
        <v>1199</v>
      </c>
      <c r="B60" s="3"/>
      <c r="C60" s="9">
        <f>trench_area*yard_in/27</f>
        <v>0</v>
      </c>
      <c r="D60" t="s">
        <v>1351</v>
      </c>
    </row>
    <row r="61" spans="1:5" x14ac:dyDescent="0.15">
      <c r="A61" s="108" t="s">
        <v>3466</v>
      </c>
      <c r="B61" s="3"/>
      <c r="C61" s="83">
        <f>((2*non_fire_buffer)+2*(build1_fp^0.5)/4)*trench_area/27</f>
        <v>60.442986938945459</v>
      </c>
      <c r="D61" t="s">
        <v>1351</v>
      </c>
    </row>
    <row r="62" spans="1:5" x14ac:dyDescent="0.15">
      <c r="A62" s="108" t="s">
        <v>1862</v>
      </c>
      <c r="B62" s="3"/>
      <c r="C62" s="83">
        <f>IF(build2_fp=0,0,((2*non_fire_buffer)+2*(build2_fp^0.5)/4)*trench_area/27)</f>
        <v>0</v>
      </c>
      <c r="D62" t="s">
        <v>1351</v>
      </c>
    </row>
    <row r="63" spans="1:5" x14ac:dyDescent="0.15">
      <c r="A63" s="108" t="s">
        <v>1720</v>
      </c>
      <c r="C63" s="9">
        <f>trench_area*yard_out/27</f>
        <v>0</v>
      </c>
      <c r="D63" t="s">
        <v>1351</v>
      </c>
    </row>
    <row r="64" spans="1:5" x14ac:dyDescent="0.15">
      <c r="A64" s="108" t="s">
        <v>1721</v>
      </c>
      <c r="B64" s="3" t="s">
        <v>1722</v>
      </c>
      <c r="C64" s="9">
        <f>SUM(C60:C63)+block_vol</f>
        <v>65.484077732400692</v>
      </c>
      <c r="D64" t="s">
        <v>1351</v>
      </c>
    </row>
    <row r="65" spans="1:5" x14ac:dyDescent="0.15">
      <c r="A65" s="108" t="s">
        <v>1723</v>
      </c>
      <c r="B65" s="3" t="s">
        <v>1724</v>
      </c>
      <c r="C65" s="9">
        <f>yard_in+yard_out+2*((2*non_fire_buffer)+2*(build1_fp^0.5)/4+IF(build2_fp=0,0,((2*non_fire_buffer)+2*(build2_fp^0.5)/4))+2*(trench_depth+yard_pipe_diam)/12)</f>
        <v>114.90670590009256</v>
      </c>
      <c r="D65" t="s">
        <v>1332</v>
      </c>
    </row>
    <row r="66" spans="1:5" x14ac:dyDescent="0.15">
      <c r="A66" s="108" t="s">
        <v>2195</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x14ac:dyDescent="0.15">
      <c r="A67" s="108" t="s">
        <v>1802</v>
      </c>
      <c r="B67" s="3" t="s">
        <v>1803</v>
      </c>
      <c r="C67">
        <f>C66*yard_pipe_length/2/27</f>
        <v>5.1113295473541243</v>
      </c>
      <c r="D67" t="s">
        <v>1351</v>
      </c>
    </row>
    <row r="69" spans="1:5" x14ac:dyDescent="0.15">
      <c r="A69" s="661" t="s">
        <v>1849</v>
      </c>
    </row>
    <row r="70" spans="1:5" x14ac:dyDescent="0.15">
      <c r="A70" s="108" t="s">
        <v>1804</v>
      </c>
      <c r="C70" s="80">
        <f>VLOOKUP(0,bedding_cost_cl,3)*bedding_vol</f>
        <v>231.79879497250954</v>
      </c>
    </row>
    <row r="71" spans="1:5" x14ac:dyDescent="0.15">
      <c r="A71" s="108" t="s">
        <v>1805</v>
      </c>
      <c r="C71" s="80">
        <f>trench_vol*VLOOKUP(0,excavate_cost_cl,3)</f>
        <v>2022.1483203765331</v>
      </c>
    </row>
    <row r="72" spans="1:5" x14ac:dyDescent="0.15">
      <c r="A72" s="108" t="s">
        <v>1806</v>
      </c>
      <c r="C72" s="80">
        <f>trench_vol*VLOOKUP(0,backfill_cost_cl,3)</f>
        <v>1221.2780497092729</v>
      </c>
    </row>
    <row r="73" spans="1:5" x14ac:dyDescent="0.15">
      <c r="A73" s="108" t="s">
        <v>1807</v>
      </c>
      <c r="C73" s="80">
        <f>block_vol*VLOOKUP(0,conc_basin_cost_cl,3)</f>
        <v>3728.4189242229577</v>
      </c>
    </row>
    <row r="74" spans="1:5" x14ac:dyDescent="0.15">
      <c r="A74" s="108" t="s">
        <v>1808</v>
      </c>
      <c r="C74" s="80">
        <f>yard_pipe_length*SUMPRODUCT(OUTPUT!I105:I109,OUTPUT!L105:L109)</f>
        <v>2200.2556971127819</v>
      </c>
      <c r="E74" s="6" t="s">
        <v>3457</v>
      </c>
    </row>
    <row r="75" spans="1:5" x14ac:dyDescent="0.15">
      <c r="A75" s="108" t="s">
        <v>1809</v>
      </c>
      <c r="B75" s="3" t="s">
        <v>1810</v>
      </c>
      <c r="C75" s="85">
        <f>SUM(C70:C74)</f>
        <v>9403.8997863940549</v>
      </c>
    </row>
    <row r="77" spans="1:5" x14ac:dyDescent="0.15">
      <c r="A77" s="2" t="s">
        <v>2244</v>
      </c>
    </row>
    <row r="78" spans="1:5" x14ac:dyDescent="0.15">
      <c r="A78" s="108" t="s">
        <v>2651</v>
      </c>
      <c r="C78" s="7">
        <f>SUMPRODUCT(OUTPUT!K304:K316,OUTPUT!L304:L316)</f>
        <v>25</v>
      </c>
      <c r="E78" s="6" t="s">
        <v>2652</v>
      </c>
    </row>
    <row r="79" spans="1:5" x14ac:dyDescent="0.15">
      <c r="A79" s="108" t="s">
        <v>2653</v>
      </c>
      <c r="C79" s="7">
        <f>SUMPRODUCT(OUTPUT!K318:K330,OUTPUT!L318:L330)</f>
        <v>0</v>
      </c>
      <c r="E79" s="6" t="s">
        <v>2652</v>
      </c>
    </row>
    <row r="80" spans="1:5" x14ac:dyDescent="0.15">
      <c r="A80" s="108" t="s">
        <v>884</v>
      </c>
      <c r="C80" s="7">
        <f>VLOOKUP(design_flow,UBC_mult_table_cl,3)*(BPCost_UBC97(C78)+BPCost_UBC97(C79))</f>
        <v>37.6</v>
      </c>
      <c r="E80" s="6" t="s">
        <v>3443</v>
      </c>
    </row>
    <row r="81" spans="1:5" x14ac:dyDescent="0.15">
      <c r="A81" s="108" t="s">
        <v>885</v>
      </c>
      <c r="C81" s="7">
        <f>IF(res_s2_opt=1,VLOOKUP(res_flow_annual/365,NPDES_permit_cost_cl,2),0)</f>
        <v>0</v>
      </c>
      <c r="E81" s="6" t="s">
        <v>834</v>
      </c>
    </row>
    <row r="82" spans="1:5" x14ac:dyDescent="0.15">
      <c r="A82" s="660" t="s">
        <v>3444</v>
      </c>
      <c r="C82" s="7">
        <f>IF(res_s2_opt=2,pretreat_permit_cost_cl,0)</f>
        <v>0</v>
      </c>
      <c r="E82" s="6" t="s">
        <v>3445</v>
      </c>
    </row>
    <row r="83" spans="1:5" x14ac:dyDescent="0.15">
      <c r="A83" s="108" t="s">
        <v>835</v>
      </c>
      <c r="C83" s="7">
        <f>VLOOKUP(land_required,SW_permit_cost_cl,2)</f>
        <v>0</v>
      </c>
      <c r="E83" s="6" t="s">
        <v>836</v>
      </c>
    </row>
    <row r="84" spans="1:5" x14ac:dyDescent="0.15">
      <c r="A84" s="108" t="s">
        <v>792</v>
      </c>
      <c r="C84" s="80">
        <v>0</v>
      </c>
      <c r="E84" s="6" t="s">
        <v>3234</v>
      </c>
    </row>
    <row r="85" spans="1:5" x14ac:dyDescent="0.15">
      <c r="A85" s="660" t="s">
        <v>793</v>
      </c>
      <c r="B85" s="526"/>
      <c r="C85" s="851">
        <f>CHOOSE(include_NEPA,IF(res_s2_opt=1,NEPA_SW_cost_cl,0),IF(res_s2_opt=1,NEPA_SW_cost_cl,VLOOKUP(land_required,NEPA_cost_cl,2)),0)</f>
        <v>0</v>
      </c>
      <c r="D85" s="526"/>
      <c r="E85" s="657" t="s">
        <v>3446</v>
      </c>
    </row>
    <row r="86" spans="1:5" x14ac:dyDescent="0.15">
      <c r="A86" s="108" t="s">
        <v>794</v>
      </c>
      <c r="B86" s="3" t="s">
        <v>795</v>
      </c>
      <c r="C86" s="74">
        <f>SUM(C80:C85)</f>
        <v>37.6</v>
      </c>
    </row>
    <row r="88" spans="1:5" x14ac:dyDescent="0.15">
      <c r="A88" s="2" t="s">
        <v>1900</v>
      </c>
    </row>
    <row r="89" spans="1:5" x14ac:dyDescent="0.15">
      <c r="A89" s="108" t="s">
        <v>2558</v>
      </c>
      <c r="C89" s="74">
        <f>br_ins_pct*direct_cost</f>
        <v>2778.2081689093202</v>
      </c>
    </row>
    <row r="90" spans="1:5" x14ac:dyDescent="0.15">
      <c r="A90" s="108" t="s">
        <v>1901</v>
      </c>
      <c r="C90" s="74">
        <f>include_bond*(VLOOKUP(direct_cost,performance_bond_table_cl,3)+VLOOKUP(direct_cost,performance_bond_table_cl,4)*(direct_cost-VLOOKUP(direct_cost,performance_bond_table_cl,5)))</f>
        <v>11671.200496792118</v>
      </c>
      <c r="E90" s="6" t="s">
        <v>2485</v>
      </c>
    </row>
    <row r="91" spans="1:5" x14ac:dyDescent="0.15">
      <c r="A91" s="108" t="s">
        <v>1902</v>
      </c>
      <c r="C91" s="514">
        <f>VLOOKUP(direct_cost,construction_mgt_table_cl,3)</f>
        <v>0.06</v>
      </c>
      <c r="E91" s="6" t="s">
        <v>2278</v>
      </c>
    </row>
    <row r="92" spans="1:5" x14ac:dyDescent="0.15">
      <c r="A92" s="108" t="s">
        <v>1903</v>
      </c>
      <c r="C92" s="74">
        <f>IF(ss_cat2=1,include_cm_pre,include_cm)*C91*direct_cost</f>
        <v>49027.202980752707</v>
      </c>
    </row>
    <row r="93" spans="1:5" x14ac:dyDescent="0.15">
      <c r="A93" s="108" t="s">
        <v>2483</v>
      </c>
      <c r="B93" s="3" t="s">
        <v>2484</v>
      </c>
      <c r="C93" s="74">
        <f>SUM(C89:C90,C92)</f>
        <v>63476.611646454141</v>
      </c>
    </row>
    <row r="95" spans="1:5" x14ac:dyDescent="0.15">
      <c r="A95" s="2" t="s">
        <v>3475</v>
      </c>
    </row>
    <row r="96" spans="1:5" x14ac:dyDescent="0.15">
      <c r="A96" s="660" t="s">
        <v>3476</v>
      </c>
      <c r="B96" s="3" t="s">
        <v>3477</v>
      </c>
      <c r="C96" s="857">
        <f>Annualized_Capital_Cost/Annualized_Cost</f>
        <v>0.13397091356577795</v>
      </c>
    </row>
    <row r="97" spans="1:3" x14ac:dyDescent="0.15">
      <c r="A97" s="660" t="s">
        <v>3478</v>
      </c>
      <c r="B97" s="3" t="s">
        <v>3479</v>
      </c>
      <c r="C97" s="857">
        <f>OM_cost/Annualized_Cost</f>
        <v>0.86602908643422194</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x14ac:dyDescent="0.15"/>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x14ac:dyDescent="0.15">
      <c r="A1" s="805" t="s">
        <v>3260</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x14ac:dyDescent="0.15">
      <c r="A2" s="807" t="s">
        <v>3261</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x14ac:dyDescent="0.15">
      <c r="A3" s="807" t="s">
        <v>3262</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x14ac:dyDescent="0.15">
      <c r="A4" s="807" t="s">
        <v>3263</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x14ac:dyDescent="0.15">
      <c r="A5" s="807" t="s">
        <v>3264</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x14ac:dyDescent="0.15">
      <c r="A6" s="807" t="s">
        <v>3265</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x14ac:dyDescent="0.15">
      <c r="A7" s="807" t="s">
        <v>3266</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x14ac:dyDescent="0.15">
      <c r="A8" s="807" t="s">
        <v>3267</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x14ac:dyDescent="0.15">
      <c r="A9" s="994" t="s">
        <v>3268</v>
      </c>
      <c r="B9" s="996" t="s">
        <v>3269</v>
      </c>
      <c r="C9" s="996" t="s">
        <v>3270</v>
      </c>
      <c r="D9" s="996" t="s">
        <v>3271</v>
      </c>
      <c r="E9" s="999" t="s">
        <v>3272</v>
      </c>
      <c r="F9" s="991" t="s">
        <v>3273</v>
      </c>
      <c r="G9" s="992"/>
      <c r="H9" s="992"/>
      <c r="I9" s="992"/>
      <c r="J9" s="992"/>
      <c r="K9" s="993"/>
      <c r="L9" s="1004" t="s">
        <v>3274</v>
      </c>
      <c r="M9" s="1005"/>
      <c r="N9" s="1005"/>
      <c r="O9" s="1005"/>
      <c r="P9" s="1005"/>
      <c r="Q9" s="1005"/>
      <c r="R9" s="1005"/>
      <c r="S9" s="1005"/>
      <c r="T9" s="1005"/>
      <c r="U9" s="1005"/>
      <c r="V9" s="1005"/>
      <c r="W9" s="1005"/>
      <c r="X9" s="1005"/>
      <c r="Y9" s="1005"/>
      <c r="Z9" s="1005"/>
      <c r="AA9" s="1005"/>
      <c r="AB9" s="1005"/>
      <c r="AC9" s="1005"/>
      <c r="AD9" s="1005"/>
      <c r="AE9" s="1005"/>
      <c r="AF9" s="1005"/>
      <c r="AG9" s="1005"/>
      <c r="AH9" s="1005"/>
      <c r="AI9" s="1005"/>
      <c r="AJ9" s="1005"/>
      <c r="AK9" s="1005"/>
      <c r="AL9" s="1005"/>
      <c r="AM9" s="1005"/>
      <c r="AN9" s="1005"/>
      <c r="AO9" s="1006"/>
      <c r="AP9" s="1007" t="s">
        <v>3275</v>
      </c>
      <c r="AQ9" s="1008"/>
      <c r="AR9" s="1008"/>
      <c r="AS9" s="1008"/>
      <c r="AT9" s="1008"/>
      <c r="AU9" s="1008"/>
      <c r="AV9" s="1008"/>
      <c r="AW9" s="1008"/>
      <c r="AX9" s="1008"/>
      <c r="AY9" s="1008"/>
      <c r="AZ9" s="1008"/>
      <c r="BA9" s="1008"/>
      <c r="BB9" s="1008"/>
      <c r="BC9" s="1008"/>
      <c r="BD9" s="1008"/>
      <c r="BE9" s="1008"/>
      <c r="BF9" s="1008"/>
      <c r="BG9" s="1008"/>
      <c r="BH9" s="1009" t="s">
        <v>3276</v>
      </c>
      <c r="BI9" s="1010"/>
      <c r="BJ9" s="1010"/>
      <c r="BK9" s="1010"/>
      <c r="BL9" s="1010"/>
      <c r="BM9" s="1010"/>
      <c r="BN9" s="1010"/>
      <c r="BO9" s="1010"/>
      <c r="BP9" s="1010"/>
      <c r="BQ9" s="1010"/>
      <c r="BR9" s="1010"/>
      <c r="BS9" s="1010"/>
      <c r="BT9" s="1010"/>
      <c r="BU9" s="1010"/>
      <c r="BV9" s="1010"/>
      <c r="BW9" s="1010"/>
      <c r="BX9" s="1010"/>
      <c r="BY9" s="1011"/>
      <c r="BZ9" s="1012" t="s">
        <v>3277</v>
      </c>
    </row>
    <row r="10" spans="1:78" s="809" customFormat="1" x14ac:dyDescent="0.15">
      <c r="A10" s="995"/>
      <c r="B10" s="997"/>
      <c r="C10" s="997"/>
      <c r="D10" s="997"/>
      <c r="E10" s="1000"/>
      <c r="F10" s="1001" t="s">
        <v>3278</v>
      </c>
      <c r="G10" s="1002"/>
      <c r="H10" s="1003"/>
      <c r="I10" s="1001" t="s">
        <v>3279</v>
      </c>
      <c r="J10" s="1002"/>
      <c r="K10" s="1003"/>
      <c r="L10" s="1002" t="s">
        <v>3280</v>
      </c>
      <c r="M10" s="1002"/>
      <c r="N10" s="1003"/>
      <c r="O10" s="1001" t="s">
        <v>3281</v>
      </c>
      <c r="P10" s="1002"/>
      <c r="Q10" s="1003"/>
      <c r="R10" s="1001" t="s">
        <v>3282</v>
      </c>
      <c r="S10" s="1002"/>
      <c r="T10" s="1003"/>
      <c r="U10" s="1001" t="s">
        <v>3283</v>
      </c>
      <c r="V10" s="1002"/>
      <c r="W10" s="1003"/>
      <c r="X10" s="1001" t="s">
        <v>3284</v>
      </c>
      <c r="Y10" s="1002"/>
      <c r="Z10" s="1003"/>
      <c r="AA10" s="1001" t="s">
        <v>3285</v>
      </c>
      <c r="AB10" s="1002"/>
      <c r="AC10" s="1003"/>
      <c r="AD10" s="1001" t="s">
        <v>3286</v>
      </c>
      <c r="AE10" s="1002"/>
      <c r="AF10" s="1003"/>
      <c r="AG10" s="1001" t="s">
        <v>3287</v>
      </c>
      <c r="AH10" s="1002"/>
      <c r="AI10" s="1003"/>
      <c r="AJ10" s="1001" t="s">
        <v>3288</v>
      </c>
      <c r="AK10" s="1002"/>
      <c r="AL10" s="1003"/>
      <c r="AM10" s="1001" t="s">
        <v>3289</v>
      </c>
      <c r="AN10" s="1002"/>
      <c r="AO10" s="1003"/>
      <c r="AP10" s="1001" t="s">
        <v>3290</v>
      </c>
      <c r="AQ10" s="1002"/>
      <c r="AR10" s="1003"/>
      <c r="AS10" s="1001" t="s">
        <v>3291</v>
      </c>
      <c r="AT10" s="1002"/>
      <c r="AU10" s="1003"/>
      <c r="AV10" s="1001" t="s">
        <v>3292</v>
      </c>
      <c r="AW10" s="1002"/>
      <c r="AX10" s="1003"/>
      <c r="AY10" s="1001" t="s">
        <v>3293</v>
      </c>
      <c r="AZ10" s="1002"/>
      <c r="BA10" s="1003"/>
      <c r="BB10" s="1001" t="s">
        <v>3294</v>
      </c>
      <c r="BC10" s="1002"/>
      <c r="BD10" s="1003"/>
      <c r="BE10" s="1001" t="s">
        <v>3295</v>
      </c>
      <c r="BF10" s="1002"/>
      <c r="BG10" s="1003"/>
      <c r="BH10" s="1001" t="s">
        <v>3207</v>
      </c>
      <c r="BI10" s="1002"/>
      <c r="BJ10" s="1003"/>
      <c r="BK10" s="1001" t="s">
        <v>3296</v>
      </c>
      <c r="BL10" s="1002"/>
      <c r="BM10" s="1003"/>
      <c r="BN10" s="1001" t="s">
        <v>3297</v>
      </c>
      <c r="BO10" s="1002"/>
      <c r="BP10" s="1003"/>
      <c r="BQ10" s="1001" t="s">
        <v>3298</v>
      </c>
      <c r="BR10" s="1002"/>
      <c r="BS10" s="1003"/>
      <c r="BT10" s="1001" t="s">
        <v>3299</v>
      </c>
      <c r="BU10" s="1002"/>
      <c r="BV10" s="1003"/>
      <c r="BW10" s="1001" t="s">
        <v>3300</v>
      </c>
      <c r="BX10" s="1002"/>
      <c r="BY10" s="1003"/>
      <c r="BZ10" s="1013"/>
    </row>
    <row r="11" spans="1:78" s="814" customFormat="1" ht="28" x14ac:dyDescent="0.15">
      <c r="A11" s="995"/>
      <c r="B11" s="997"/>
      <c r="C11" s="998"/>
      <c r="D11" s="997"/>
      <c r="E11" s="1000"/>
      <c r="F11" s="810" t="s">
        <v>3301</v>
      </c>
      <c r="G11" s="811" t="s">
        <v>3302</v>
      </c>
      <c r="H11" s="812" t="s">
        <v>3303</v>
      </c>
      <c r="I11" s="810" t="s">
        <v>3301</v>
      </c>
      <c r="J11" s="811" t="s">
        <v>3302</v>
      </c>
      <c r="K11" s="812" t="s">
        <v>3303</v>
      </c>
      <c r="L11" s="813" t="s">
        <v>3301</v>
      </c>
      <c r="M11" s="811" t="s">
        <v>3302</v>
      </c>
      <c r="N11" s="812" t="s">
        <v>3303</v>
      </c>
      <c r="O11" s="810" t="s">
        <v>3301</v>
      </c>
      <c r="P11" s="811" t="s">
        <v>3302</v>
      </c>
      <c r="Q11" s="812" t="s">
        <v>3303</v>
      </c>
      <c r="R11" s="810" t="s">
        <v>3301</v>
      </c>
      <c r="S11" s="811" t="s">
        <v>3302</v>
      </c>
      <c r="T11" s="812" t="s">
        <v>3303</v>
      </c>
      <c r="U11" s="810" t="s">
        <v>3301</v>
      </c>
      <c r="V11" s="811" t="s">
        <v>3302</v>
      </c>
      <c r="W11" s="812" t="s">
        <v>3303</v>
      </c>
      <c r="X11" s="810" t="s">
        <v>3301</v>
      </c>
      <c r="Y11" s="811" t="s">
        <v>3302</v>
      </c>
      <c r="Z11" s="812" t="s">
        <v>3303</v>
      </c>
      <c r="AA11" s="810" t="s">
        <v>3301</v>
      </c>
      <c r="AB11" s="811" t="s">
        <v>3302</v>
      </c>
      <c r="AC11" s="812" t="s">
        <v>3303</v>
      </c>
      <c r="AD11" s="810" t="s">
        <v>3301</v>
      </c>
      <c r="AE11" s="811" t="s">
        <v>3302</v>
      </c>
      <c r="AF11" s="812" t="s">
        <v>3303</v>
      </c>
      <c r="AG11" s="810" t="s">
        <v>3301</v>
      </c>
      <c r="AH11" s="811" t="s">
        <v>3302</v>
      </c>
      <c r="AI11" s="812" t="s">
        <v>3303</v>
      </c>
      <c r="AJ11" s="810" t="s">
        <v>3301</v>
      </c>
      <c r="AK11" s="811" t="s">
        <v>3302</v>
      </c>
      <c r="AL11" s="812" t="s">
        <v>3303</v>
      </c>
      <c r="AM11" s="810" t="s">
        <v>3301</v>
      </c>
      <c r="AN11" s="811" t="s">
        <v>3302</v>
      </c>
      <c r="AO11" s="812" t="s">
        <v>3303</v>
      </c>
      <c r="AP11" s="810" t="s">
        <v>3301</v>
      </c>
      <c r="AQ11" s="811" t="s">
        <v>3302</v>
      </c>
      <c r="AR11" s="812" t="s">
        <v>3303</v>
      </c>
      <c r="AS11" s="810" t="s">
        <v>3301</v>
      </c>
      <c r="AT11" s="811" t="s">
        <v>3302</v>
      </c>
      <c r="AU11" s="812" t="s">
        <v>3303</v>
      </c>
      <c r="AV11" s="810" t="s">
        <v>3301</v>
      </c>
      <c r="AW11" s="811" t="s">
        <v>3302</v>
      </c>
      <c r="AX11" s="812" t="s">
        <v>3303</v>
      </c>
      <c r="AY11" s="810" t="s">
        <v>3301</v>
      </c>
      <c r="AZ11" s="811" t="s">
        <v>3302</v>
      </c>
      <c r="BA11" s="812" t="s">
        <v>3303</v>
      </c>
      <c r="BB11" s="810" t="s">
        <v>3301</v>
      </c>
      <c r="BC11" s="811" t="s">
        <v>3302</v>
      </c>
      <c r="BD11" s="812" t="s">
        <v>3303</v>
      </c>
      <c r="BE11" s="810" t="s">
        <v>3301</v>
      </c>
      <c r="BF11" s="811" t="s">
        <v>3302</v>
      </c>
      <c r="BG11" s="812" t="s">
        <v>3303</v>
      </c>
      <c r="BH11" s="810" t="s">
        <v>3301</v>
      </c>
      <c r="BI11" s="811" t="s">
        <v>3302</v>
      </c>
      <c r="BJ11" s="812" t="s">
        <v>3303</v>
      </c>
      <c r="BK11" s="810" t="s">
        <v>3301</v>
      </c>
      <c r="BL11" s="811" t="s">
        <v>3302</v>
      </c>
      <c r="BM11" s="812" t="s">
        <v>3303</v>
      </c>
      <c r="BN11" s="810" t="s">
        <v>3301</v>
      </c>
      <c r="BO11" s="811" t="s">
        <v>3302</v>
      </c>
      <c r="BP11" s="812" t="s">
        <v>3303</v>
      </c>
      <c r="BQ11" s="810" t="s">
        <v>3301</v>
      </c>
      <c r="BR11" s="811" t="s">
        <v>3302</v>
      </c>
      <c r="BS11" s="812" t="s">
        <v>3303</v>
      </c>
      <c r="BT11" s="810" t="s">
        <v>3301</v>
      </c>
      <c r="BU11" s="811" t="s">
        <v>3302</v>
      </c>
      <c r="BV11" s="812" t="s">
        <v>3303</v>
      </c>
      <c r="BW11" s="810" t="s">
        <v>3301</v>
      </c>
      <c r="BX11" s="811" t="s">
        <v>3302</v>
      </c>
      <c r="BY11" s="812" t="s">
        <v>3303</v>
      </c>
      <c r="BZ11" s="1013"/>
    </row>
    <row r="12" spans="1:78" s="821" customFormat="1" x14ac:dyDescent="0.15">
      <c r="A12" s="815" t="s">
        <v>3304</v>
      </c>
      <c r="B12" s="816">
        <v>2</v>
      </c>
      <c r="C12" s="816">
        <v>6</v>
      </c>
      <c r="D12" s="816">
        <v>180</v>
      </c>
      <c r="E12" s="817">
        <v>1.36</v>
      </c>
      <c r="F12" s="818">
        <v>87</v>
      </c>
      <c r="G12" s="816" t="s">
        <v>2904</v>
      </c>
      <c r="H12" s="819" t="s">
        <v>2904</v>
      </c>
      <c r="I12" s="818">
        <v>93</v>
      </c>
      <c r="J12" s="816" t="s">
        <v>2904</v>
      </c>
      <c r="K12" s="819" t="s">
        <v>2904</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3429</v>
      </c>
    </row>
    <row r="13" spans="1:78" s="829" customFormat="1" x14ac:dyDescent="0.15">
      <c r="A13" s="822" t="s">
        <v>3305</v>
      </c>
      <c r="B13" s="823">
        <v>2</v>
      </c>
      <c r="C13" s="823">
        <v>3</v>
      </c>
      <c r="D13" s="823" t="s">
        <v>3306</v>
      </c>
      <c r="E13" s="824">
        <v>2.4</v>
      </c>
      <c r="F13" s="825">
        <v>11.98</v>
      </c>
      <c r="G13" s="823" t="s">
        <v>2904</v>
      </c>
      <c r="H13" s="826" t="s">
        <v>2904</v>
      </c>
      <c r="I13" s="825">
        <v>14.56</v>
      </c>
      <c r="J13" s="823" t="s">
        <v>2904</v>
      </c>
      <c r="K13" s="826" t="s">
        <v>2904</v>
      </c>
      <c r="L13" s="823">
        <v>11.72</v>
      </c>
      <c r="M13" s="823">
        <v>337</v>
      </c>
      <c r="N13" s="826">
        <v>3369</v>
      </c>
      <c r="O13" s="825">
        <v>25.61</v>
      </c>
      <c r="P13" s="823">
        <v>422</v>
      </c>
      <c r="Q13" s="826">
        <v>4219</v>
      </c>
      <c r="R13" s="825">
        <v>27.65</v>
      </c>
      <c r="S13" s="823">
        <v>33435</v>
      </c>
      <c r="T13" s="826">
        <v>34596</v>
      </c>
      <c r="U13" s="825">
        <v>18.8</v>
      </c>
      <c r="V13" s="823" t="s">
        <v>2904</v>
      </c>
      <c r="W13" s="826" t="s">
        <v>2904</v>
      </c>
      <c r="X13" s="825">
        <v>2.56</v>
      </c>
      <c r="Y13" s="823" t="s">
        <v>2904</v>
      </c>
      <c r="Z13" s="826" t="s">
        <v>2904</v>
      </c>
      <c r="AA13" s="825">
        <v>1.45</v>
      </c>
      <c r="AB13" s="823" t="s">
        <v>2904</v>
      </c>
      <c r="AC13" s="826" t="s">
        <v>2904</v>
      </c>
      <c r="AD13" s="825" t="s">
        <v>3307</v>
      </c>
      <c r="AE13" s="823" t="s">
        <v>3307</v>
      </c>
      <c r="AF13" s="826" t="s">
        <v>3307</v>
      </c>
      <c r="AG13" s="825" t="s">
        <v>3307</v>
      </c>
      <c r="AH13" s="823" t="s">
        <v>3307</v>
      </c>
      <c r="AI13" s="826" t="s">
        <v>3307</v>
      </c>
      <c r="AJ13" s="825" t="s">
        <v>3307</v>
      </c>
      <c r="AK13" s="823" t="s">
        <v>3307</v>
      </c>
      <c r="AL13" s="826" t="s">
        <v>3307</v>
      </c>
      <c r="AM13" s="825" t="s">
        <v>3307</v>
      </c>
      <c r="AN13" s="823" t="s">
        <v>3307</v>
      </c>
      <c r="AO13" s="826" t="s">
        <v>3307</v>
      </c>
      <c r="AP13" s="825">
        <v>4.08</v>
      </c>
      <c r="AQ13" s="823" t="s">
        <v>2904</v>
      </c>
      <c r="AR13" s="826" t="s">
        <v>2904</v>
      </c>
      <c r="AS13" s="827">
        <v>0.44</v>
      </c>
      <c r="AT13" s="823" t="s">
        <v>2904</v>
      </c>
      <c r="AU13" s="826" t="s">
        <v>2904</v>
      </c>
      <c r="AV13" s="825">
        <v>6.3</v>
      </c>
      <c r="AW13" s="823" t="s">
        <v>2904</v>
      </c>
      <c r="AX13" s="826" t="s">
        <v>2904</v>
      </c>
      <c r="AY13" s="825" t="s">
        <v>3307</v>
      </c>
      <c r="AZ13" s="823" t="s">
        <v>3307</v>
      </c>
      <c r="BA13" s="826" t="s">
        <v>3307</v>
      </c>
      <c r="BB13" s="825" t="s">
        <v>3307</v>
      </c>
      <c r="BC13" s="823" t="s">
        <v>3307</v>
      </c>
      <c r="BD13" s="826" t="s">
        <v>3307</v>
      </c>
      <c r="BE13" s="825" t="s">
        <v>3307</v>
      </c>
      <c r="BF13" s="823" t="s">
        <v>3307</v>
      </c>
      <c r="BG13" s="826" t="s">
        <v>3307</v>
      </c>
      <c r="BH13" s="825">
        <v>19.87</v>
      </c>
      <c r="BI13" s="823">
        <v>46908</v>
      </c>
      <c r="BJ13" s="826">
        <v>47693</v>
      </c>
      <c r="BK13" s="825"/>
      <c r="BL13" s="823"/>
      <c r="BM13" s="826"/>
      <c r="BN13" s="825"/>
      <c r="BO13" s="823"/>
      <c r="BP13" s="826"/>
      <c r="BQ13" s="825" t="s">
        <v>3307</v>
      </c>
      <c r="BR13" s="823" t="s">
        <v>3307</v>
      </c>
      <c r="BS13" s="826" t="s">
        <v>3307</v>
      </c>
      <c r="BT13" s="825" t="s">
        <v>3307</v>
      </c>
      <c r="BU13" s="823" t="s">
        <v>3307</v>
      </c>
      <c r="BV13" s="826" t="s">
        <v>3307</v>
      </c>
      <c r="BW13" s="825" t="s">
        <v>3307</v>
      </c>
      <c r="BX13" s="823" t="s">
        <v>3307</v>
      </c>
      <c r="BY13" s="826" t="s">
        <v>3307</v>
      </c>
      <c r="BZ13" s="828" t="s">
        <v>3308</v>
      </c>
    </row>
    <row r="14" spans="1:78" s="821" customFormat="1" x14ac:dyDescent="0.15">
      <c r="A14" s="815" t="s">
        <v>3309</v>
      </c>
      <c r="B14" s="816">
        <v>1</v>
      </c>
      <c r="C14" s="841">
        <v>1.5</v>
      </c>
      <c r="D14" s="816" t="s">
        <v>3306</v>
      </c>
      <c r="E14" s="830">
        <v>2.4</v>
      </c>
      <c r="F14" s="818">
        <v>11.98</v>
      </c>
      <c r="G14" s="816">
        <v>149407</v>
      </c>
      <c r="H14" s="819">
        <v>164739</v>
      </c>
      <c r="I14" s="818">
        <v>14.56</v>
      </c>
      <c r="J14" s="816" t="s">
        <v>2904</v>
      </c>
      <c r="K14" s="819" t="s">
        <v>2904</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2904</v>
      </c>
      <c r="Z14" s="819" t="s">
        <v>2904</v>
      </c>
      <c r="AA14" s="818">
        <v>1.45</v>
      </c>
      <c r="AB14" s="816" t="s">
        <v>2904</v>
      </c>
      <c r="AC14" s="819" t="s">
        <v>2904</v>
      </c>
      <c r="AD14" s="818" t="s">
        <v>3307</v>
      </c>
      <c r="AE14" s="816" t="s">
        <v>3307</v>
      </c>
      <c r="AF14" s="819" t="s">
        <v>3307</v>
      </c>
      <c r="AG14" s="818" t="s">
        <v>3307</v>
      </c>
      <c r="AH14" s="816" t="s">
        <v>3307</v>
      </c>
      <c r="AI14" s="819" t="s">
        <v>3307</v>
      </c>
      <c r="AJ14" s="818" t="s">
        <v>3307</v>
      </c>
      <c r="AK14" s="816" t="s">
        <v>3307</v>
      </c>
      <c r="AL14" s="819" t="s">
        <v>3307</v>
      </c>
      <c r="AM14" s="818" t="s">
        <v>3307</v>
      </c>
      <c r="AN14" s="816" t="s">
        <v>3307</v>
      </c>
      <c r="AO14" s="819" t="s">
        <v>3307</v>
      </c>
      <c r="AP14" s="818">
        <v>4.08</v>
      </c>
      <c r="AQ14" s="816" t="s">
        <v>2904</v>
      </c>
      <c r="AR14" s="819" t="s">
        <v>2904</v>
      </c>
      <c r="AS14" s="831">
        <v>0.44</v>
      </c>
      <c r="AT14" s="816" t="s">
        <v>2904</v>
      </c>
      <c r="AU14" s="819" t="s">
        <v>2904</v>
      </c>
      <c r="AV14" s="818">
        <v>6.3</v>
      </c>
      <c r="AW14" s="816" t="s">
        <v>2904</v>
      </c>
      <c r="AX14" s="819" t="s">
        <v>2904</v>
      </c>
      <c r="AY14" s="818" t="s">
        <v>3307</v>
      </c>
      <c r="AZ14" s="816" t="s">
        <v>3307</v>
      </c>
      <c r="BA14" s="819" t="s">
        <v>3307</v>
      </c>
      <c r="BB14" s="818" t="s">
        <v>3307</v>
      </c>
      <c r="BC14" s="816" t="s">
        <v>3307</v>
      </c>
      <c r="BD14" s="819" t="s">
        <v>3307</v>
      </c>
      <c r="BE14" s="818" t="s">
        <v>3307</v>
      </c>
      <c r="BF14" s="816" t="s">
        <v>3307</v>
      </c>
      <c r="BG14" s="819" t="s">
        <v>3307</v>
      </c>
      <c r="BH14" s="818">
        <v>19.87</v>
      </c>
      <c r="BI14" s="816">
        <v>626</v>
      </c>
      <c r="BJ14" s="819">
        <v>6256</v>
      </c>
      <c r="BK14" s="818"/>
      <c r="BL14" s="816"/>
      <c r="BM14" s="819"/>
      <c r="BN14" s="818"/>
      <c r="BO14" s="816"/>
      <c r="BP14" s="819"/>
      <c r="BQ14" s="818" t="s">
        <v>3307</v>
      </c>
      <c r="BR14" s="816" t="s">
        <v>3307</v>
      </c>
      <c r="BS14" s="819" t="s">
        <v>3307</v>
      </c>
      <c r="BT14" s="818" t="s">
        <v>3307</v>
      </c>
      <c r="BU14" s="816" t="s">
        <v>3307</v>
      </c>
      <c r="BV14" s="819" t="s">
        <v>3307</v>
      </c>
      <c r="BW14" s="818" t="s">
        <v>3307</v>
      </c>
      <c r="BX14" s="816" t="s">
        <v>3307</v>
      </c>
      <c r="BY14" s="819" t="s">
        <v>3307</v>
      </c>
      <c r="BZ14" s="820" t="s">
        <v>3310</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x14ac:dyDescent="0.15"/>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x14ac:dyDescent="0.15">
      <c r="A1" s="1" t="s">
        <v>2886</v>
      </c>
    </row>
    <row r="2" spans="1:36" s="526" customFormat="1" x14ac:dyDescent="0.15">
      <c r="A2" s="6" t="s">
        <v>2872</v>
      </c>
      <c r="B2" s="1"/>
      <c r="U2" s="654"/>
      <c r="W2" s="655"/>
      <c r="X2" s="655"/>
      <c r="Y2" s="655"/>
      <c r="Z2" s="655"/>
      <c r="AA2" s="655"/>
      <c r="AB2" s="655"/>
      <c r="AC2" s="655"/>
      <c r="AD2" s="655"/>
      <c r="AE2" s="655"/>
      <c r="AF2" s="655"/>
      <c r="AG2" s="655"/>
      <c r="AH2" s="655"/>
      <c r="AI2" s="655"/>
      <c r="AJ2" s="655"/>
    </row>
    <row r="4" spans="1:36" x14ac:dyDescent="0.15">
      <c r="D4" s="6"/>
      <c r="G4" s="9"/>
      <c r="H4" s="9"/>
      <c r="I4" s="9"/>
      <c r="J4" s="9"/>
      <c r="K4" s="9"/>
      <c r="L4" s="9"/>
      <c r="P4" s="374"/>
      <c r="Q4" s="9"/>
      <c r="R4" s="9"/>
      <c r="S4" s="9"/>
      <c r="T4" s="9"/>
      <c r="U4" s="9"/>
      <c r="W4" s="9"/>
      <c r="X4" s="9"/>
    </row>
    <row r="5" spans="1:36" ht="13.5" customHeight="1" x14ac:dyDescent="0.15">
      <c r="G5" s="9"/>
      <c r="H5" s="9"/>
      <c r="I5" s="9"/>
      <c r="J5" s="9"/>
      <c r="K5" s="9"/>
      <c r="L5" s="9"/>
      <c r="P5" s="374"/>
      <c r="Q5" s="9"/>
      <c r="R5" s="9"/>
      <c r="S5" s="9"/>
      <c r="T5" s="9"/>
      <c r="U5" s="9"/>
      <c r="W5" s="9"/>
      <c r="X5" s="9"/>
    </row>
    <row r="6" spans="1:36" x14ac:dyDescent="0.15">
      <c r="A6" s="1015" t="s">
        <v>2942</v>
      </c>
      <c r="B6" s="1016"/>
      <c r="C6" s="1020" t="s">
        <v>2887</v>
      </c>
      <c r="D6" s="1015"/>
      <c r="E6" s="1015"/>
      <c r="F6" s="1016"/>
      <c r="G6" s="1020" t="s">
        <v>3221</v>
      </c>
      <c r="H6" s="1015"/>
      <c r="I6" s="1015"/>
      <c r="J6" s="1020" t="s">
        <v>2888</v>
      </c>
      <c r="K6" s="1015"/>
      <c r="L6" s="1015"/>
      <c r="M6" s="1015"/>
      <c r="N6" s="1015"/>
      <c r="O6" s="1015"/>
      <c r="P6" s="1015"/>
      <c r="Q6" s="1020" t="s">
        <v>677</v>
      </c>
      <c r="R6" s="1015"/>
      <c r="S6" s="1015"/>
      <c r="T6" s="1015"/>
      <c r="U6" s="1016"/>
      <c r="V6" s="1017" t="s">
        <v>2889</v>
      </c>
      <c r="W6" s="1018"/>
      <c r="X6" s="1018"/>
      <c r="Y6" s="1018"/>
      <c r="Z6" s="1018"/>
      <c r="AA6" s="1018"/>
      <c r="AB6" s="1018"/>
      <c r="AC6" s="1018"/>
      <c r="AD6" s="1018"/>
      <c r="AE6" s="1019"/>
      <c r="AF6" s="1"/>
    </row>
    <row r="7" spans="1:36" s="48" customFormat="1" ht="56" x14ac:dyDescent="0.15">
      <c r="A7" s="778" t="s">
        <v>3214</v>
      </c>
      <c r="B7" s="86" t="s">
        <v>1353</v>
      </c>
      <c r="C7" s="367" t="s">
        <v>162</v>
      </c>
      <c r="D7" s="87" t="s">
        <v>921</v>
      </c>
      <c r="E7" s="87" t="str">
        <f>IF(COUNTIF(F9:F64,"=1")&gt;0,"Average flow (mgd)","")</f>
        <v/>
      </c>
      <c r="F7" s="368" t="s">
        <v>161</v>
      </c>
      <c r="G7" s="367" t="s">
        <v>37</v>
      </c>
      <c r="H7" s="778" t="s">
        <v>3423</v>
      </c>
      <c r="I7" s="778" t="s">
        <v>3424</v>
      </c>
      <c r="J7" s="367" t="s">
        <v>1305</v>
      </c>
      <c r="K7" s="87" t="s">
        <v>57</v>
      </c>
      <c r="L7" s="778" t="s">
        <v>3415</v>
      </c>
      <c r="M7" s="87" t="s">
        <v>59</v>
      </c>
      <c r="N7" s="87" t="s">
        <v>160</v>
      </c>
      <c r="O7" s="87" t="s">
        <v>1358</v>
      </c>
      <c r="P7" s="87" t="s">
        <v>1354</v>
      </c>
      <c r="Q7" s="367" t="s">
        <v>159</v>
      </c>
      <c r="R7" s="87" t="s">
        <v>2176</v>
      </c>
      <c r="S7" s="87" t="s">
        <v>1157</v>
      </c>
      <c r="T7" s="87" t="s">
        <v>1153</v>
      </c>
      <c r="U7" s="368" t="s">
        <v>2175</v>
      </c>
      <c r="V7" s="367" t="s">
        <v>1304</v>
      </c>
      <c r="W7" s="87" t="s">
        <v>1819</v>
      </c>
      <c r="X7" s="87" t="s">
        <v>1303</v>
      </c>
      <c r="Y7" s="87" t="s">
        <v>1896</v>
      </c>
      <c r="Z7" s="87" t="s">
        <v>1897</v>
      </c>
      <c r="AA7" s="87" t="s">
        <v>1172</v>
      </c>
      <c r="AB7" s="87" t="s">
        <v>158</v>
      </c>
      <c r="AC7" s="48" t="s">
        <v>3184</v>
      </c>
      <c r="AD7" s="87" t="s">
        <v>3187</v>
      </c>
      <c r="AE7" s="368" t="s">
        <v>3190</v>
      </c>
      <c r="AG7" s="1014" t="s">
        <v>2943</v>
      </c>
      <c r="AH7" s="1014"/>
      <c r="AI7" s="1014"/>
      <c r="AJ7" s="1014"/>
    </row>
    <row r="8" spans="1:36" x14ac:dyDescent="0.15">
      <c r="B8" s="8"/>
      <c r="C8" s="3" t="s">
        <v>52</v>
      </c>
      <c r="D8" s="3" t="s">
        <v>922</v>
      </c>
      <c r="E8" s="3" t="s">
        <v>56</v>
      </c>
      <c r="F8" s="3" t="s">
        <v>54</v>
      </c>
      <c r="G8" s="3" t="s">
        <v>3014</v>
      </c>
      <c r="H8" s="3" t="s">
        <v>2678</v>
      </c>
      <c r="I8" s="3" t="s">
        <v>3425</v>
      </c>
      <c r="J8" s="3" t="s">
        <v>1504</v>
      </c>
      <c r="K8" s="3" t="s">
        <v>1505</v>
      </c>
      <c r="L8" s="3" t="s">
        <v>3416</v>
      </c>
      <c r="M8" s="3" t="s">
        <v>65</v>
      </c>
      <c r="N8" s="3" t="s">
        <v>595</v>
      </c>
      <c r="O8" s="3" t="s">
        <v>740</v>
      </c>
      <c r="P8" s="3" t="s">
        <v>741</v>
      </c>
      <c r="Q8" s="3" t="s">
        <v>2201</v>
      </c>
      <c r="R8" s="3" t="s">
        <v>2203</v>
      </c>
      <c r="S8" s="3" t="s">
        <v>2202</v>
      </c>
      <c r="T8" s="3" t="s">
        <v>2204</v>
      </c>
      <c r="U8" s="3" t="s">
        <v>2205</v>
      </c>
      <c r="V8" s="3" t="s">
        <v>1033</v>
      </c>
      <c r="W8" s="782" t="s">
        <v>1034</v>
      </c>
      <c r="X8" s="782" t="s">
        <v>3015</v>
      </c>
      <c r="Y8" s="782" t="s">
        <v>1035</v>
      </c>
      <c r="Z8" s="782" t="s">
        <v>1883</v>
      </c>
      <c r="AA8" s="782" t="s">
        <v>2198</v>
      </c>
      <c r="AB8" s="782" t="s">
        <v>1036</v>
      </c>
      <c r="AC8" s="782" t="s">
        <v>3185</v>
      </c>
      <c r="AD8" s="782" t="s">
        <v>3188</v>
      </c>
      <c r="AE8" s="782" t="s">
        <v>3191</v>
      </c>
      <c r="AG8" s="847" t="s">
        <v>3418</v>
      </c>
      <c r="AH8" s="847" t="s">
        <v>3419</v>
      </c>
      <c r="AI8" s="847" t="s">
        <v>3420</v>
      </c>
      <c r="AJ8" s="847" t="s">
        <v>3421</v>
      </c>
    </row>
    <row r="9" spans="1:36" x14ac:dyDescent="0.15">
      <c r="A9" s="369">
        <v>1</v>
      </c>
      <c r="B9" s="370">
        <v>1</v>
      </c>
      <c r="C9" s="369">
        <v>0.03</v>
      </c>
      <c r="D9" s="373" t="s">
        <v>51</v>
      </c>
      <c r="E9" s="373">
        <v>7.0000000000000001E-3</v>
      </c>
      <c r="F9" s="370" t="s">
        <v>51</v>
      </c>
      <c r="G9" s="369" t="s">
        <v>1503</v>
      </c>
      <c r="H9" s="373">
        <v>240000</v>
      </c>
      <c r="I9" s="373" t="s">
        <v>2679</v>
      </c>
      <c r="J9" s="369">
        <v>2</v>
      </c>
      <c r="K9" s="373">
        <v>6</v>
      </c>
      <c r="L9" s="526" t="s">
        <v>2903</v>
      </c>
      <c r="M9" s="376"/>
      <c r="N9" s="526"/>
      <c r="O9" s="5"/>
      <c r="P9" s="268"/>
      <c r="Q9" s="373"/>
      <c r="R9" s="373" t="s">
        <v>1914</v>
      </c>
      <c r="S9" s="373" t="s">
        <v>923</v>
      </c>
      <c r="T9" s="373" t="s">
        <v>3530</v>
      </c>
      <c r="U9" s="370"/>
      <c r="V9" s="369">
        <v>0</v>
      </c>
      <c r="AA9" t="s">
        <v>1302</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x14ac:dyDescent="0.15">
      <c r="A10" s="114">
        <v>1</v>
      </c>
      <c r="B10" s="268">
        <v>2</v>
      </c>
      <c r="C10" s="114">
        <v>0.124</v>
      </c>
      <c r="D10" t="s">
        <v>51</v>
      </c>
      <c r="E10">
        <v>3.5000000000000003E-2</v>
      </c>
      <c r="F10" s="268" t="s">
        <v>51</v>
      </c>
      <c r="G10" s="114" t="s">
        <v>1503</v>
      </c>
      <c r="H10">
        <v>240000</v>
      </c>
      <c r="I10" t="s">
        <v>2679</v>
      </c>
      <c r="J10" s="114">
        <v>2</v>
      </c>
      <c r="K10">
        <v>6</v>
      </c>
      <c r="L10" t="s">
        <v>2903</v>
      </c>
      <c r="M10" s="376"/>
      <c r="O10" s="5"/>
      <c r="P10" s="268"/>
      <c r="R10" t="s">
        <v>1914</v>
      </c>
      <c r="S10" t="s">
        <v>923</v>
      </c>
      <c r="T10" t="s">
        <v>3530</v>
      </c>
      <c r="U10" s="268"/>
      <c r="V10" s="114">
        <v>0</v>
      </c>
      <c r="AA10" t="s">
        <v>1302</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x14ac:dyDescent="0.15">
      <c r="A11" s="114">
        <v>1</v>
      </c>
      <c r="B11" s="268">
        <v>3</v>
      </c>
      <c r="C11" s="114">
        <v>0.30499999999999999</v>
      </c>
      <c r="D11" t="s">
        <v>51</v>
      </c>
      <c r="E11">
        <v>9.4E-2</v>
      </c>
      <c r="F11" s="268" t="s">
        <v>51</v>
      </c>
      <c r="G11" s="114" t="s">
        <v>1503</v>
      </c>
      <c r="H11">
        <v>240000</v>
      </c>
      <c r="I11" t="s">
        <v>2679</v>
      </c>
      <c r="J11" s="114">
        <v>2</v>
      </c>
      <c r="K11">
        <v>6</v>
      </c>
      <c r="L11" t="s">
        <v>2903</v>
      </c>
      <c r="M11" s="376"/>
      <c r="O11" s="5"/>
      <c r="P11" s="268"/>
      <c r="R11" t="s">
        <v>1914</v>
      </c>
      <c r="S11" t="s">
        <v>923</v>
      </c>
      <c r="T11" t="s">
        <v>3530</v>
      </c>
      <c r="U11" s="268"/>
      <c r="V11" s="114">
        <v>0</v>
      </c>
      <c r="AA11" t="s">
        <v>1302</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x14ac:dyDescent="0.15">
      <c r="A12" s="114">
        <v>1</v>
      </c>
      <c r="B12" s="268">
        <v>4</v>
      </c>
      <c r="C12" s="114">
        <v>0.74</v>
      </c>
      <c r="D12" t="s">
        <v>51</v>
      </c>
      <c r="E12">
        <v>0.251</v>
      </c>
      <c r="F12" s="268" t="s">
        <v>51</v>
      </c>
      <c r="G12" s="114" t="s">
        <v>1503</v>
      </c>
      <c r="H12">
        <v>240000</v>
      </c>
      <c r="I12" t="s">
        <v>2679</v>
      </c>
      <c r="J12" s="114">
        <v>2</v>
      </c>
      <c r="K12">
        <v>6</v>
      </c>
      <c r="L12" t="s">
        <v>2903</v>
      </c>
      <c r="M12" s="376"/>
      <c r="P12" s="268"/>
      <c r="R12" t="s">
        <v>1914</v>
      </c>
      <c r="S12" t="s">
        <v>923</v>
      </c>
      <c r="T12" t="s">
        <v>3530</v>
      </c>
      <c r="U12" s="268"/>
      <c r="V12" s="114">
        <v>0</v>
      </c>
      <c r="AA12" t="s">
        <v>1302</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x14ac:dyDescent="0.15">
      <c r="A13" s="114">
        <v>1</v>
      </c>
      <c r="B13" s="268">
        <v>5</v>
      </c>
      <c r="C13" s="114">
        <v>2.1520000000000001</v>
      </c>
      <c r="D13" t="s">
        <v>51</v>
      </c>
      <c r="E13">
        <v>0.81899999999999995</v>
      </c>
      <c r="F13" s="268" t="s">
        <v>51</v>
      </c>
      <c r="G13" s="114" t="s">
        <v>1503</v>
      </c>
      <c r="H13">
        <v>240000</v>
      </c>
      <c r="I13" t="s">
        <v>2679</v>
      </c>
      <c r="J13" s="114">
        <v>2</v>
      </c>
      <c r="K13">
        <v>6</v>
      </c>
      <c r="L13" t="s">
        <v>2903</v>
      </c>
      <c r="M13" s="376"/>
      <c r="P13" s="268"/>
      <c r="R13" t="s">
        <v>1914</v>
      </c>
      <c r="S13" t="s">
        <v>923</v>
      </c>
      <c r="T13" t="s">
        <v>3530</v>
      </c>
      <c r="U13" s="268"/>
      <c r="V13" s="114">
        <v>0</v>
      </c>
      <c r="AA13" t="s">
        <v>1302</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x14ac:dyDescent="0.15">
      <c r="A14" s="114">
        <v>1</v>
      </c>
      <c r="B14" s="268">
        <v>6</v>
      </c>
      <c r="C14" s="114">
        <v>7.3650000000000002</v>
      </c>
      <c r="D14" t="s">
        <v>51</v>
      </c>
      <c r="E14">
        <v>3.2</v>
      </c>
      <c r="F14" s="268" t="s">
        <v>51</v>
      </c>
      <c r="G14" s="114" t="s">
        <v>1503</v>
      </c>
      <c r="H14">
        <v>240000</v>
      </c>
      <c r="I14" t="s">
        <v>2679</v>
      </c>
      <c r="J14" s="114">
        <v>2</v>
      </c>
      <c r="K14">
        <v>6</v>
      </c>
      <c r="L14" t="s">
        <v>2903</v>
      </c>
      <c r="M14" s="376"/>
      <c r="P14" s="268"/>
      <c r="R14" t="s">
        <v>1914</v>
      </c>
      <c r="S14" t="s">
        <v>923</v>
      </c>
      <c r="T14" t="s">
        <v>3530</v>
      </c>
      <c r="U14" s="268"/>
      <c r="V14" s="114">
        <v>0</v>
      </c>
      <c r="AA14" t="s">
        <v>1302</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x14ac:dyDescent="0.15">
      <c r="A15" s="114">
        <v>1</v>
      </c>
      <c r="B15" s="268">
        <v>7</v>
      </c>
      <c r="C15" s="114">
        <v>22.614000000000001</v>
      </c>
      <c r="D15" t="s">
        <v>51</v>
      </c>
      <c r="E15">
        <v>11.066000000000001</v>
      </c>
      <c r="F15" s="268" t="s">
        <v>51</v>
      </c>
      <c r="G15" s="114" t="s">
        <v>1503</v>
      </c>
      <c r="H15">
        <v>240000</v>
      </c>
      <c r="I15" t="s">
        <v>2679</v>
      </c>
      <c r="J15" s="114">
        <v>2</v>
      </c>
      <c r="K15">
        <v>6</v>
      </c>
      <c r="L15" t="s">
        <v>2903</v>
      </c>
      <c r="M15" s="376"/>
      <c r="P15" s="268"/>
      <c r="R15" t="s">
        <v>1914</v>
      </c>
      <c r="S15" t="s">
        <v>923</v>
      </c>
      <c r="T15" t="s">
        <v>3530</v>
      </c>
      <c r="U15" s="268"/>
      <c r="V15" s="114">
        <v>0</v>
      </c>
      <c r="AA15" t="s">
        <v>1302</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x14ac:dyDescent="0.15">
      <c r="A16" s="371">
        <v>1</v>
      </c>
      <c r="B16" s="372">
        <v>8</v>
      </c>
      <c r="C16" s="371">
        <v>75.072000000000003</v>
      </c>
      <c r="D16" s="320" t="s">
        <v>51</v>
      </c>
      <c r="E16" s="320">
        <v>37.536000000000001</v>
      </c>
      <c r="F16" s="372" t="s">
        <v>51</v>
      </c>
      <c r="G16" s="371" t="s">
        <v>1503</v>
      </c>
      <c r="H16" s="320">
        <v>240000</v>
      </c>
      <c r="I16" s="320" t="s">
        <v>2679</v>
      </c>
      <c r="J16" s="371">
        <v>2</v>
      </c>
      <c r="K16" s="320">
        <v>6</v>
      </c>
      <c r="L16" s="320" t="s">
        <v>2903</v>
      </c>
      <c r="M16" s="619"/>
      <c r="P16" s="372"/>
      <c r="R16" s="320" t="s">
        <v>1914</v>
      </c>
      <c r="S16" s="320" t="s">
        <v>923</v>
      </c>
      <c r="T16" s="320" t="s">
        <v>3530</v>
      </c>
      <c r="U16" s="372"/>
      <c r="V16" s="371">
        <v>0</v>
      </c>
      <c r="AA16" s="320" t="s">
        <v>1302</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x14ac:dyDescent="0.15">
      <c r="A17" s="114">
        <v>2</v>
      </c>
      <c r="B17" s="268">
        <v>1</v>
      </c>
      <c r="C17" s="114">
        <v>0.03</v>
      </c>
      <c r="D17" t="s">
        <v>51</v>
      </c>
      <c r="E17">
        <v>7.0000000000000001E-3</v>
      </c>
      <c r="F17" s="268" t="s">
        <v>51</v>
      </c>
      <c r="G17" s="114" t="s">
        <v>1503</v>
      </c>
      <c r="H17">
        <v>240000</v>
      </c>
      <c r="I17" t="s">
        <v>2679</v>
      </c>
      <c r="J17" s="114">
        <v>2</v>
      </c>
      <c r="K17">
        <v>6</v>
      </c>
      <c r="L17" t="s">
        <v>2903</v>
      </c>
      <c r="M17" s="376"/>
      <c r="O17" s="5"/>
      <c r="P17" s="268"/>
      <c r="R17" t="s">
        <v>1914</v>
      </c>
      <c r="S17" t="s">
        <v>923</v>
      </c>
      <c r="T17" t="s">
        <v>3530</v>
      </c>
      <c r="U17" s="268"/>
      <c r="V17" s="114">
        <v>0</v>
      </c>
      <c r="AA17" t="s">
        <v>1302</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x14ac:dyDescent="0.15">
      <c r="A18" s="114">
        <v>2</v>
      </c>
      <c r="B18" s="268">
        <v>2</v>
      </c>
      <c r="C18" s="114">
        <v>0.124</v>
      </c>
      <c r="D18" t="s">
        <v>51</v>
      </c>
      <c r="E18">
        <v>3.5000000000000003E-2</v>
      </c>
      <c r="F18" s="268" t="s">
        <v>51</v>
      </c>
      <c r="G18" s="114" t="s">
        <v>1503</v>
      </c>
      <c r="H18">
        <v>240000</v>
      </c>
      <c r="I18" t="s">
        <v>2679</v>
      </c>
      <c r="J18" s="114">
        <v>2</v>
      </c>
      <c r="K18">
        <v>6</v>
      </c>
      <c r="L18" t="s">
        <v>2903</v>
      </c>
      <c r="M18" s="376"/>
      <c r="O18" s="5"/>
      <c r="P18" s="268"/>
      <c r="R18" t="s">
        <v>1914</v>
      </c>
      <c r="S18" t="s">
        <v>923</v>
      </c>
      <c r="T18" t="s">
        <v>3530</v>
      </c>
      <c r="U18" s="268"/>
      <c r="V18" s="114">
        <v>0</v>
      </c>
      <c r="AA18" t="s">
        <v>1302</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x14ac:dyDescent="0.15">
      <c r="A19" s="114">
        <v>2</v>
      </c>
      <c r="B19" s="268">
        <v>3</v>
      </c>
      <c r="C19" s="114">
        <v>0.30499999999999999</v>
      </c>
      <c r="D19" t="s">
        <v>51</v>
      </c>
      <c r="E19">
        <v>9.4E-2</v>
      </c>
      <c r="F19" s="268" t="s">
        <v>51</v>
      </c>
      <c r="G19" s="114" t="s">
        <v>1503</v>
      </c>
      <c r="H19">
        <v>240000</v>
      </c>
      <c r="I19" t="s">
        <v>2679</v>
      </c>
      <c r="J19" s="114">
        <v>2</v>
      </c>
      <c r="K19">
        <v>6</v>
      </c>
      <c r="L19" t="s">
        <v>2903</v>
      </c>
      <c r="M19" s="376"/>
      <c r="O19" s="5"/>
      <c r="P19" s="268"/>
      <c r="R19" t="s">
        <v>1914</v>
      </c>
      <c r="S19" t="s">
        <v>923</v>
      </c>
      <c r="T19" t="s">
        <v>3530</v>
      </c>
      <c r="U19" s="268"/>
      <c r="V19" s="114">
        <v>0</v>
      </c>
      <c r="AA19" t="s">
        <v>1302</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x14ac:dyDescent="0.15">
      <c r="A20" s="114">
        <v>2</v>
      </c>
      <c r="B20" s="268">
        <v>4</v>
      </c>
      <c r="C20" s="114">
        <v>0.74</v>
      </c>
      <c r="D20" t="s">
        <v>51</v>
      </c>
      <c r="E20">
        <v>0.251</v>
      </c>
      <c r="F20" s="268" t="s">
        <v>51</v>
      </c>
      <c r="G20" s="114" t="s">
        <v>1503</v>
      </c>
      <c r="H20">
        <v>240000</v>
      </c>
      <c r="I20" t="s">
        <v>2679</v>
      </c>
      <c r="J20" s="114">
        <v>2</v>
      </c>
      <c r="K20">
        <v>6</v>
      </c>
      <c r="L20" t="s">
        <v>2903</v>
      </c>
      <c r="M20" s="376"/>
      <c r="P20" s="268"/>
      <c r="R20" t="s">
        <v>1914</v>
      </c>
      <c r="S20" t="s">
        <v>923</v>
      </c>
      <c r="T20" t="s">
        <v>3530</v>
      </c>
      <c r="U20" s="268"/>
      <c r="V20" s="114">
        <v>0</v>
      </c>
      <c r="AA20" t="s">
        <v>1302</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x14ac:dyDescent="0.15">
      <c r="A21" s="114">
        <v>2</v>
      </c>
      <c r="B21" s="268">
        <v>5</v>
      </c>
      <c r="C21" s="114">
        <v>2.1520000000000001</v>
      </c>
      <c r="D21" t="s">
        <v>51</v>
      </c>
      <c r="E21">
        <v>0.81899999999999995</v>
      </c>
      <c r="F21" s="268" t="s">
        <v>51</v>
      </c>
      <c r="G21" s="114" t="s">
        <v>1503</v>
      </c>
      <c r="H21">
        <v>240000</v>
      </c>
      <c r="I21" t="s">
        <v>2679</v>
      </c>
      <c r="J21" s="114">
        <v>2</v>
      </c>
      <c r="K21">
        <v>6</v>
      </c>
      <c r="L21" t="s">
        <v>2903</v>
      </c>
      <c r="M21" s="376"/>
      <c r="P21" s="268"/>
      <c r="R21" t="s">
        <v>1914</v>
      </c>
      <c r="S21" t="s">
        <v>923</v>
      </c>
      <c r="T21" t="s">
        <v>3530</v>
      </c>
      <c r="U21" s="268"/>
      <c r="V21" s="114">
        <v>0</v>
      </c>
      <c r="AA21" t="s">
        <v>1302</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x14ac:dyDescent="0.15">
      <c r="A22" s="114">
        <v>2</v>
      </c>
      <c r="B22" s="268">
        <v>6</v>
      </c>
      <c r="C22" s="114">
        <v>7.3650000000000002</v>
      </c>
      <c r="D22" t="s">
        <v>51</v>
      </c>
      <c r="E22">
        <v>3.2</v>
      </c>
      <c r="F22" s="268" t="s">
        <v>51</v>
      </c>
      <c r="G22" s="114" t="s">
        <v>1503</v>
      </c>
      <c r="H22">
        <v>240000</v>
      </c>
      <c r="I22" t="s">
        <v>2679</v>
      </c>
      <c r="J22" s="114">
        <v>2</v>
      </c>
      <c r="K22">
        <v>6</v>
      </c>
      <c r="L22" t="s">
        <v>2903</v>
      </c>
      <c r="M22" s="376"/>
      <c r="P22" s="268"/>
      <c r="R22" t="s">
        <v>1914</v>
      </c>
      <c r="S22" t="s">
        <v>923</v>
      </c>
      <c r="T22" t="s">
        <v>3530</v>
      </c>
      <c r="U22" s="268"/>
      <c r="V22" s="114">
        <v>0</v>
      </c>
      <c r="AA22" t="s">
        <v>1302</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x14ac:dyDescent="0.15">
      <c r="A23" s="114">
        <v>2</v>
      </c>
      <c r="B23" s="268">
        <v>7</v>
      </c>
      <c r="C23" s="114">
        <v>22.614000000000001</v>
      </c>
      <c r="D23" t="s">
        <v>51</v>
      </c>
      <c r="E23">
        <v>11.066000000000001</v>
      </c>
      <c r="F23" s="268" t="s">
        <v>51</v>
      </c>
      <c r="G23" s="114" t="s">
        <v>1503</v>
      </c>
      <c r="H23">
        <v>240000</v>
      </c>
      <c r="I23" t="s">
        <v>2679</v>
      </c>
      <c r="J23" s="114">
        <v>2</v>
      </c>
      <c r="K23">
        <v>6</v>
      </c>
      <c r="L23" t="s">
        <v>2903</v>
      </c>
      <c r="M23" s="376"/>
      <c r="P23" s="268"/>
      <c r="R23" t="s">
        <v>1914</v>
      </c>
      <c r="S23" t="s">
        <v>923</v>
      </c>
      <c r="T23" t="s">
        <v>3530</v>
      </c>
      <c r="U23" s="268"/>
      <c r="V23" s="114">
        <v>0</v>
      </c>
      <c r="AA23" t="s">
        <v>1302</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x14ac:dyDescent="0.15">
      <c r="A24" s="371">
        <v>2</v>
      </c>
      <c r="B24" s="372">
        <v>8</v>
      </c>
      <c r="C24" s="371">
        <v>75.072000000000003</v>
      </c>
      <c r="D24" s="320" t="s">
        <v>51</v>
      </c>
      <c r="E24" s="320">
        <v>37.536000000000001</v>
      </c>
      <c r="F24" s="372" t="s">
        <v>51</v>
      </c>
      <c r="G24" s="371" t="s">
        <v>1503</v>
      </c>
      <c r="H24" s="320">
        <v>240000</v>
      </c>
      <c r="I24" s="320" t="s">
        <v>2679</v>
      </c>
      <c r="J24" s="371">
        <v>2</v>
      </c>
      <c r="K24" s="320">
        <v>6</v>
      </c>
      <c r="L24" s="320" t="s">
        <v>2903</v>
      </c>
      <c r="M24" s="619"/>
      <c r="P24" s="372"/>
      <c r="R24" s="320" t="s">
        <v>1914</v>
      </c>
      <c r="S24" s="320" t="s">
        <v>923</v>
      </c>
      <c r="T24" s="320" t="s">
        <v>3530</v>
      </c>
      <c r="U24" s="372"/>
      <c r="V24" s="371">
        <v>0</v>
      </c>
      <c r="AA24" s="320" t="s">
        <v>1302</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x14ac:dyDescent="0.15">
      <c r="A25" s="114">
        <v>3</v>
      </c>
      <c r="B25" s="268">
        <v>1</v>
      </c>
      <c r="C25" s="114">
        <v>0.03</v>
      </c>
      <c r="D25" t="s">
        <v>51</v>
      </c>
      <c r="E25">
        <v>7.0000000000000001E-3</v>
      </c>
      <c r="F25" s="268" t="s">
        <v>51</v>
      </c>
      <c r="G25" s="114" t="s">
        <v>1503</v>
      </c>
      <c r="H25">
        <v>240000</v>
      </c>
      <c r="I25" t="s">
        <v>2679</v>
      </c>
      <c r="J25" s="114">
        <v>2</v>
      </c>
      <c r="K25">
        <v>6</v>
      </c>
      <c r="L25" t="s">
        <v>2903</v>
      </c>
      <c r="M25" s="376"/>
      <c r="O25" s="5"/>
      <c r="P25" s="268"/>
      <c r="R25" t="s">
        <v>1914</v>
      </c>
      <c r="S25" t="s">
        <v>923</v>
      </c>
      <c r="T25" t="s">
        <v>3530</v>
      </c>
      <c r="U25" s="268"/>
      <c r="V25" s="114">
        <v>0</v>
      </c>
      <c r="AA25" t="s">
        <v>1302</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x14ac:dyDescent="0.15">
      <c r="A26" s="114">
        <v>3</v>
      </c>
      <c r="B26" s="268">
        <v>2</v>
      </c>
      <c r="C26" s="114">
        <v>0.124</v>
      </c>
      <c r="D26" t="s">
        <v>51</v>
      </c>
      <c r="E26">
        <v>3.5000000000000003E-2</v>
      </c>
      <c r="F26" s="268" t="s">
        <v>51</v>
      </c>
      <c r="G26" s="114" t="s">
        <v>1503</v>
      </c>
      <c r="H26">
        <v>240000</v>
      </c>
      <c r="I26" t="s">
        <v>2679</v>
      </c>
      <c r="J26" s="114">
        <v>2</v>
      </c>
      <c r="K26">
        <v>6</v>
      </c>
      <c r="L26" t="s">
        <v>2903</v>
      </c>
      <c r="M26" s="376"/>
      <c r="O26" s="5"/>
      <c r="P26" s="268"/>
      <c r="R26" t="s">
        <v>1914</v>
      </c>
      <c r="S26" t="s">
        <v>923</v>
      </c>
      <c r="T26" t="s">
        <v>3530</v>
      </c>
      <c r="U26" s="268"/>
      <c r="V26" s="114">
        <v>0</v>
      </c>
      <c r="AA26" t="s">
        <v>1302</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x14ac:dyDescent="0.15">
      <c r="A27" s="114">
        <v>3</v>
      </c>
      <c r="B27" s="268">
        <v>3</v>
      </c>
      <c r="C27" s="114">
        <v>0.30499999999999999</v>
      </c>
      <c r="D27" t="s">
        <v>51</v>
      </c>
      <c r="E27">
        <v>9.4E-2</v>
      </c>
      <c r="F27" s="268" t="s">
        <v>51</v>
      </c>
      <c r="G27" s="114" t="s">
        <v>1503</v>
      </c>
      <c r="H27">
        <v>240000</v>
      </c>
      <c r="I27" t="s">
        <v>2679</v>
      </c>
      <c r="J27" s="114">
        <v>2</v>
      </c>
      <c r="K27">
        <v>6</v>
      </c>
      <c r="L27" t="s">
        <v>2903</v>
      </c>
      <c r="M27" s="376"/>
      <c r="O27" s="5"/>
      <c r="P27" s="268"/>
      <c r="R27" t="s">
        <v>1914</v>
      </c>
      <c r="S27" t="s">
        <v>923</v>
      </c>
      <c r="T27" t="s">
        <v>3530</v>
      </c>
      <c r="U27" s="268"/>
      <c r="V27" s="114">
        <v>0</v>
      </c>
      <c r="AA27" t="s">
        <v>1302</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x14ac:dyDescent="0.15">
      <c r="A28" s="114">
        <v>3</v>
      </c>
      <c r="B28" s="268">
        <v>4</v>
      </c>
      <c r="C28" s="114">
        <v>0.74</v>
      </c>
      <c r="D28" t="s">
        <v>51</v>
      </c>
      <c r="E28">
        <v>0.251</v>
      </c>
      <c r="F28" s="268" t="s">
        <v>51</v>
      </c>
      <c r="G28" s="114" t="s">
        <v>1503</v>
      </c>
      <c r="H28">
        <v>240000</v>
      </c>
      <c r="I28" t="s">
        <v>2679</v>
      </c>
      <c r="J28" s="114">
        <v>2</v>
      </c>
      <c r="K28">
        <v>6</v>
      </c>
      <c r="L28" t="s">
        <v>2903</v>
      </c>
      <c r="M28" s="376"/>
      <c r="P28" s="268"/>
      <c r="R28" t="s">
        <v>1914</v>
      </c>
      <c r="S28" t="s">
        <v>923</v>
      </c>
      <c r="T28" t="s">
        <v>3530</v>
      </c>
      <c r="U28" s="268"/>
      <c r="V28" s="114">
        <v>0</v>
      </c>
      <c r="AA28" t="s">
        <v>1302</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x14ac:dyDescent="0.15">
      <c r="A29" s="114">
        <v>3</v>
      </c>
      <c r="B29" s="268">
        <v>5</v>
      </c>
      <c r="C29" s="114">
        <v>2.1520000000000001</v>
      </c>
      <c r="D29" t="s">
        <v>51</v>
      </c>
      <c r="E29">
        <v>0.81899999999999995</v>
      </c>
      <c r="F29" s="268" t="s">
        <v>51</v>
      </c>
      <c r="G29" s="114" t="s">
        <v>1503</v>
      </c>
      <c r="H29">
        <v>240000</v>
      </c>
      <c r="I29" t="s">
        <v>2679</v>
      </c>
      <c r="J29" s="114">
        <v>2</v>
      </c>
      <c r="K29">
        <v>6</v>
      </c>
      <c r="L29" t="s">
        <v>2903</v>
      </c>
      <c r="M29" s="376"/>
      <c r="P29" s="268"/>
      <c r="R29" t="s">
        <v>1914</v>
      </c>
      <c r="S29" t="s">
        <v>923</v>
      </c>
      <c r="T29" t="s">
        <v>3530</v>
      </c>
      <c r="U29" s="268"/>
      <c r="V29" s="114">
        <v>0</v>
      </c>
      <c r="AA29" t="s">
        <v>1302</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x14ac:dyDescent="0.15">
      <c r="A30" s="114">
        <v>3</v>
      </c>
      <c r="B30" s="268">
        <v>6</v>
      </c>
      <c r="C30" s="114">
        <v>7.3650000000000002</v>
      </c>
      <c r="D30" t="s">
        <v>51</v>
      </c>
      <c r="E30">
        <v>3.2</v>
      </c>
      <c r="F30" s="268" t="s">
        <v>51</v>
      </c>
      <c r="G30" s="114" t="s">
        <v>1503</v>
      </c>
      <c r="H30">
        <v>240000</v>
      </c>
      <c r="I30" t="s">
        <v>2679</v>
      </c>
      <c r="J30" s="114">
        <v>2</v>
      </c>
      <c r="K30">
        <v>6</v>
      </c>
      <c r="L30" t="s">
        <v>2903</v>
      </c>
      <c r="M30" s="376"/>
      <c r="P30" s="268"/>
      <c r="R30" t="s">
        <v>1914</v>
      </c>
      <c r="S30" t="s">
        <v>923</v>
      </c>
      <c r="T30" t="s">
        <v>3530</v>
      </c>
      <c r="U30" s="268"/>
      <c r="V30" s="114">
        <v>0</v>
      </c>
      <c r="AA30" t="s">
        <v>1302</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x14ac:dyDescent="0.15">
      <c r="A31" s="114">
        <v>3</v>
      </c>
      <c r="B31" s="268">
        <v>7</v>
      </c>
      <c r="C31" s="114">
        <v>22.614000000000001</v>
      </c>
      <c r="D31" t="s">
        <v>51</v>
      </c>
      <c r="E31">
        <v>11.066000000000001</v>
      </c>
      <c r="F31" s="268" t="s">
        <v>51</v>
      </c>
      <c r="G31" s="114" t="s">
        <v>1503</v>
      </c>
      <c r="H31">
        <v>240000</v>
      </c>
      <c r="I31" t="s">
        <v>2679</v>
      </c>
      <c r="J31" s="114">
        <v>2</v>
      </c>
      <c r="K31">
        <v>6</v>
      </c>
      <c r="L31" t="s">
        <v>2903</v>
      </c>
      <c r="M31" s="376"/>
      <c r="P31" s="268"/>
      <c r="R31" t="s">
        <v>1914</v>
      </c>
      <c r="S31" t="s">
        <v>923</v>
      </c>
      <c r="T31" t="s">
        <v>3530</v>
      </c>
      <c r="U31" s="268"/>
      <c r="V31" s="114">
        <v>0</v>
      </c>
      <c r="AA31" t="s">
        <v>1302</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x14ac:dyDescent="0.15">
      <c r="A32" s="371">
        <v>3</v>
      </c>
      <c r="B32" s="372">
        <v>8</v>
      </c>
      <c r="C32" s="371">
        <v>75.072000000000003</v>
      </c>
      <c r="D32" s="320" t="s">
        <v>51</v>
      </c>
      <c r="E32" s="320">
        <v>37.536000000000001</v>
      </c>
      <c r="F32" s="372" t="s">
        <v>51</v>
      </c>
      <c r="G32" s="371" t="s">
        <v>1503</v>
      </c>
      <c r="H32" s="320">
        <v>240000</v>
      </c>
      <c r="I32" s="320" t="s">
        <v>2679</v>
      </c>
      <c r="J32" s="371">
        <v>2</v>
      </c>
      <c r="K32" s="320">
        <v>6</v>
      </c>
      <c r="L32" s="320" t="s">
        <v>2903</v>
      </c>
      <c r="M32" s="619"/>
      <c r="P32" s="372"/>
      <c r="R32" s="320" t="s">
        <v>1914</v>
      </c>
      <c r="S32" s="320" t="s">
        <v>923</v>
      </c>
      <c r="T32" s="320" t="s">
        <v>3530</v>
      </c>
      <c r="U32" s="372"/>
      <c r="V32" s="371">
        <v>0</v>
      </c>
      <c r="AA32" s="320" t="s">
        <v>1302</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x14ac:dyDescent="0.15">
      <c r="A33" s="114">
        <v>4</v>
      </c>
      <c r="B33" s="268">
        <v>1</v>
      </c>
      <c r="C33" s="114">
        <v>0.03</v>
      </c>
      <c r="D33" t="s">
        <v>51</v>
      </c>
      <c r="E33">
        <v>7.0000000000000001E-3</v>
      </c>
      <c r="F33" s="268" t="s">
        <v>51</v>
      </c>
      <c r="G33" s="114" t="s">
        <v>1503</v>
      </c>
      <c r="H33">
        <v>200000</v>
      </c>
      <c r="I33" t="s">
        <v>2679</v>
      </c>
      <c r="J33" s="114">
        <v>2</v>
      </c>
      <c r="K33">
        <v>6</v>
      </c>
      <c r="L33" t="s">
        <v>2903</v>
      </c>
      <c r="M33" s="376"/>
      <c r="O33" s="5"/>
      <c r="P33" s="268"/>
      <c r="R33" t="s">
        <v>1914</v>
      </c>
      <c r="S33" t="s">
        <v>923</v>
      </c>
      <c r="T33" t="s">
        <v>3530</v>
      </c>
      <c r="U33" s="268"/>
      <c r="V33" s="114">
        <v>0</v>
      </c>
      <c r="AA33" t="s">
        <v>1302</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x14ac:dyDescent="0.15">
      <c r="A34" s="114">
        <v>4</v>
      </c>
      <c r="B34" s="268">
        <v>2</v>
      </c>
      <c r="C34" s="114">
        <v>0.124</v>
      </c>
      <c r="D34" t="s">
        <v>51</v>
      </c>
      <c r="E34">
        <v>3.5000000000000003E-2</v>
      </c>
      <c r="F34" s="268" t="s">
        <v>51</v>
      </c>
      <c r="G34" s="114" t="s">
        <v>1503</v>
      </c>
      <c r="H34">
        <v>200000</v>
      </c>
      <c r="I34" t="s">
        <v>2679</v>
      </c>
      <c r="J34" s="114">
        <v>2</v>
      </c>
      <c r="K34">
        <v>6</v>
      </c>
      <c r="L34" t="s">
        <v>2903</v>
      </c>
      <c r="M34" s="376"/>
      <c r="O34" s="5"/>
      <c r="P34" s="268"/>
      <c r="R34" t="s">
        <v>1914</v>
      </c>
      <c r="S34" t="s">
        <v>923</v>
      </c>
      <c r="T34" t="s">
        <v>3530</v>
      </c>
      <c r="U34" s="268"/>
      <c r="V34" s="114">
        <v>0</v>
      </c>
      <c r="AA34" t="s">
        <v>1302</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x14ac:dyDescent="0.15">
      <c r="A35" s="114">
        <v>4</v>
      </c>
      <c r="B35" s="268">
        <v>3</v>
      </c>
      <c r="C35" s="114">
        <v>0.30499999999999999</v>
      </c>
      <c r="D35" t="s">
        <v>51</v>
      </c>
      <c r="E35">
        <v>9.4E-2</v>
      </c>
      <c r="F35" s="268" t="s">
        <v>51</v>
      </c>
      <c r="G35" s="114" t="s">
        <v>1503</v>
      </c>
      <c r="H35">
        <v>200000</v>
      </c>
      <c r="I35" t="s">
        <v>2679</v>
      </c>
      <c r="J35" s="114">
        <v>2</v>
      </c>
      <c r="K35">
        <v>6</v>
      </c>
      <c r="L35" t="s">
        <v>2903</v>
      </c>
      <c r="M35" s="376"/>
      <c r="O35" s="5"/>
      <c r="P35" s="268"/>
      <c r="R35" t="s">
        <v>1914</v>
      </c>
      <c r="S35" t="s">
        <v>923</v>
      </c>
      <c r="T35" t="s">
        <v>3530</v>
      </c>
      <c r="U35" s="268"/>
      <c r="V35" s="114">
        <v>0</v>
      </c>
      <c r="AA35" t="s">
        <v>1302</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x14ac:dyDescent="0.15">
      <c r="A36" s="114">
        <v>4</v>
      </c>
      <c r="B36" s="268">
        <v>4</v>
      </c>
      <c r="C36" s="114">
        <v>0.74</v>
      </c>
      <c r="D36" t="s">
        <v>51</v>
      </c>
      <c r="E36">
        <v>0.251</v>
      </c>
      <c r="F36" s="268" t="s">
        <v>51</v>
      </c>
      <c r="G36" s="114" t="s">
        <v>1503</v>
      </c>
      <c r="H36">
        <v>200000</v>
      </c>
      <c r="I36" t="s">
        <v>2679</v>
      </c>
      <c r="J36" s="114">
        <v>2</v>
      </c>
      <c r="K36">
        <v>6</v>
      </c>
      <c r="L36" t="s">
        <v>2903</v>
      </c>
      <c r="M36" s="376"/>
      <c r="P36" s="268"/>
      <c r="R36" t="s">
        <v>1914</v>
      </c>
      <c r="S36" t="s">
        <v>923</v>
      </c>
      <c r="T36" t="s">
        <v>3530</v>
      </c>
      <c r="U36" s="268"/>
      <c r="V36" s="114">
        <v>0</v>
      </c>
      <c r="AA36" t="s">
        <v>1302</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x14ac:dyDescent="0.15">
      <c r="A37" s="114">
        <v>4</v>
      </c>
      <c r="B37" s="268">
        <v>5</v>
      </c>
      <c r="C37" s="114">
        <v>2.1520000000000001</v>
      </c>
      <c r="D37" t="s">
        <v>51</v>
      </c>
      <c r="E37">
        <v>0.81899999999999995</v>
      </c>
      <c r="F37" s="268" t="s">
        <v>51</v>
      </c>
      <c r="G37" s="114" t="s">
        <v>1503</v>
      </c>
      <c r="H37">
        <v>200000</v>
      </c>
      <c r="I37" t="s">
        <v>2679</v>
      </c>
      <c r="J37" s="114">
        <v>2</v>
      </c>
      <c r="K37">
        <v>6</v>
      </c>
      <c r="L37" t="s">
        <v>2903</v>
      </c>
      <c r="M37" s="376"/>
      <c r="P37" s="268"/>
      <c r="R37" t="s">
        <v>1914</v>
      </c>
      <c r="S37" t="s">
        <v>923</v>
      </c>
      <c r="T37" t="s">
        <v>3530</v>
      </c>
      <c r="U37" s="268"/>
      <c r="V37" s="114">
        <v>0</v>
      </c>
      <c r="AA37" t="s">
        <v>1302</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x14ac:dyDescent="0.15">
      <c r="A38" s="114">
        <v>4</v>
      </c>
      <c r="B38" s="268">
        <v>6</v>
      </c>
      <c r="C38" s="114">
        <v>7.3650000000000002</v>
      </c>
      <c r="D38" t="s">
        <v>51</v>
      </c>
      <c r="E38">
        <v>3.2</v>
      </c>
      <c r="F38" s="268" t="s">
        <v>51</v>
      </c>
      <c r="G38" s="114" t="s">
        <v>1503</v>
      </c>
      <c r="H38">
        <v>200000</v>
      </c>
      <c r="I38" t="s">
        <v>2679</v>
      </c>
      <c r="J38" s="114">
        <v>2</v>
      </c>
      <c r="K38">
        <v>6</v>
      </c>
      <c r="L38" t="s">
        <v>2903</v>
      </c>
      <c r="M38" s="376"/>
      <c r="P38" s="268"/>
      <c r="R38" t="s">
        <v>1914</v>
      </c>
      <c r="S38" t="s">
        <v>923</v>
      </c>
      <c r="T38" t="s">
        <v>3530</v>
      </c>
      <c r="U38" s="268"/>
      <c r="V38" s="114">
        <v>0</v>
      </c>
      <c r="AA38" t="s">
        <v>1302</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x14ac:dyDescent="0.15">
      <c r="A39" s="114">
        <v>4</v>
      </c>
      <c r="B39" s="268">
        <v>7</v>
      </c>
      <c r="C39" s="114">
        <v>22.614000000000001</v>
      </c>
      <c r="D39" t="s">
        <v>51</v>
      </c>
      <c r="E39">
        <v>11.066000000000001</v>
      </c>
      <c r="F39" s="268" t="s">
        <v>51</v>
      </c>
      <c r="G39" s="114" t="s">
        <v>1503</v>
      </c>
      <c r="H39">
        <v>200000</v>
      </c>
      <c r="I39" t="s">
        <v>2679</v>
      </c>
      <c r="J39" s="114">
        <v>2</v>
      </c>
      <c r="K39">
        <v>6</v>
      </c>
      <c r="L39" t="s">
        <v>2903</v>
      </c>
      <c r="M39" s="376"/>
      <c r="P39" s="268"/>
      <c r="R39" t="s">
        <v>1914</v>
      </c>
      <c r="S39" t="s">
        <v>923</v>
      </c>
      <c r="T39" t="s">
        <v>3530</v>
      </c>
      <c r="U39" s="268"/>
      <c r="V39" s="114">
        <v>0</v>
      </c>
      <c r="AA39" t="s">
        <v>1302</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x14ac:dyDescent="0.15">
      <c r="A40" s="371">
        <v>4</v>
      </c>
      <c r="B40" s="372">
        <v>8</v>
      </c>
      <c r="C40" s="371">
        <v>75.072000000000003</v>
      </c>
      <c r="D40" s="320" t="s">
        <v>51</v>
      </c>
      <c r="E40" s="320">
        <v>37.536000000000001</v>
      </c>
      <c r="F40" s="372" t="s">
        <v>51</v>
      </c>
      <c r="G40" s="371" t="s">
        <v>1503</v>
      </c>
      <c r="H40" s="320">
        <v>200000</v>
      </c>
      <c r="I40" s="320" t="s">
        <v>2679</v>
      </c>
      <c r="J40" s="371">
        <v>2</v>
      </c>
      <c r="K40" s="320">
        <v>6</v>
      </c>
      <c r="L40" s="320" t="s">
        <v>2903</v>
      </c>
      <c r="M40" s="619"/>
      <c r="P40" s="372"/>
      <c r="R40" s="320" t="s">
        <v>1914</v>
      </c>
      <c r="S40" s="320" t="s">
        <v>923</v>
      </c>
      <c r="T40" s="320" t="s">
        <v>3530</v>
      </c>
      <c r="U40" s="372"/>
      <c r="V40" s="371">
        <v>0</v>
      </c>
      <c r="AA40" s="320" t="s">
        <v>1302</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x14ac:dyDescent="0.15">
      <c r="A41" s="114">
        <v>5</v>
      </c>
      <c r="B41" s="268">
        <v>1</v>
      </c>
      <c r="C41" s="114">
        <v>0.03</v>
      </c>
      <c r="D41" t="s">
        <v>51</v>
      </c>
      <c r="E41">
        <v>7.0000000000000001E-3</v>
      </c>
      <c r="F41" s="268" t="s">
        <v>51</v>
      </c>
      <c r="G41" s="114" t="s">
        <v>1503</v>
      </c>
      <c r="H41">
        <v>120000</v>
      </c>
      <c r="I41" t="s">
        <v>2679</v>
      </c>
      <c r="J41" s="114">
        <v>2</v>
      </c>
      <c r="K41">
        <v>6</v>
      </c>
      <c r="L41" t="s">
        <v>2903</v>
      </c>
      <c r="M41" s="376"/>
      <c r="O41" s="5"/>
      <c r="P41" s="268"/>
      <c r="R41" t="s">
        <v>1914</v>
      </c>
      <c r="S41" t="s">
        <v>923</v>
      </c>
      <c r="T41" t="s">
        <v>3530</v>
      </c>
      <c r="U41" s="268"/>
      <c r="V41" s="114">
        <v>0</v>
      </c>
      <c r="AA41" t="s">
        <v>1302</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x14ac:dyDescent="0.15">
      <c r="A42" s="114">
        <v>5</v>
      </c>
      <c r="B42" s="268">
        <v>2</v>
      </c>
      <c r="C42" s="114">
        <v>0.124</v>
      </c>
      <c r="D42" t="s">
        <v>51</v>
      </c>
      <c r="E42">
        <v>3.5000000000000003E-2</v>
      </c>
      <c r="F42" s="268" t="s">
        <v>51</v>
      </c>
      <c r="G42" s="114" t="s">
        <v>1503</v>
      </c>
      <c r="H42">
        <v>120000</v>
      </c>
      <c r="I42" t="s">
        <v>2679</v>
      </c>
      <c r="J42" s="114">
        <v>2</v>
      </c>
      <c r="K42">
        <v>6</v>
      </c>
      <c r="L42" t="s">
        <v>2903</v>
      </c>
      <c r="M42" s="376"/>
      <c r="O42" s="5"/>
      <c r="P42" s="268"/>
      <c r="R42" t="s">
        <v>1914</v>
      </c>
      <c r="S42" t="s">
        <v>923</v>
      </c>
      <c r="T42" t="s">
        <v>3530</v>
      </c>
      <c r="U42" s="268"/>
      <c r="V42" s="114">
        <v>0</v>
      </c>
      <c r="AA42" t="s">
        <v>1302</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x14ac:dyDescent="0.15">
      <c r="A43" s="114">
        <v>5</v>
      </c>
      <c r="B43" s="268">
        <v>3</v>
      </c>
      <c r="C43" s="114">
        <v>0.30499999999999999</v>
      </c>
      <c r="D43" t="s">
        <v>51</v>
      </c>
      <c r="E43">
        <v>9.4E-2</v>
      </c>
      <c r="F43" s="268" t="s">
        <v>51</v>
      </c>
      <c r="G43" s="114" t="s">
        <v>1503</v>
      </c>
      <c r="H43">
        <v>120000</v>
      </c>
      <c r="I43" t="s">
        <v>2679</v>
      </c>
      <c r="J43" s="114">
        <v>2</v>
      </c>
      <c r="K43">
        <v>6</v>
      </c>
      <c r="L43" t="s">
        <v>2903</v>
      </c>
      <c r="M43" s="376"/>
      <c r="O43" s="5"/>
      <c r="P43" s="268"/>
      <c r="R43" t="s">
        <v>1914</v>
      </c>
      <c r="S43" t="s">
        <v>923</v>
      </c>
      <c r="T43" t="s">
        <v>3530</v>
      </c>
      <c r="U43" s="268"/>
      <c r="V43" s="114">
        <v>0</v>
      </c>
      <c r="AA43" t="s">
        <v>1302</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x14ac:dyDescent="0.15">
      <c r="A44" s="114">
        <v>5</v>
      </c>
      <c r="B44" s="268">
        <v>4</v>
      </c>
      <c r="C44" s="114">
        <v>0.74</v>
      </c>
      <c r="D44" t="s">
        <v>51</v>
      </c>
      <c r="E44">
        <v>0.251</v>
      </c>
      <c r="F44" s="268" t="s">
        <v>51</v>
      </c>
      <c r="G44" s="114" t="s">
        <v>1503</v>
      </c>
      <c r="H44">
        <v>120000</v>
      </c>
      <c r="I44" t="s">
        <v>2679</v>
      </c>
      <c r="J44" s="114">
        <v>2</v>
      </c>
      <c r="K44">
        <v>6</v>
      </c>
      <c r="L44" t="s">
        <v>2903</v>
      </c>
      <c r="M44" s="376"/>
      <c r="P44" s="268"/>
      <c r="R44" t="s">
        <v>1914</v>
      </c>
      <c r="S44" t="s">
        <v>923</v>
      </c>
      <c r="T44" t="s">
        <v>3530</v>
      </c>
      <c r="U44" s="268"/>
      <c r="V44" s="114">
        <v>0</v>
      </c>
      <c r="AA44" t="s">
        <v>1302</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x14ac:dyDescent="0.15">
      <c r="A45" s="114">
        <v>5</v>
      </c>
      <c r="B45" s="268">
        <v>5</v>
      </c>
      <c r="C45" s="114">
        <v>2.1520000000000001</v>
      </c>
      <c r="D45" t="s">
        <v>51</v>
      </c>
      <c r="E45">
        <v>0.81899999999999995</v>
      </c>
      <c r="F45" s="268" t="s">
        <v>51</v>
      </c>
      <c r="G45" s="114" t="s">
        <v>1503</v>
      </c>
      <c r="H45">
        <v>120000</v>
      </c>
      <c r="I45" t="s">
        <v>2679</v>
      </c>
      <c r="J45" s="114">
        <v>2</v>
      </c>
      <c r="K45">
        <v>6</v>
      </c>
      <c r="L45" t="s">
        <v>2903</v>
      </c>
      <c r="M45" s="376"/>
      <c r="P45" s="268"/>
      <c r="R45" t="s">
        <v>1914</v>
      </c>
      <c r="S45" t="s">
        <v>923</v>
      </c>
      <c r="T45" t="s">
        <v>3530</v>
      </c>
      <c r="U45" s="268"/>
      <c r="V45" s="114">
        <v>0</v>
      </c>
      <c r="AA45" t="s">
        <v>1302</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x14ac:dyDescent="0.15">
      <c r="A46" s="114">
        <v>5</v>
      </c>
      <c r="B46" s="268">
        <v>6</v>
      </c>
      <c r="C46" s="114">
        <v>7.3650000000000002</v>
      </c>
      <c r="D46" t="s">
        <v>51</v>
      </c>
      <c r="E46">
        <v>3.2</v>
      </c>
      <c r="F46" s="268" t="s">
        <v>51</v>
      </c>
      <c r="G46" s="114" t="s">
        <v>1503</v>
      </c>
      <c r="H46">
        <v>120000</v>
      </c>
      <c r="I46" t="s">
        <v>2679</v>
      </c>
      <c r="J46" s="114">
        <v>2</v>
      </c>
      <c r="K46">
        <v>6</v>
      </c>
      <c r="L46" t="s">
        <v>2903</v>
      </c>
      <c r="M46" s="376"/>
      <c r="P46" s="268"/>
      <c r="R46" t="s">
        <v>1914</v>
      </c>
      <c r="S46" t="s">
        <v>923</v>
      </c>
      <c r="T46" t="s">
        <v>3530</v>
      </c>
      <c r="U46" s="268"/>
      <c r="V46" s="114">
        <v>0</v>
      </c>
      <c r="AA46" t="s">
        <v>1302</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x14ac:dyDescent="0.15">
      <c r="A47" s="114">
        <v>5</v>
      </c>
      <c r="B47" s="268">
        <v>7</v>
      </c>
      <c r="C47" s="114">
        <v>22.614000000000001</v>
      </c>
      <c r="D47" t="s">
        <v>51</v>
      </c>
      <c r="E47">
        <v>11.066000000000001</v>
      </c>
      <c r="F47" s="268" t="s">
        <v>51</v>
      </c>
      <c r="G47" s="114" t="s">
        <v>1503</v>
      </c>
      <c r="H47">
        <v>120000</v>
      </c>
      <c r="I47" t="s">
        <v>2679</v>
      </c>
      <c r="J47" s="114">
        <v>2</v>
      </c>
      <c r="K47">
        <v>6</v>
      </c>
      <c r="L47" t="s">
        <v>2903</v>
      </c>
      <c r="M47" s="376"/>
      <c r="P47" s="268"/>
      <c r="R47" t="s">
        <v>1914</v>
      </c>
      <c r="S47" t="s">
        <v>923</v>
      </c>
      <c r="T47" t="s">
        <v>3530</v>
      </c>
      <c r="U47" s="268"/>
      <c r="V47" s="114">
        <v>0</v>
      </c>
      <c r="AA47" t="s">
        <v>1302</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x14ac:dyDescent="0.15">
      <c r="A48" s="371">
        <v>5</v>
      </c>
      <c r="B48" s="372">
        <v>8</v>
      </c>
      <c r="C48" s="371">
        <v>75.072000000000003</v>
      </c>
      <c r="D48" s="320" t="s">
        <v>51</v>
      </c>
      <c r="E48" s="320">
        <v>37.536000000000001</v>
      </c>
      <c r="F48" s="372" t="s">
        <v>51</v>
      </c>
      <c r="G48" s="371" t="s">
        <v>1503</v>
      </c>
      <c r="H48" s="320">
        <v>120000</v>
      </c>
      <c r="I48" s="320" t="s">
        <v>2679</v>
      </c>
      <c r="J48" s="371">
        <v>2</v>
      </c>
      <c r="K48" s="320">
        <v>6</v>
      </c>
      <c r="L48" s="320" t="s">
        <v>2903</v>
      </c>
      <c r="M48" s="619"/>
      <c r="P48" s="372"/>
      <c r="R48" s="320" t="s">
        <v>1914</v>
      </c>
      <c r="S48" s="320" t="s">
        <v>923</v>
      </c>
      <c r="T48" s="320" t="s">
        <v>3530</v>
      </c>
      <c r="U48" s="372"/>
      <c r="V48" s="371">
        <v>0</v>
      </c>
      <c r="AA48" s="320" t="s">
        <v>1302</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x14ac:dyDescent="0.15">
      <c r="A49" s="114">
        <v>6</v>
      </c>
      <c r="B49" s="268">
        <v>1</v>
      </c>
      <c r="C49" s="114">
        <v>0.03</v>
      </c>
      <c r="D49" t="s">
        <v>51</v>
      </c>
      <c r="E49">
        <v>7.0000000000000001E-3</v>
      </c>
      <c r="F49" s="268" t="s">
        <v>51</v>
      </c>
      <c r="G49" s="114" t="s">
        <v>1503</v>
      </c>
      <c r="H49">
        <v>20000</v>
      </c>
      <c r="I49" t="s">
        <v>2679</v>
      </c>
      <c r="J49" s="114">
        <v>2</v>
      </c>
      <c r="K49">
        <v>6</v>
      </c>
      <c r="L49" s="526" t="s">
        <v>2903</v>
      </c>
      <c r="M49" s="376"/>
      <c r="O49" s="5"/>
      <c r="P49" s="268"/>
      <c r="R49" s="526" t="s">
        <v>1914</v>
      </c>
      <c r="S49" s="526" t="s">
        <v>923</v>
      </c>
      <c r="T49" t="s">
        <v>3530</v>
      </c>
      <c r="U49" s="268"/>
      <c r="V49" s="114"/>
      <c r="AA49" s="526" t="s">
        <v>1302</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x14ac:dyDescent="0.15">
      <c r="A50" s="114">
        <v>6</v>
      </c>
      <c r="B50" s="268">
        <v>2</v>
      </c>
      <c r="C50" s="114">
        <v>0.124</v>
      </c>
      <c r="D50" t="s">
        <v>51</v>
      </c>
      <c r="E50">
        <v>3.5000000000000003E-2</v>
      </c>
      <c r="F50" s="268" t="s">
        <v>51</v>
      </c>
      <c r="G50" s="114" t="s">
        <v>1503</v>
      </c>
      <c r="H50">
        <v>20000</v>
      </c>
      <c r="I50" t="s">
        <v>2679</v>
      </c>
      <c r="J50" s="114">
        <v>2</v>
      </c>
      <c r="K50">
        <v>6</v>
      </c>
      <c r="L50" s="526" t="s">
        <v>2903</v>
      </c>
      <c r="M50" s="376"/>
      <c r="O50" s="5"/>
      <c r="P50" s="268"/>
      <c r="R50" s="526" t="s">
        <v>1914</v>
      </c>
      <c r="S50" s="526" t="s">
        <v>923</v>
      </c>
      <c r="T50" t="s">
        <v>3530</v>
      </c>
      <c r="U50" s="268"/>
      <c r="V50" s="114"/>
      <c r="AA50" s="526" t="s">
        <v>1302</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x14ac:dyDescent="0.15">
      <c r="A51" s="114">
        <v>6</v>
      </c>
      <c r="B51" s="268">
        <v>3</v>
      </c>
      <c r="C51" s="114">
        <v>0.30499999999999999</v>
      </c>
      <c r="D51" t="s">
        <v>51</v>
      </c>
      <c r="E51">
        <v>9.4E-2</v>
      </c>
      <c r="F51" s="268" t="s">
        <v>51</v>
      </c>
      <c r="G51" s="114" t="s">
        <v>1503</v>
      </c>
      <c r="H51">
        <v>20000</v>
      </c>
      <c r="I51" t="s">
        <v>2679</v>
      </c>
      <c r="J51" s="114">
        <v>2</v>
      </c>
      <c r="K51">
        <v>6</v>
      </c>
      <c r="L51" s="526" t="s">
        <v>2903</v>
      </c>
      <c r="M51" s="376"/>
      <c r="O51" s="5"/>
      <c r="P51" s="268"/>
      <c r="R51" s="526" t="s">
        <v>1914</v>
      </c>
      <c r="S51" s="526" t="s">
        <v>923</v>
      </c>
      <c r="T51" t="s">
        <v>3530</v>
      </c>
      <c r="U51" s="268"/>
      <c r="V51" s="114"/>
      <c r="AA51" s="526" t="s">
        <v>1302</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x14ac:dyDescent="0.15">
      <c r="A52" s="114">
        <v>6</v>
      </c>
      <c r="B52" s="268">
        <v>4</v>
      </c>
      <c r="C52" s="114">
        <v>0.74</v>
      </c>
      <c r="D52" t="s">
        <v>51</v>
      </c>
      <c r="E52">
        <v>0.251</v>
      </c>
      <c r="F52" s="268" t="s">
        <v>51</v>
      </c>
      <c r="G52" s="114" t="s">
        <v>1503</v>
      </c>
      <c r="H52">
        <v>20000</v>
      </c>
      <c r="I52" t="s">
        <v>2679</v>
      </c>
      <c r="J52" s="114">
        <v>2</v>
      </c>
      <c r="K52">
        <v>6</v>
      </c>
      <c r="L52" s="526" t="s">
        <v>2903</v>
      </c>
      <c r="M52" s="376"/>
      <c r="P52" s="268"/>
      <c r="R52" s="526" t="s">
        <v>1914</v>
      </c>
      <c r="S52" s="526" t="s">
        <v>923</v>
      </c>
      <c r="T52" t="s">
        <v>3530</v>
      </c>
      <c r="U52" s="268"/>
      <c r="V52" s="114"/>
      <c r="AA52" s="526" t="s">
        <v>1302</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x14ac:dyDescent="0.15">
      <c r="A53" s="114">
        <v>6</v>
      </c>
      <c r="B53" s="268">
        <v>5</v>
      </c>
      <c r="C53" s="114">
        <v>2.1520000000000001</v>
      </c>
      <c r="D53" t="s">
        <v>51</v>
      </c>
      <c r="E53">
        <v>0.81899999999999995</v>
      </c>
      <c r="F53" s="268" t="s">
        <v>51</v>
      </c>
      <c r="G53" s="114" t="s">
        <v>1503</v>
      </c>
      <c r="H53">
        <v>20000</v>
      </c>
      <c r="I53" t="s">
        <v>2679</v>
      </c>
      <c r="J53" s="114">
        <v>2</v>
      </c>
      <c r="K53">
        <v>6</v>
      </c>
      <c r="L53" s="526" t="s">
        <v>2903</v>
      </c>
      <c r="M53" s="376"/>
      <c r="P53" s="268"/>
      <c r="R53" s="526" t="s">
        <v>1914</v>
      </c>
      <c r="S53" s="526" t="s">
        <v>923</v>
      </c>
      <c r="T53" t="s">
        <v>3530</v>
      </c>
      <c r="U53" s="268"/>
      <c r="V53" s="114"/>
      <c r="AA53" s="526" t="s">
        <v>1302</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x14ac:dyDescent="0.15">
      <c r="A54" s="114">
        <v>6</v>
      </c>
      <c r="B54" s="268">
        <v>6</v>
      </c>
      <c r="C54" s="114">
        <v>7.3650000000000002</v>
      </c>
      <c r="D54" t="s">
        <v>51</v>
      </c>
      <c r="E54">
        <v>3.2</v>
      </c>
      <c r="F54" s="268" t="s">
        <v>51</v>
      </c>
      <c r="G54" s="114" t="s">
        <v>1503</v>
      </c>
      <c r="H54">
        <v>20000</v>
      </c>
      <c r="I54" t="s">
        <v>2679</v>
      </c>
      <c r="J54" s="114">
        <v>2</v>
      </c>
      <c r="K54">
        <v>6</v>
      </c>
      <c r="L54" s="526" t="s">
        <v>2903</v>
      </c>
      <c r="M54" s="376"/>
      <c r="P54" s="268"/>
      <c r="R54" s="526" t="s">
        <v>1914</v>
      </c>
      <c r="S54" s="526" t="s">
        <v>923</v>
      </c>
      <c r="T54" t="s">
        <v>3530</v>
      </c>
      <c r="U54" s="268"/>
      <c r="V54" s="114"/>
      <c r="AA54" s="526" t="s">
        <v>1302</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x14ac:dyDescent="0.15">
      <c r="A55" s="114">
        <v>6</v>
      </c>
      <c r="B55" s="268">
        <v>7</v>
      </c>
      <c r="C55" s="114">
        <v>22.614000000000001</v>
      </c>
      <c r="D55" t="s">
        <v>51</v>
      </c>
      <c r="E55">
        <v>11.066000000000001</v>
      </c>
      <c r="F55" s="268" t="s">
        <v>51</v>
      </c>
      <c r="G55" s="114" t="s">
        <v>1503</v>
      </c>
      <c r="H55">
        <v>20000</v>
      </c>
      <c r="I55" t="s">
        <v>2679</v>
      </c>
      <c r="J55" s="114">
        <v>2</v>
      </c>
      <c r="K55">
        <v>6</v>
      </c>
      <c r="L55" s="526" t="s">
        <v>2903</v>
      </c>
      <c r="M55" s="376"/>
      <c r="P55" s="268"/>
      <c r="R55" s="526" t="s">
        <v>1914</v>
      </c>
      <c r="S55" s="526" t="s">
        <v>923</v>
      </c>
      <c r="T55" t="s">
        <v>3530</v>
      </c>
      <c r="U55" s="268"/>
      <c r="V55" s="114"/>
      <c r="AA55" s="526" t="s">
        <v>1302</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x14ac:dyDescent="0.15">
      <c r="A56" s="371">
        <v>6</v>
      </c>
      <c r="B56" s="372">
        <v>8</v>
      </c>
      <c r="C56" s="371">
        <v>75.072000000000003</v>
      </c>
      <c r="D56" s="320" t="s">
        <v>51</v>
      </c>
      <c r="E56" s="320">
        <v>37.536000000000001</v>
      </c>
      <c r="F56" s="372" t="s">
        <v>51</v>
      </c>
      <c r="G56" s="371" t="s">
        <v>1503</v>
      </c>
      <c r="H56" s="320">
        <v>20000</v>
      </c>
      <c r="I56" s="372" t="s">
        <v>2679</v>
      </c>
      <c r="J56" s="371">
        <v>2</v>
      </c>
      <c r="K56" s="320">
        <v>6</v>
      </c>
      <c r="L56" s="847" t="s">
        <v>2903</v>
      </c>
      <c r="M56" s="619"/>
      <c r="N56" s="320"/>
      <c r="O56" s="320"/>
      <c r="P56" s="372"/>
      <c r="Q56" s="320"/>
      <c r="R56" s="847" t="s">
        <v>1914</v>
      </c>
      <c r="S56" s="847" t="s">
        <v>923</v>
      </c>
      <c r="T56" s="320" t="s">
        <v>3530</v>
      </c>
      <c r="U56" s="372"/>
      <c r="V56" s="371"/>
      <c r="W56" s="320"/>
      <c r="X56" s="320"/>
      <c r="Y56" s="320"/>
      <c r="Z56" s="320"/>
      <c r="AA56" s="847" t="s">
        <v>1302</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x14ac:dyDescent="0.15">
      <c r="A57" s="886">
        <v>7</v>
      </c>
      <c r="B57" s="268">
        <v>1</v>
      </c>
      <c r="C57" s="886">
        <v>0.03</v>
      </c>
      <c r="D57" t="s">
        <v>51</v>
      </c>
      <c r="E57">
        <v>7.0000000000000001E-3</v>
      </c>
      <c r="F57" s="268" t="s">
        <v>51</v>
      </c>
      <c r="G57" s="886"/>
      <c r="J57" s="886"/>
      <c r="M57" s="376"/>
      <c r="O57" s="526"/>
      <c r="P57" s="268"/>
      <c r="U57" s="268"/>
      <c r="V57" s="886"/>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x14ac:dyDescent="0.15">
      <c r="A58" s="886">
        <v>7</v>
      </c>
      <c r="B58" s="268">
        <v>2</v>
      </c>
      <c r="C58" s="886">
        <v>0.124</v>
      </c>
      <c r="D58" t="s">
        <v>51</v>
      </c>
      <c r="E58">
        <v>3.5000000000000003E-2</v>
      </c>
      <c r="F58" s="268" t="s">
        <v>51</v>
      </c>
      <c r="G58" s="886"/>
      <c r="J58" s="886"/>
      <c r="M58" s="376"/>
      <c r="O58" s="526"/>
      <c r="P58" s="268"/>
      <c r="U58" s="268"/>
      <c r="V58" s="886"/>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x14ac:dyDescent="0.15">
      <c r="A59" s="886">
        <v>7</v>
      </c>
      <c r="B59" s="268">
        <v>3</v>
      </c>
      <c r="C59" s="886">
        <v>0.30499999999999999</v>
      </c>
      <c r="D59" t="s">
        <v>51</v>
      </c>
      <c r="E59">
        <v>9.4E-2</v>
      </c>
      <c r="F59" s="268" t="s">
        <v>51</v>
      </c>
      <c r="G59" s="886"/>
      <c r="J59" s="886"/>
      <c r="M59" s="887"/>
      <c r="P59" s="268"/>
      <c r="U59" s="268"/>
      <c r="V59" s="886"/>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x14ac:dyDescent="0.15">
      <c r="A60" s="886">
        <v>7</v>
      </c>
      <c r="B60" s="268">
        <v>4</v>
      </c>
      <c r="C60" s="886">
        <v>0.74</v>
      </c>
      <c r="D60" t="s">
        <v>51</v>
      </c>
      <c r="E60">
        <v>0.251</v>
      </c>
      <c r="F60" s="268" t="s">
        <v>51</v>
      </c>
      <c r="G60" s="886"/>
      <c r="J60" s="886"/>
      <c r="M60" s="887"/>
      <c r="P60" s="268"/>
      <c r="U60" s="268"/>
      <c r="V60" s="886"/>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x14ac:dyDescent="0.15">
      <c r="A61" s="886">
        <v>7</v>
      </c>
      <c r="B61" s="268">
        <v>5</v>
      </c>
      <c r="C61" s="886">
        <v>2.1520000000000001</v>
      </c>
      <c r="D61" t="s">
        <v>51</v>
      </c>
      <c r="E61">
        <v>0.81899999999999995</v>
      </c>
      <c r="F61" s="268" t="s">
        <v>51</v>
      </c>
      <c r="G61" s="886"/>
      <c r="J61" s="886"/>
      <c r="M61" s="887"/>
      <c r="O61" s="44"/>
      <c r="P61" s="268"/>
      <c r="U61" s="268"/>
      <c r="V61" s="886"/>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x14ac:dyDescent="0.15">
      <c r="A62" s="886">
        <v>7</v>
      </c>
      <c r="B62" s="268">
        <v>6</v>
      </c>
      <c r="C62" s="886">
        <v>7.3650000000000002</v>
      </c>
      <c r="D62" t="s">
        <v>51</v>
      </c>
      <c r="E62">
        <v>3.2</v>
      </c>
      <c r="F62" s="268" t="s">
        <v>51</v>
      </c>
      <c r="G62" s="886"/>
      <c r="J62" s="886"/>
      <c r="M62" s="887"/>
      <c r="O62" s="44"/>
      <c r="P62" s="268"/>
      <c r="U62" s="268"/>
      <c r="V62" s="886"/>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x14ac:dyDescent="0.15">
      <c r="A63" s="886">
        <v>7</v>
      </c>
      <c r="B63" s="268">
        <v>7</v>
      </c>
      <c r="C63" s="886">
        <v>22.614000000000001</v>
      </c>
      <c r="D63" t="s">
        <v>51</v>
      </c>
      <c r="E63">
        <v>11.066000000000001</v>
      </c>
      <c r="F63" s="268" t="s">
        <v>51</v>
      </c>
      <c r="G63" s="886"/>
      <c r="J63" s="886"/>
      <c r="M63" s="376"/>
      <c r="O63" s="44"/>
      <c r="P63" s="268"/>
      <c r="U63" s="268"/>
      <c r="V63" s="886"/>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x14ac:dyDescent="0.15">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x14ac:dyDescent="0.15">
      <c r="A66" s="375">
        <f>IF(LEN(contam_type)=0,"",contam_type)</f>
        <v>1</v>
      </c>
      <c r="B66" s="375" t="s">
        <v>2890</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f>IF(LEN(res_s1_opt_I)=0,"",res_s1_opt_I)</f>
        <v>0</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2891</v>
      </c>
    </row>
    <row r="67" spans="1:33" s="1" customFormat="1" x14ac:dyDescent="0.15">
      <c r="A67" s="375"/>
      <c r="B67" s="375"/>
      <c r="C67" s="375">
        <v>2.1520000000000001</v>
      </c>
      <c r="D67" s="375" t="s">
        <v>51</v>
      </c>
      <c r="E67" s="375">
        <v>2.1520000000000001</v>
      </c>
      <c r="F67" s="375" t="s">
        <v>51</v>
      </c>
      <c r="G67" s="375" t="s">
        <v>1503</v>
      </c>
      <c r="H67" s="375">
        <v>86800</v>
      </c>
      <c r="I67" s="375" t="s">
        <v>2679</v>
      </c>
      <c r="J67" s="375">
        <v>2</v>
      </c>
      <c r="K67" s="375">
        <v>3</v>
      </c>
      <c r="L67" s="375"/>
      <c r="M67" s="375">
        <v>2.4</v>
      </c>
      <c r="N67" s="375" t="s">
        <v>3538</v>
      </c>
      <c r="O67" s="375">
        <v>6</v>
      </c>
      <c r="P67" s="375">
        <v>13</v>
      </c>
      <c r="Q67" s="375"/>
      <c r="R67" s="375">
        <v>0</v>
      </c>
      <c r="S67" s="375" t="s">
        <v>1545</v>
      </c>
      <c r="T67" s="375" t="s">
        <v>3531</v>
      </c>
      <c r="U67" s="375" t="s">
        <v>4384</v>
      </c>
      <c r="V67" s="375"/>
      <c r="W67" s="375"/>
      <c r="X67" s="375"/>
      <c r="Y67" s="375" t="s">
        <v>2893</v>
      </c>
      <c r="Z67" s="375" t="s">
        <v>2898</v>
      </c>
      <c r="AA67" s="375"/>
      <c r="AB67" s="375"/>
      <c r="AC67" s="375" t="s">
        <v>2904</v>
      </c>
      <c r="AD67" s="375"/>
      <c r="AE67" s="375" t="s">
        <v>2904</v>
      </c>
      <c r="AF67" t="s">
        <v>2892</v>
      </c>
      <c r="AG67" s="5" t="b">
        <f t="array" ref="AG67">AND(C67:AE67=inp_used)</f>
        <v>1</v>
      </c>
    </row>
    <row r="69" spans="1:33" x14ac:dyDescent="0.15">
      <c r="M69" s="3" t="s">
        <v>3417</v>
      </c>
    </row>
    <row r="70" spans="1:33" x14ac:dyDescent="0.15">
      <c r="M70" s="852">
        <f>IFERROR(comp_bed_depth,"")</f>
        <v>2.4</v>
      </c>
      <c r="N70" s="852" t="str">
        <f>IFERROR(comp_tank_geom,"")</f>
        <v>upright</v>
      </c>
      <c r="O70" s="852">
        <f>IF(N70="upright",IFERROR(comp_vert_height,""),IFERROR(comp_horiz_length,""))</f>
        <v>6</v>
      </c>
      <c r="P70" s="852">
        <f>IF(N70="upright",IFERROR(comp_vert_diam,""),IFERROR(comp_horiz_diam,""))</f>
        <v>9</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x14ac:dyDescent="0.15"/>
  <cols>
    <col min="1" max="1" width="26.5" customWidth="1"/>
    <col min="2" max="2" width="27.5" style="3" customWidth="1"/>
  </cols>
  <sheetData>
    <row r="1" spans="1:7" ht="44.25" customHeight="1" x14ac:dyDescent="0.15">
      <c r="A1" s="1021" t="s">
        <v>1709</v>
      </c>
      <c r="B1" s="1022"/>
      <c r="C1" s="1022"/>
      <c r="D1" s="1022"/>
      <c r="E1" s="1022"/>
      <c r="F1" s="1022"/>
      <c r="G1" s="1022"/>
    </row>
    <row r="2" spans="1:7" x14ac:dyDescent="0.15">
      <c r="A2" s="88" t="s">
        <v>690</v>
      </c>
      <c r="B2" s="89"/>
      <c r="C2" s="89"/>
      <c r="D2" s="89"/>
    </row>
    <row r="3" spans="1:7" x14ac:dyDescent="0.15">
      <c r="A3" s="90" t="s">
        <v>691</v>
      </c>
      <c r="B3" s="91"/>
      <c r="C3" s="91"/>
      <c r="D3" s="91"/>
    </row>
    <row r="5" spans="1:7" x14ac:dyDescent="0.15">
      <c r="A5" s="92" t="s">
        <v>692</v>
      </c>
    </row>
    <row r="6" spans="1:7" x14ac:dyDescent="0.15">
      <c r="A6" t="s">
        <v>964</v>
      </c>
      <c r="B6" s="3" t="s">
        <v>965</v>
      </c>
      <c r="C6">
        <f>design_flow_rate*EBCT_tank/7.48</f>
        <v>299.68805704099816</v>
      </c>
      <c r="D6" t="s">
        <v>2832</v>
      </c>
      <c r="E6" s="93" t="s">
        <v>2624</v>
      </c>
    </row>
    <row r="7" spans="1:7" x14ac:dyDescent="0.15">
      <c r="A7" t="s">
        <v>428</v>
      </c>
      <c r="B7" s="3" t="s">
        <v>429</v>
      </c>
      <c r="C7" s="90">
        <v>0</v>
      </c>
      <c r="E7" s="93" t="s">
        <v>1654</v>
      </c>
    </row>
    <row r="8" spans="1:7" x14ac:dyDescent="0.15">
      <c r="A8" t="s">
        <v>966</v>
      </c>
      <c r="B8" s="3" t="s">
        <v>967</v>
      </c>
      <c r="C8">
        <f>design_flow_rate/load_max</f>
        <v>124.53703703703702</v>
      </c>
      <c r="D8" t="s">
        <v>714</v>
      </c>
      <c r="E8" s="93" t="s">
        <v>2625</v>
      </c>
    </row>
    <row r="9" spans="1:7" x14ac:dyDescent="0.15">
      <c r="A9" t="s">
        <v>2621</v>
      </c>
      <c r="B9" s="3" t="s">
        <v>2622</v>
      </c>
      <c r="C9">
        <f>design_flow_rate/load_min</f>
        <v>1494.4444444444443</v>
      </c>
      <c r="D9" t="s">
        <v>714</v>
      </c>
      <c r="E9" s="93" t="s">
        <v>2626</v>
      </c>
    </row>
    <row r="10" spans="1:7" x14ac:dyDescent="0.15">
      <c r="A10" t="s">
        <v>2623</v>
      </c>
      <c r="B10" s="3" t="s">
        <v>2831</v>
      </c>
      <c r="C10">
        <f>design_flow_rate*EBCT/7.481</f>
        <v>599.29599429666257</v>
      </c>
      <c r="D10" t="s">
        <v>2832</v>
      </c>
      <c r="E10" s="93" t="s">
        <v>2627</v>
      </c>
    </row>
    <row r="11" spans="1:7" x14ac:dyDescent="0.15">
      <c r="E11" s="93"/>
    </row>
    <row r="12" spans="1:7" x14ac:dyDescent="0.15">
      <c r="A12" s="2" t="s">
        <v>2628</v>
      </c>
    </row>
    <row r="13" spans="1:7" x14ac:dyDescent="0.15">
      <c r="A13" t="s">
        <v>2629</v>
      </c>
      <c r="B13" s="3" t="s">
        <v>2631</v>
      </c>
      <c r="C13">
        <f>(comp_max_vert_diam/2-Vessel_thickness)*(comp_max_vert_diam/2-Vessel_thickness)*PI()*comp_max_vert_bed_depth</f>
        <v>923.62824015539911</v>
      </c>
      <c r="D13" t="s">
        <v>2832</v>
      </c>
      <c r="E13" s="93" t="s">
        <v>2644</v>
      </c>
    </row>
    <row r="14" spans="1:7" x14ac:dyDescent="0.15">
      <c r="A14" t="s">
        <v>2632</v>
      </c>
      <c r="B14" s="3" t="s">
        <v>2633</v>
      </c>
      <c r="C14">
        <f>(max_diam/2-Vessel_thickness)*(max_diam/2-Vessel_thickness)*PI()</f>
        <v>153.93804002589985</v>
      </c>
      <c r="D14" t="s">
        <v>714</v>
      </c>
      <c r="E14" s="93" t="s">
        <v>2645</v>
      </c>
    </row>
    <row r="15" spans="1:7" x14ac:dyDescent="0.15">
      <c r="A15" t="s">
        <v>2634</v>
      </c>
      <c r="B15" s="3" t="s">
        <v>2635</v>
      </c>
      <c r="C15">
        <f>IF(design_flow&lt;=1,target_bed_depth_under,target_bed_depth_over)</f>
        <v>4.5999999999999996</v>
      </c>
      <c r="D15" t="s">
        <v>2845</v>
      </c>
      <c r="E15" s="93"/>
    </row>
    <row r="16" spans="1:7" x14ac:dyDescent="0.15">
      <c r="A16" t="s">
        <v>2636</v>
      </c>
      <c r="B16" s="3" t="s">
        <v>2637</v>
      </c>
      <c r="C16">
        <f>comp_vol_required_stg1/comp_target_bed_depth_vert</f>
        <v>65.149577617608301</v>
      </c>
      <c r="D16" t="s">
        <v>714</v>
      </c>
      <c r="E16" s="93" t="s">
        <v>2646</v>
      </c>
    </row>
    <row r="17" spans="1:5" x14ac:dyDescent="0.15">
      <c r="A17" t="s">
        <v>2638</v>
      </c>
      <c r="E17" s="93" t="s">
        <v>2647</v>
      </c>
    </row>
    <row r="18" spans="1:5" x14ac:dyDescent="0.15">
      <c r="A18" s="108" t="s">
        <v>2639</v>
      </c>
      <c r="C18">
        <f>comp_sa_min/comp_vert_max_sa</f>
        <v>0.80900755275358738</v>
      </c>
      <c r="E18" s="93"/>
    </row>
    <row r="19" spans="1:5" x14ac:dyDescent="0.15">
      <c r="A19" s="108" t="s">
        <v>2640</v>
      </c>
      <c r="C19">
        <f>comp_sa_required_vert/comp_vert_max_sa</f>
        <v>0.42321948237516199</v>
      </c>
      <c r="E19" s="93"/>
    </row>
    <row r="20" spans="1:5" x14ac:dyDescent="0.15">
      <c r="A20" s="108" t="s">
        <v>2641</v>
      </c>
      <c r="C20">
        <f>comp_vol_required_stg1/comp_vert_max_media</f>
        <v>0.3244682698209575</v>
      </c>
      <c r="E20" s="93"/>
    </row>
    <row r="21" spans="1:5" x14ac:dyDescent="0.15">
      <c r="A21" t="s">
        <v>2642</v>
      </c>
      <c r="B21" s="3" t="s">
        <v>2643</v>
      </c>
      <c r="C21">
        <f>MAX(C18:C20)</f>
        <v>0.80900755275358738</v>
      </c>
      <c r="E21" s="93" t="s">
        <v>2648</v>
      </c>
    </row>
    <row r="23" spans="1:5" x14ac:dyDescent="0.15">
      <c r="A23" s="2" t="s">
        <v>2327</v>
      </c>
    </row>
    <row r="24" spans="1:5" x14ac:dyDescent="0.15">
      <c r="A24" t="s">
        <v>2328</v>
      </c>
      <c r="B24" s="3" t="s">
        <v>712</v>
      </c>
      <c r="C24">
        <f>MAX(comp_pv_max_sizes)</f>
        <v>27101</v>
      </c>
      <c r="D24" t="s">
        <v>1132</v>
      </c>
      <c r="E24" s="93" t="s">
        <v>713</v>
      </c>
    </row>
    <row r="25" spans="1:5" x14ac:dyDescent="0.15">
      <c r="A25" t="s">
        <v>2329</v>
      </c>
      <c r="C25">
        <f>comp_max_horiz_diam</f>
        <v>14</v>
      </c>
      <c r="D25" t="s">
        <v>2845</v>
      </c>
      <c r="E25" s="93"/>
    </row>
    <row r="26" spans="1:5" x14ac:dyDescent="0.15">
      <c r="A26" t="s">
        <v>2330</v>
      </c>
      <c r="B26" s="3" t="s">
        <v>2331</v>
      </c>
      <c r="C26">
        <f>ROUND(comp_max_vol/7.48/(PI()*comp_max_horiz_diam*comp_max_horiz_diam/4),0)</f>
        <v>24</v>
      </c>
      <c r="D26" t="s">
        <v>2845</v>
      </c>
      <c r="E26" s="93" t="s">
        <v>2343</v>
      </c>
    </row>
    <row r="27" spans="1:5" x14ac:dyDescent="0.15">
      <c r="A27" t="s">
        <v>2332</v>
      </c>
      <c r="B27" s="3" t="s">
        <v>2333</v>
      </c>
      <c r="C27">
        <f>IF(comp_round_sa=1,ROUNDUP((comp_max_horiz_diam-2*Vessel_thickness)*comp_max_vol_length,0),(comp_max_horiz_diam-2*Vessel_thickness)*comp_max_vol_length)</f>
        <v>336</v>
      </c>
      <c r="D27" t="s">
        <v>714</v>
      </c>
      <c r="E27" s="93" t="s">
        <v>2344</v>
      </c>
    </row>
    <row r="28" spans="1:5" x14ac:dyDescent="0.15">
      <c r="A28" t="s">
        <v>2634</v>
      </c>
      <c r="B28" s="3" t="s">
        <v>2334</v>
      </c>
      <c r="C28">
        <f>target_bed_depth_horiz</f>
        <v>4.3</v>
      </c>
      <c r="D28" t="s">
        <v>2845</v>
      </c>
      <c r="E28" s="93"/>
    </row>
    <row r="29" spans="1:5" x14ac:dyDescent="0.15">
      <c r="A29" t="s">
        <v>2636</v>
      </c>
      <c r="B29" s="3" t="s">
        <v>2335</v>
      </c>
      <c r="C29">
        <f>comp_vol_required_stg1/comp_target_bed_depth_horiz</f>
        <v>69.69489698627865</v>
      </c>
      <c r="D29" t="s">
        <v>714</v>
      </c>
      <c r="E29" s="93" t="s">
        <v>2646</v>
      </c>
    </row>
    <row r="30" spans="1:5" x14ac:dyDescent="0.15">
      <c r="A30" t="s">
        <v>2336</v>
      </c>
      <c r="E30" s="93"/>
    </row>
    <row r="31" spans="1:5" x14ac:dyDescent="0.15">
      <c r="A31" s="108" t="s">
        <v>1595</v>
      </c>
      <c r="C31">
        <f>comp_max_vol_length*(comp_max_horiz_diam*comp_max_horiz_diam/2*ASIN(SQRT(free_board/comp_max_horiz_diam))-(comp_max_horiz_diam/2-free_board)*SQRT((comp_max_horiz_diam-free_board)*free_board))</f>
        <v>41.875530099772533</v>
      </c>
      <c r="D31" t="s">
        <v>2832</v>
      </c>
      <c r="E31" s="93" t="s">
        <v>2345</v>
      </c>
    </row>
    <row r="32" spans="1:5" x14ac:dyDescent="0.15">
      <c r="A32" s="108" t="s">
        <v>1597</v>
      </c>
      <c r="C32">
        <f>comp_max_vol_length*(comp_max_horiz_diam*comp_max_horiz_diam/2*ASIN(SQRT(horiz_underdrain/comp_max_horiz_diam))-(comp_max_horiz_diam/2-horiz_underdrain)*SQRT((comp_max_horiz_diam-horiz_underdrain)*horiz_underdrain))</f>
        <v>212.75213463857958</v>
      </c>
      <c r="D32" t="s">
        <v>2832</v>
      </c>
      <c r="E32" s="93"/>
    </row>
    <row r="33" spans="1:5" x14ac:dyDescent="0.15">
      <c r="A33" s="109" t="s">
        <v>1599</v>
      </c>
      <c r="B33" s="3" t="s">
        <v>2337</v>
      </c>
      <c r="C33">
        <f>SUM(C31:C32)</f>
        <v>254.62766473835211</v>
      </c>
      <c r="D33" t="s">
        <v>2832</v>
      </c>
      <c r="E33" s="93" t="s">
        <v>2346</v>
      </c>
    </row>
    <row r="34" spans="1:5" x14ac:dyDescent="0.15">
      <c r="A34" s="16" t="s">
        <v>2338</v>
      </c>
      <c r="B34" s="3" t="s">
        <v>2339</v>
      </c>
      <c r="C34">
        <f>(comp_max_vol/7.481-comp_horiz_void_required)/(1+bed_expansion)</f>
        <v>2245.3442445388218</v>
      </c>
      <c r="D34" t="s">
        <v>2832</v>
      </c>
      <c r="E34" s="93" t="s">
        <v>2347</v>
      </c>
    </row>
    <row r="35" spans="1:5" x14ac:dyDescent="0.15">
      <c r="A35" t="s">
        <v>2340</v>
      </c>
      <c r="E35" s="93"/>
    </row>
    <row r="36" spans="1:5" x14ac:dyDescent="0.15">
      <c r="A36" s="108" t="s">
        <v>2639</v>
      </c>
      <c r="C36">
        <f>comp_sa_min/comp_max_horiz_sa</f>
        <v>0.37064594356261021</v>
      </c>
      <c r="E36" s="93"/>
    </row>
    <row r="37" spans="1:5" x14ac:dyDescent="0.15">
      <c r="A37" s="108" t="s">
        <v>2640</v>
      </c>
      <c r="C37">
        <f>comp_sa_required_horiz/comp_max_horiz_sa</f>
        <v>0.20742528864963883</v>
      </c>
      <c r="E37" s="93"/>
    </row>
    <row r="38" spans="1:5" x14ac:dyDescent="0.15">
      <c r="A38" s="108" t="s">
        <v>2641</v>
      </c>
      <c r="C38">
        <f>comp_vol_required_stg1/comp_horiz_max_media</f>
        <v>0.13347087323910636</v>
      </c>
      <c r="E38" s="93"/>
    </row>
    <row r="39" spans="1:5" x14ac:dyDescent="0.15">
      <c r="A39" t="s">
        <v>2341</v>
      </c>
      <c r="B39" s="3" t="s">
        <v>2342</v>
      </c>
      <c r="C39">
        <f>MAX(C36:C38)</f>
        <v>0.37064594356261021</v>
      </c>
      <c r="E39" s="93" t="s">
        <v>2648</v>
      </c>
    </row>
    <row r="42" spans="1:5" x14ac:dyDescent="0.15">
      <c r="A42" t="s">
        <v>2348</v>
      </c>
      <c r="B42" s="3" t="s">
        <v>2349</v>
      </c>
      <c r="C42" s="90">
        <v>3</v>
      </c>
      <c r="E42" s="93" t="s">
        <v>395</v>
      </c>
    </row>
    <row r="43" spans="1:5" x14ac:dyDescent="0.15">
      <c r="A43" t="s">
        <v>2350</v>
      </c>
      <c r="B43" s="3" t="s">
        <v>2351</v>
      </c>
      <c r="C43">
        <v>2</v>
      </c>
      <c r="E43" s="93" t="s">
        <v>396</v>
      </c>
    </row>
    <row r="44" spans="1:5" x14ac:dyDescent="0.15">
      <c r="E44" s="93"/>
    </row>
    <row r="45" spans="1:5" x14ac:dyDescent="0.15">
      <c r="A45" s="92" t="s">
        <v>694</v>
      </c>
      <c r="D45" s="5"/>
      <c r="E45" s="5"/>
    </row>
    <row r="46" spans="1:5" x14ac:dyDescent="0.15">
      <c r="A46" s="1" t="s">
        <v>695</v>
      </c>
    </row>
    <row r="47" spans="1:5" x14ac:dyDescent="0.15">
      <c r="A47" t="s">
        <v>696</v>
      </c>
      <c r="B47" s="3" t="s">
        <v>697</v>
      </c>
      <c r="C47" s="88" t="str">
        <f>IF(comp_in_nlines&gt;=comp_vert_min_number,"upright","horizontal")</f>
        <v>upright</v>
      </c>
      <c r="E47" s="93" t="s">
        <v>397</v>
      </c>
    </row>
    <row r="49" spans="1:6" x14ac:dyDescent="0.15">
      <c r="A49" s="1" t="s">
        <v>701</v>
      </c>
      <c r="B49" s="11"/>
    </row>
    <row r="50" spans="1:6" x14ac:dyDescent="0.15">
      <c r="A50" t="s">
        <v>705</v>
      </c>
      <c r="B50" s="3" t="s">
        <v>706</v>
      </c>
      <c r="C50">
        <f>2*(SQRT(comp_sa_required_vert/comp_in_nlines/PI())+Vessel_thickness)</f>
        <v>6.4401482337571911</v>
      </c>
      <c r="D50" t="s">
        <v>2845</v>
      </c>
      <c r="E50" s="113">
        <f>IF(C50&lt;comp_min_vert_diam,comp_min_vert_diam,IF(C50&gt;comp_max_vert_diam,comp_max_vert_diam,ROUNDUP(2*C50,0)/2))</f>
        <v>9</v>
      </c>
      <c r="F50" t="s">
        <v>707</v>
      </c>
    </row>
    <row r="51" spans="1:6" x14ac:dyDescent="0.15">
      <c r="A51" t="s">
        <v>2352</v>
      </c>
      <c r="C51">
        <f>(comp_vert_diam-2*Vessel_thickness)*(comp_vert_diam-2*Vessel_thickness)*PI()/4</f>
        <v>63.617251235193308</v>
      </c>
      <c r="D51" t="s">
        <v>714</v>
      </c>
    </row>
    <row r="52" spans="1:6" x14ac:dyDescent="0.15">
      <c r="A52" t="s">
        <v>2233</v>
      </c>
      <c r="C52">
        <f>comp_in_nlines*C51</f>
        <v>127.23450247038662</v>
      </c>
      <c r="D52" t="s">
        <v>714</v>
      </c>
    </row>
    <row r="53" spans="1:6" x14ac:dyDescent="0.15">
      <c r="A53" t="s">
        <v>699</v>
      </c>
      <c r="B53" s="3" t="s">
        <v>2830</v>
      </c>
      <c r="C53">
        <f>comp_vol_required/Num_tanks/IF(comp_round_sa=1,ROUND(C51,0)*comp_in_nlines,C52)</f>
        <v>2.3550844411724983</v>
      </c>
      <c r="D53" t="s">
        <v>2845</v>
      </c>
      <c r="E53">
        <f>IF(comp_min_vert_bed_depth&lt;=comp_max_vert_bed_depth,IF(C53&lt;comp_min_vert_bed_depth, comp_min_vert_bed_depth, IF(C53&gt;comp_max_vert_bed_depth, comp_max_vert_bed_depth, ROUNDUP(C53,1))),-1)</f>
        <v>2.4</v>
      </c>
      <c r="F53" t="s">
        <v>700</v>
      </c>
    </row>
    <row r="54" spans="1:6" x14ac:dyDescent="0.15">
      <c r="A54" t="s">
        <v>702</v>
      </c>
      <c r="B54" s="3" t="s">
        <v>703</v>
      </c>
      <c r="C54">
        <f>(1+bed_expansion)*comp_vert_bed_depth+free_board</f>
        <v>4.0999999999999996</v>
      </c>
      <c r="D54" t="s">
        <v>2845</v>
      </c>
      <c r="E54" s="113">
        <f>IF(comp_min_vert_height&gt;comp_max_vert_height,-1,IF(C54&gt;comp_max_vert_height,comp_max_vert_height,IF(C54&lt;comp_min_vert_height,comp_min_vert_height,ROUNDUP(2*C54,0)/2)))</f>
        <v>6</v>
      </c>
      <c r="F54" t="s">
        <v>704</v>
      </c>
    </row>
    <row r="56" spans="1:6" x14ac:dyDescent="0.15">
      <c r="A56" s="1" t="s">
        <v>2353</v>
      </c>
      <c r="B56" s="11"/>
    </row>
    <row r="57" spans="1:6" x14ac:dyDescent="0.15">
      <c r="A57" s="5" t="s">
        <v>2354</v>
      </c>
      <c r="B57" s="3" t="s">
        <v>2355</v>
      </c>
      <c r="C57">
        <f>comp_horiz_void_required/comp_max_vol_length</f>
        <v>10.609486030764671</v>
      </c>
      <c r="D57" s="5" t="s">
        <v>714</v>
      </c>
      <c r="F57" s="5"/>
    </row>
    <row r="58" spans="1:6" x14ac:dyDescent="0.15">
      <c r="A58" s="5" t="s">
        <v>2356</v>
      </c>
      <c r="B58" s="3" t="s">
        <v>2357</v>
      </c>
      <c r="C58">
        <f>comp_target_bed_depth_horiz*(1+bed_expansion)</f>
        <v>6.4499999999999993</v>
      </c>
      <c r="D58" s="5" t="s">
        <v>2845</v>
      </c>
      <c r="F58" s="5"/>
    </row>
    <row r="59" spans="1:6" x14ac:dyDescent="0.15">
      <c r="A59" s="5" t="s">
        <v>705</v>
      </c>
      <c r="B59" s="3" t="s">
        <v>2358</v>
      </c>
      <c r="C59">
        <f>(comp_horiz_expanded_bd+SQRT(comp_horiz_expanded_bd*comp_horiz_expanded_bd+PI()*comp_horiz_void_area))/(PI()/2)</f>
        <v>9.6170300762786987</v>
      </c>
      <c r="D59" s="5" t="s">
        <v>2845</v>
      </c>
      <c r="E59" s="113">
        <f>IF(comp_min_horiz_diam&lt;=comp_max_horiz_diam,IF(C59&lt;comp_min_horiz_diam,comp_min_horiz_diam,IF(C59&gt;comp_max_horiz_diam,comp_max_horiz_diam,ROUNDUP(2*C59,0)/2)),-1)</f>
        <v>10</v>
      </c>
      <c r="F59" t="s">
        <v>707</v>
      </c>
    </row>
    <row r="60" spans="1:6" x14ac:dyDescent="0.15">
      <c r="A60" t="s">
        <v>708</v>
      </c>
      <c r="B60" s="3" t="s">
        <v>2359</v>
      </c>
      <c r="C60">
        <f>comp_sa_required_horiz/(comp_horiz_diam-2*Vessel_thickness)/comp_in_nlines</f>
        <v>3.4847448493139326</v>
      </c>
      <c r="D60" t="s">
        <v>2845</v>
      </c>
      <c r="E60" s="113">
        <f>IF(comp_min_horiz_length&lt;=comp_max_horiz_length,IF(C60&lt;comp_min_horiz_length,comp_min_horiz_length,IF(C60&gt;comp_max_horiz_length,comp_max_horiz_length,ROUNDUP(C60,0))),-1)</f>
        <v>20</v>
      </c>
      <c r="F60" t="s">
        <v>709</v>
      </c>
    </row>
    <row r="61" spans="1:6" x14ac:dyDescent="0.15">
      <c r="A61" t="s">
        <v>2233</v>
      </c>
      <c r="C61">
        <f>comp_in_nlines*(comp_horiz_diam-2*Vessel_thickness)*comp_horiz_length</f>
        <v>400</v>
      </c>
      <c r="D61" t="s">
        <v>714</v>
      </c>
    </row>
    <row r="62" spans="1:6" x14ac:dyDescent="0.15">
      <c r="A62" t="s">
        <v>699</v>
      </c>
      <c r="B62" s="3" t="s">
        <v>2360</v>
      </c>
      <c r="C62">
        <f>comp_vol_required/Num_tanks/IF(comp_round_sa=1,ROUND(C61,0),C61)</f>
        <v>0.7491199928708282</v>
      </c>
      <c r="D62" t="s">
        <v>2845</v>
      </c>
      <c r="E62">
        <f>IF(comp_min_horiz_bed_depth&lt;=comp_max_horiz_bed_depth,IF(C62&lt;comp_min_horiz_bed_depth, comp_min_horiz_bed_depth, IF(C62&gt;comp_max_horiz_bed_depth, comp_max_horiz_bed_depth, ROUNDUP(C62,1))),-1)</f>
        <v>2.4</v>
      </c>
      <c r="F62" t="s">
        <v>700</v>
      </c>
    </row>
    <row r="64" spans="1:6" x14ac:dyDescent="0.15">
      <c r="A64" s="1" t="s">
        <v>695</v>
      </c>
      <c r="B64"/>
    </row>
    <row r="65" spans="1:5" x14ac:dyDescent="0.15">
      <c r="A65" t="s">
        <v>2228</v>
      </c>
      <c r="B65" s="3" t="s">
        <v>2229</v>
      </c>
      <c r="C65" s="113">
        <f>IF(comp_tank_geom="upright",comp_vert_bed_depth,IF(comp_tank_geom="horizontal",comp_horiz_bed_depth,-1))</f>
        <v>2.4</v>
      </c>
      <c r="D65" t="s">
        <v>2845</v>
      </c>
    </row>
    <row r="67" spans="1:5" x14ac:dyDescent="0.15">
      <c r="A67" s="92" t="s">
        <v>710</v>
      </c>
      <c r="B67" s="11"/>
    </row>
    <row r="68" spans="1:5" x14ac:dyDescent="0.15">
      <c r="A68" s="1" t="s">
        <v>70</v>
      </c>
    </row>
    <row r="69" spans="1:5" x14ac:dyDescent="0.15">
      <c r="A69" t="s">
        <v>693</v>
      </c>
      <c r="B69" s="3" t="s">
        <v>2361</v>
      </c>
      <c r="C69">
        <f>comp_sa_min/comp_in_nlines</f>
        <v>62.268518518518512</v>
      </c>
      <c r="D69" t="s">
        <v>714</v>
      </c>
      <c r="E69" s="93" t="s">
        <v>398</v>
      </c>
    </row>
    <row r="70" spans="1:5" x14ac:dyDescent="0.15">
      <c r="A70" t="s">
        <v>711</v>
      </c>
      <c r="B70" s="3" t="s">
        <v>2320</v>
      </c>
      <c r="C70">
        <f>comp_sa_max/comp_in_nlines</f>
        <v>747.22222222222217</v>
      </c>
      <c r="D70" t="s">
        <v>714</v>
      </c>
      <c r="E70" s="93" t="s">
        <v>399</v>
      </c>
    </row>
    <row r="72" spans="1:5" x14ac:dyDescent="0.15">
      <c r="A72" s="1" t="s">
        <v>715</v>
      </c>
      <c r="E72" s="93"/>
    </row>
    <row r="73" spans="1:5" x14ac:dyDescent="0.15">
      <c r="A73" s="5" t="s">
        <v>693</v>
      </c>
      <c r="B73" s="3" t="s">
        <v>2230</v>
      </c>
      <c r="C73">
        <f>VLOOKUP(comp_vert_diam,vessel_size_table_cl,2)</f>
        <v>6</v>
      </c>
      <c r="D73" t="s">
        <v>2845</v>
      </c>
      <c r="E73" s="93" t="s">
        <v>400</v>
      </c>
    </row>
    <row r="74" spans="1:5" x14ac:dyDescent="0.15">
      <c r="A74" s="94" t="s">
        <v>711</v>
      </c>
      <c r="C74">
        <f>VLOOKUP(comp_vert_diam,vessel_size_table_cl,3)</f>
        <v>20</v>
      </c>
      <c r="D74" t="s">
        <v>2845</v>
      </c>
      <c r="E74" s="93" t="s">
        <v>400</v>
      </c>
    </row>
    <row r="75" spans="1:5" x14ac:dyDescent="0.15">
      <c r="A75" s="94" t="s">
        <v>711</v>
      </c>
      <c r="C75">
        <f>max_height</f>
        <v>14</v>
      </c>
      <c r="D75" t="s">
        <v>2845</v>
      </c>
      <c r="E75" s="93" t="s">
        <v>1567</v>
      </c>
    </row>
    <row r="76" spans="1:5" x14ac:dyDescent="0.15">
      <c r="A76" t="s">
        <v>711</v>
      </c>
      <c r="B76" s="3" t="s">
        <v>716</v>
      </c>
      <c r="C76">
        <f>MIN(C74:C75)</f>
        <v>14</v>
      </c>
      <c r="D76" t="s">
        <v>2845</v>
      </c>
      <c r="E76" s="93" t="s">
        <v>72</v>
      </c>
    </row>
    <row r="77" spans="1:5" x14ac:dyDescent="0.15">
      <c r="E77" s="93"/>
    </row>
    <row r="78" spans="1:5" x14ac:dyDescent="0.15">
      <c r="A78" s="1" t="s">
        <v>1568</v>
      </c>
      <c r="E78" s="93"/>
    </row>
    <row r="79" spans="1:5" x14ac:dyDescent="0.15">
      <c r="A79" s="94" t="s">
        <v>693</v>
      </c>
      <c r="C79">
        <f>2*(SQRT(comp_vol_required/Num_tanks/PI()/comp_max_vert_bed_depth/comp_in_nlines)+Vessel_thickness)</f>
        <v>5.6385849249460387</v>
      </c>
      <c r="D79" t="s">
        <v>2845</v>
      </c>
      <c r="E79" s="93" t="s">
        <v>2232</v>
      </c>
    </row>
    <row r="80" spans="1:5" x14ac:dyDescent="0.15">
      <c r="A80" s="94" t="s">
        <v>693</v>
      </c>
      <c r="C80">
        <f>2*(SQRT(comp_min_sa_vessel/PI())+Vessel_thickness)</f>
        <v>8.9040855886414061</v>
      </c>
      <c r="D80" t="s">
        <v>2845</v>
      </c>
      <c r="E80" s="93" t="s">
        <v>96</v>
      </c>
    </row>
    <row r="81" spans="1:5" x14ac:dyDescent="0.15">
      <c r="A81" s="94" t="s">
        <v>693</v>
      </c>
      <c r="C81">
        <f>min_diam</f>
        <v>1.5</v>
      </c>
      <c r="D81" t="s">
        <v>2845</v>
      </c>
      <c r="E81" s="93" t="s">
        <v>400</v>
      </c>
    </row>
    <row r="82" spans="1:5" x14ac:dyDescent="0.15">
      <c r="A82" t="s">
        <v>693</v>
      </c>
      <c r="B82" s="3" t="s">
        <v>1569</v>
      </c>
      <c r="C82">
        <f>ROUNDUP(2*MAX(C79:C81),0)/2</f>
        <v>9</v>
      </c>
      <c r="D82" t="s">
        <v>2845</v>
      </c>
      <c r="E82" s="93" t="s">
        <v>1655</v>
      </c>
    </row>
    <row r="83" spans="1:5" x14ac:dyDescent="0.15">
      <c r="A83" s="94" t="s">
        <v>711</v>
      </c>
      <c r="C83">
        <f>max_diam</f>
        <v>14</v>
      </c>
      <c r="D83" t="s">
        <v>2845</v>
      </c>
      <c r="E83" s="93" t="s">
        <v>1570</v>
      </c>
    </row>
    <row r="84" spans="1:5" x14ac:dyDescent="0.15">
      <c r="A84" s="94" t="s">
        <v>711</v>
      </c>
      <c r="C84">
        <f>2*(SQRT(comp_max_sa_vessel/PI())+Vessel_thickness)</f>
        <v>30.844657268937496</v>
      </c>
      <c r="D84" t="s">
        <v>2845</v>
      </c>
      <c r="E84" s="93" t="s">
        <v>73</v>
      </c>
    </row>
    <row r="85" spans="1:5" x14ac:dyDescent="0.15">
      <c r="A85" s="94" t="s">
        <v>711</v>
      </c>
      <c r="C85">
        <f>max_diam</f>
        <v>14</v>
      </c>
      <c r="D85" t="s">
        <v>2845</v>
      </c>
      <c r="E85" s="93" t="s">
        <v>400</v>
      </c>
    </row>
    <row r="86" spans="1:5" x14ac:dyDescent="0.15">
      <c r="A86" t="s">
        <v>711</v>
      </c>
      <c r="B86" s="3" t="s">
        <v>1571</v>
      </c>
      <c r="C86">
        <f>MAX(0.5,ROUNDDOWN(2*MIN(C83:C85),0)/2)</f>
        <v>14</v>
      </c>
      <c r="D86" t="s">
        <v>2845</v>
      </c>
      <c r="E86" s="93" t="s">
        <v>74</v>
      </c>
    </row>
    <row r="87" spans="1:5" x14ac:dyDescent="0.15">
      <c r="E87" s="93"/>
    </row>
    <row r="88" spans="1:5" x14ac:dyDescent="0.15">
      <c r="A88" s="1" t="s">
        <v>2234</v>
      </c>
      <c r="B88" s="11"/>
    </row>
    <row r="89" spans="1:5" x14ac:dyDescent="0.15">
      <c r="A89" s="94" t="s">
        <v>693</v>
      </c>
      <c r="B89" s="11"/>
      <c r="C89">
        <f>IF(comp_round_sa=1,comp_vol_required/Num_tanks/C52,0)</f>
        <v>0</v>
      </c>
      <c r="D89" t="s">
        <v>2845</v>
      </c>
      <c r="E89" s="93" t="s">
        <v>1053</v>
      </c>
    </row>
    <row r="90" spans="1:5" x14ac:dyDescent="0.15">
      <c r="A90" s="94" t="s">
        <v>693</v>
      </c>
      <c r="B90" s="11"/>
      <c r="C90">
        <f>min_bed_depth</f>
        <v>2.4</v>
      </c>
      <c r="D90" t="s">
        <v>2845</v>
      </c>
      <c r="E90" s="93" t="s">
        <v>698</v>
      </c>
    </row>
    <row r="91" spans="1:5" x14ac:dyDescent="0.15">
      <c r="A91" t="s">
        <v>693</v>
      </c>
      <c r="B91" s="3" t="s">
        <v>2235</v>
      </c>
      <c r="C91">
        <f>ROUNDUP(MAX(C89:C90),1)</f>
        <v>2.4</v>
      </c>
      <c r="D91" t="s">
        <v>2845</v>
      </c>
      <c r="E91" s="93" t="s">
        <v>1655</v>
      </c>
    </row>
    <row r="92" spans="1:5" x14ac:dyDescent="0.15">
      <c r="A92" s="94" t="s">
        <v>711</v>
      </c>
      <c r="C92">
        <f>(max_height-free_board)/(1+bed_expansion)</f>
        <v>9</v>
      </c>
      <c r="D92" t="s">
        <v>2845</v>
      </c>
      <c r="E92" s="93" t="s">
        <v>2231</v>
      </c>
    </row>
    <row r="93" spans="1:5" x14ac:dyDescent="0.15">
      <c r="A93" s="94" t="s">
        <v>711</v>
      </c>
      <c r="C93">
        <f>max_bed_depth</f>
        <v>6</v>
      </c>
      <c r="D93" t="s">
        <v>2845</v>
      </c>
      <c r="E93" s="93" t="s">
        <v>698</v>
      </c>
    </row>
    <row r="94" spans="1:5" x14ac:dyDescent="0.15">
      <c r="A94" t="s">
        <v>711</v>
      </c>
      <c r="B94" s="3" t="s">
        <v>2236</v>
      </c>
      <c r="C94">
        <f>ROUNDDOWN(MIN(C92:C93),1)</f>
        <v>6</v>
      </c>
      <c r="D94" t="s">
        <v>2845</v>
      </c>
      <c r="E94" s="93" t="s">
        <v>2187</v>
      </c>
    </row>
    <row r="95" spans="1:5" x14ac:dyDescent="0.15">
      <c r="E95" s="93"/>
    </row>
    <row r="96" spans="1:5" x14ac:dyDescent="0.15">
      <c r="A96" s="1" t="s">
        <v>386</v>
      </c>
      <c r="E96" s="93"/>
    </row>
    <row r="97" spans="1:5" x14ac:dyDescent="0.15">
      <c r="A97" t="s">
        <v>693</v>
      </c>
      <c r="B97" s="3" t="s">
        <v>387</v>
      </c>
      <c r="C97">
        <v>8</v>
      </c>
      <c r="D97" t="s">
        <v>2845</v>
      </c>
      <c r="E97" s="93" t="s">
        <v>75</v>
      </c>
    </row>
    <row r="98" spans="1:5" x14ac:dyDescent="0.15">
      <c r="A98" s="94" t="s">
        <v>711</v>
      </c>
      <c r="C98">
        <f>max_height</f>
        <v>14</v>
      </c>
      <c r="D98" t="s">
        <v>2845</v>
      </c>
      <c r="E98" s="93" t="s">
        <v>1567</v>
      </c>
    </row>
    <row r="99" spans="1:5" x14ac:dyDescent="0.15">
      <c r="A99" s="94" t="s">
        <v>711</v>
      </c>
      <c r="C99">
        <f>max_diam</f>
        <v>14</v>
      </c>
      <c r="D99" t="s">
        <v>2845</v>
      </c>
      <c r="E99" s="93" t="s">
        <v>1572</v>
      </c>
    </row>
    <row r="100" spans="1:5" x14ac:dyDescent="0.15">
      <c r="A100" s="5" t="s">
        <v>711</v>
      </c>
      <c r="B100" s="3" t="s">
        <v>388</v>
      </c>
      <c r="C100">
        <f>ROUNDDOWN(MIN(C98:C99),1)</f>
        <v>14</v>
      </c>
      <c r="D100" s="5" t="s">
        <v>2845</v>
      </c>
      <c r="E100" s="93" t="s">
        <v>1861</v>
      </c>
    </row>
    <row r="101" spans="1:5" x14ac:dyDescent="0.15">
      <c r="A101" s="5"/>
      <c r="D101" s="5"/>
      <c r="E101" s="93"/>
    </row>
    <row r="102" spans="1:5" x14ac:dyDescent="0.15">
      <c r="A102" s="1" t="s">
        <v>389</v>
      </c>
      <c r="D102" s="5"/>
      <c r="E102" s="93"/>
    </row>
    <row r="103" spans="1:5" x14ac:dyDescent="0.15">
      <c r="A103" s="94" t="s">
        <v>693</v>
      </c>
      <c r="C103">
        <f>comp_min_sa_vessel/(comp_horiz_diam-2*Vessel_thickness)</f>
        <v>6.2268518518518512</v>
      </c>
      <c r="D103" s="5" t="s">
        <v>2845</v>
      </c>
      <c r="E103" s="93" t="s">
        <v>71</v>
      </c>
    </row>
    <row r="104" spans="1:5" x14ac:dyDescent="0.15">
      <c r="A104" s="94" t="s">
        <v>693</v>
      </c>
      <c r="C104">
        <v>20</v>
      </c>
      <c r="D104" s="5" t="s">
        <v>2845</v>
      </c>
      <c r="E104" s="79"/>
    </row>
    <row r="105" spans="1:5" x14ac:dyDescent="0.15">
      <c r="A105" t="s">
        <v>693</v>
      </c>
      <c r="B105" s="3" t="s">
        <v>390</v>
      </c>
      <c r="C105">
        <f>ROUNDUP(MAX(C103:C104),0)</f>
        <v>20</v>
      </c>
      <c r="D105" s="5" t="s">
        <v>2845</v>
      </c>
      <c r="E105" s="93" t="s">
        <v>95</v>
      </c>
    </row>
    <row r="106" spans="1:5" x14ac:dyDescent="0.15">
      <c r="A106" s="94" t="s">
        <v>711</v>
      </c>
      <c r="C106">
        <f>max_length</f>
        <v>53</v>
      </c>
      <c r="D106" t="s">
        <v>2845</v>
      </c>
      <c r="E106" s="93" t="s">
        <v>2185</v>
      </c>
    </row>
    <row r="107" spans="1:5" x14ac:dyDescent="0.15">
      <c r="A107" s="94" t="s">
        <v>711</v>
      </c>
      <c r="C107">
        <f>comp_max_vol/(comp_horiz_diam*comp_horiz_diam*PI()/4)/7.48</f>
        <v>46.131102809983474</v>
      </c>
      <c r="D107" t="s">
        <v>2845</v>
      </c>
      <c r="E107" s="93" t="s">
        <v>2186</v>
      </c>
    </row>
    <row r="108" spans="1:5" x14ac:dyDescent="0.15">
      <c r="A108" t="s">
        <v>711</v>
      </c>
      <c r="B108" s="3" t="s">
        <v>391</v>
      </c>
      <c r="C108">
        <f>ROUNDDOWN(MIN(C106:C107),0)</f>
        <v>46</v>
      </c>
      <c r="D108" t="s">
        <v>2845</v>
      </c>
      <c r="E108" s="93" t="s">
        <v>2187</v>
      </c>
    </row>
    <row r="109" spans="1:5" x14ac:dyDescent="0.15">
      <c r="E109" s="93"/>
    </row>
    <row r="110" spans="1:5" x14ac:dyDescent="0.15">
      <c r="A110" s="1" t="s">
        <v>392</v>
      </c>
      <c r="B110" s="11"/>
    </row>
    <row r="111" spans="1:5" x14ac:dyDescent="0.15">
      <c r="A111" s="94" t="s">
        <v>693</v>
      </c>
      <c r="B111" s="11"/>
      <c r="C111">
        <f>IF(comp_round_sa=1,comp_vol_required/Num_tanks/C61,0)</f>
        <v>0</v>
      </c>
      <c r="D111" t="s">
        <v>2845</v>
      </c>
      <c r="E111" s="93" t="s">
        <v>76</v>
      </c>
    </row>
    <row r="112" spans="1:5" x14ac:dyDescent="0.15">
      <c r="A112" s="94" t="s">
        <v>693</v>
      </c>
      <c r="B112" s="11"/>
      <c r="C112">
        <f>min_bed_depth</f>
        <v>2.4</v>
      </c>
      <c r="D112" t="s">
        <v>2845</v>
      </c>
      <c r="E112" s="93" t="s">
        <v>77</v>
      </c>
    </row>
    <row r="113" spans="1:5" x14ac:dyDescent="0.15">
      <c r="A113" t="s">
        <v>693</v>
      </c>
      <c r="B113" s="3" t="s">
        <v>393</v>
      </c>
      <c r="C113">
        <f>ROUNDUP(MAX(C111:C112),1)</f>
        <v>2.4</v>
      </c>
      <c r="D113" t="s">
        <v>2845</v>
      </c>
      <c r="E113" s="93" t="s">
        <v>95</v>
      </c>
    </row>
    <row r="114" spans="1:5" x14ac:dyDescent="0.15">
      <c r="A114" s="94" t="s">
        <v>711</v>
      </c>
      <c r="C114">
        <f>(MIN(max_height,max_diam)-free_board)/(1+bed_expansion)</f>
        <v>9</v>
      </c>
      <c r="D114" t="s">
        <v>2845</v>
      </c>
      <c r="E114" s="93" t="s">
        <v>1933</v>
      </c>
    </row>
    <row r="115" spans="1:5" x14ac:dyDescent="0.15">
      <c r="A115" s="94" t="s">
        <v>711</v>
      </c>
      <c r="C115">
        <f>max_bed_depth</f>
        <v>6</v>
      </c>
      <c r="D115" t="s">
        <v>2845</v>
      </c>
      <c r="E115" s="93" t="s">
        <v>77</v>
      </c>
    </row>
    <row r="116" spans="1:5" x14ac:dyDescent="0.15">
      <c r="A116" t="s">
        <v>711</v>
      </c>
      <c r="B116" s="3" t="s">
        <v>394</v>
      </c>
      <c r="C116">
        <f>ROUNDDOWN(MIN(C114:C115),1)</f>
        <v>6</v>
      </c>
      <c r="D116" t="s">
        <v>2845</v>
      </c>
      <c r="E116" s="93" t="s">
        <v>2187</v>
      </c>
    </row>
    <row r="118" spans="1:5" x14ac:dyDescent="0.15">
      <c r="A118" s="92" t="s">
        <v>2188</v>
      </c>
    </row>
    <row r="119" spans="1:5" x14ac:dyDescent="0.15">
      <c r="A119" t="s">
        <v>2189</v>
      </c>
      <c r="B119" s="3" t="s">
        <v>2190</v>
      </c>
      <c r="C119" t="b">
        <v>1</v>
      </c>
      <c r="E119" s="93" t="s">
        <v>2191</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x14ac:dyDescent="0.15"/>
  <cols>
    <col min="1" max="1" width="26.6640625" customWidth="1"/>
    <col min="2" max="2" width="22.33203125" customWidth="1"/>
    <col min="4" max="4" width="15.6640625" bestFit="1" customWidth="1"/>
    <col min="5" max="5" width="17" customWidth="1"/>
  </cols>
  <sheetData>
    <row r="1" spans="1:17" x14ac:dyDescent="0.15">
      <c r="A1" s="1" t="s">
        <v>2963</v>
      </c>
    </row>
    <row r="2" spans="1:17" x14ac:dyDescent="0.15">
      <c r="A2" s="657" t="s">
        <v>2964</v>
      </c>
    </row>
    <row r="4" spans="1:17" x14ac:dyDescent="0.15">
      <c r="A4" s="1" t="s">
        <v>2965</v>
      </c>
      <c r="B4" s="1" t="s">
        <v>2725</v>
      </c>
      <c r="C4" s="1" t="s">
        <v>2726</v>
      </c>
      <c r="D4" s="1" t="s">
        <v>2727</v>
      </c>
      <c r="E4" s="1" t="s">
        <v>746</v>
      </c>
      <c r="F4" s="1">
        <v>2</v>
      </c>
      <c r="G4" s="1">
        <v>3</v>
      </c>
      <c r="H4" s="1">
        <v>4</v>
      </c>
      <c r="I4" s="1">
        <v>5</v>
      </c>
      <c r="J4" s="1">
        <v>6</v>
      </c>
      <c r="K4" s="1">
        <v>7</v>
      </c>
      <c r="L4" s="1">
        <v>8</v>
      </c>
      <c r="M4" s="1">
        <v>9</v>
      </c>
      <c r="N4" s="1">
        <v>10</v>
      </c>
      <c r="O4" s="1">
        <v>11</v>
      </c>
      <c r="P4" s="1">
        <v>16</v>
      </c>
      <c r="Q4" s="1">
        <v>17</v>
      </c>
    </row>
    <row r="5" spans="1:17" x14ac:dyDescent="0.15">
      <c r="A5" s="28" t="s">
        <v>2583</v>
      </c>
    </row>
    <row r="6" spans="1:17" x14ac:dyDescent="0.15">
      <c r="A6" s="29" t="s">
        <v>2584</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x14ac:dyDescent="0.15">
      <c r="A7" s="29" t="s">
        <v>1208</v>
      </c>
      <c r="B7" t="s">
        <v>1210</v>
      </c>
      <c r="C7" s="49">
        <f>IF(D7=0,0,IF(OR(D7&gt;P7,D7&lt;Q7),"contact vendor",F7*D7^G7+H7*LN(D7)+I7+J7*EXP(K7*D7)+L7*D7^3+M7*D7^2+N7*D7+O7))</f>
        <v>86652.823875483999</v>
      </c>
      <c r="D7">
        <f>comm_vol_gal</f>
        <v>5957.0251578838952</v>
      </c>
      <c r="E7" t="s">
        <v>1210</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x14ac:dyDescent="0.15">
      <c r="A8" s="29" t="s">
        <v>47</v>
      </c>
      <c r="B8" t="s">
        <v>1211</v>
      </c>
      <c r="C8" s="49">
        <f>IF(D8=0,0,IF(OR(D8&gt;P8,D8&lt;Q8),"contact vendor",F8*D8^G8+H8*LN(D8)+I8+J8*EXP(K8*D8)+L8*D8^3+M8*D8^2+N8*D8+O8))</f>
        <v>71143.162039456423</v>
      </c>
      <c r="D8">
        <f>comm_vol_gal</f>
        <v>5957.0251578838952</v>
      </c>
      <c r="E8" t="s">
        <v>1211</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x14ac:dyDescent="0.15">
      <c r="A9" s="29" t="s">
        <v>1328</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x14ac:dyDescent="0.15">
      <c r="A10" s="28" t="s">
        <v>1099</v>
      </c>
    </row>
    <row r="11" spans="1:17" x14ac:dyDescent="0.15">
      <c r="A11" s="728" t="s">
        <v>3215</v>
      </c>
      <c r="B11" t="s">
        <v>748</v>
      </c>
    </row>
    <row r="12" spans="1:17" x14ac:dyDescent="0.15">
      <c r="A12" s="28" t="s">
        <v>785</v>
      </c>
      <c r="B12" s="5"/>
    </row>
    <row r="13" spans="1:17" x14ac:dyDescent="0.15">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x14ac:dyDescent="0.15">
      <c r="A14" s="28" t="s">
        <v>2586</v>
      </c>
    </row>
    <row r="15" spans="1:17" x14ac:dyDescent="0.15">
      <c r="A15" s="29" t="s">
        <v>1320</v>
      </c>
    </row>
    <row r="16" spans="1:17" x14ac:dyDescent="0.15">
      <c r="A16" s="27" t="s">
        <v>1336</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x14ac:dyDescent="0.15">
      <c r="A17" s="27" t="s">
        <v>1328</v>
      </c>
      <c r="B17" t="s">
        <v>1212</v>
      </c>
      <c r="C17" s="49">
        <f>IF(D17=0,0,IF(OR(D17&gt;P17,D17&lt;Q17),"contact vendor",F17*D17^G17+H17*LN(D17)+I17+J17*EXP(K17*D17)+L17*D17^3+M17*D17^2+N17*D17+O17))</f>
        <v>36949.817138450322</v>
      </c>
      <c r="D17">
        <f>back_tank_vol</f>
        <v>4776</v>
      </c>
      <c r="E17" t="s">
        <v>1212</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x14ac:dyDescent="0.15">
      <c r="A18" s="27" t="s">
        <v>739</v>
      </c>
      <c r="B18" t="s">
        <v>1213</v>
      </c>
      <c r="C18" s="49">
        <f>IF(D18=0,0,IF(OR(D18&gt;P18,D18&lt;Q18),"contact vendor",F18*D18^G18+H18*LN(D18)+I18+J18*EXP(K18*D18)+L18*D18^3+M18*D18^2+N18*D18+O18))</f>
        <v>9754.4955630039985</v>
      </c>
      <c r="D18">
        <f>back_tank_vol</f>
        <v>4776</v>
      </c>
      <c r="E18" t="s">
        <v>1213</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x14ac:dyDescent="0.15">
      <c r="A19" s="29" t="s">
        <v>241</v>
      </c>
    </row>
    <row r="20" spans="1:17" x14ac:dyDescent="0.15">
      <c r="A20" s="651" t="s">
        <v>2940</v>
      </c>
      <c r="B20" t="s">
        <v>1228</v>
      </c>
      <c r="C20" s="49">
        <f>IF(D20=0,0,IF(OR(D20&gt;P20,D20&lt;Q20),"contact vendor",F20*D20^G20+H20*LN(D20)+I20+J20*EXP(K20*D20)+L20*D20^3+M20*D20^2+N20*D20+O20))</f>
        <v>0</v>
      </c>
      <c r="D20">
        <f>mix_tank_vol</f>
        <v>0</v>
      </c>
      <c r="E20" t="s">
        <v>1228</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x14ac:dyDescent="0.15">
      <c r="A21" s="27" t="s">
        <v>1328</v>
      </c>
      <c r="B21" t="s">
        <v>1229</v>
      </c>
      <c r="C21" s="49">
        <f>IF(D21=0,0,IF(OR(D21&gt;P21,D21&lt;Q21),"contact vendor",F21*D21^G21+H21*LN(D21)+I21+J21*EXP(K21*D21)+L21*D21^3+M21*D21^2+N21*D21+O21))</f>
        <v>0</v>
      </c>
      <c r="D21">
        <f>mix_tank_vol</f>
        <v>0</v>
      </c>
      <c r="E21" t="s">
        <v>1229</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x14ac:dyDescent="0.15">
      <c r="A22" s="27" t="s">
        <v>2584</v>
      </c>
      <c r="B22" t="s">
        <v>2905</v>
      </c>
      <c r="C22" s="49">
        <f>IF(D22=0,0,IF(OR(D22&gt;P22,D22&lt;Q22),"contact vendor",F22*D22^G22+H22*LN(D22)+I22+J22*EXP(K22*D22)+L22*D22^3+M22*D22^2+N22*D22+O22))</f>
        <v>0</v>
      </c>
      <c r="D22">
        <f>mix_tank_vol</f>
        <v>0</v>
      </c>
      <c r="E22" t="s">
        <v>2905</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x14ac:dyDescent="0.15">
      <c r="A23" s="29" t="s">
        <v>240</v>
      </c>
    </row>
    <row r="24" spans="1:17" x14ac:dyDescent="0.15">
      <c r="A24" s="651" t="s">
        <v>2940</v>
      </c>
      <c r="B24" t="s">
        <v>242</v>
      </c>
      <c r="C24" s="49">
        <f>IF(D24=0,0,IF(OR(D24&gt;P24,D24&lt;Q24),"contact vendor",F24*D24^G24+H24*LN(D24)+I24+J24*EXP(K24*D24)+L24*D24^3+M24*D24^2+N24*D24+O24))</f>
        <v>0</v>
      </c>
      <c r="D24">
        <f>NaOH_tank_vol</f>
        <v>0</v>
      </c>
      <c r="E24" t="s">
        <v>1228</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x14ac:dyDescent="0.15">
      <c r="A25" s="27" t="s">
        <v>1328</v>
      </c>
      <c r="B25" t="s">
        <v>243</v>
      </c>
      <c r="C25" s="49">
        <f>IF(D25=0,0,IF(OR(D25&gt;P25,D25&lt;Q25),"contact vendor",F25*D25^G25+H25*LN(D25)+I25+J25*EXP(K25*D25)+L25*D25^3+M25*D25^2+N25*D25+O25))</f>
        <v>0</v>
      </c>
      <c r="D25">
        <f>NaOH_tank_vol</f>
        <v>0</v>
      </c>
      <c r="E25" t="s">
        <v>1229</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x14ac:dyDescent="0.15">
      <c r="A26" s="27" t="s">
        <v>2584</v>
      </c>
      <c r="B26" t="s">
        <v>2906</v>
      </c>
      <c r="C26" s="49">
        <f>IF(D26=0,0,IF(OR(D26&gt;P26,D26&lt;Q26),"contact vendor",F26*D26^G26+H26*LN(D26)+I26+J26*EXP(K26*D26)+L26*D26^3+M26*D26^2+N26*D26+O26))</f>
        <v>0</v>
      </c>
      <c r="D26">
        <f>NaOH_tank_vol</f>
        <v>0</v>
      </c>
      <c r="E26" t="s">
        <v>2905</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x14ac:dyDescent="0.15">
      <c r="A27" s="526" t="s">
        <v>2915</v>
      </c>
      <c r="B27" s="526" t="s">
        <v>2919</v>
      </c>
      <c r="C27" s="49">
        <f>IF(D27=0,0,IF(OR(D27&gt;P27,D27&lt;Q27),"contact vendor",F27*D27^G27+H27*LN(D27)+I27+J27*EXP(K27*D27)+L27*D27^3+M27*D27^2+N27*D27+O27))</f>
        <v>0</v>
      </c>
      <c r="D27">
        <f>NaOH_tank_vol</f>
        <v>0</v>
      </c>
      <c r="E27" s="526" t="s">
        <v>2916</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x14ac:dyDescent="0.15">
      <c r="A28" s="526" t="s">
        <v>2917</v>
      </c>
      <c r="B28" s="526" t="s">
        <v>2920</v>
      </c>
      <c r="C28" s="49">
        <f>IF(D28=0,0,IF(OR(D28&gt;P28,D28&lt;Q28),"contact vendor",F28*D28^G28+H28*LN(D28)+I28+J28*EXP(K28*D28)+L28*D28^3+M28*D28^2+N28*D28+O28))</f>
        <v>0</v>
      </c>
      <c r="D28">
        <f>NaOH_tank_vol</f>
        <v>0</v>
      </c>
      <c r="E28" s="526" t="s">
        <v>2918</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x14ac:dyDescent="0.15">
      <c r="A29" s="41" t="s">
        <v>1958</v>
      </c>
    </row>
    <row r="30" spans="1:17" x14ac:dyDescent="0.15">
      <c r="A30" s="651" t="s">
        <v>2940</v>
      </c>
      <c r="B30" t="s">
        <v>1947</v>
      </c>
      <c r="C30" s="49">
        <f>IF(D30=0,0,IF(OR(D30&gt;P30,D30&lt;Q30),"contact vendor",F30*D30^G30+H30*LN(D30)+I30+J30*EXP(K30*D30)+L30*D30^3+M30*D30^2+N30*D30+O30))</f>
        <v>0</v>
      </c>
      <c r="D30" s="73">
        <f>NaOH_day_tank_vol</f>
        <v>0</v>
      </c>
      <c r="E30" t="s">
        <v>1228</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x14ac:dyDescent="0.15">
      <c r="A31" s="5" t="s">
        <v>1328</v>
      </c>
      <c r="B31" t="s">
        <v>1948</v>
      </c>
      <c r="C31" s="49">
        <f>IF(D31=0,0,IF(OR(D31&gt;P31,D31&lt;Q31),"contact vendor",F31*D31^G31+H31*LN(D31)+I31+J31*EXP(K31*D31)+L31*D31^3+M31*D31^2+N31*D31+O31))</f>
        <v>0</v>
      </c>
      <c r="D31" s="73">
        <f>NaOH_day_tank_vol</f>
        <v>0</v>
      </c>
      <c r="E31" t="s">
        <v>1229</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x14ac:dyDescent="0.15">
      <c r="A32" s="5" t="s">
        <v>2584</v>
      </c>
      <c r="B32" t="s">
        <v>2907</v>
      </c>
      <c r="C32" s="49">
        <f>IF(D32=0,0,IF(OR(D32&gt;P32,D32&lt;Q32),"contact vendor",F32*D32^G32+H32*LN(D32)+I32+J32*EXP(K32*D32)+L32*D32^3+M32*D32^2+N32*D32+O32))</f>
        <v>0</v>
      </c>
      <c r="D32" s="73">
        <f>NaOH_day_tank_vol</f>
        <v>0</v>
      </c>
      <c r="E32" t="s">
        <v>2905</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x14ac:dyDescent="0.15">
      <c r="A33" s="526" t="s">
        <v>2915</v>
      </c>
      <c r="B33" s="526" t="s">
        <v>2921</v>
      </c>
      <c r="C33" s="49">
        <f>IF(D33=0,0,IF(OR(D33&gt;P33,D33&lt;Q33),"contact vendor",F33*D33^G33+H33*LN(D33)+I33+J33*EXP(K33*D33)+L33*D33^3+M33*D33^2+N33*D33+O33))</f>
        <v>0</v>
      </c>
      <c r="D33" s="73">
        <f>NaOH_day_tank_vol</f>
        <v>0</v>
      </c>
      <c r="E33" s="526" t="s">
        <v>2916</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x14ac:dyDescent="0.15">
      <c r="A34" s="526" t="s">
        <v>2917</v>
      </c>
      <c r="B34" s="526" t="s">
        <v>2922</v>
      </c>
      <c r="C34" s="49">
        <f>IF(D34=0,0,IF(OR(D34&gt;P34,D34&lt;Q34),"contact vendor",F34*D34^G34+H34*LN(D34)+I34+J34*EXP(K34*D34)+L34*D34^3+M34*D34^2+N34*D34+O34))</f>
        <v>0</v>
      </c>
      <c r="D34" s="73">
        <f>NaOH_day_tank_vol</f>
        <v>0</v>
      </c>
      <c r="E34" s="526" t="s">
        <v>2918</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x14ac:dyDescent="0.15">
      <c r="A35" s="41" t="s">
        <v>1949</v>
      </c>
      <c r="D35" s="5"/>
    </row>
    <row r="36" spans="1:17" x14ac:dyDescent="0.15">
      <c r="A36" s="27" t="s">
        <v>2194</v>
      </c>
      <c r="B36" t="s">
        <v>748</v>
      </c>
      <c r="C36" s="49">
        <f>IF(D36=0,0,IF(OR(D36&gt;P36,D36&lt;Q36),"contact vendor",F36*D36^G36+H36*LN(D36)+I36+J36*EXP(K36*D36)+L36*D36^3+M36*D36^2+N36*D36+O36))</f>
        <v>0</v>
      </c>
      <c r="D36" s="5"/>
    </row>
    <row r="37" spans="1:17" x14ac:dyDescent="0.15">
      <c r="A37" s="27" t="s">
        <v>92</v>
      </c>
      <c r="B37" t="s">
        <v>1950</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x14ac:dyDescent="0.15">
      <c r="A38" s="5" t="s">
        <v>1951</v>
      </c>
      <c r="B38" t="s">
        <v>1952</v>
      </c>
      <c r="C38" s="49">
        <f>IF(D38=0,0,IF(OR(D38&gt;P38,D38&lt;Q38),"contact vendor",F38*D38^G38+H38*LN(D38)+I38+J38*EXP(K38*D38)+L38*D38^3+M38*D38^2+N38*D38+O38))</f>
        <v>0</v>
      </c>
      <c r="D38" s="73">
        <f>cmix_size</f>
        <v>0</v>
      </c>
      <c r="E38" t="s">
        <v>2489</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x14ac:dyDescent="0.15">
      <c r="A39" s="41" t="s">
        <v>1953</v>
      </c>
      <c r="D39" s="5"/>
    </row>
    <row r="40" spans="1:17" x14ac:dyDescent="0.15">
      <c r="A40" s="27" t="s">
        <v>2194</v>
      </c>
      <c r="B40" t="s">
        <v>748</v>
      </c>
      <c r="C40" s="49">
        <f>IF(D40=0,0,IF(OR(D40&gt;P40,D40&lt;Q40),"contact vendor",F40*D40^G40+H40*LN(D40)+I40+J40*EXP(K40*D40)+L40*D40^3+M40*D40^2+N40*D40+O40))</f>
        <v>0</v>
      </c>
      <c r="D40" s="5"/>
    </row>
    <row r="41" spans="1:17" x14ac:dyDescent="0.15">
      <c r="A41" s="27" t="s">
        <v>92</v>
      </c>
      <c r="B41" t="s">
        <v>1954</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x14ac:dyDescent="0.15">
      <c r="A42" s="5" t="s">
        <v>1951</v>
      </c>
      <c r="B42" t="s">
        <v>1955</v>
      </c>
      <c r="C42" s="49">
        <f>IF(D42=0,0,IF(OR(D42&gt;P42,D42&lt;Q42),"contact vendor",F42*D42^G42+H42*LN(D42)+I42+J42*EXP(K42*D42)+L42*D42^3+M42*D42^2+N42*D42+O42))</f>
        <v>0</v>
      </c>
      <c r="D42" s="73">
        <f>dmix_size</f>
        <v>0</v>
      </c>
      <c r="E42" t="s">
        <v>2489</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x14ac:dyDescent="0.15">
      <c r="A43" s="99" t="s">
        <v>1266</v>
      </c>
      <c r="C43" s="49"/>
    </row>
    <row r="44" spans="1:17" x14ac:dyDescent="0.15">
      <c r="A44" s="5" t="s">
        <v>1267</v>
      </c>
      <c r="B44" t="s">
        <v>2681</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x14ac:dyDescent="0.15">
      <c r="A45" s="5" t="s">
        <v>1268</v>
      </c>
      <c r="B45" t="s">
        <v>2682</v>
      </c>
      <c r="C45" s="49">
        <f>IF(D45=0,0,IF(OR(D45&gt;P45,D45&lt;Q45),"contact vendor",F45*D45^G45+H45*LN(D45)+I45+J45*EXP(K45*D45)+L45*D45^3+M45*D45^2+N45*D45+O45))</f>
        <v>58473.924014097152</v>
      </c>
      <c r="D45">
        <f>htank_vol</f>
        <v>9552</v>
      </c>
      <c r="E45" t="s">
        <v>1212</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x14ac:dyDescent="0.15">
      <c r="A46" s="5" t="s">
        <v>1269</v>
      </c>
      <c r="B46" t="s">
        <v>2683</v>
      </c>
      <c r="C46" s="49">
        <f>IF(D46=0,0,IF(OR(D46&gt;P46,D46&lt;Q46),"contact vendor",F46*D46^G46+H46*LN(D46)+I46+J46*EXP(K46*D46)+L46*D46^3+M46*D46^2+N46*D46+O46))</f>
        <v>18988.900494124002</v>
      </c>
      <c r="D46">
        <f>htank_vol</f>
        <v>9552</v>
      </c>
      <c r="E46" t="s">
        <v>1213</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x14ac:dyDescent="0.15">
      <c r="A47" s="844" t="s">
        <v>3378</v>
      </c>
      <c r="C47" s="596"/>
    </row>
    <row r="48" spans="1:17" x14ac:dyDescent="0.15">
      <c r="A48" s="526" t="s">
        <v>2940</v>
      </c>
      <c r="B48" s="526" t="s">
        <v>3379</v>
      </c>
      <c r="C48" s="49">
        <f>IF(D48=0,0,IF(OR(D48&gt;P48,D48&lt;Q48),"contact vendor",F48*D48^G48+H48*LN(D48)+I48+J48*EXP(K48*D48)+L48*D48^3+M48*D48^2+N48*D48+O48))</f>
        <v>0</v>
      </c>
      <c r="D48">
        <f>coag_tank_vol</f>
        <v>0</v>
      </c>
      <c r="E48" t="s">
        <v>1228</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x14ac:dyDescent="0.15">
      <c r="A49" s="526" t="s">
        <v>1328</v>
      </c>
      <c r="B49" s="526" t="s">
        <v>3380</v>
      </c>
      <c r="C49" s="49">
        <f>IF(D49=0,0,IF(OR(D49&gt;P49,D49&lt;Q49),"contact vendor",F49*D49^G49+H49*LN(D49)+I49+J49*EXP(K49*D49)+L49*D49^3+M49*D49^2+N49*D49+O49))</f>
        <v>0</v>
      </c>
      <c r="D49">
        <f>coag_tank_vol</f>
        <v>0</v>
      </c>
      <c r="E49" t="s">
        <v>1229</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x14ac:dyDescent="0.15">
      <c r="A50" s="41" t="s">
        <v>1369</v>
      </c>
      <c r="C50" s="72"/>
    </row>
    <row r="51" spans="1:17" x14ac:dyDescent="0.15">
      <c r="A51" s="651" t="s">
        <v>2940</v>
      </c>
      <c r="B51" s="5" t="s">
        <v>1370</v>
      </c>
      <c r="C51" s="49">
        <f>IF(D51=0,0,IF(OR(D51&gt;P51,D51&lt;Q51),"contact vendor",F51*D51^G51+H51*LN(D51)+I51+J51*EXP(K51*D51)+L51*D51^3+M51*D51^2+N51*D51+O51))</f>
        <v>0</v>
      </c>
      <c r="D51" s="73">
        <f>polymer_tank_vol</f>
        <v>0</v>
      </c>
      <c r="E51" t="s">
        <v>1228</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x14ac:dyDescent="0.15">
      <c r="A52" s="5" t="s">
        <v>1328</v>
      </c>
      <c r="B52" s="5" t="s">
        <v>1371</v>
      </c>
      <c r="C52" s="49">
        <f>IF(D52=0,0,IF(OR(D52&gt;P52,D52&lt;Q52),"contact vendor",F52*D52^G52+H52*LN(D52)+I52+J52*EXP(K52*D52)+L52*D52^3+M52*D52^2+N52*D52+O52))</f>
        <v>0</v>
      </c>
      <c r="D52" s="73">
        <f>polymer_tank_vol</f>
        <v>0</v>
      </c>
      <c r="E52" t="s">
        <v>1229</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x14ac:dyDescent="0.15">
      <c r="A53" s="5" t="s">
        <v>2584</v>
      </c>
      <c r="B53" s="5" t="s">
        <v>2908</v>
      </c>
      <c r="C53" s="49">
        <f>IF(D53=0,0,IF(OR(D53&gt;P53,D53&lt;Q53),"contact vendor",F53*D53^G53+H53*LN(D53)+I53+J53*EXP(K53*D53)+L53*D53^3+M53*D53^2+N53*D53+O53))</f>
        <v>0</v>
      </c>
      <c r="D53" s="73">
        <f>polymer_tank_vol</f>
        <v>0</v>
      </c>
      <c r="E53" t="s">
        <v>2905</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x14ac:dyDescent="0.15">
      <c r="A54" s="28" t="s">
        <v>1330</v>
      </c>
    </row>
    <row r="55" spans="1:17" x14ac:dyDescent="0.15">
      <c r="A55" s="29" t="s">
        <v>1337</v>
      </c>
    </row>
    <row r="56" spans="1:17" x14ac:dyDescent="0.15">
      <c r="A56" s="27" t="s">
        <v>1334</v>
      </c>
      <c r="B56" t="s">
        <v>1218</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x14ac:dyDescent="0.15">
      <c r="A57" s="27" t="s">
        <v>1335</v>
      </c>
      <c r="B57" t="s">
        <v>1219</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x14ac:dyDescent="0.15">
      <c r="A58" s="27" t="s">
        <v>2584</v>
      </c>
      <c r="B58" t="s">
        <v>1220</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x14ac:dyDescent="0.15">
      <c r="A59" s="27" t="s">
        <v>1336</v>
      </c>
      <c r="B59" t="s">
        <v>1221</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x14ac:dyDescent="0.15">
      <c r="A60" s="29" t="s">
        <v>1463</v>
      </c>
    </row>
    <row r="61" spans="1:17" x14ac:dyDescent="0.15">
      <c r="A61" s="27" t="s">
        <v>1334</v>
      </c>
      <c r="B61" t="s">
        <v>1232</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x14ac:dyDescent="0.15">
      <c r="A62" s="27" t="s">
        <v>1335</v>
      </c>
      <c r="B62" t="s">
        <v>1230</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x14ac:dyDescent="0.15">
      <c r="A63" s="27" t="s">
        <v>2584</v>
      </c>
      <c r="B63" t="s">
        <v>1231</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x14ac:dyDescent="0.15">
      <c r="A64" s="29" t="s">
        <v>1331</v>
      </c>
    </row>
    <row r="65" spans="1:17" x14ac:dyDescent="0.15">
      <c r="A65" s="27" t="s">
        <v>846</v>
      </c>
      <c r="B65" t="s">
        <v>2833</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x14ac:dyDescent="0.15">
      <c r="A66" s="27" t="s">
        <v>1334</v>
      </c>
      <c r="B66" t="s">
        <v>1214</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x14ac:dyDescent="0.15">
      <c r="A67" s="27" t="s">
        <v>1335</v>
      </c>
      <c r="B67" t="s">
        <v>1215</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x14ac:dyDescent="0.15">
      <c r="A68" s="27" t="s">
        <v>2584</v>
      </c>
      <c r="B68" t="s">
        <v>1216</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x14ac:dyDescent="0.15">
      <c r="A69" s="27" t="s">
        <v>1336</v>
      </c>
      <c r="B69" t="s">
        <v>1217</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x14ac:dyDescent="0.15">
      <c r="A70" s="29" t="s">
        <v>2192</v>
      </c>
    </row>
    <row r="71" spans="1:17" x14ac:dyDescent="0.15">
      <c r="A71" s="27" t="s">
        <v>1334</v>
      </c>
      <c r="B71" t="s">
        <v>2816</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x14ac:dyDescent="0.15">
      <c r="A72" s="27" t="s">
        <v>1335</v>
      </c>
      <c r="B72" t="s">
        <v>1233</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x14ac:dyDescent="0.15">
      <c r="A73" s="27" t="s">
        <v>2584</v>
      </c>
      <c r="B73" t="s">
        <v>2814</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x14ac:dyDescent="0.15">
      <c r="A74" s="27" t="s">
        <v>1336</v>
      </c>
      <c r="B74" t="s">
        <v>2815</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x14ac:dyDescent="0.15">
      <c r="A75" s="29" t="s">
        <v>3462</v>
      </c>
    </row>
    <row r="76" spans="1:17" x14ac:dyDescent="0.15">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x14ac:dyDescent="0.15">
      <c r="A77" s="27" t="s">
        <v>1334</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x14ac:dyDescent="0.15">
      <c r="A78" s="27" t="s">
        <v>1335</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x14ac:dyDescent="0.15">
      <c r="A79" s="27" t="s">
        <v>2584</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x14ac:dyDescent="0.15">
      <c r="A80" s="27" t="s">
        <v>1336</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x14ac:dyDescent="0.15">
      <c r="A81" s="29" t="s">
        <v>2377</v>
      </c>
    </row>
    <row r="82" spans="1:17" x14ac:dyDescent="0.15">
      <c r="A82" s="27" t="s">
        <v>1334</v>
      </c>
      <c r="B82" t="s">
        <v>2362</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x14ac:dyDescent="0.15">
      <c r="A83" s="27" t="s">
        <v>1335</v>
      </c>
      <c r="B83" t="s">
        <v>2363</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x14ac:dyDescent="0.15">
      <c r="A84" s="27" t="s">
        <v>2584</v>
      </c>
      <c r="B84" t="s">
        <v>2364</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x14ac:dyDescent="0.15">
      <c r="A85" s="99" t="s">
        <v>1270</v>
      </c>
    </row>
    <row r="86" spans="1:17" x14ac:dyDescent="0.15">
      <c r="A86" s="14" t="s">
        <v>1334</v>
      </c>
      <c r="B86" t="s">
        <v>2684</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x14ac:dyDescent="0.15">
      <c r="A87" s="14" t="s">
        <v>1335</v>
      </c>
      <c r="B87" t="s">
        <v>2685</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x14ac:dyDescent="0.15">
      <c r="A88" s="14" t="s">
        <v>2584</v>
      </c>
      <c r="B88" t="s">
        <v>2686</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x14ac:dyDescent="0.15">
      <c r="A89" s="14" t="s">
        <v>1336</v>
      </c>
      <c r="B89" t="s">
        <v>2687</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x14ac:dyDescent="0.15">
      <c r="A90" s="844" t="s">
        <v>3381</v>
      </c>
      <c r="B90" s="526"/>
      <c r="C90" s="596"/>
    </row>
    <row r="91" spans="1:17" x14ac:dyDescent="0.15">
      <c r="A91" s="526" t="s">
        <v>1334</v>
      </c>
      <c r="B91" s="526" t="s">
        <v>3382</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x14ac:dyDescent="0.15">
      <c r="A92" s="526" t="s">
        <v>1335</v>
      </c>
      <c r="B92" s="526" t="s">
        <v>3383</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x14ac:dyDescent="0.15">
      <c r="A93" s="41" t="s">
        <v>1372</v>
      </c>
      <c r="B93" s="5"/>
      <c r="C93" s="72"/>
    </row>
    <row r="94" spans="1:17" x14ac:dyDescent="0.15">
      <c r="A94" s="5" t="s">
        <v>1334</v>
      </c>
      <c r="B94" s="5" t="s">
        <v>1373</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x14ac:dyDescent="0.15">
      <c r="A95" s="5" t="s">
        <v>1335</v>
      </c>
      <c r="B95" s="5" t="s">
        <v>1374</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x14ac:dyDescent="0.15">
      <c r="A96" s="5" t="s">
        <v>2584</v>
      </c>
      <c r="B96" s="5" t="s">
        <v>1375</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x14ac:dyDescent="0.15">
      <c r="A97" s="5" t="s">
        <v>1336</v>
      </c>
      <c r="B97" s="5" t="s">
        <v>1376</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x14ac:dyDescent="0.15">
      <c r="A98" s="28" t="s">
        <v>2193</v>
      </c>
    </row>
    <row r="99" spans="1:17" x14ac:dyDescent="0.15">
      <c r="A99" s="29" t="s">
        <v>1357</v>
      </c>
    </row>
    <row r="100" spans="1:17" x14ac:dyDescent="0.15">
      <c r="A100" s="27" t="s">
        <v>2821</v>
      </c>
      <c r="B100" t="s">
        <v>1222</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x14ac:dyDescent="0.15">
      <c r="A101" s="27" t="s">
        <v>1338</v>
      </c>
      <c r="B101" t="s">
        <v>1223</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x14ac:dyDescent="0.15">
      <c r="A102" s="27" t="s">
        <v>1651</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x14ac:dyDescent="0.15">
      <c r="A103" s="27" t="s">
        <v>2822</v>
      </c>
      <c r="B103" t="s">
        <v>1224</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x14ac:dyDescent="0.15">
      <c r="A104" s="27" t="s">
        <v>1339</v>
      </c>
      <c r="B104" t="s">
        <v>1225</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x14ac:dyDescent="0.15">
      <c r="A105" s="27" t="s">
        <v>688</v>
      </c>
      <c r="B105" t="s">
        <v>2289</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x14ac:dyDescent="0.15">
      <c r="A106" s="27" t="s">
        <v>2823</v>
      </c>
      <c r="B106" t="s">
        <v>2818</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x14ac:dyDescent="0.15">
      <c r="A107" s="27" t="s">
        <v>1207</v>
      </c>
      <c r="B107" t="s">
        <v>2817</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x14ac:dyDescent="0.15">
      <c r="A108" s="27" t="s">
        <v>2819</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x14ac:dyDescent="0.15">
      <c r="A109" s="27" t="s">
        <v>2820</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x14ac:dyDescent="0.15">
      <c r="A110" s="27" t="s">
        <v>184</v>
      </c>
      <c r="B110" t="s">
        <v>2290</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x14ac:dyDescent="0.15">
      <c r="A111" s="27" t="s">
        <v>1315</v>
      </c>
      <c r="B111" t="s">
        <v>1312</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x14ac:dyDescent="0.15">
      <c r="A112" s="27" t="s">
        <v>1313</v>
      </c>
      <c r="B112" t="s">
        <v>1314</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x14ac:dyDescent="0.15">
      <c r="A113" s="14" t="s">
        <v>2688</v>
      </c>
      <c r="B113" t="s">
        <v>2689</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x14ac:dyDescent="0.15">
      <c r="A114" s="14" t="s">
        <v>2690</v>
      </c>
      <c r="B114" t="s">
        <v>2691</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x14ac:dyDescent="0.15">
      <c r="A115" s="14" t="s">
        <v>2692</v>
      </c>
      <c r="B115" t="s">
        <v>2693</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x14ac:dyDescent="0.15">
      <c r="A116" s="526" t="s">
        <v>3384</v>
      </c>
      <c r="B116" s="526" t="s">
        <v>3385</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x14ac:dyDescent="0.15">
      <c r="A117" s="5" t="s">
        <v>1377</v>
      </c>
      <c r="B117" s="5" t="s">
        <v>1378</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x14ac:dyDescent="0.15">
      <c r="A118" s="5" t="s">
        <v>1379</v>
      </c>
      <c r="B118" s="5" t="s">
        <v>1380</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x14ac:dyDescent="0.15">
      <c r="A119" s="27" t="s">
        <v>1381</v>
      </c>
      <c r="B119" s="5" t="s">
        <v>1382</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x14ac:dyDescent="0.15">
      <c r="A120" s="41" t="s">
        <v>1652</v>
      </c>
    </row>
    <row r="121" spans="1:17" x14ac:dyDescent="0.15">
      <c r="A121" s="5" t="s">
        <v>3449</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x14ac:dyDescent="0.15">
      <c r="A122" s="5" t="s">
        <v>3450</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x14ac:dyDescent="0.15">
      <c r="A123" s="5" t="s">
        <v>3451</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x14ac:dyDescent="0.15">
      <c r="A124" s="5" t="s">
        <v>2821</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x14ac:dyDescent="0.15">
      <c r="A125" s="5" t="s">
        <v>1338</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x14ac:dyDescent="0.15">
      <c r="A126" s="5" t="s">
        <v>1651</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x14ac:dyDescent="0.15">
      <c r="A127" s="27" t="s">
        <v>2822</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x14ac:dyDescent="0.15">
      <c r="A128" s="27" t="s">
        <v>1339</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x14ac:dyDescent="0.15">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x14ac:dyDescent="0.15">
      <c r="A130" s="27" t="s">
        <v>2823</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x14ac:dyDescent="0.15">
      <c r="A131" s="27" t="s">
        <v>1207</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x14ac:dyDescent="0.15">
      <c r="A132" s="27" t="s">
        <v>2819</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x14ac:dyDescent="0.15">
      <c r="A133" s="27" t="s">
        <v>2820</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x14ac:dyDescent="0.15">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x14ac:dyDescent="0.15">
      <c r="A135" s="27" t="s">
        <v>1315</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x14ac:dyDescent="0.15">
      <c r="A136" s="27" t="s">
        <v>1313</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x14ac:dyDescent="0.15">
      <c r="A137" s="14" t="s">
        <v>2688</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x14ac:dyDescent="0.15">
      <c r="A138" s="14" t="s">
        <v>2690</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x14ac:dyDescent="0.15">
      <c r="A139" s="14" t="s">
        <v>2692</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x14ac:dyDescent="0.15">
      <c r="A140" s="526" t="s">
        <v>3384</v>
      </c>
      <c r="B140" s="526" t="s">
        <v>3386</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x14ac:dyDescent="0.15">
      <c r="A141" s="5" t="s">
        <v>1377</v>
      </c>
      <c r="B141" s="5" t="s">
        <v>1383</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x14ac:dyDescent="0.15">
      <c r="A142" s="5" t="s">
        <v>1379</v>
      </c>
      <c r="B142" s="5" t="s">
        <v>1384</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x14ac:dyDescent="0.15">
      <c r="A143" s="27" t="s">
        <v>1381</v>
      </c>
      <c r="B143" s="5" t="s">
        <v>1385</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x14ac:dyDescent="0.15">
      <c r="A144" s="41" t="s">
        <v>2768</v>
      </c>
    </row>
    <row r="145" spans="1:17" x14ac:dyDescent="0.15">
      <c r="A145" s="5" t="s">
        <v>2822</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x14ac:dyDescent="0.15">
      <c r="A146" s="5" t="s">
        <v>1339</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x14ac:dyDescent="0.15">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x14ac:dyDescent="0.15">
      <c r="A148" s="5" t="s">
        <v>3458</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x14ac:dyDescent="0.15">
      <c r="A149" s="5" t="s">
        <v>3459</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x14ac:dyDescent="0.15">
      <c r="A150" s="5" t="s">
        <v>3460</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x14ac:dyDescent="0.15">
      <c r="A151" s="5" t="s">
        <v>2819</v>
      </c>
      <c r="B151" t="s">
        <v>2288</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x14ac:dyDescent="0.15">
      <c r="A152" s="5" t="s">
        <v>2820</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x14ac:dyDescent="0.15">
      <c r="A153" s="5" t="s">
        <v>184</v>
      </c>
      <c r="B153" t="s">
        <v>2287</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x14ac:dyDescent="0.15">
      <c r="A154" s="5" t="s">
        <v>1318</v>
      </c>
      <c r="B154" t="s">
        <v>1316</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x14ac:dyDescent="0.15">
      <c r="A155" s="5" t="s">
        <v>1319</v>
      </c>
      <c r="B155" t="s">
        <v>1317</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x14ac:dyDescent="0.15">
      <c r="A156" s="5" t="s">
        <v>1315</v>
      </c>
      <c r="B156" t="s">
        <v>2705</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x14ac:dyDescent="0.15">
      <c r="A157" s="5" t="s">
        <v>1313</v>
      </c>
      <c r="B157" t="s">
        <v>2706</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x14ac:dyDescent="0.15">
      <c r="A158" s="5" t="s">
        <v>2694</v>
      </c>
      <c r="B158" t="s">
        <v>2695</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x14ac:dyDescent="0.15">
      <c r="A159" s="5" t="s">
        <v>2696</v>
      </c>
      <c r="B159" t="s">
        <v>2697</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x14ac:dyDescent="0.15">
      <c r="A160" s="5" t="s">
        <v>2698</v>
      </c>
      <c r="B160" t="s">
        <v>2699</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x14ac:dyDescent="0.15">
      <c r="A161" s="526" t="s">
        <v>3384</v>
      </c>
      <c r="B161" s="526" t="s">
        <v>3387</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x14ac:dyDescent="0.15">
      <c r="A162" s="5" t="s">
        <v>1377</v>
      </c>
      <c r="B162" t="s">
        <v>1386</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x14ac:dyDescent="0.15">
      <c r="A163" s="5" t="s">
        <v>1379</v>
      </c>
      <c r="B163" t="s">
        <v>1387</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x14ac:dyDescent="0.15">
      <c r="A164" s="5" t="s">
        <v>1381</v>
      </c>
      <c r="B164" t="s">
        <v>1388</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x14ac:dyDescent="0.15">
      <c r="A165" s="28" t="s">
        <v>1340</v>
      </c>
    </row>
    <row r="166" spans="1:17" x14ac:dyDescent="0.15">
      <c r="A166" s="29" t="s">
        <v>1341</v>
      </c>
      <c r="B166" t="s">
        <v>1226</v>
      </c>
      <c r="C166" s="49">
        <f>IF(D166=0,0,IF(OR(D166&gt;P166,D166&lt;Q166),"contact vendor",F166*D166^G166+H166*LN(D166)+I166+J166*EXP(K166*D166)+L166*D166^3+M166*D166^2+N166*D166+O166))</f>
        <v>29419.399557293564</v>
      </c>
      <c r="D166">
        <f>pump_rating</f>
        <v>1868.0555555555554</v>
      </c>
      <c r="E166" t="s">
        <v>1226</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x14ac:dyDescent="0.15">
      <c r="A167" s="41" t="s">
        <v>1342</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x14ac:dyDescent="0.15">
      <c r="A168" s="41" t="s">
        <v>250</v>
      </c>
      <c r="B168" s="5"/>
      <c r="C168" s="49"/>
    </row>
    <row r="169" spans="1:17" x14ac:dyDescent="0.15">
      <c r="A169" s="5" t="s">
        <v>2854</v>
      </c>
      <c r="B169" t="s">
        <v>2856</v>
      </c>
      <c r="C169" s="49">
        <f>IF(D169=0,0,IF(OR(D169&gt;P169,D169&lt;Q169),"contact vendor",F169*D169^G169+H169*LN(D169)+I169+J169*EXP(K169*D169)+L169*D169^3+M169*D169^2+N169*D169+O169))</f>
        <v>0</v>
      </c>
      <c r="D169">
        <f>pH_pump_rating</f>
        <v>0</v>
      </c>
      <c r="E169" t="s">
        <v>2856</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x14ac:dyDescent="0.15">
      <c r="A170" s="5" t="s">
        <v>2858</v>
      </c>
      <c r="B170" t="s">
        <v>2860</v>
      </c>
      <c r="C170" s="49">
        <f>IF(D170=0,0,IF(OR(D170&gt;P170,D170&lt;Q170),"contact vendor",F170*D170^G170+H170*LN(D170)+I170+J170*EXP(K170*D170)+L170*D170^3+M170*D170^2+N170*D170+O170))</f>
        <v>0</v>
      </c>
      <c r="D170">
        <f>pH_pump_rating</f>
        <v>0</v>
      </c>
      <c r="E170" t="s">
        <v>2860</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x14ac:dyDescent="0.15">
      <c r="A171" s="5" t="s">
        <v>2855</v>
      </c>
      <c r="B171" t="s">
        <v>2857</v>
      </c>
      <c r="C171" s="49">
        <f>IF(D171=0,0,IF(OR(D171&gt;P171,D171&lt;Q171),"contact vendor",F171*D171^G171+H171*LN(D171)+I171+J171*EXP(K171*D171)+L171*D171^3+M171*D171^2+N171*D171+O171))</f>
        <v>0</v>
      </c>
      <c r="D171">
        <f>pH_pump_rating</f>
        <v>0</v>
      </c>
      <c r="E171" t="s">
        <v>2857</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x14ac:dyDescent="0.15">
      <c r="A172" s="5" t="s">
        <v>2859</v>
      </c>
      <c r="B172" t="s">
        <v>2861</v>
      </c>
      <c r="C172" s="49">
        <f>IF(D172=0,0,IF(OR(D172&gt;P172,D172&lt;Q172),"contact vendor",F172*D172^G172+H172*LN(D172)+I172+J172*EXP(K172*D172)+L172*D172^3+M172*D172^2+N172*D172+O172))</f>
        <v>0</v>
      </c>
      <c r="D172">
        <f>pH_pump_rating</f>
        <v>0</v>
      </c>
      <c r="E172" t="s">
        <v>2861</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x14ac:dyDescent="0.15">
      <c r="A173" s="99" t="s">
        <v>677</v>
      </c>
      <c r="B173" t="s">
        <v>2700</v>
      </c>
      <c r="C173" s="49">
        <f>IF(D173=0,0,IF(OR(D173&gt;P173,D173&lt;Q173),"contact vendor",F173*D173^G173+H173*LN(D173)+I173+J173*EXP(K173*D173)+L173*D173^3+M173*D173^2+N173*D173+O173))</f>
        <v>4094.772298147735</v>
      </c>
      <c r="D173">
        <f>res_pump_rating</f>
        <v>8.6273010089825117E-2</v>
      </c>
      <c r="E173" t="s">
        <v>1226</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x14ac:dyDescent="0.15">
      <c r="A174" s="845" t="s">
        <v>3388</v>
      </c>
      <c r="C174" s="596"/>
    </row>
    <row r="175" spans="1:17" x14ac:dyDescent="0.15">
      <c r="A175" s="651" t="s">
        <v>2854</v>
      </c>
      <c r="B175" s="526" t="s">
        <v>3389</v>
      </c>
      <c r="C175" s="49">
        <f>IF(D175=0,0,IF(OR(D175&gt;P175,D175&lt;Q175),"contact vendor",F175*D175^G175+H175*LN(D175)+I175+J175*EXP(K175*D175)+L175*D175^3+M175*D175^2+N175*D175+O175))</f>
        <v>0</v>
      </c>
      <c r="D175">
        <f>cm_pump_rating_coag</f>
        <v>0</v>
      </c>
      <c r="E175" s="526" t="s">
        <v>2856</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x14ac:dyDescent="0.15">
      <c r="A176" s="651" t="s">
        <v>2855</v>
      </c>
      <c r="B176" s="526" t="s">
        <v>3390</v>
      </c>
      <c r="C176" s="49">
        <f>IF(D176=0,0,IF(OR(D176&gt;P176,D176&lt;Q176),"contact vendor",F176*D176^G176+H176*LN(D176)+I176+J176*EXP(K176*D176)+L176*D176^3+M176*D176^2+N176*D176+O176))</f>
        <v>0</v>
      </c>
      <c r="D176">
        <f>cm_pump_rating_coag</f>
        <v>0</v>
      </c>
      <c r="E176" s="526" t="s">
        <v>2857</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x14ac:dyDescent="0.15">
      <c r="A177" s="99" t="s">
        <v>1393</v>
      </c>
      <c r="B177" s="27"/>
      <c r="C177" s="72"/>
    </row>
    <row r="178" spans="1:17" x14ac:dyDescent="0.15">
      <c r="A178" s="27" t="s">
        <v>2854</v>
      </c>
      <c r="B178" s="5" t="s">
        <v>1389</v>
      </c>
      <c r="C178" s="49">
        <f>IF(D178=0,0,IF(OR(D178&gt;P178,D178&lt;Q178),"contact vendor",F178*D178^G178+H178*LN(D178)+I178+J178*EXP(K178*D178)+L178*D178^3+M178*D178^2+N178*D178+O178))</f>
        <v>0</v>
      </c>
      <c r="D178" s="73">
        <f>cm_pump_rating_polymer</f>
        <v>0</v>
      </c>
      <c r="E178" s="5" t="s">
        <v>2856</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x14ac:dyDescent="0.15">
      <c r="A179" s="27" t="s">
        <v>2858</v>
      </c>
      <c r="B179" s="5" t="s">
        <v>1390</v>
      </c>
      <c r="C179" s="49">
        <f>IF(D179=0,0,IF(OR(D179&gt;P179,D179&lt;Q179),"contact vendor",F179*D179^G179+H179*LN(D179)+I179+J179*EXP(K179*D179)+L179*D179^3+M179*D179^2+N179*D179+O179))</f>
        <v>0</v>
      </c>
      <c r="D179" s="73">
        <f>cm_pump_rating_polymer</f>
        <v>0</v>
      </c>
      <c r="E179" s="5" t="s">
        <v>2860</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x14ac:dyDescent="0.15">
      <c r="A180" s="27" t="s">
        <v>2855</v>
      </c>
      <c r="B180" s="5" t="s">
        <v>1391</v>
      </c>
      <c r="C180" s="49">
        <f>IF(D180=0,0,IF(OR(D180&gt;P180,D180&lt;Q180),"contact vendor",F180*D180^G180+H180*LN(D180)+I180+J180*EXP(K180*D180)+L180*D180^3+M180*D180^2+N180*D180+O180))</f>
        <v>0</v>
      </c>
      <c r="D180" s="73">
        <f>cm_pump_rating_polymer</f>
        <v>0</v>
      </c>
      <c r="E180" s="5" t="s">
        <v>2857</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x14ac:dyDescent="0.15">
      <c r="A181" s="27" t="s">
        <v>2859</v>
      </c>
      <c r="B181" s="5" t="s">
        <v>1392</v>
      </c>
      <c r="C181" s="49">
        <f>IF(D181=0,0,IF(OR(D181&gt;P181,D181&lt;Q181),"contact vendor",F181*D181^G181+H181*LN(D181)+I181+J181*EXP(K181*D181)+L181*D181^3+M181*D181^2+N181*D181+O181))</f>
        <v>0</v>
      </c>
      <c r="D181" s="73">
        <f>cm_pump_rating_polymer</f>
        <v>0</v>
      </c>
      <c r="E181" s="5" t="s">
        <v>2861</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x14ac:dyDescent="0.15">
      <c r="A182" s="28" t="s">
        <v>1343</v>
      </c>
    </row>
    <row r="183" spans="1:17" x14ac:dyDescent="0.15">
      <c r="A183" s="29" t="s">
        <v>2701</v>
      </c>
    </row>
    <row r="184" spans="1:17" x14ac:dyDescent="0.15">
      <c r="A184" s="27" t="s">
        <v>2194</v>
      </c>
      <c r="B184" t="s">
        <v>748</v>
      </c>
    </row>
    <row r="185" spans="1:17" x14ac:dyDescent="0.15">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x14ac:dyDescent="0.15">
      <c r="A186" s="29" t="s">
        <v>677</v>
      </c>
    </row>
    <row r="187" spans="1:17" x14ac:dyDescent="0.15">
      <c r="A187" s="27" t="s">
        <v>2194</v>
      </c>
      <c r="B187" t="s">
        <v>748</v>
      </c>
    </row>
    <row r="188" spans="1:17" x14ac:dyDescent="0.15">
      <c r="A188" s="27" t="s">
        <v>92</v>
      </c>
      <c r="B188" t="s">
        <v>2702</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x14ac:dyDescent="0.15">
      <c r="A189" s="27" t="s">
        <v>1700</v>
      </c>
      <c r="B189" t="s">
        <v>1699</v>
      </c>
      <c r="C189" s="49">
        <f>IF(D189=0,0,IF(OR(D189&gt;P189,D189&lt;Q189),"contact vendor",F189*D189^G189+H189*LN(D189)+I189+J189*EXP(K189*D189)+L189*D189^3+M189*D189^2+N189*D189+O189))</f>
        <v>0</v>
      </c>
      <c r="D189">
        <f>hmix_size</f>
        <v>0</v>
      </c>
      <c r="E189" t="s">
        <v>2489</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x14ac:dyDescent="0.15">
      <c r="A190" s="844" t="s">
        <v>3391</v>
      </c>
      <c r="C190" s="596"/>
    </row>
    <row r="191" spans="1:17" x14ac:dyDescent="0.15">
      <c r="A191" s="651" t="s">
        <v>2194</v>
      </c>
      <c r="B191" t="s">
        <v>748</v>
      </c>
    </row>
    <row r="192" spans="1:17" x14ac:dyDescent="0.15">
      <c r="A192" s="651" t="s">
        <v>92</v>
      </c>
      <c r="B192" s="526" t="s">
        <v>3392</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x14ac:dyDescent="0.15">
      <c r="A193" s="526" t="s">
        <v>1951</v>
      </c>
      <c r="B193" s="526" t="s">
        <v>3393</v>
      </c>
      <c r="C193" s="49">
        <f>IF(D193=0,0,IF(OR(D193&gt;P193,D193&lt;Q193),"contact vendor",F193*D193^G193+H193*LN(D193)+I193+J193*EXP(K193*D193)+L193*D193^3+M193*D193^2+N193*D193+O193))</f>
        <v>0</v>
      </c>
      <c r="D193">
        <f>coag_cmix_size</f>
        <v>0</v>
      </c>
      <c r="E193" t="s">
        <v>2489</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x14ac:dyDescent="0.15">
      <c r="A194" s="844" t="s">
        <v>3396</v>
      </c>
      <c r="C194" s="596"/>
    </row>
    <row r="195" spans="1:17" x14ac:dyDescent="0.15">
      <c r="A195" s="651" t="s">
        <v>2194</v>
      </c>
      <c r="B195" t="s">
        <v>748</v>
      </c>
    </row>
    <row r="196" spans="1:17" x14ac:dyDescent="0.15">
      <c r="A196" s="651" t="s">
        <v>92</v>
      </c>
      <c r="B196" s="526" t="s">
        <v>3394</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x14ac:dyDescent="0.15">
      <c r="A197" s="526" t="s">
        <v>1951</v>
      </c>
      <c r="B197" s="526" t="s">
        <v>3395</v>
      </c>
      <c r="C197" s="49">
        <f>IF(D197=0,0,IF(OR(D197&gt;P197,D197&lt;Q197),"contact vendor",F197*D197^G197+H197*LN(D197)+I197+J197*EXP(K197*D197)+L197*D197^3+M197*D197^2+N197*D197+O197))</f>
        <v>0</v>
      </c>
      <c r="D197">
        <f>polymer_cmix_size</f>
        <v>0</v>
      </c>
      <c r="E197" t="s">
        <v>2489</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x14ac:dyDescent="0.15">
      <c r="A198" s="28" t="s">
        <v>1467</v>
      </c>
    </row>
    <row r="199" spans="1:17" x14ac:dyDescent="0.15">
      <c r="A199" s="29" t="s">
        <v>1466</v>
      </c>
      <c r="C199" s="49"/>
    </row>
    <row r="200" spans="1:17" x14ac:dyDescent="0.15">
      <c r="A200" s="27" t="s">
        <v>2584</v>
      </c>
      <c r="B200" t="s">
        <v>1573</v>
      </c>
      <c r="C200" s="49">
        <f>IF(D200=0,0,IF(OR(D200&gt;P200,D200&lt;Q200),"contact vendor",F200*D200^G200+H200*LN(D200)+I200+J200*EXP(K200*D200)+L200*D200^3+M200*D200^2+N200*D200+O200))</f>
        <v>0</v>
      </c>
      <c r="D200">
        <f>brine_pipe_diam</f>
        <v>0</v>
      </c>
      <c r="E200" t="s">
        <v>1573</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x14ac:dyDescent="0.15">
      <c r="A201" s="27" t="s">
        <v>1574</v>
      </c>
      <c r="B201" t="s">
        <v>1575</v>
      </c>
      <c r="C201" s="49">
        <f>IF(D201=0,0,IF(OR(D201&gt;P201,D201&lt;Q201),"contact vendor",F201*D201^G201+H201*LN(D201)+I201+J201*EXP(K201*D201)+L201*D201^3+M201*D201^2+N201*D201+O201))</f>
        <v>0</v>
      </c>
      <c r="D201">
        <f>brine_pipe_diam</f>
        <v>0</v>
      </c>
      <c r="E201" t="s">
        <v>1575</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x14ac:dyDescent="0.15">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x14ac:dyDescent="0.15">
      <c r="A203" s="41" t="s">
        <v>215</v>
      </c>
      <c r="B203" t="s">
        <v>2785</v>
      </c>
      <c r="C203" s="49" t="str">
        <f>IF(D203=0,0,IF(OR(D203&gt;P203,D203&lt;Q203),"contact vendor",F203*D203^G203+H203*LN(D203)+I203+J203*EXP(K203*D203)+L203*D203^3+M203*D203^2+N203*D203+O203))</f>
        <v>contact vendor</v>
      </c>
      <c r="D203" t="str">
        <f>res_eductor_size</f>
        <v>NA</v>
      </c>
      <c r="E203" t="s">
        <v>2786</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x14ac:dyDescent="0.15">
      <c r="A204" s="28" t="s">
        <v>744</v>
      </c>
    </row>
    <row r="205" spans="1:17" x14ac:dyDescent="0.15">
      <c r="A205" s="29" t="s">
        <v>1328</v>
      </c>
      <c r="B205" t="s">
        <v>1105</v>
      </c>
      <c r="C205" s="49">
        <f>IF(D205=0,0,IF(OR(D205&gt;P205,D205&lt;Q205),"contact vendor",F205*D205^G205+H205*LN(D205)+I205+J205*EXP(K205*D205)+L205*D205^3+M205*D205^2+N205*D205+O205))</f>
        <v>0</v>
      </c>
      <c r="D205">
        <f>salt_box_size</f>
        <v>0</v>
      </c>
      <c r="E205" t="s">
        <v>1105</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x14ac:dyDescent="0.15">
      <c r="A206" s="29" t="s">
        <v>2286</v>
      </c>
      <c r="B206" t="s">
        <v>1106</v>
      </c>
      <c r="C206" s="49">
        <f>IF(D206=0,0,IF(OR(D206&gt;P206,D206&lt;Q206),"contact vendor",F206*D206^G206+H206*LN(D206)+I206+J206*EXP(K206*D206)+L206*D206^3+M206*D206^2+N206*D206+O206))</f>
        <v>0</v>
      </c>
      <c r="D206">
        <f>salt_box_size</f>
        <v>0</v>
      </c>
      <c r="E206" t="s">
        <v>1106</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x14ac:dyDescent="0.15">
      <c r="A207" s="28" t="s">
        <v>938</v>
      </c>
      <c r="C207" s="49"/>
    </row>
    <row r="208" spans="1:17" x14ac:dyDescent="0.15">
      <c r="A208" s="99" t="s">
        <v>3461</v>
      </c>
      <c r="C208" s="49"/>
    </row>
    <row r="209" spans="1:17" x14ac:dyDescent="0.15">
      <c r="A209" s="5" t="s">
        <v>2386</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x14ac:dyDescent="0.15">
      <c r="A210" s="5" t="s">
        <v>2387</v>
      </c>
      <c r="B210" t="s">
        <v>2388</v>
      </c>
      <c r="C210" s="49">
        <f>IF(D210=0,0,IF(OR(D210&gt;P210,D210&lt;Q210),"contact vendor",F210*D210^G210+H210*LN(D210)+I210+J210*EXP(K210*D210)+L210*D210^3+M210*D210^2+N210*D210+O210))</f>
        <v>6008.2861197009997</v>
      </c>
      <c r="D210">
        <f>in_meter_size</f>
        <v>10</v>
      </c>
      <c r="E210" t="s">
        <v>2458</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x14ac:dyDescent="0.15">
      <c r="A211" s="5" t="s">
        <v>2389</v>
      </c>
      <c r="B211" t="s">
        <v>2390</v>
      </c>
      <c r="C211" s="49">
        <f>IF(D211=0,0,IF(OR(D211&gt;P211,D211&lt;Q211),"contact vendor",F211*D211^G211+H211*LN(D211)+I211+J211*EXP(K211*D211)+L211*D211^3+M211*D211^2+N211*D211+O211))</f>
        <v>4013.0326495740001</v>
      </c>
      <c r="D211">
        <f>in_meter_size</f>
        <v>10</v>
      </c>
      <c r="E211" t="s">
        <v>2459</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x14ac:dyDescent="0.15">
      <c r="A212" s="5" t="s">
        <v>2391</v>
      </c>
      <c r="B212" t="s">
        <v>2392</v>
      </c>
      <c r="C212" s="49">
        <f>IF(D212=0,0,IF(OR(D212&gt;P212,D212&lt;Q212),"contact vendor",F212*D212^G212+H212*LN(D212)+I212+J212*EXP(K212*D212)+L212*D212^3+M212*D212^2+N212*D212+O212))</f>
        <v>8445.7466193210003</v>
      </c>
      <c r="D212">
        <f>in_meter_size</f>
        <v>10</v>
      </c>
      <c r="E212" t="s">
        <v>2460</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x14ac:dyDescent="0.15">
      <c r="A213" s="99" t="s">
        <v>2393</v>
      </c>
      <c r="C213" s="49"/>
    </row>
    <row r="214" spans="1:17" x14ac:dyDescent="0.15">
      <c r="A214" s="5" t="s">
        <v>2386</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x14ac:dyDescent="0.15">
      <c r="A215" s="5" t="s">
        <v>2387</v>
      </c>
      <c r="B215" t="s">
        <v>2394</v>
      </c>
      <c r="C215" s="49">
        <f>IF(D215=0,0,IF(OR(D215&gt;P215,D215&lt;Q215),"contact vendor",F215*D215^G215+H215*LN(D215)+I215+J215*EXP(K215*D215)+L215*D215^3+M215*D215^2+N215*D215+O215))</f>
        <v>6008.2861197009997</v>
      </c>
      <c r="D215">
        <f>proc_meter_size</f>
        <v>10</v>
      </c>
      <c r="E215" t="s">
        <v>2458</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x14ac:dyDescent="0.15">
      <c r="A216" s="5" t="s">
        <v>2389</v>
      </c>
      <c r="B216" t="s">
        <v>2395</v>
      </c>
      <c r="C216" s="49">
        <f>IF(D216=0,0,IF(OR(D216&gt;P216,D216&lt;Q216),"contact vendor",F216*D216^G216+H216*LN(D216)+I216+J216*EXP(K216*D216)+L216*D216^3+M216*D216^2+N216*D216+O216))</f>
        <v>4013.0326495740001</v>
      </c>
      <c r="D216">
        <f>proc_meter_size</f>
        <v>10</v>
      </c>
      <c r="E216" t="s">
        <v>2459</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x14ac:dyDescent="0.15">
      <c r="A217" s="5" t="s">
        <v>2391</v>
      </c>
      <c r="B217" t="s">
        <v>2396</v>
      </c>
      <c r="C217" s="49">
        <f>IF(D217=0,0,IF(OR(D217&gt;P217,D217&lt;Q217),"contact vendor",F217*D217^G217+H217*LN(D217)+I217+J217*EXP(K217*D217)+L217*D217^3+M217*D217^2+N217*D217+O217))</f>
        <v>8445.7466193210003</v>
      </c>
      <c r="D217">
        <f>proc_meter_size</f>
        <v>10</v>
      </c>
      <c r="E217" t="s">
        <v>2460</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x14ac:dyDescent="0.15">
      <c r="A218" s="99" t="s">
        <v>2397</v>
      </c>
      <c r="C218" s="49"/>
    </row>
    <row r="219" spans="1:17" x14ac:dyDescent="0.15">
      <c r="A219" s="5" t="s">
        <v>2386</v>
      </c>
      <c r="B219" t="s">
        <v>1227</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x14ac:dyDescent="0.15">
      <c r="A220" s="5" t="s">
        <v>2387</v>
      </c>
      <c r="B220" t="s">
        <v>2398</v>
      </c>
      <c r="C220" s="49">
        <f>IF(D220=0,0,IF(OR(D220&gt;P220,D220&lt;Q220),"contact vendor",F220*D220^G220+H220*LN(D220)+I220+J220*EXP(K220*D220)+L220*D220^3+M220*D220^2+N220*D220+O220))</f>
        <v>4478.5640461209996</v>
      </c>
      <c r="D220">
        <f>back_meter_size</f>
        <v>6</v>
      </c>
      <c r="E220" t="s">
        <v>2458</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x14ac:dyDescent="0.15">
      <c r="A221" s="5" t="s">
        <v>2389</v>
      </c>
      <c r="B221" t="s">
        <v>2399</v>
      </c>
      <c r="C221" s="49">
        <f>IF(D221=0,0,IF(OR(D221&gt;P221,D221&lt;Q221),"contact vendor",F221*D221^G221+H221*LN(D221)+I221+J221*EXP(K221*D221)+L221*D221^3+M221*D221^2+N221*D221+O221))</f>
        <v>3069.2794628780002</v>
      </c>
      <c r="D221">
        <f>back_meter_size</f>
        <v>6</v>
      </c>
      <c r="E221" t="s">
        <v>2459</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x14ac:dyDescent="0.15">
      <c r="A222" s="5" t="s">
        <v>2391</v>
      </c>
      <c r="B222" t="s">
        <v>2400</v>
      </c>
      <c r="C222" s="49">
        <f>IF(D222=0,0,IF(OR(D222&gt;P222,D222&lt;Q222),"contact vendor",F222*D222^G222+H222*LN(D222)+I222+J222*EXP(K222*D222)+L222*D222^3+M222*D222^2+N222*D222+O222))</f>
        <v>6185.8840061850005</v>
      </c>
      <c r="D222">
        <f>back_meter_size</f>
        <v>6</v>
      </c>
      <c r="E222" t="s">
        <v>2460</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x14ac:dyDescent="0.15">
      <c r="A223" s="99" t="s">
        <v>2401</v>
      </c>
      <c r="C223" s="49"/>
    </row>
    <row r="224" spans="1:17" x14ac:dyDescent="0.15">
      <c r="A224" s="5" t="s">
        <v>2386</v>
      </c>
      <c r="B224" t="s">
        <v>2703</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x14ac:dyDescent="0.15">
      <c r="A225" s="5" t="s">
        <v>2387</v>
      </c>
      <c r="B225" t="s">
        <v>2402</v>
      </c>
      <c r="C225" s="49">
        <f>IF(D225=0,0,IF(OR(D225&gt;P225,D225&lt;Q225),"contact vendor",F225*D225^G225+H225*LN(D225)+I225+J225*EXP(K225*D225)+L225*D225^3+M225*D225^2+N225*D225+O225))</f>
        <v>2075.7354454659999</v>
      </c>
      <c r="D225">
        <f>res_meter_size</f>
        <v>1</v>
      </c>
      <c r="E225" t="s">
        <v>2458</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x14ac:dyDescent="0.15">
      <c r="A226" s="5" t="s">
        <v>2389</v>
      </c>
      <c r="B226" t="s">
        <v>2456</v>
      </c>
      <c r="C226" s="49">
        <f>IF(D226=0,0,IF(OR(D226&gt;P226,D226&lt;Q226),"contact vendor",F226*D226^G226+H226*LN(D226)+I226+J226*EXP(K226*D226)+L226*D226^3+M226*D226^2+N226*D226+O226))</f>
        <v>2153.162607798</v>
      </c>
      <c r="D226">
        <f>res_meter_size</f>
        <v>1</v>
      </c>
      <c r="E226" t="s">
        <v>2459</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x14ac:dyDescent="0.15">
      <c r="A227" s="5" t="s">
        <v>2391</v>
      </c>
      <c r="B227" t="s">
        <v>2457</v>
      </c>
      <c r="C227" s="49">
        <f>IF(D227=0,0,IF(OR(D227&gt;P227,D227&lt;Q227),"contact vendor",F227*D227^G227+H227*LN(D227)+I227+J227*EXP(K227*D227)+L227*D227^3+M227*D227^2+N227*D227+O227))</f>
        <v>3595.6610908799998</v>
      </c>
      <c r="D227">
        <f>res_meter_size</f>
        <v>1</v>
      </c>
      <c r="E227" t="s">
        <v>2460</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x14ac:dyDescent="0.15">
      <c r="A228" s="302" t="s">
        <v>2063</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x14ac:dyDescent="0.15">
      <c r="A229" s="99" t="s">
        <v>1111</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x14ac:dyDescent="0.15">
      <c r="A230" t="s">
        <v>2064</v>
      </c>
      <c r="B230" t="s">
        <v>2065</v>
      </c>
      <c r="C230" s="49">
        <f>IF(D230=0,0,IF(OR(D230&gt;P230,D230&lt;Q230),"contact vendor",F230*D230^G230+H230*LN(D230)+I230+J230*EXP(K230*D230)+L230*D230^3+M230*D230^2+N230*D230+O230))</f>
        <v>75.343938965434688</v>
      </c>
      <c r="D230">
        <f>build1_fp</f>
        <v>3470</v>
      </c>
      <c r="E230" t="s">
        <v>2066</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x14ac:dyDescent="0.15">
      <c r="A231" t="s">
        <v>2067</v>
      </c>
      <c r="B231" t="s">
        <v>2068</v>
      </c>
      <c r="C231" s="49">
        <f>IF(D231=0,0,IF(OR(D231&gt;P231,D231&lt;Q231),"contact vendor",F231*D231^G231+H231*LN(D231)+I231+J231*EXP(K231*D231)+L231*D231^3+M231*D231^2+N231*D231+O231))</f>
        <v>90.359380507457516</v>
      </c>
      <c r="D231">
        <f>build1_fp</f>
        <v>3470</v>
      </c>
      <c r="E231" t="s">
        <v>2069</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x14ac:dyDescent="0.15">
      <c r="A232" t="s">
        <v>2070</v>
      </c>
      <c r="B232" t="s">
        <v>2071</v>
      </c>
      <c r="C232" s="49">
        <f>IF(D232=0,0,IF(OR(D232&gt;P232,D232&lt;Q232),"contact vendor",F232*D232^G232+H232*LN(D232)+I232+J232*EXP(K232*D232)+L232*D232^3+M232*D232^2+N232*D232+O232))</f>
        <v>124.15040765864386</v>
      </c>
      <c r="D232">
        <f>build1_fp</f>
        <v>3470</v>
      </c>
      <c r="E232" t="s">
        <v>2072</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x14ac:dyDescent="0.15">
      <c r="A233" s="99" t="s">
        <v>2073</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x14ac:dyDescent="0.15">
      <c r="A234" t="s">
        <v>854</v>
      </c>
      <c r="B234" t="s">
        <v>2074</v>
      </c>
      <c r="C234" s="49">
        <f>IF(D234=0,0,IF(OR(D234&gt;P234,D234&lt;Q234),"contact vendor",F234*D234^G234+H234*LN(D234)+I234+J234*EXP(K234*D234)+L234*D234^3+M234*D234^2+N234*D234+O234))</f>
        <v>28042.750531622205</v>
      </c>
      <c r="D234">
        <f>build1_heat_mbh/build1_zones</f>
        <v>63.913219794437907</v>
      </c>
      <c r="E234" t="s">
        <v>2075</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x14ac:dyDescent="0.15">
      <c r="A235" t="s">
        <v>856</v>
      </c>
      <c r="B235" t="s">
        <v>2076</v>
      </c>
      <c r="C235" s="49">
        <f>IF(D235=0,0,IF(OR(D235&gt;P235,D235&lt;Q235),"contact vendor",F235*D235^G235+H235*LN(D235)+I235+J235*EXP(K235*D235)+L235*D235^3+M235*D235^2+N235*D235+O235))</f>
        <v>20055.27367186885</v>
      </c>
      <c r="D235">
        <f>build1_heat_mbh/build1_zones</f>
        <v>63.913219794437907</v>
      </c>
      <c r="E235" t="s">
        <v>2077</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x14ac:dyDescent="0.15">
      <c r="A236" t="s">
        <v>2741</v>
      </c>
      <c r="B236" t="s">
        <v>2078</v>
      </c>
      <c r="C236" s="49">
        <f>IF(D236=0,0,IF(OR(D236&gt;P236,D236&lt;Q236),"contact vendor",F236*D236^G236+H236*LN(D236)+I236+J236*EXP(K236*D236)+L236*D236^3+M236*D236^2+N236*D236+O236))</f>
        <v>20055.27367186885</v>
      </c>
      <c r="D236">
        <f>build1_heat_mbh/build1_zones</f>
        <v>63.913219794437907</v>
      </c>
      <c r="E236" t="s">
        <v>2079</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x14ac:dyDescent="0.15">
      <c r="A237" t="s">
        <v>12</v>
      </c>
      <c r="B237" t="s">
        <v>2080</v>
      </c>
      <c r="C237" s="49">
        <f>IF(D237=0,0,IF(OR(D237&gt;P237,D237&lt;Q237),"contact vendor",F237*D237^G237+H237*LN(D237)+I237+J237*EXP(K237*D237)+L237*D237^3+M237*D237^2+N237*D237+O237))</f>
        <v>22923.873568235111</v>
      </c>
      <c r="D237">
        <f>build1_heat_mbh/build1_zones</f>
        <v>63.913219794437907</v>
      </c>
      <c r="E237" t="s">
        <v>2081</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x14ac:dyDescent="0.15">
      <c r="A238" t="s">
        <v>13</v>
      </c>
      <c r="B238" t="s">
        <v>2082</v>
      </c>
      <c r="C238" s="49">
        <f>IF(D238=0,0,IF(OR(D238&gt;P238,D238&lt;Q238),"contact vendor",F238*D238^G238+H238*LN(D238)+I238+J238*EXP(K238*D238)+L238*D238^3+M238*D238^2+N238*D238+O238))</f>
        <v>22923.873568235111</v>
      </c>
      <c r="D238">
        <f>build1_heat_mbh/build1_zones</f>
        <v>63.913219794437907</v>
      </c>
      <c r="E238" t="s">
        <v>2083</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x14ac:dyDescent="0.15">
      <c r="A239" s="99" t="s">
        <v>2084</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x14ac:dyDescent="0.15">
      <c r="A240" t="s">
        <v>2085</v>
      </c>
      <c r="B240" t="s">
        <v>2086</v>
      </c>
      <c r="C240" s="49">
        <f>IF(D240=0,0,IF(OR(D240&gt;P240,D240&lt;Q240),"contact vendor",F240*D240^G240+H240*LN(D240)+I240+J240*EXP(K240*D240)+L240*D240^3+M240*D240^2+N240*D240+O240))</f>
        <v>9846.7536373311304</v>
      </c>
      <c r="D240">
        <f>build1_cooling_tons/build1_zones</f>
        <v>3.4207102106199141</v>
      </c>
      <c r="E240" t="s">
        <v>2087</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x14ac:dyDescent="0.15">
      <c r="A241" t="s">
        <v>855</v>
      </c>
      <c r="B241" t="s">
        <v>2088</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x14ac:dyDescent="0.15">
      <c r="A242" s="99" t="s">
        <v>1112</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x14ac:dyDescent="0.15">
      <c r="A243" t="s">
        <v>2064</v>
      </c>
      <c r="B243" t="s">
        <v>2089</v>
      </c>
      <c r="C243" s="49">
        <f>IF(D243=0,0,IF(OR(D243&gt;P243,D243&lt;Q243),"contact vendor",F243*D243^G243+H243*LN(D243)+I243+J243*EXP(K243*D243)+L243*D243^3+M243*D243^2+N243*D243+O243))</f>
        <v>0</v>
      </c>
      <c r="D243">
        <f>build2_fp</f>
        <v>0</v>
      </c>
      <c r="E243" t="s">
        <v>2066</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x14ac:dyDescent="0.15">
      <c r="A244" t="s">
        <v>2067</v>
      </c>
      <c r="B244" t="s">
        <v>2090</v>
      </c>
      <c r="C244" s="49">
        <f>IF(D244=0,0,IF(OR(D244&gt;P244,D244&lt;Q244),"contact vendor",F244*D244^G244+H244*LN(D244)+I244+J244*EXP(K244*D244)+L244*D244^3+M244*D244^2+N244*D244+O244))</f>
        <v>0</v>
      </c>
      <c r="D244">
        <f>build2_fp</f>
        <v>0</v>
      </c>
      <c r="E244" t="s">
        <v>2069</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x14ac:dyDescent="0.15">
      <c r="A245" t="s">
        <v>2070</v>
      </c>
      <c r="B245" t="s">
        <v>2091</v>
      </c>
      <c r="C245" s="49">
        <f>IF(D245=0,0,IF(OR(D245&gt;P245,D245&lt;Q245),"contact vendor",F245*D245^G245+H245*LN(D245)+I245+J245*EXP(K245*D245)+L245*D245^3+M245*D245^2+N245*D245+O245))</f>
        <v>0</v>
      </c>
      <c r="D245">
        <f>build2_fp</f>
        <v>0</v>
      </c>
      <c r="E245" t="s">
        <v>2072</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x14ac:dyDescent="0.15">
      <c r="A246" s="99" t="s">
        <v>2073</v>
      </c>
      <c r="C246" s="596"/>
    </row>
    <row r="247" spans="1:17" x14ac:dyDescent="0.15">
      <c r="A247" t="s">
        <v>854</v>
      </c>
      <c r="B247" t="s">
        <v>2092</v>
      </c>
      <c r="C247" s="49">
        <f>IF(D247=0,0,IF(OR(D247&gt;P247,D247&lt;Q247),"contact vendor",F247*D247^G247+H247*LN(D247)+I247+J247*EXP(K247*D247)+L247*D247^3+M247*D247^2+N247*D247+O247))</f>
        <v>0</v>
      </c>
      <c r="D247">
        <f>IF(build2_zones=0,0,build2_heat_mbh/build2_zones)</f>
        <v>0</v>
      </c>
      <c r="E247" t="s">
        <v>2075</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x14ac:dyDescent="0.15">
      <c r="A248" t="s">
        <v>856</v>
      </c>
      <c r="B248" t="s">
        <v>2093</v>
      </c>
      <c r="C248" s="49">
        <f>IF(D248=0,0,IF(OR(D248&gt;P248,D248&lt;Q248),"contact vendor",F248*D248^G248+H248*LN(D248)+I248+J248*EXP(K248*D248)+L248*D248^3+M248*D248^2+N248*D248+O248))</f>
        <v>0</v>
      </c>
      <c r="D248">
        <f>IF(build2_zones=0,0,build2_heat_mbh/build2_zones)</f>
        <v>0</v>
      </c>
      <c r="E248" t="s">
        <v>2077</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x14ac:dyDescent="0.15">
      <c r="A249" t="s">
        <v>2741</v>
      </c>
      <c r="B249" t="s">
        <v>2094</v>
      </c>
      <c r="C249" s="49">
        <f>IF(D249=0,0,IF(OR(D249&gt;P249,D249&lt;Q249),"contact vendor",F249*D249^G249+H249*LN(D249)+I249+J249*EXP(K249*D249)+L249*D249^3+M249*D249^2+N249*D249+O249))</f>
        <v>0</v>
      </c>
      <c r="D249">
        <f>IF(build2_zones=0,0,build2_heat_mbh/build2_zones)</f>
        <v>0</v>
      </c>
      <c r="E249" t="s">
        <v>2079</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x14ac:dyDescent="0.15">
      <c r="A250" t="s">
        <v>12</v>
      </c>
      <c r="B250" t="s">
        <v>2095</v>
      </c>
      <c r="C250" s="49">
        <f>IF(D250=0,0,IF(OR(D250&gt;P250,D250&lt;Q250),"contact vendor",F250*D250^G250+H250*LN(D250)+I250+J250*EXP(K250*D250)+L250*D250^3+M250*D250^2+N250*D250+O250))</f>
        <v>0</v>
      </c>
      <c r="D250">
        <f>IF(build2_zones=0,0,build2_heat_mbh/build2_zones)</f>
        <v>0</v>
      </c>
      <c r="E250" t="s">
        <v>2081</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x14ac:dyDescent="0.15">
      <c r="A251" t="s">
        <v>13</v>
      </c>
      <c r="B251" t="s">
        <v>2096</v>
      </c>
      <c r="C251" s="49">
        <f>IF(D251=0,0,IF(OR(D251&gt;P251,D251&lt;Q251),"contact vendor",F251*D251^G251+H251*LN(D251)+I251+J251*EXP(K251*D251)+L251*D251^3+M251*D251^2+N251*D251+O251))</f>
        <v>0</v>
      </c>
      <c r="D251">
        <f>IF(build2_zones=0,0,build2_heat_mbh/build2_zones)</f>
        <v>0</v>
      </c>
      <c r="E251" t="s">
        <v>2083</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x14ac:dyDescent="0.15">
      <c r="A252" s="99" t="s">
        <v>2084</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x14ac:dyDescent="0.15">
      <c r="A253" t="s">
        <v>2085</v>
      </c>
      <c r="B253" t="s">
        <v>2097</v>
      </c>
      <c r="C253" s="49">
        <f>IF(D253=0,0,IF(OR(D253&gt;P253,D253&lt;Q253),"contact vendor",F253*D253^G253+H253*LN(D253)+I253+J253*EXP(K253*D253)+L253*D253^3+M253*D253^2+N253*D253+O253))</f>
        <v>0</v>
      </c>
      <c r="D253">
        <f>IF(build2_zones=0,0,build2_cooling_tons/build2_zones)</f>
        <v>0</v>
      </c>
      <c r="E253" t="s">
        <v>2087</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x14ac:dyDescent="0.15">
      <c r="A254" t="s">
        <v>855</v>
      </c>
      <c r="B254" t="s">
        <v>2098</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x14ac:dyDescent="0.15">
      <c r="A255" s="5"/>
      <c r="C255" s="49"/>
    </row>
    <row r="256" spans="1:17" x14ac:dyDescent="0.15">
      <c r="A256" s="21" t="s">
        <v>866</v>
      </c>
    </row>
    <row r="257" spans="1:17" x14ac:dyDescent="0.15">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x14ac:dyDescent="0.15"/>
  <sheetData>
    <row r="1" spans="1:18" x14ac:dyDescent="0.15">
      <c r="A1" s="1" t="s">
        <v>4381</v>
      </c>
      <c r="B1" s="526"/>
      <c r="C1" s="562"/>
      <c r="L1" s="950"/>
      <c r="O1" s="956"/>
    </row>
    <row r="2" spans="1:18" x14ac:dyDescent="0.15">
      <c r="A2" s="657" t="s">
        <v>2964</v>
      </c>
      <c r="B2" s="526"/>
      <c r="C2" s="562"/>
      <c r="L2" s="950"/>
      <c r="O2" s="956"/>
    </row>
    <row r="3" spans="1:18" x14ac:dyDescent="0.15">
      <c r="C3" s="53"/>
      <c r="L3" s="950"/>
      <c r="O3" s="956"/>
    </row>
    <row r="4" spans="1:18" x14ac:dyDescent="0.15">
      <c r="B4" s="526" t="s">
        <v>4274</v>
      </c>
      <c r="D4" t="s">
        <v>4275</v>
      </c>
      <c r="F4" t="s">
        <v>4276</v>
      </c>
      <c r="H4" t="s">
        <v>4277</v>
      </c>
      <c r="L4" s="957" t="s">
        <v>4278</v>
      </c>
      <c r="O4" s="956"/>
    </row>
    <row r="5" spans="1:18" x14ac:dyDescent="0.15">
      <c r="A5" s="2" t="s">
        <v>746</v>
      </c>
      <c r="B5" s="2" t="s">
        <v>4279</v>
      </c>
      <c r="C5" s="2" t="s">
        <v>4280</v>
      </c>
      <c r="D5" s="2" t="s">
        <v>4281</v>
      </c>
      <c r="E5" s="2" t="s">
        <v>4282</v>
      </c>
      <c r="F5" s="2" t="s">
        <v>4283</v>
      </c>
      <c r="G5" s="2" t="s">
        <v>4284</v>
      </c>
      <c r="H5" s="2" t="s">
        <v>4285</v>
      </c>
      <c r="I5" s="2" t="s">
        <v>4286</v>
      </c>
      <c r="J5" s="2" t="s">
        <v>4287</v>
      </c>
      <c r="K5" s="2" t="s">
        <v>4288</v>
      </c>
      <c r="L5" s="958" t="s">
        <v>4289</v>
      </c>
      <c r="M5" s="2" t="s">
        <v>4290</v>
      </c>
      <c r="N5" s="2" t="s">
        <v>4291</v>
      </c>
      <c r="O5" s="959" t="s">
        <v>4292</v>
      </c>
      <c r="P5" s="2" t="s">
        <v>4293</v>
      </c>
      <c r="Q5" s="2" t="s">
        <v>4382</v>
      </c>
      <c r="R5" s="2"/>
    </row>
    <row r="6" spans="1:18" x14ac:dyDescent="0.15">
      <c r="A6" t="s">
        <v>765</v>
      </c>
      <c r="B6" s="374">
        <v>0</v>
      </c>
      <c r="C6" s="374">
        <v>0</v>
      </c>
      <c r="D6" s="374">
        <v>0</v>
      </c>
      <c r="E6" s="374">
        <v>0</v>
      </c>
      <c r="F6" s="374">
        <v>0</v>
      </c>
      <c r="G6" s="374">
        <v>0</v>
      </c>
      <c r="H6" s="374">
        <v>0</v>
      </c>
      <c r="I6">
        <v>-6.7002999999999995E-4</v>
      </c>
      <c r="J6">
        <v>14.809014980000001</v>
      </c>
      <c r="K6">
        <v>4093.494684836</v>
      </c>
      <c r="L6" s="950">
        <v>0.16787720556525074</v>
      </c>
      <c r="N6" t="s">
        <v>4330</v>
      </c>
      <c r="O6" s="956">
        <v>0.95812431183124169</v>
      </c>
      <c r="P6">
        <v>10001</v>
      </c>
      <c r="Q6">
        <v>0</v>
      </c>
    </row>
    <row r="7" spans="1:18" x14ac:dyDescent="0.15">
      <c r="A7" t="s">
        <v>2072</v>
      </c>
      <c r="B7">
        <v>378.41221851</v>
      </c>
      <c r="C7">
        <v>-0.13671524199999999</v>
      </c>
      <c r="D7" s="374">
        <v>0</v>
      </c>
      <c r="E7" s="374">
        <v>0</v>
      </c>
      <c r="F7" s="374">
        <v>0</v>
      </c>
      <c r="G7" s="374">
        <v>0</v>
      </c>
      <c r="H7" s="374">
        <v>0</v>
      </c>
      <c r="I7" s="374">
        <v>0</v>
      </c>
      <c r="J7" s="374">
        <v>0</v>
      </c>
      <c r="K7" s="374">
        <v>0</v>
      </c>
      <c r="L7" s="950">
        <v>4.0372546378012256E-2</v>
      </c>
      <c r="N7" t="s">
        <v>4351</v>
      </c>
      <c r="O7" s="956">
        <v>0.95319947666108407</v>
      </c>
      <c r="P7">
        <v>200000.1</v>
      </c>
      <c r="Q7">
        <v>0</v>
      </c>
    </row>
    <row r="8" spans="1:18" x14ac:dyDescent="0.15">
      <c r="A8" t="s">
        <v>2066</v>
      </c>
      <c r="B8">
        <v>163.72087260199999</v>
      </c>
      <c r="C8">
        <v>-9.5204622000000003E-2</v>
      </c>
      <c r="D8" s="374">
        <v>0</v>
      </c>
      <c r="E8" s="374">
        <v>0</v>
      </c>
      <c r="F8" s="374">
        <v>0</v>
      </c>
      <c r="G8" s="374">
        <v>0</v>
      </c>
      <c r="H8" s="374">
        <v>0</v>
      </c>
      <c r="I8" s="374">
        <v>0</v>
      </c>
      <c r="J8" s="374">
        <v>0</v>
      </c>
      <c r="K8" s="374">
        <v>0</v>
      </c>
      <c r="L8" s="950">
        <v>2.4871309850656418E-2</v>
      </c>
      <c r="N8" t="s">
        <v>4349</v>
      </c>
      <c r="O8" s="956">
        <v>0.96700830313985342</v>
      </c>
      <c r="P8">
        <v>200000.1</v>
      </c>
      <c r="Q8">
        <v>0</v>
      </c>
    </row>
    <row r="9" spans="1:18" x14ac:dyDescent="0.15">
      <c r="A9" t="s">
        <v>2069</v>
      </c>
      <c r="B9">
        <v>198.02119383900001</v>
      </c>
      <c r="C9">
        <v>-9.6244836E-2</v>
      </c>
      <c r="D9" s="374">
        <v>0</v>
      </c>
      <c r="E9" s="374">
        <v>0</v>
      </c>
      <c r="F9" s="374">
        <v>0</v>
      </c>
      <c r="G9" s="374">
        <v>0</v>
      </c>
      <c r="H9" s="374">
        <v>0</v>
      </c>
      <c r="I9" s="374">
        <v>0</v>
      </c>
      <c r="J9" s="374">
        <v>0</v>
      </c>
      <c r="K9" s="374">
        <v>0</v>
      </c>
      <c r="L9" s="950">
        <v>2.5881342871107462E-2</v>
      </c>
      <c r="N9" t="s">
        <v>4350</v>
      </c>
      <c r="O9" s="956">
        <v>0.96588495619097448</v>
      </c>
      <c r="P9">
        <v>200000.1</v>
      </c>
      <c r="Q9">
        <v>0</v>
      </c>
      <c r="R9" s="526"/>
    </row>
    <row r="10" spans="1:18" x14ac:dyDescent="0.15">
      <c r="A10" t="s">
        <v>881</v>
      </c>
      <c r="B10">
        <v>17326.162772510001</v>
      </c>
      <c r="C10">
        <v>0.77884561100000005</v>
      </c>
      <c r="D10" s="374">
        <v>0</v>
      </c>
      <c r="E10" s="374">
        <v>0</v>
      </c>
      <c r="F10" s="374">
        <v>0</v>
      </c>
      <c r="G10" s="374">
        <v>0</v>
      </c>
      <c r="H10" s="374">
        <v>0</v>
      </c>
      <c r="I10" s="374">
        <v>0</v>
      </c>
      <c r="J10" s="374">
        <v>0</v>
      </c>
      <c r="K10" s="374">
        <v>0</v>
      </c>
      <c r="L10" s="950">
        <v>0.29717462490552343</v>
      </c>
      <c r="N10" t="s">
        <v>4347</v>
      </c>
      <c r="O10" s="956">
        <v>0.72136468843182233</v>
      </c>
      <c r="P10">
        <v>4.3210000000000006</v>
      </c>
      <c r="Q10">
        <v>0</v>
      </c>
    </row>
    <row r="11" spans="1:18" x14ac:dyDescent="0.15">
      <c r="A11" t="s">
        <v>868</v>
      </c>
      <c r="B11">
        <v>270.52007973799999</v>
      </c>
      <c r="C11">
        <v>0.12616540600000001</v>
      </c>
      <c r="D11" s="374">
        <v>0</v>
      </c>
      <c r="E11" s="374">
        <v>0</v>
      </c>
      <c r="F11" s="374">
        <v>0</v>
      </c>
      <c r="G11" s="374">
        <v>0</v>
      </c>
      <c r="H11" s="374">
        <v>0</v>
      </c>
      <c r="I11" s="374">
        <v>0</v>
      </c>
      <c r="J11" s="374">
        <v>0</v>
      </c>
      <c r="K11" s="374">
        <v>0</v>
      </c>
      <c r="L11" s="950">
        <v>9.981721750723041E-2</v>
      </c>
      <c r="N11" t="s">
        <v>4348</v>
      </c>
      <c r="O11" s="956">
        <v>0.72434873143127887</v>
      </c>
      <c r="P11">
        <v>5</v>
      </c>
      <c r="Q11">
        <v>0</v>
      </c>
    </row>
    <row r="12" spans="1:18" x14ac:dyDescent="0.15">
      <c r="A12" t="s">
        <v>4324</v>
      </c>
      <c r="B12" s="374">
        <v>0</v>
      </c>
      <c r="C12" s="374">
        <v>0</v>
      </c>
      <c r="D12" s="374">
        <v>0</v>
      </c>
      <c r="E12" s="374">
        <v>0</v>
      </c>
      <c r="F12" s="374">
        <v>0</v>
      </c>
      <c r="G12" s="374">
        <v>0</v>
      </c>
      <c r="H12">
        <v>1.500986001</v>
      </c>
      <c r="I12">
        <v>-137.11144950400001</v>
      </c>
      <c r="J12">
        <v>4591.2435827480003</v>
      </c>
      <c r="K12">
        <v>-36246.272177972001</v>
      </c>
      <c r="L12" s="950">
        <v>0.10118956633106969</v>
      </c>
      <c r="N12" t="s">
        <v>4325</v>
      </c>
      <c r="O12" s="956">
        <v>0.94922030750420328</v>
      </c>
      <c r="P12">
        <v>48.1</v>
      </c>
      <c r="Q12">
        <v>14</v>
      </c>
    </row>
    <row r="13" spans="1:18" x14ac:dyDescent="0.15">
      <c r="A13" t="s">
        <v>4322</v>
      </c>
      <c r="B13">
        <v>221.77653215199999</v>
      </c>
      <c r="C13">
        <v>1.0463710340000001</v>
      </c>
      <c r="D13" s="374">
        <v>0</v>
      </c>
      <c r="E13" s="374">
        <v>0</v>
      </c>
      <c r="F13" s="374">
        <v>0</v>
      </c>
      <c r="G13" s="374">
        <v>0</v>
      </c>
      <c r="H13" s="374">
        <v>0</v>
      </c>
      <c r="I13" s="374">
        <v>0</v>
      </c>
      <c r="J13" s="374">
        <v>0</v>
      </c>
      <c r="K13" s="374">
        <v>0</v>
      </c>
      <c r="L13" s="950">
        <v>0.19940134150122094</v>
      </c>
      <c r="N13" t="s">
        <v>4323</v>
      </c>
      <c r="O13" s="956">
        <v>0.94954224445418201</v>
      </c>
      <c r="P13">
        <v>12</v>
      </c>
      <c r="Q13">
        <v>1</v>
      </c>
    </row>
    <row r="14" spans="1:18" x14ac:dyDescent="0.15">
      <c r="A14" t="s">
        <v>422</v>
      </c>
      <c r="B14" s="374">
        <v>0</v>
      </c>
      <c r="C14" s="374">
        <v>0</v>
      </c>
      <c r="D14" s="374">
        <v>0</v>
      </c>
      <c r="E14" s="374">
        <v>0</v>
      </c>
      <c r="F14" s="374">
        <v>0</v>
      </c>
      <c r="G14" s="374">
        <v>0</v>
      </c>
      <c r="H14">
        <v>3.240756524</v>
      </c>
      <c r="I14">
        <v>50.118205304</v>
      </c>
      <c r="J14">
        <v>-32.545647099999996</v>
      </c>
      <c r="K14">
        <v>553.63390991000006</v>
      </c>
      <c r="L14" s="950">
        <v>0.12711337788421534</v>
      </c>
      <c r="N14" t="s">
        <v>4328</v>
      </c>
      <c r="O14" s="956">
        <v>0.95706868872522688</v>
      </c>
      <c r="P14">
        <v>24.1</v>
      </c>
      <c r="Q14">
        <v>2</v>
      </c>
    </row>
    <row r="15" spans="1:18" x14ac:dyDescent="0.15">
      <c r="A15" t="s">
        <v>757</v>
      </c>
      <c r="B15" s="374">
        <v>0</v>
      </c>
      <c r="C15" s="374">
        <v>0</v>
      </c>
      <c r="D15" s="374">
        <v>0</v>
      </c>
      <c r="E15" s="374">
        <v>0</v>
      </c>
      <c r="F15" s="374">
        <v>0</v>
      </c>
      <c r="G15" s="374">
        <v>0</v>
      </c>
      <c r="H15" s="374">
        <v>0</v>
      </c>
      <c r="I15" s="374">
        <v>0</v>
      </c>
      <c r="J15">
        <v>1304.6120832720001</v>
      </c>
      <c r="K15">
        <v>-1165.0485677490001</v>
      </c>
      <c r="L15" s="950">
        <v>0.34948104502507477</v>
      </c>
      <c r="N15" t="s">
        <v>4316</v>
      </c>
      <c r="O15" s="956">
        <v>0.94241839597621901</v>
      </c>
      <c r="P15">
        <v>48.1</v>
      </c>
      <c r="Q15">
        <v>1</v>
      </c>
    </row>
    <row r="16" spans="1:18" x14ac:dyDescent="0.15">
      <c r="A16" t="s">
        <v>750</v>
      </c>
      <c r="B16" s="374">
        <v>0</v>
      </c>
      <c r="C16" s="374">
        <v>0</v>
      </c>
      <c r="D16" s="374">
        <v>0</v>
      </c>
      <c r="E16" s="374">
        <v>0</v>
      </c>
      <c r="F16" s="374">
        <v>0</v>
      </c>
      <c r="G16" s="374">
        <v>0</v>
      </c>
      <c r="H16">
        <v>6.5072480000000002E-3</v>
      </c>
      <c r="I16">
        <v>0.74408816600000005</v>
      </c>
      <c r="J16">
        <v>2.9106427579999998</v>
      </c>
      <c r="K16">
        <v>0.95118725599999998</v>
      </c>
      <c r="L16" s="950">
        <v>9.2730127969551934E-2</v>
      </c>
      <c r="N16" t="s">
        <v>4307</v>
      </c>
      <c r="O16" s="956">
        <v>0.97997834929612926</v>
      </c>
      <c r="P16">
        <v>18.100000000000001</v>
      </c>
      <c r="Q16">
        <v>0</v>
      </c>
    </row>
    <row r="17" spans="1:18" x14ac:dyDescent="0.15">
      <c r="A17" t="s">
        <v>1210</v>
      </c>
      <c r="B17">
        <v>1596.499332614</v>
      </c>
      <c r="C17">
        <v>0.45949680900000001</v>
      </c>
      <c r="D17" s="374">
        <v>0</v>
      </c>
      <c r="E17" s="374">
        <v>0</v>
      </c>
      <c r="F17" s="374">
        <v>0</v>
      </c>
      <c r="G17" s="374">
        <v>0</v>
      </c>
      <c r="H17" s="374">
        <v>0</v>
      </c>
      <c r="I17" s="374">
        <v>0</v>
      </c>
      <c r="J17" s="374">
        <v>0</v>
      </c>
      <c r="K17" s="374">
        <v>0</v>
      </c>
      <c r="L17" s="950">
        <v>0.10812247070213186</v>
      </c>
      <c r="N17" t="s">
        <v>4295</v>
      </c>
      <c r="O17" s="956">
        <v>0.98240798871887336</v>
      </c>
      <c r="P17">
        <v>27101</v>
      </c>
      <c r="Q17">
        <v>0</v>
      </c>
    </row>
    <row r="18" spans="1:18" x14ac:dyDescent="0.15">
      <c r="A18" t="s">
        <v>1211</v>
      </c>
      <c r="B18">
        <v>1798.6988144679999</v>
      </c>
      <c r="C18">
        <v>0.42308934100000001</v>
      </c>
      <c r="D18" s="374">
        <v>0</v>
      </c>
      <c r="E18" s="374">
        <v>0</v>
      </c>
      <c r="F18" s="374">
        <v>0</v>
      </c>
      <c r="G18" s="374">
        <v>0</v>
      </c>
      <c r="H18" s="374">
        <v>0</v>
      </c>
      <c r="I18" s="374">
        <v>0</v>
      </c>
      <c r="J18" s="374">
        <v>0</v>
      </c>
      <c r="K18" s="374">
        <v>0</v>
      </c>
      <c r="L18" s="950">
        <v>0.10094397418738933</v>
      </c>
      <c r="N18" t="s">
        <v>4296</v>
      </c>
      <c r="O18" s="956">
        <v>0.98661329367737571</v>
      </c>
      <c r="P18">
        <v>27101</v>
      </c>
      <c r="Q18">
        <v>0</v>
      </c>
    </row>
    <row r="19" spans="1:18" x14ac:dyDescent="0.15">
      <c r="A19" t="s">
        <v>2916</v>
      </c>
      <c r="B19" s="374">
        <v>0</v>
      </c>
      <c r="C19" s="374">
        <v>0</v>
      </c>
      <c r="D19" s="374">
        <v>0</v>
      </c>
      <c r="E19" s="374">
        <v>0</v>
      </c>
      <c r="F19" s="374">
        <v>0</v>
      </c>
      <c r="G19" s="374">
        <v>0</v>
      </c>
      <c r="H19" s="374">
        <v>0</v>
      </c>
      <c r="I19">
        <v>2.0171999999999999E-5</v>
      </c>
      <c r="J19">
        <v>0.19870423800000001</v>
      </c>
      <c r="K19">
        <v>2163.4462942790001</v>
      </c>
      <c r="L19" s="950">
        <v>0.11129269293675889</v>
      </c>
      <c r="N19" t="s">
        <v>4305</v>
      </c>
      <c r="O19" s="956">
        <v>0.89312285324987883</v>
      </c>
      <c r="P19">
        <v>30001</v>
      </c>
      <c r="Q19">
        <v>0</v>
      </c>
    </row>
    <row r="20" spans="1:18" x14ac:dyDescent="0.15">
      <c r="A20" t="s">
        <v>2918</v>
      </c>
      <c r="B20">
        <v>21.046077051000001</v>
      </c>
      <c r="C20">
        <v>0.64355877500000003</v>
      </c>
      <c r="D20" s="374">
        <v>0</v>
      </c>
      <c r="E20" s="374">
        <v>0</v>
      </c>
      <c r="F20" s="374">
        <v>0</v>
      </c>
      <c r="G20" s="374">
        <v>0</v>
      </c>
      <c r="H20" s="374">
        <v>0</v>
      </c>
      <c r="I20" s="374">
        <v>0</v>
      </c>
      <c r="J20" s="374">
        <v>0</v>
      </c>
      <c r="K20" s="374">
        <v>0</v>
      </c>
      <c r="L20" s="950">
        <v>5.7718878460621133E-2</v>
      </c>
      <c r="N20" t="s">
        <v>4304</v>
      </c>
      <c r="O20" s="956">
        <v>0.98973564414699278</v>
      </c>
      <c r="P20">
        <v>30001</v>
      </c>
      <c r="Q20">
        <v>0</v>
      </c>
    </row>
    <row r="21" spans="1:18" x14ac:dyDescent="0.15">
      <c r="A21" t="s">
        <v>754</v>
      </c>
      <c r="B21" s="960">
        <v>0</v>
      </c>
      <c r="C21" s="374">
        <v>0</v>
      </c>
      <c r="D21" s="374">
        <v>0</v>
      </c>
      <c r="E21" s="374">
        <v>0</v>
      </c>
      <c r="F21" s="374">
        <v>0</v>
      </c>
      <c r="G21" s="374">
        <v>0</v>
      </c>
      <c r="H21">
        <v>1.3009082E-2</v>
      </c>
      <c r="I21">
        <v>-0.63853567099999997</v>
      </c>
      <c r="J21">
        <v>18.152542467</v>
      </c>
      <c r="K21">
        <v>11.056607186999999</v>
      </c>
      <c r="L21" s="950">
        <v>8.2838949266919329E-2</v>
      </c>
      <c r="N21" t="s">
        <v>4306</v>
      </c>
      <c r="O21" s="956">
        <v>0.99257213725669535</v>
      </c>
      <c r="P21">
        <v>48.1</v>
      </c>
      <c r="Q21">
        <v>4</v>
      </c>
    </row>
    <row r="22" spans="1:18" x14ac:dyDescent="0.15">
      <c r="A22" t="s">
        <v>1212</v>
      </c>
      <c r="B22">
        <v>135.281859973</v>
      </c>
      <c r="C22">
        <v>0.66222618499999997</v>
      </c>
      <c r="D22" s="374">
        <v>0</v>
      </c>
      <c r="E22" s="374">
        <v>0</v>
      </c>
      <c r="F22" s="374">
        <v>0</v>
      </c>
      <c r="G22" s="374">
        <v>0</v>
      </c>
      <c r="H22" s="374">
        <v>0</v>
      </c>
      <c r="I22" s="374">
        <v>0</v>
      </c>
      <c r="J22" s="374">
        <v>0</v>
      </c>
      <c r="K22" s="374">
        <v>0</v>
      </c>
      <c r="L22" s="950">
        <v>0.56626731611720127</v>
      </c>
      <c r="N22" t="s">
        <v>4299</v>
      </c>
      <c r="O22" s="956">
        <v>0.79467834835124995</v>
      </c>
      <c r="P22">
        <v>20001</v>
      </c>
      <c r="Q22">
        <v>0</v>
      </c>
    </row>
    <row r="23" spans="1:18" x14ac:dyDescent="0.15">
      <c r="A23" s="526" t="s">
        <v>1229</v>
      </c>
      <c r="B23" s="526">
        <v>259.35532937099998</v>
      </c>
      <c r="C23">
        <v>0.55137656199999996</v>
      </c>
      <c r="D23" s="374">
        <v>0</v>
      </c>
      <c r="E23" s="374">
        <v>0</v>
      </c>
      <c r="F23" s="374">
        <v>0</v>
      </c>
      <c r="G23" s="374">
        <v>0</v>
      </c>
      <c r="H23" s="374">
        <v>0</v>
      </c>
      <c r="I23" s="374">
        <v>0</v>
      </c>
      <c r="J23" s="374">
        <v>0</v>
      </c>
      <c r="K23" s="374">
        <v>0</v>
      </c>
      <c r="L23" s="950">
        <v>0.37258732877875211</v>
      </c>
      <c r="N23" t="s">
        <v>4302</v>
      </c>
      <c r="O23" s="956">
        <v>0.65985747035876607</v>
      </c>
      <c r="P23">
        <v>30001</v>
      </c>
      <c r="Q23">
        <v>0</v>
      </c>
    </row>
    <row r="24" spans="1:18" x14ac:dyDescent="0.15">
      <c r="A24" t="s">
        <v>48</v>
      </c>
      <c r="B24" s="374">
        <v>0</v>
      </c>
      <c r="C24" s="374">
        <v>0</v>
      </c>
      <c r="D24" s="374">
        <v>0</v>
      </c>
      <c r="E24" s="374">
        <v>0</v>
      </c>
      <c r="F24" s="374">
        <v>0</v>
      </c>
      <c r="G24" s="374">
        <v>0</v>
      </c>
      <c r="H24" s="374">
        <v>0</v>
      </c>
      <c r="I24">
        <v>2.2354919999999999E-3</v>
      </c>
      <c r="J24">
        <v>18.79231828</v>
      </c>
      <c r="K24">
        <v>275.54372241900001</v>
      </c>
      <c r="L24" s="961">
        <v>2.7488567290999504E-2</v>
      </c>
      <c r="N24" t="s">
        <v>4297</v>
      </c>
      <c r="O24" s="962">
        <v>0.99878194649957874</v>
      </c>
      <c r="P24">
        <v>901</v>
      </c>
      <c r="Q24">
        <v>0</v>
      </c>
    </row>
    <row r="25" spans="1:18" x14ac:dyDescent="0.15">
      <c r="A25" t="s">
        <v>1105</v>
      </c>
      <c r="B25">
        <v>8290.9055380669997</v>
      </c>
      <c r="C25">
        <v>0.55477764500000004</v>
      </c>
      <c r="D25" s="374">
        <v>0</v>
      </c>
      <c r="E25" s="374">
        <v>0</v>
      </c>
      <c r="F25" s="374">
        <v>0</v>
      </c>
      <c r="G25" s="374">
        <v>0</v>
      </c>
      <c r="H25" s="374">
        <v>0</v>
      </c>
      <c r="I25" s="374">
        <v>0</v>
      </c>
      <c r="J25" s="374">
        <v>0</v>
      </c>
      <c r="K25" s="374">
        <v>0</v>
      </c>
      <c r="L25" s="950">
        <v>0.19098054230920467</v>
      </c>
      <c r="N25" t="s">
        <v>4341</v>
      </c>
      <c r="O25" s="956">
        <v>0.89006188636383798</v>
      </c>
      <c r="P25">
        <v>80.099999999999994</v>
      </c>
      <c r="Q25">
        <v>0</v>
      </c>
    </row>
    <row r="26" spans="1:18" x14ac:dyDescent="0.15">
      <c r="A26" t="s">
        <v>214</v>
      </c>
      <c r="B26" s="374">
        <v>0</v>
      </c>
      <c r="C26" s="374">
        <v>0</v>
      </c>
      <c r="D26" s="374">
        <v>0</v>
      </c>
      <c r="E26" s="374">
        <v>0</v>
      </c>
      <c r="F26" s="374">
        <v>0</v>
      </c>
      <c r="G26" s="374">
        <v>0</v>
      </c>
      <c r="H26" s="374">
        <v>0</v>
      </c>
      <c r="I26">
        <v>-5.3099999999999998E-7</v>
      </c>
      <c r="J26">
        <v>0.21637999499999999</v>
      </c>
      <c r="K26">
        <v>1726.1361602259999</v>
      </c>
      <c r="L26" s="950">
        <v>0.13634459989196074</v>
      </c>
      <c r="N26" t="s">
        <v>4335</v>
      </c>
      <c r="O26" s="956">
        <v>0.88989336622886217</v>
      </c>
      <c r="P26">
        <v>108290</v>
      </c>
      <c r="Q26">
        <v>0</v>
      </c>
      <c r="R26" s="526"/>
    </row>
    <row r="27" spans="1:18" x14ac:dyDescent="0.15">
      <c r="A27" t="s">
        <v>1213</v>
      </c>
      <c r="B27" s="374">
        <v>0</v>
      </c>
      <c r="C27" s="374">
        <v>0</v>
      </c>
      <c r="D27" s="374">
        <v>0</v>
      </c>
      <c r="E27" s="374">
        <v>0</v>
      </c>
      <c r="F27" s="374">
        <v>0</v>
      </c>
      <c r="G27" s="374">
        <v>0</v>
      </c>
      <c r="H27">
        <v>3E-9</v>
      </c>
      <c r="I27">
        <v>-4.4866E-5</v>
      </c>
      <c r="J27">
        <v>2.0973282219999998</v>
      </c>
      <c r="K27">
        <v>434.23312942000001</v>
      </c>
      <c r="L27" s="950">
        <v>0.15508350270168716</v>
      </c>
      <c r="N27" t="s">
        <v>4300</v>
      </c>
      <c r="O27" s="956">
        <v>0.89583196859918646</v>
      </c>
      <c r="P27">
        <v>16502</v>
      </c>
      <c r="Q27">
        <v>0</v>
      </c>
    </row>
    <row r="28" spans="1:18" x14ac:dyDescent="0.15">
      <c r="A28" t="s">
        <v>2087</v>
      </c>
      <c r="B28">
        <v>2490.0166433280001</v>
      </c>
      <c r="C28">
        <v>1.117904172</v>
      </c>
      <c r="D28" s="374">
        <v>0</v>
      </c>
      <c r="E28" s="374">
        <v>0</v>
      </c>
      <c r="F28" s="374">
        <v>0</v>
      </c>
      <c r="G28" s="374">
        <v>0</v>
      </c>
      <c r="H28" s="374">
        <v>0</v>
      </c>
      <c r="I28" s="374">
        <v>0</v>
      </c>
      <c r="J28" s="374">
        <v>0</v>
      </c>
      <c r="K28" s="374">
        <v>0</v>
      </c>
      <c r="L28" s="950">
        <v>2.9060052999028089E-2</v>
      </c>
      <c r="N28" t="s">
        <v>4352</v>
      </c>
      <c r="O28" s="956">
        <v>0.99708569616381693</v>
      </c>
      <c r="P28">
        <v>113.33</v>
      </c>
      <c r="Q28">
        <v>0</v>
      </c>
    </row>
    <row r="29" spans="1:18" x14ac:dyDescent="0.15">
      <c r="A29" t="s">
        <v>2075</v>
      </c>
      <c r="B29">
        <v>1144.4973268870001</v>
      </c>
      <c r="C29">
        <v>0.76939132899999996</v>
      </c>
      <c r="D29" s="374">
        <v>0</v>
      </c>
      <c r="E29" s="374">
        <v>0</v>
      </c>
      <c r="F29" s="374">
        <v>0</v>
      </c>
      <c r="G29" s="374">
        <v>0</v>
      </c>
      <c r="H29" s="374">
        <v>0</v>
      </c>
      <c r="I29" s="374">
        <v>0</v>
      </c>
      <c r="J29" s="374">
        <v>0</v>
      </c>
      <c r="K29" s="374">
        <v>0</v>
      </c>
      <c r="L29" s="950">
        <v>0.21824709010560447</v>
      </c>
      <c r="N29" t="s">
        <v>4353</v>
      </c>
      <c r="O29" s="956">
        <v>0.98363308354833745</v>
      </c>
      <c r="P29">
        <v>6148.1</v>
      </c>
      <c r="Q29">
        <v>0</v>
      </c>
    </row>
    <row r="30" spans="1:18" x14ac:dyDescent="0.15">
      <c r="A30" t="s">
        <v>2079</v>
      </c>
      <c r="B30">
        <v>884.952743048</v>
      </c>
      <c r="C30">
        <v>0.75061779799999995</v>
      </c>
      <c r="D30" s="374">
        <v>0</v>
      </c>
      <c r="E30" s="374">
        <v>0</v>
      </c>
      <c r="F30" s="374">
        <v>0</v>
      </c>
      <c r="G30" s="374">
        <v>0</v>
      </c>
      <c r="H30" s="374">
        <v>0</v>
      </c>
      <c r="I30" s="374">
        <v>0</v>
      </c>
      <c r="J30" s="374">
        <v>0</v>
      </c>
      <c r="K30" s="374">
        <v>0</v>
      </c>
      <c r="L30" s="950">
        <v>0.11117046204521347</v>
      </c>
      <c r="N30" t="s">
        <v>4355</v>
      </c>
      <c r="O30" s="956">
        <v>0.97378468247658279</v>
      </c>
      <c r="P30">
        <v>5032.1000000000004</v>
      </c>
      <c r="Q30">
        <v>0</v>
      </c>
    </row>
    <row r="31" spans="1:18" x14ac:dyDescent="0.15">
      <c r="A31" t="s">
        <v>2077</v>
      </c>
      <c r="B31">
        <v>884.952743048</v>
      </c>
      <c r="C31">
        <v>0.75061779799999995</v>
      </c>
      <c r="D31" s="374">
        <v>0</v>
      </c>
      <c r="E31" s="374">
        <v>0</v>
      </c>
      <c r="F31" s="374">
        <v>0</v>
      </c>
      <c r="G31" s="374">
        <v>0</v>
      </c>
      <c r="H31" s="374">
        <v>0</v>
      </c>
      <c r="I31" s="374">
        <v>0</v>
      </c>
      <c r="J31" s="374">
        <v>0</v>
      </c>
      <c r="K31" s="374">
        <v>0</v>
      </c>
      <c r="L31" s="950">
        <v>0.11117046204521347</v>
      </c>
      <c r="N31" t="s">
        <v>4354</v>
      </c>
      <c r="O31" s="956">
        <v>0.97378468247658279</v>
      </c>
      <c r="P31">
        <v>5032.1000000000004</v>
      </c>
      <c r="Q31">
        <v>0</v>
      </c>
      <c r="R31" s="526"/>
    </row>
    <row r="32" spans="1:18" x14ac:dyDescent="0.15">
      <c r="A32" t="s">
        <v>4360</v>
      </c>
      <c r="B32">
        <v>2416.5109401350001</v>
      </c>
      <c r="C32">
        <v>0.81084980699999998</v>
      </c>
      <c r="D32" s="374">
        <v>0</v>
      </c>
      <c r="E32" s="374">
        <v>0</v>
      </c>
      <c r="F32" s="374">
        <v>0</v>
      </c>
      <c r="G32" s="374">
        <v>0</v>
      </c>
      <c r="H32" s="374">
        <v>0</v>
      </c>
      <c r="I32" s="374">
        <v>0</v>
      </c>
      <c r="J32" s="374">
        <v>0</v>
      </c>
      <c r="K32" s="374">
        <v>0</v>
      </c>
      <c r="L32" s="950">
        <v>6.3748011821242526E-2</v>
      </c>
      <c r="N32" t="s">
        <v>4361</v>
      </c>
      <c r="O32" s="956">
        <v>0.98438546621794643</v>
      </c>
      <c r="P32">
        <v>50.01</v>
      </c>
      <c r="Q32">
        <v>12</v>
      </c>
    </row>
    <row r="33" spans="1:18" x14ac:dyDescent="0.15">
      <c r="A33" t="s">
        <v>4358</v>
      </c>
      <c r="B33">
        <v>3571.6003625200001</v>
      </c>
      <c r="C33">
        <v>0.52517194700000003</v>
      </c>
      <c r="D33" s="374">
        <v>0</v>
      </c>
      <c r="E33" s="374">
        <v>0</v>
      </c>
      <c r="F33" s="374">
        <v>0</v>
      </c>
      <c r="G33" s="374">
        <v>0</v>
      </c>
      <c r="H33" s="374">
        <v>0</v>
      </c>
      <c r="I33" s="374">
        <v>0</v>
      </c>
      <c r="J33" s="374">
        <v>0</v>
      </c>
      <c r="K33" s="374">
        <v>0</v>
      </c>
      <c r="L33" s="950">
        <v>0.20178190920126421</v>
      </c>
      <c r="N33" t="s">
        <v>4359</v>
      </c>
      <c r="O33" s="956">
        <v>0.80101943972733713</v>
      </c>
      <c r="P33">
        <v>12</v>
      </c>
      <c r="Q33">
        <v>0</v>
      </c>
    </row>
    <row r="34" spans="1:18" x14ac:dyDescent="0.15">
      <c r="A34" t="s">
        <v>2083</v>
      </c>
      <c r="B34">
        <v>1161.335000027</v>
      </c>
      <c r="C34">
        <v>0.71739984700000003</v>
      </c>
      <c r="D34" s="374">
        <v>0</v>
      </c>
      <c r="E34" s="374">
        <v>0</v>
      </c>
      <c r="F34" s="374">
        <v>0</v>
      </c>
      <c r="G34" s="374">
        <v>0</v>
      </c>
      <c r="H34" s="374">
        <v>0</v>
      </c>
      <c r="I34" s="374">
        <v>0</v>
      </c>
      <c r="J34" s="374">
        <v>0</v>
      </c>
      <c r="K34" s="374">
        <v>0</v>
      </c>
      <c r="L34" s="950">
        <v>8.9610663880693747E-2</v>
      </c>
      <c r="N34" t="s">
        <v>4357</v>
      </c>
      <c r="O34" s="956">
        <v>0.98579513413093556</v>
      </c>
      <c r="P34">
        <v>3350.1</v>
      </c>
      <c r="Q34">
        <v>0</v>
      </c>
      <c r="R34" s="526"/>
    </row>
    <row r="35" spans="1:18" x14ac:dyDescent="0.15">
      <c r="A35" t="s">
        <v>2081</v>
      </c>
      <c r="B35">
        <v>1161.335000027</v>
      </c>
      <c r="C35">
        <v>0.71739984700000003</v>
      </c>
      <c r="D35" s="374">
        <v>0</v>
      </c>
      <c r="E35" s="374">
        <v>0</v>
      </c>
      <c r="F35" s="374">
        <v>0</v>
      </c>
      <c r="G35" s="374">
        <v>0</v>
      </c>
      <c r="H35" s="374">
        <v>0</v>
      </c>
      <c r="I35" s="374">
        <v>0</v>
      </c>
      <c r="J35" s="374">
        <v>0</v>
      </c>
      <c r="K35" s="374">
        <v>0</v>
      </c>
      <c r="L35" s="950">
        <v>8.9610663880693747E-2</v>
      </c>
      <c r="N35" t="s">
        <v>4356</v>
      </c>
      <c r="O35" s="956">
        <v>0.98579513413093556</v>
      </c>
      <c r="P35">
        <v>3350.1</v>
      </c>
      <c r="Q35">
        <v>0</v>
      </c>
    </row>
    <row r="36" spans="1:18" x14ac:dyDescent="0.15">
      <c r="A36" t="s">
        <v>2489</v>
      </c>
      <c r="B36" s="374">
        <v>0</v>
      </c>
      <c r="C36" s="374">
        <v>0</v>
      </c>
      <c r="D36" s="374">
        <v>0</v>
      </c>
      <c r="E36" s="374">
        <v>0</v>
      </c>
      <c r="F36" s="374">
        <v>0</v>
      </c>
      <c r="G36" s="374">
        <v>0</v>
      </c>
      <c r="H36" s="374">
        <v>0</v>
      </c>
      <c r="I36" s="374">
        <v>0</v>
      </c>
      <c r="J36">
        <v>1053.0249738949999</v>
      </c>
      <c r="K36">
        <v>4010.0161733059999</v>
      </c>
      <c r="L36" s="950">
        <v>6.537073818864049E-2</v>
      </c>
      <c r="N36" t="s">
        <v>4337</v>
      </c>
      <c r="O36" s="956">
        <v>0.9846598234923809</v>
      </c>
      <c r="P36">
        <v>110</v>
      </c>
      <c r="Q36">
        <v>0</v>
      </c>
    </row>
    <row r="37" spans="1:18" x14ac:dyDescent="0.15">
      <c r="A37" t="s">
        <v>2460</v>
      </c>
      <c r="B37" s="374">
        <v>0</v>
      </c>
      <c r="C37" s="374">
        <v>0</v>
      </c>
      <c r="D37" s="374">
        <v>0</v>
      </c>
      <c r="E37" s="374">
        <v>0</v>
      </c>
      <c r="F37" s="374">
        <v>0</v>
      </c>
      <c r="G37" s="374">
        <v>0</v>
      </c>
      <c r="H37">
        <v>8.7416773000000003E-2</v>
      </c>
      <c r="I37">
        <v>3.727367106</v>
      </c>
      <c r="J37">
        <v>488.19409208000002</v>
      </c>
      <c r="K37">
        <v>3103.652214921</v>
      </c>
      <c r="L37" s="950">
        <v>0.15420855763774652</v>
      </c>
      <c r="N37" t="s">
        <v>4346</v>
      </c>
      <c r="O37" s="956">
        <v>0.95974019025607282</v>
      </c>
      <c r="P37">
        <v>36.1</v>
      </c>
      <c r="Q37">
        <v>0</v>
      </c>
    </row>
    <row r="38" spans="1:18" x14ac:dyDescent="0.15">
      <c r="A38" t="s">
        <v>766</v>
      </c>
      <c r="B38">
        <v>3220.9800634899998</v>
      </c>
      <c r="C38">
        <v>0.14804462199999999</v>
      </c>
      <c r="D38" s="374">
        <v>0</v>
      </c>
      <c r="E38" s="374">
        <v>0</v>
      </c>
      <c r="F38" s="374">
        <v>0</v>
      </c>
      <c r="G38" s="374">
        <v>0</v>
      </c>
      <c r="H38" s="374">
        <v>0</v>
      </c>
      <c r="I38" s="374">
        <v>0</v>
      </c>
      <c r="J38" s="374">
        <v>0</v>
      </c>
      <c r="K38" s="374">
        <v>0</v>
      </c>
      <c r="L38" s="950">
        <v>0.10096714189868675</v>
      </c>
      <c r="N38" t="s">
        <v>4336</v>
      </c>
      <c r="O38" s="956">
        <v>0.57579712716736775</v>
      </c>
      <c r="P38">
        <v>4.0999999999999996</v>
      </c>
      <c r="Q38">
        <v>0</v>
      </c>
    </row>
    <row r="39" spans="1:18" x14ac:dyDescent="0.15">
      <c r="A39" t="s">
        <v>768</v>
      </c>
      <c r="B39" s="374">
        <v>0</v>
      </c>
      <c r="C39" s="374">
        <v>0</v>
      </c>
      <c r="D39" s="374">
        <v>0</v>
      </c>
      <c r="E39" s="374">
        <v>0</v>
      </c>
      <c r="F39" s="374">
        <v>0</v>
      </c>
      <c r="G39" s="374">
        <v>0</v>
      </c>
      <c r="H39">
        <v>0.290528801</v>
      </c>
      <c r="I39">
        <v>-20.141018838000001</v>
      </c>
      <c r="J39">
        <v>567.62280550399998</v>
      </c>
      <c r="K39">
        <v>674.16116967899995</v>
      </c>
      <c r="L39" s="950">
        <v>8.7926571657932578E-2</v>
      </c>
      <c r="N39" t="s">
        <v>4343</v>
      </c>
      <c r="O39" s="956">
        <v>0.99588591793663983</v>
      </c>
      <c r="P39">
        <v>60.1</v>
      </c>
      <c r="Q39">
        <v>0</v>
      </c>
    </row>
    <row r="40" spans="1:18" x14ac:dyDescent="0.15">
      <c r="A40" t="s">
        <v>1228</v>
      </c>
      <c r="B40" s="374">
        <v>0</v>
      </c>
      <c r="C40" s="374">
        <v>0</v>
      </c>
      <c r="D40" s="374">
        <v>0</v>
      </c>
      <c r="E40" s="374">
        <v>0</v>
      </c>
      <c r="F40" s="374">
        <v>0</v>
      </c>
      <c r="G40" s="374">
        <v>0</v>
      </c>
      <c r="H40" s="374">
        <v>0</v>
      </c>
      <c r="I40">
        <v>1.89841E-4</v>
      </c>
      <c r="J40">
        <v>1.125069329</v>
      </c>
      <c r="K40">
        <v>710.83996240299996</v>
      </c>
      <c r="L40" s="950">
        <v>0.19181540196500685</v>
      </c>
      <c r="N40" t="s">
        <v>4301</v>
      </c>
      <c r="O40" s="956">
        <v>0.9665490920876908</v>
      </c>
      <c r="P40">
        <v>6601</v>
      </c>
      <c r="Q40">
        <v>0</v>
      </c>
    </row>
    <row r="41" spans="1:18" x14ac:dyDescent="0.15">
      <c r="A41" t="s">
        <v>1575</v>
      </c>
      <c r="B41" s="374">
        <v>0</v>
      </c>
      <c r="C41" s="374">
        <v>0</v>
      </c>
      <c r="D41" s="374">
        <v>0</v>
      </c>
      <c r="E41" s="374">
        <v>0</v>
      </c>
      <c r="F41" s="374">
        <v>0</v>
      </c>
      <c r="G41" s="374">
        <v>0</v>
      </c>
      <c r="H41">
        <v>58.028667577999997</v>
      </c>
      <c r="I41">
        <v>-159.28597623600001</v>
      </c>
      <c r="J41">
        <v>683.00808015300004</v>
      </c>
      <c r="K41">
        <v>183.51748784500001</v>
      </c>
      <c r="L41" s="950">
        <v>6.1090083245424892E-2</v>
      </c>
      <c r="N41" t="s">
        <v>4339</v>
      </c>
      <c r="O41" s="956">
        <v>0.99458339570071896</v>
      </c>
      <c r="P41">
        <v>3.1</v>
      </c>
      <c r="Q41">
        <v>0</v>
      </c>
    </row>
    <row r="42" spans="1:18" x14ac:dyDescent="0.15">
      <c r="A42" t="s">
        <v>1106</v>
      </c>
      <c r="B42" s="374">
        <v>0</v>
      </c>
      <c r="C42" s="374">
        <v>0</v>
      </c>
      <c r="D42" s="374">
        <v>0</v>
      </c>
      <c r="E42" s="374">
        <v>0</v>
      </c>
      <c r="F42" s="374">
        <v>0</v>
      </c>
      <c r="G42" s="374">
        <v>0</v>
      </c>
      <c r="H42" s="374">
        <v>0</v>
      </c>
      <c r="I42">
        <v>-4.7059281300000002</v>
      </c>
      <c r="J42">
        <v>792.11250883399998</v>
      </c>
      <c r="K42">
        <v>23963.122303544998</v>
      </c>
      <c r="L42" s="950">
        <v>0.10384536321735356</v>
      </c>
      <c r="N42" t="s">
        <v>4342</v>
      </c>
      <c r="O42" s="956">
        <v>0.58025547997328819</v>
      </c>
      <c r="P42">
        <v>80.099999999999994</v>
      </c>
      <c r="Q42">
        <v>23</v>
      </c>
    </row>
    <row r="43" spans="1:18" x14ac:dyDescent="0.15">
      <c r="A43" t="s">
        <v>763</v>
      </c>
      <c r="B43" s="374">
        <v>0</v>
      </c>
      <c r="C43" s="374">
        <v>0</v>
      </c>
      <c r="D43" s="374">
        <v>0</v>
      </c>
      <c r="E43" s="374">
        <v>0</v>
      </c>
      <c r="F43" s="374">
        <v>0</v>
      </c>
      <c r="G43" s="374">
        <v>0</v>
      </c>
      <c r="H43" s="374">
        <v>0</v>
      </c>
      <c r="I43">
        <v>23.867181313</v>
      </c>
      <c r="J43">
        <v>53.974127154000001</v>
      </c>
      <c r="K43">
        <v>43.165150769999997</v>
      </c>
      <c r="L43" s="950">
        <v>0.1427349787694592</v>
      </c>
      <c r="N43" t="s">
        <v>4327</v>
      </c>
      <c r="O43" s="956">
        <v>0.93375154994717469</v>
      </c>
      <c r="P43">
        <v>12.1</v>
      </c>
      <c r="Q43">
        <v>0</v>
      </c>
    </row>
    <row r="44" spans="1:18" x14ac:dyDescent="0.15">
      <c r="A44" t="s">
        <v>4317</v>
      </c>
      <c r="B44" s="374">
        <v>0</v>
      </c>
      <c r="C44" s="374">
        <v>0</v>
      </c>
      <c r="D44" s="374">
        <v>0</v>
      </c>
      <c r="E44" s="374">
        <v>0</v>
      </c>
      <c r="F44" s="374">
        <v>0</v>
      </c>
      <c r="G44" s="374">
        <v>0</v>
      </c>
      <c r="H44" s="374">
        <v>0</v>
      </c>
      <c r="I44" s="374">
        <v>0</v>
      </c>
      <c r="J44">
        <v>2553.3443597519999</v>
      </c>
      <c r="K44">
        <v>-25690.347540136001</v>
      </c>
      <c r="L44" s="950">
        <v>0.1288535088310907</v>
      </c>
      <c r="N44" t="s">
        <v>4318</v>
      </c>
      <c r="O44" s="956">
        <v>0.81137657813383668</v>
      </c>
      <c r="P44">
        <v>24.1</v>
      </c>
      <c r="Q44">
        <v>14</v>
      </c>
    </row>
    <row r="45" spans="1:18" x14ac:dyDescent="0.15">
      <c r="A45" t="s">
        <v>4319</v>
      </c>
      <c r="B45" s="374">
        <v>0</v>
      </c>
      <c r="C45" s="374">
        <v>0</v>
      </c>
      <c r="D45" s="374">
        <v>0</v>
      </c>
      <c r="E45" s="374">
        <v>0</v>
      </c>
      <c r="F45" s="374">
        <v>0</v>
      </c>
      <c r="G45" s="374">
        <v>0</v>
      </c>
      <c r="H45" s="374">
        <v>0</v>
      </c>
      <c r="I45">
        <v>12.117823524</v>
      </c>
      <c r="J45">
        <v>45.057729000000002</v>
      </c>
      <c r="K45">
        <v>112.997449909</v>
      </c>
      <c r="L45" s="950">
        <v>0.25566288048231928</v>
      </c>
      <c r="N45" t="s">
        <v>4320</v>
      </c>
      <c r="O45" s="956">
        <v>0.86317684069618528</v>
      </c>
      <c r="P45">
        <v>12</v>
      </c>
      <c r="Q45">
        <v>0</v>
      </c>
      <c r="R45" s="526"/>
    </row>
    <row r="46" spans="1:18" x14ac:dyDescent="0.15">
      <c r="A46" t="s">
        <v>4311</v>
      </c>
      <c r="B46" s="374">
        <v>0</v>
      </c>
      <c r="C46" s="374">
        <v>0</v>
      </c>
      <c r="D46" s="374">
        <v>0</v>
      </c>
      <c r="E46" s="374">
        <v>0</v>
      </c>
      <c r="F46" s="374">
        <v>0</v>
      </c>
      <c r="G46" s="374">
        <v>0</v>
      </c>
      <c r="H46" s="374">
        <v>0</v>
      </c>
      <c r="I46" s="374">
        <v>0</v>
      </c>
      <c r="J46">
        <v>2443.3800723099998</v>
      </c>
      <c r="K46">
        <v>-21582.792424030999</v>
      </c>
      <c r="L46" s="950">
        <v>0.10606175481157647</v>
      </c>
      <c r="N46" t="s">
        <v>4312</v>
      </c>
      <c r="O46" s="956">
        <v>0.84845770106442142</v>
      </c>
      <c r="P46">
        <v>24.1</v>
      </c>
      <c r="Q46">
        <v>14</v>
      </c>
    </row>
    <row r="47" spans="1:18" x14ac:dyDescent="0.15">
      <c r="A47" t="s">
        <v>4313</v>
      </c>
      <c r="B47" s="374">
        <v>0</v>
      </c>
      <c r="C47" s="374">
        <v>0</v>
      </c>
      <c r="D47" s="374">
        <v>0</v>
      </c>
      <c r="E47" s="374">
        <v>0</v>
      </c>
      <c r="F47">
        <v>599.000620282</v>
      </c>
      <c r="G47">
        <v>0.18198897</v>
      </c>
      <c r="H47" s="374">
        <v>0</v>
      </c>
      <c r="I47" s="374">
        <v>0</v>
      </c>
      <c r="J47" s="374">
        <v>0</v>
      </c>
      <c r="K47" s="374">
        <v>0</v>
      </c>
      <c r="L47" s="950">
        <v>0.1044259768556962</v>
      </c>
      <c r="N47" t="s">
        <v>4314</v>
      </c>
      <c r="O47" s="956">
        <v>0.97980463453751598</v>
      </c>
      <c r="P47">
        <v>12</v>
      </c>
      <c r="Q47">
        <v>0</v>
      </c>
    </row>
    <row r="48" spans="1:18" x14ac:dyDescent="0.15">
      <c r="A48" t="s">
        <v>2458</v>
      </c>
      <c r="B48" s="374">
        <v>0</v>
      </c>
      <c r="C48" s="374">
        <v>0</v>
      </c>
      <c r="D48" s="374">
        <v>0</v>
      </c>
      <c r="E48" s="374">
        <v>0</v>
      </c>
      <c r="F48" s="374">
        <v>0</v>
      </c>
      <c r="G48" s="374">
        <v>0</v>
      </c>
      <c r="H48">
        <v>0.48667437299999999</v>
      </c>
      <c r="I48">
        <v>-19.177375645000001</v>
      </c>
      <c r="J48">
        <v>593.88035160699997</v>
      </c>
      <c r="K48">
        <v>1500.545795131</v>
      </c>
      <c r="L48" s="950">
        <v>4.521517984937741E-2</v>
      </c>
      <c r="N48" t="s">
        <v>4345</v>
      </c>
      <c r="O48" s="956">
        <v>0.99578400826432001</v>
      </c>
      <c r="P48">
        <v>36.1</v>
      </c>
      <c r="Q48">
        <v>0</v>
      </c>
      <c r="R48" s="526"/>
    </row>
    <row r="49" spans="1:18" x14ac:dyDescent="0.15">
      <c r="A49" t="s">
        <v>1226</v>
      </c>
      <c r="B49" s="374">
        <v>0</v>
      </c>
      <c r="C49" s="374">
        <v>0</v>
      </c>
      <c r="D49" s="374">
        <v>0</v>
      </c>
      <c r="E49" s="374">
        <v>0</v>
      </c>
      <c r="F49" s="374">
        <v>0</v>
      </c>
      <c r="G49" s="374">
        <v>0</v>
      </c>
      <c r="H49" s="374">
        <v>0</v>
      </c>
      <c r="I49">
        <v>-6.7002999999999995E-4</v>
      </c>
      <c r="J49">
        <v>14.809014980000001</v>
      </c>
      <c r="K49">
        <v>4093.494684836</v>
      </c>
      <c r="L49" s="950">
        <v>0.16787720556525074</v>
      </c>
      <c r="N49" t="s">
        <v>4329</v>
      </c>
      <c r="O49" s="956">
        <v>0.95812431183124169</v>
      </c>
      <c r="P49">
        <v>10001</v>
      </c>
      <c r="Q49">
        <v>0</v>
      </c>
    </row>
    <row r="50" spans="1:18" x14ac:dyDescent="0.15">
      <c r="A50" t="s">
        <v>2857</v>
      </c>
      <c r="B50" s="374">
        <v>0</v>
      </c>
      <c r="C50" s="374">
        <v>0</v>
      </c>
      <c r="D50" s="374">
        <v>0</v>
      </c>
      <c r="E50" s="374">
        <v>0</v>
      </c>
      <c r="F50">
        <v>1147.9723958510001</v>
      </c>
      <c r="G50">
        <v>5.4740779000000003E-2</v>
      </c>
      <c r="H50" s="374">
        <v>0</v>
      </c>
      <c r="I50" s="374">
        <v>0</v>
      </c>
      <c r="J50" s="374">
        <v>0</v>
      </c>
      <c r="K50" s="374">
        <v>0</v>
      </c>
      <c r="L50" s="950">
        <v>0.39676137270947814</v>
      </c>
      <c r="N50" t="s">
        <v>4333</v>
      </c>
      <c r="O50" s="956">
        <v>0.62162919975925868</v>
      </c>
      <c r="P50">
        <v>21.01</v>
      </c>
      <c r="Q50">
        <v>0</v>
      </c>
    </row>
    <row r="51" spans="1:18" x14ac:dyDescent="0.15">
      <c r="A51" t="s">
        <v>2856</v>
      </c>
      <c r="B51" s="374">
        <v>0</v>
      </c>
      <c r="C51" s="374">
        <v>0</v>
      </c>
      <c r="D51" s="374">
        <v>0</v>
      </c>
      <c r="E51" s="374">
        <v>0</v>
      </c>
      <c r="F51" s="374">
        <v>0</v>
      </c>
      <c r="G51" s="374">
        <v>0</v>
      </c>
      <c r="H51">
        <v>5.8459699999999996E-4</v>
      </c>
      <c r="I51">
        <v>-0.31291286000000001</v>
      </c>
      <c r="J51">
        <v>58.800444323000001</v>
      </c>
      <c r="K51">
        <v>3000.5306602579999</v>
      </c>
      <c r="L51" s="950">
        <v>5.9121223134457057E-2</v>
      </c>
      <c r="N51" t="s">
        <v>4331</v>
      </c>
      <c r="O51" s="956">
        <v>0.95805697100435294</v>
      </c>
      <c r="P51">
        <v>132.01</v>
      </c>
      <c r="Q51">
        <v>0</v>
      </c>
    </row>
    <row r="52" spans="1:18" x14ac:dyDescent="0.15">
      <c r="A52" t="s">
        <v>751</v>
      </c>
      <c r="B52" s="374">
        <v>0</v>
      </c>
      <c r="C52" s="374">
        <v>0</v>
      </c>
      <c r="D52" s="374">
        <v>0</v>
      </c>
      <c r="E52" s="374">
        <v>0</v>
      </c>
      <c r="F52" s="374">
        <v>0</v>
      </c>
      <c r="G52" s="374">
        <v>0</v>
      </c>
      <c r="H52" s="374">
        <v>0</v>
      </c>
      <c r="I52">
        <v>9.7106987000000006E-2</v>
      </c>
      <c r="J52">
        <v>0.800977414</v>
      </c>
      <c r="K52">
        <v>1.427719425</v>
      </c>
      <c r="L52" s="950">
        <v>0.19469475172443332</v>
      </c>
      <c r="N52" s="963" t="s">
        <v>4308</v>
      </c>
      <c r="O52" s="956">
        <v>0.99750218963449888</v>
      </c>
      <c r="P52">
        <v>48.1</v>
      </c>
      <c r="Q52">
        <v>0</v>
      </c>
    </row>
    <row r="53" spans="1:18" x14ac:dyDescent="0.15">
      <c r="A53" t="s">
        <v>2786</v>
      </c>
      <c r="B53" s="374">
        <v>0</v>
      </c>
      <c r="C53" s="374">
        <v>0</v>
      </c>
      <c r="D53" s="374">
        <v>0</v>
      </c>
      <c r="E53" s="374">
        <v>0</v>
      </c>
      <c r="F53" s="374">
        <v>0</v>
      </c>
      <c r="G53" s="374">
        <v>0</v>
      </c>
      <c r="H53" s="374">
        <v>0</v>
      </c>
      <c r="I53">
        <v>22.470786887999999</v>
      </c>
      <c r="J53">
        <v>2229.8918400309999</v>
      </c>
      <c r="K53">
        <v>-1911.930587201</v>
      </c>
      <c r="L53" s="950">
        <v>0.10253211443061497</v>
      </c>
      <c r="N53" t="s">
        <v>4340</v>
      </c>
      <c r="O53" s="956">
        <v>0.97755716442117768</v>
      </c>
      <c r="P53">
        <v>8.1</v>
      </c>
      <c r="Q53">
        <v>1.5</v>
      </c>
    </row>
    <row r="54" spans="1:18" x14ac:dyDescent="0.15">
      <c r="A54" t="s">
        <v>764</v>
      </c>
      <c r="B54" s="374">
        <v>0</v>
      </c>
      <c r="C54" s="374">
        <v>0</v>
      </c>
      <c r="D54" s="374">
        <v>0</v>
      </c>
      <c r="E54" s="374">
        <v>0</v>
      </c>
      <c r="F54" s="374">
        <v>0</v>
      </c>
      <c r="G54" s="374">
        <v>0</v>
      </c>
      <c r="H54" s="374">
        <v>0</v>
      </c>
      <c r="I54">
        <v>43.739370735000001</v>
      </c>
      <c r="J54">
        <v>186.790998664</v>
      </c>
      <c r="K54">
        <v>114.073407746</v>
      </c>
      <c r="L54" s="950">
        <v>0.22117751729640323</v>
      </c>
      <c r="N54" t="s">
        <v>4326</v>
      </c>
      <c r="O54" s="956">
        <v>0.98072611838110124</v>
      </c>
      <c r="P54">
        <v>48.1</v>
      </c>
      <c r="Q54">
        <v>0</v>
      </c>
      <c r="R54" s="526"/>
    </row>
    <row r="55" spans="1:18" x14ac:dyDescent="0.15">
      <c r="A55" t="s">
        <v>2905</v>
      </c>
      <c r="B55">
        <v>57.021589231</v>
      </c>
      <c r="C55">
        <v>0.72932539100000005</v>
      </c>
      <c r="D55" s="374">
        <v>0</v>
      </c>
      <c r="E55" s="374">
        <v>0</v>
      </c>
      <c r="F55" s="374">
        <v>0</v>
      </c>
      <c r="G55" s="374">
        <v>0</v>
      </c>
      <c r="H55" s="374">
        <v>0</v>
      </c>
      <c r="I55" s="374">
        <v>0</v>
      </c>
      <c r="J55" s="374">
        <v>0</v>
      </c>
      <c r="K55" s="374">
        <v>0</v>
      </c>
      <c r="L55" s="950">
        <v>6.872076181729754E-2</v>
      </c>
      <c r="N55" t="s">
        <v>4303</v>
      </c>
      <c r="O55" s="956">
        <v>0.99494997588312595</v>
      </c>
      <c r="P55">
        <v>30001</v>
      </c>
      <c r="Q55">
        <v>0</v>
      </c>
    </row>
    <row r="56" spans="1:18" x14ac:dyDescent="0.15">
      <c r="A56" t="s">
        <v>1573</v>
      </c>
      <c r="B56" s="374">
        <v>0</v>
      </c>
      <c r="C56" s="374">
        <v>0</v>
      </c>
      <c r="D56" s="374">
        <v>0</v>
      </c>
      <c r="E56" s="374">
        <v>0</v>
      </c>
      <c r="F56" s="374">
        <v>0</v>
      </c>
      <c r="G56" s="374">
        <v>0</v>
      </c>
      <c r="H56" s="374">
        <v>0</v>
      </c>
      <c r="I56">
        <v>105.819723995</v>
      </c>
      <c r="J56">
        <v>942.98182962299995</v>
      </c>
      <c r="K56">
        <v>192.17148511400001</v>
      </c>
      <c r="L56" s="950">
        <v>0.22220942710385491</v>
      </c>
      <c r="N56" t="s">
        <v>4338</v>
      </c>
      <c r="O56" s="956">
        <v>0.81497591957524407</v>
      </c>
      <c r="P56">
        <v>8.1</v>
      </c>
      <c r="Q56">
        <v>0</v>
      </c>
    </row>
    <row r="57" spans="1:18" x14ac:dyDescent="0.15">
      <c r="A57" t="s">
        <v>2861</v>
      </c>
      <c r="B57">
        <v>2305.9222008940001</v>
      </c>
      <c r="C57">
        <v>0.140989643</v>
      </c>
      <c r="D57" s="374">
        <v>0</v>
      </c>
      <c r="E57" s="374">
        <v>0</v>
      </c>
      <c r="F57" s="374">
        <v>0</v>
      </c>
      <c r="G57" s="374">
        <v>0</v>
      </c>
      <c r="H57" s="374">
        <v>0</v>
      </c>
      <c r="I57" s="374">
        <v>0</v>
      </c>
      <c r="J57" s="374">
        <v>0</v>
      </c>
      <c r="K57" s="374">
        <v>0</v>
      </c>
      <c r="L57" s="950">
        <v>0.19379304652600138</v>
      </c>
      <c r="N57" t="s">
        <v>4334</v>
      </c>
      <c r="O57" s="956">
        <v>0.40093386922936991</v>
      </c>
      <c r="P57">
        <v>21.01</v>
      </c>
      <c r="Q57">
        <v>0</v>
      </c>
    </row>
    <row r="58" spans="1:18" x14ac:dyDescent="0.15">
      <c r="A58" t="s">
        <v>761</v>
      </c>
      <c r="B58">
        <v>271.98316458599999</v>
      </c>
      <c r="C58">
        <v>0.92578415199999997</v>
      </c>
      <c r="D58" s="374">
        <v>0</v>
      </c>
      <c r="E58" s="374">
        <v>0</v>
      </c>
      <c r="F58" s="374">
        <v>0</v>
      </c>
      <c r="G58" s="374">
        <v>0</v>
      </c>
      <c r="H58" s="374">
        <v>0</v>
      </c>
      <c r="I58" s="374">
        <v>0</v>
      </c>
      <c r="J58" s="374">
        <v>0</v>
      </c>
      <c r="K58" s="374">
        <v>0</v>
      </c>
      <c r="L58" s="950">
        <v>0.19376804452462798</v>
      </c>
      <c r="N58" t="s">
        <v>4321</v>
      </c>
      <c r="O58" s="956">
        <v>0.8807162518733741</v>
      </c>
      <c r="P58">
        <v>12.1</v>
      </c>
      <c r="Q58">
        <v>0</v>
      </c>
    </row>
    <row r="59" spans="1:18" x14ac:dyDescent="0.15">
      <c r="A59" t="s">
        <v>2860</v>
      </c>
      <c r="B59" s="374">
        <v>0</v>
      </c>
      <c r="C59" s="374">
        <v>0</v>
      </c>
      <c r="D59" s="374">
        <v>0</v>
      </c>
      <c r="E59" s="374">
        <v>0</v>
      </c>
      <c r="F59" s="374">
        <v>0</v>
      </c>
      <c r="G59" s="374">
        <v>0</v>
      </c>
      <c r="H59" s="374">
        <v>0</v>
      </c>
      <c r="I59">
        <v>-0.19761578099999999</v>
      </c>
      <c r="J59">
        <v>60.928056216999998</v>
      </c>
      <c r="K59">
        <v>3430.8004552430002</v>
      </c>
      <c r="L59" s="950">
        <v>5.3382527173068531E-2</v>
      </c>
      <c r="N59" t="s">
        <v>4332</v>
      </c>
      <c r="O59" s="956">
        <v>0.97321402756132269</v>
      </c>
      <c r="P59">
        <v>132.01</v>
      </c>
      <c r="Q59">
        <v>0</v>
      </c>
    </row>
    <row r="60" spans="1:18" x14ac:dyDescent="0.15">
      <c r="A60" t="s">
        <v>755</v>
      </c>
      <c r="B60" s="374">
        <v>0</v>
      </c>
      <c r="C60" s="374">
        <v>0</v>
      </c>
      <c r="D60" s="374">
        <v>0</v>
      </c>
      <c r="E60" s="374">
        <v>0</v>
      </c>
      <c r="F60" s="374">
        <v>0</v>
      </c>
      <c r="G60" s="374">
        <v>0</v>
      </c>
      <c r="H60">
        <v>1.4813451259999999</v>
      </c>
      <c r="I60">
        <v>44.575825872999999</v>
      </c>
      <c r="J60">
        <v>-42.850924452000001</v>
      </c>
      <c r="K60">
        <v>1429.5852851469999</v>
      </c>
      <c r="L60" s="950">
        <v>0.27548354444948392</v>
      </c>
      <c r="N60" t="s">
        <v>4315</v>
      </c>
      <c r="O60" s="956">
        <v>0.93859465845858792</v>
      </c>
      <c r="P60">
        <v>48.1</v>
      </c>
      <c r="Q60">
        <v>0</v>
      </c>
    </row>
    <row r="61" spans="1:18" x14ac:dyDescent="0.15">
      <c r="A61" t="s">
        <v>752</v>
      </c>
      <c r="B61" s="374">
        <v>0</v>
      </c>
      <c r="C61" s="374">
        <v>0</v>
      </c>
      <c r="D61" s="374">
        <v>0</v>
      </c>
      <c r="E61" s="374">
        <v>0</v>
      </c>
      <c r="F61" s="374">
        <v>0</v>
      </c>
      <c r="G61" s="374">
        <v>0</v>
      </c>
      <c r="H61">
        <v>4.8585111E-2</v>
      </c>
      <c r="I61">
        <v>-2.5845256220000001</v>
      </c>
      <c r="J61">
        <v>58.928328317999998</v>
      </c>
      <c r="K61">
        <v>-12.466035675000001</v>
      </c>
      <c r="L61" s="950">
        <v>0.25605913422579951</v>
      </c>
      <c r="N61" t="s">
        <v>4309</v>
      </c>
      <c r="O61" s="956">
        <v>0.93646598728443631</v>
      </c>
      <c r="P61">
        <v>48.1</v>
      </c>
      <c r="Q61">
        <v>0</v>
      </c>
    </row>
    <row r="62" spans="1:18" x14ac:dyDescent="0.15">
      <c r="A62" t="s">
        <v>747</v>
      </c>
      <c r="B62" s="374">
        <v>0</v>
      </c>
      <c r="C62" s="374">
        <v>0</v>
      </c>
      <c r="D62" s="374">
        <v>0</v>
      </c>
      <c r="E62" s="374">
        <v>0</v>
      </c>
      <c r="F62" s="374">
        <v>0</v>
      </c>
      <c r="G62" s="374">
        <v>0</v>
      </c>
      <c r="H62">
        <v>4.0000000000000001E-8</v>
      </c>
      <c r="I62">
        <v>-1.6522430000000001E-3</v>
      </c>
      <c r="J62">
        <v>26.487093706</v>
      </c>
      <c r="K62">
        <v>28673.43064482</v>
      </c>
      <c r="L62" s="950">
        <v>0.14140922623004518</v>
      </c>
      <c r="N62" t="s">
        <v>4294</v>
      </c>
      <c r="O62" s="956">
        <v>0.98549217500950392</v>
      </c>
      <c r="P62">
        <v>27101</v>
      </c>
      <c r="Q62">
        <v>0</v>
      </c>
    </row>
    <row r="63" spans="1:18" x14ac:dyDescent="0.15">
      <c r="A63" t="s">
        <v>749</v>
      </c>
      <c r="B63">
        <v>308.93713092600001</v>
      </c>
      <c r="C63">
        <v>0.50146757099999995</v>
      </c>
      <c r="D63" s="374">
        <v>0</v>
      </c>
      <c r="E63" s="374">
        <v>0</v>
      </c>
      <c r="F63" s="374">
        <v>0</v>
      </c>
      <c r="G63" s="374">
        <v>0</v>
      </c>
      <c r="H63" s="374">
        <v>0</v>
      </c>
      <c r="I63" s="374">
        <v>0</v>
      </c>
      <c r="J63" s="374">
        <v>0</v>
      </c>
      <c r="K63" s="374">
        <v>0</v>
      </c>
      <c r="L63" s="950">
        <v>0.20490922198574954</v>
      </c>
      <c r="N63" t="s">
        <v>4298</v>
      </c>
      <c r="O63" s="956">
        <v>0.95117028776390522</v>
      </c>
      <c r="P63">
        <v>289001</v>
      </c>
      <c r="Q63">
        <v>0</v>
      </c>
    </row>
    <row r="64" spans="1:18" x14ac:dyDescent="0.15">
      <c r="A64" t="s">
        <v>753</v>
      </c>
      <c r="B64">
        <v>20.769417377</v>
      </c>
      <c r="C64">
        <v>0.92382198999999998</v>
      </c>
      <c r="D64" s="374">
        <v>0</v>
      </c>
      <c r="E64" s="374">
        <v>0</v>
      </c>
      <c r="F64" s="374">
        <v>0</v>
      </c>
      <c r="G64" s="374">
        <v>0</v>
      </c>
      <c r="H64" s="374">
        <v>0</v>
      </c>
      <c r="I64" s="374">
        <v>0</v>
      </c>
      <c r="J64" s="374">
        <v>0</v>
      </c>
      <c r="K64" s="374">
        <v>0</v>
      </c>
      <c r="L64" s="950">
        <v>0.42911927902362179</v>
      </c>
      <c r="N64" t="s">
        <v>4310</v>
      </c>
      <c r="O64" s="956">
        <v>0.39930452928082849</v>
      </c>
      <c r="P64">
        <v>48.1</v>
      </c>
      <c r="Q64">
        <v>0</v>
      </c>
    </row>
    <row r="65" spans="1:17" x14ac:dyDescent="0.15">
      <c r="A65" t="s">
        <v>2459</v>
      </c>
      <c r="B65" s="374">
        <v>0</v>
      </c>
      <c r="C65" s="374">
        <v>0</v>
      </c>
      <c r="D65" s="374">
        <v>0</v>
      </c>
      <c r="E65" s="374">
        <v>0</v>
      </c>
      <c r="F65" s="374">
        <v>0</v>
      </c>
      <c r="G65" s="374">
        <v>0</v>
      </c>
      <c r="H65">
        <v>-8.9659137E-2</v>
      </c>
      <c r="I65">
        <v>7.3814192910000003</v>
      </c>
      <c r="J65">
        <v>135.40877886999999</v>
      </c>
      <c r="K65">
        <v>2010.462068774</v>
      </c>
      <c r="L65" s="950">
        <v>7.9589033678493251E-2</v>
      </c>
      <c r="N65" t="s">
        <v>4344</v>
      </c>
      <c r="O65" s="956">
        <v>0.98202299755210409</v>
      </c>
      <c r="P65">
        <v>48.1</v>
      </c>
      <c r="Q65">
        <v>0</v>
      </c>
    </row>
  </sheetData>
  <sortState xmlns:xlrd2="http://schemas.microsoft.com/office/spreadsheetml/2017/richdata2" ref="A6:Q65">
    <sortCondition ref="A6:A65"/>
  </sortState>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workbookViewId="0">
      <pane ySplit="3" topLeftCell="A4" activePane="bottomLeft" state="frozen"/>
      <selection pane="bottomLeft"/>
    </sheetView>
  </sheetViews>
  <sheetFormatPr baseColWidth="10" defaultColWidth="8.83203125" defaultRowHeight="13" x14ac:dyDescent="0.15"/>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x14ac:dyDescent="0.15">
      <c r="A1" s="1" t="s">
        <v>3588</v>
      </c>
    </row>
    <row r="2" spans="1:6" x14ac:dyDescent="0.15">
      <c r="A2" s="657" t="s">
        <v>4376</v>
      </c>
    </row>
    <row r="3" spans="1:6" x14ac:dyDescent="0.15">
      <c r="A3" s="657" t="s">
        <v>4377</v>
      </c>
    </row>
    <row r="5" spans="1:6" x14ac:dyDescent="0.15">
      <c r="A5" s="891" t="s">
        <v>3589</v>
      </c>
      <c r="B5" s="891" t="s">
        <v>3590</v>
      </c>
      <c r="C5" s="891"/>
      <c r="D5" s="891"/>
      <c r="E5" s="891"/>
      <c r="F5" s="891"/>
    </row>
    <row r="6" spans="1:6" x14ac:dyDescent="0.15">
      <c r="A6" s="889">
        <v>43</v>
      </c>
      <c r="B6" s="320"/>
      <c r="C6" s="320"/>
      <c r="D6" s="320" t="s">
        <v>2580</v>
      </c>
      <c r="E6" s="320" t="s">
        <v>3591</v>
      </c>
      <c r="F6" s="320" t="s">
        <v>3592</v>
      </c>
    </row>
    <row r="7" spans="1:6" x14ac:dyDescent="0.15">
      <c r="A7" s="3" t="s">
        <v>3593</v>
      </c>
      <c r="B7">
        <v>0</v>
      </c>
      <c r="C7">
        <v>0</v>
      </c>
      <c r="D7" s="890">
        <v>600.18707669670891</v>
      </c>
      <c r="E7">
        <v>15</v>
      </c>
      <c r="F7">
        <v>14</v>
      </c>
    </row>
    <row r="10" spans="1:6" x14ac:dyDescent="0.15">
      <c r="A10" s="891" t="s">
        <v>3594</v>
      </c>
      <c r="B10" s="891" t="s">
        <v>3595</v>
      </c>
      <c r="C10" s="891"/>
      <c r="D10" s="891"/>
      <c r="E10" s="891"/>
      <c r="F10" s="891"/>
    </row>
    <row r="11" spans="1:6" x14ac:dyDescent="0.15">
      <c r="A11" s="889">
        <v>30</v>
      </c>
      <c r="B11" s="320" t="s">
        <v>3596</v>
      </c>
      <c r="C11" s="320" t="s">
        <v>3597</v>
      </c>
      <c r="D11" s="847" t="s">
        <v>3598</v>
      </c>
      <c r="E11" s="320" t="s">
        <v>3591</v>
      </c>
      <c r="F11" s="320" t="s">
        <v>3592</v>
      </c>
    </row>
    <row r="12" spans="1:6" x14ac:dyDescent="0.15">
      <c r="A12" s="3" t="s">
        <v>3600</v>
      </c>
      <c r="B12">
        <v>0</v>
      </c>
      <c r="C12">
        <v>10</v>
      </c>
      <c r="D12" s="890">
        <v>3765.081740826402</v>
      </c>
      <c r="E12">
        <v>20</v>
      </c>
      <c r="F12">
        <v>17</v>
      </c>
    </row>
    <row r="13" spans="1:6" x14ac:dyDescent="0.15">
      <c r="A13" s="3"/>
      <c r="B13">
        <v>11</v>
      </c>
      <c r="C13">
        <v>30</v>
      </c>
      <c r="D13" s="890">
        <v>4254.6995836907727</v>
      </c>
      <c r="E13">
        <v>20</v>
      </c>
      <c r="F13">
        <v>17</v>
      </c>
    </row>
    <row r="14" spans="1:6" x14ac:dyDescent="0.15">
      <c r="A14" s="3"/>
      <c r="B14">
        <v>31</v>
      </c>
      <c r="C14">
        <v>200</v>
      </c>
      <c r="D14" s="890">
        <v>12125.919025502953</v>
      </c>
      <c r="E14">
        <v>20</v>
      </c>
      <c r="F14">
        <v>17</v>
      </c>
    </row>
    <row r="15" spans="1:6" x14ac:dyDescent="0.15">
      <c r="A15" s="3"/>
      <c r="B15">
        <v>201</v>
      </c>
      <c r="C15">
        <v>500</v>
      </c>
      <c r="D15" s="890">
        <v>13969.613526038316</v>
      </c>
      <c r="E15">
        <v>20</v>
      </c>
      <c r="F15">
        <v>17</v>
      </c>
    </row>
    <row r="16" spans="1:6" x14ac:dyDescent="0.15">
      <c r="A16" s="3"/>
      <c r="B16">
        <v>501</v>
      </c>
      <c r="C16">
        <v>750</v>
      </c>
      <c r="D16" s="890">
        <v>17759.918572183145</v>
      </c>
      <c r="E16">
        <v>20</v>
      </c>
      <c r="F16">
        <v>17</v>
      </c>
    </row>
    <row r="17" spans="1:6" x14ac:dyDescent="0.15">
      <c r="A17" s="3"/>
      <c r="B17">
        <v>751</v>
      </c>
      <c r="C17">
        <v>1000</v>
      </c>
      <c r="D17" s="890">
        <v>18367.928438860366</v>
      </c>
      <c r="E17">
        <v>20</v>
      </c>
      <c r="F17">
        <v>17</v>
      </c>
    </row>
    <row r="18" spans="1:6" x14ac:dyDescent="0.15">
      <c r="A18" s="3"/>
      <c r="B18">
        <v>1001</v>
      </c>
      <c r="C18">
        <v>1500</v>
      </c>
      <c r="D18" s="890">
        <v>23207.19064302601</v>
      </c>
      <c r="E18">
        <v>20</v>
      </c>
      <c r="F18">
        <v>17</v>
      </c>
    </row>
    <row r="19" spans="1:6" x14ac:dyDescent="0.15">
      <c r="A19" s="3"/>
      <c r="B19">
        <v>1501</v>
      </c>
      <c r="C19">
        <v>2000</v>
      </c>
      <c r="D19" s="890">
        <v>33543.358376538781</v>
      </c>
      <c r="E19">
        <v>20</v>
      </c>
      <c r="F19">
        <v>17</v>
      </c>
    </row>
    <row r="20" spans="1:6" x14ac:dyDescent="0.15">
      <c r="A20" s="3"/>
      <c r="B20">
        <v>2001</v>
      </c>
      <c r="C20">
        <v>3000</v>
      </c>
      <c r="D20" s="890">
        <v>38246.128569817702</v>
      </c>
      <c r="E20">
        <v>20</v>
      </c>
      <c r="F20">
        <v>17</v>
      </c>
    </row>
    <row r="21" spans="1:6" x14ac:dyDescent="0.15">
      <c r="A21" s="3"/>
      <c r="B21">
        <v>3001</v>
      </c>
      <c r="C21">
        <v>3500</v>
      </c>
      <c r="D21" s="890">
        <v>41894.187769881028</v>
      </c>
      <c r="E21">
        <v>20</v>
      </c>
      <c r="F21">
        <v>17</v>
      </c>
    </row>
    <row r="22" spans="1:6" x14ac:dyDescent="0.15">
      <c r="A22" s="3"/>
      <c r="B22">
        <v>3501</v>
      </c>
      <c r="C22">
        <v>4000</v>
      </c>
      <c r="D22" s="890">
        <v>44289.002142711717</v>
      </c>
      <c r="E22">
        <v>20</v>
      </c>
      <c r="F22">
        <v>17</v>
      </c>
    </row>
    <row r="23" spans="1:6" x14ac:dyDescent="0.15">
      <c r="A23" s="3"/>
      <c r="B23">
        <v>4001</v>
      </c>
      <c r="C23">
        <v>6000</v>
      </c>
      <c r="D23" s="890">
        <v>82333.048086229319</v>
      </c>
      <c r="E23">
        <v>20</v>
      </c>
      <c r="F23">
        <v>17</v>
      </c>
    </row>
    <row r="24" spans="1:6" x14ac:dyDescent="0.15">
      <c r="A24" s="3"/>
      <c r="B24">
        <v>6001</v>
      </c>
      <c r="C24">
        <v>10000</v>
      </c>
      <c r="D24" s="890">
        <v>89174.66776026864</v>
      </c>
      <c r="E24">
        <v>20</v>
      </c>
      <c r="F24">
        <v>17</v>
      </c>
    </row>
    <row r="25" spans="1:6" x14ac:dyDescent="0.15">
      <c r="A25" s="3"/>
      <c r="B25">
        <v>10001</v>
      </c>
      <c r="C25" t="s">
        <v>3599</v>
      </c>
      <c r="D25" s="890" t="s">
        <v>3599</v>
      </c>
      <c r="E25">
        <v>20</v>
      </c>
      <c r="F25">
        <v>17</v>
      </c>
    </row>
    <row r="28" spans="1:6" x14ac:dyDescent="0.15">
      <c r="A28" s="892" t="s">
        <v>3601</v>
      </c>
      <c r="B28" s="892" t="s">
        <v>3602</v>
      </c>
      <c r="C28" s="892"/>
      <c r="D28" s="892"/>
      <c r="E28" s="892"/>
      <c r="F28" s="892"/>
    </row>
    <row r="29" spans="1:6" x14ac:dyDescent="0.15">
      <c r="A29" s="889">
        <v>3</v>
      </c>
      <c r="B29" s="320"/>
      <c r="C29" s="320"/>
      <c r="D29" s="320" t="s">
        <v>3603</v>
      </c>
      <c r="E29" s="320" t="s">
        <v>3591</v>
      </c>
      <c r="F29" s="320" t="s">
        <v>3592</v>
      </c>
    </row>
    <row r="30" spans="1:6" x14ac:dyDescent="0.15">
      <c r="A30" s="3" t="s">
        <v>3605</v>
      </c>
      <c r="B30">
        <v>0</v>
      </c>
      <c r="C30">
        <v>0</v>
      </c>
      <c r="D30" s="893">
        <v>18.649999999999999</v>
      </c>
      <c r="E30" t="s">
        <v>3604</v>
      </c>
      <c r="F30" t="s">
        <v>3604</v>
      </c>
    </row>
    <row r="33" spans="1:6" x14ac:dyDescent="0.15">
      <c r="A33" s="892" t="s">
        <v>3606</v>
      </c>
      <c r="B33" s="892" t="s">
        <v>3607</v>
      </c>
      <c r="C33" s="892"/>
      <c r="D33" s="892"/>
      <c r="E33" s="892"/>
      <c r="F33" s="892"/>
    </row>
    <row r="34" spans="1:6" x14ac:dyDescent="0.15">
      <c r="A34" s="889">
        <v>2</v>
      </c>
      <c r="B34" s="320"/>
      <c r="C34" s="320"/>
      <c r="D34" s="320" t="s">
        <v>3608</v>
      </c>
      <c r="E34" s="320" t="s">
        <v>3591</v>
      </c>
      <c r="F34" s="320" t="s">
        <v>3592</v>
      </c>
    </row>
    <row r="35" spans="1:6" x14ac:dyDescent="0.15">
      <c r="A35" s="3" t="s">
        <v>3609</v>
      </c>
      <c r="B35">
        <v>0</v>
      </c>
      <c r="C35">
        <v>0</v>
      </c>
      <c r="D35" s="893">
        <v>45.35</v>
      </c>
      <c r="E35" t="s">
        <v>3604</v>
      </c>
      <c r="F35" t="s">
        <v>3604</v>
      </c>
    </row>
    <row r="38" spans="1:6" x14ac:dyDescent="0.15">
      <c r="A38" s="3" t="s">
        <v>3610</v>
      </c>
      <c r="B38">
        <v>0</v>
      </c>
      <c r="C38">
        <v>0</v>
      </c>
      <c r="D38" s="893">
        <v>2650</v>
      </c>
      <c r="E38" t="s">
        <v>3604</v>
      </c>
      <c r="F38" t="s">
        <v>3604</v>
      </c>
    </row>
    <row r="39" spans="1:6" x14ac:dyDescent="0.15">
      <c r="A39" s="3"/>
      <c r="B39" t="s">
        <v>1855</v>
      </c>
      <c r="D39" t="s">
        <v>3611</v>
      </c>
      <c r="E39" t="s">
        <v>3591</v>
      </c>
      <c r="F39" t="s">
        <v>3592</v>
      </c>
    </row>
    <row r="40" spans="1:6" x14ac:dyDescent="0.15">
      <c r="A40" s="3" t="s">
        <v>3613</v>
      </c>
      <c r="B40">
        <v>0</v>
      </c>
      <c r="C40">
        <v>0</v>
      </c>
      <c r="D40" s="893">
        <v>64</v>
      </c>
      <c r="E40" t="s">
        <v>3604</v>
      </c>
      <c r="F40" t="s">
        <v>3604</v>
      </c>
    </row>
    <row r="43" spans="1:6" x14ac:dyDescent="0.15">
      <c r="A43" s="3" t="s">
        <v>3614</v>
      </c>
      <c r="B43">
        <v>0</v>
      </c>
      <c r="C43">
        <v>0</v>
      </c>
      <c r="D43" s="893">
        <v>1475</v>
      </c>
      <c r="E43" t="s">
        <v>3604</v>
      </c>
      <c r="F43" t="s">
        <v>3604</v>
      </c>
    </row>
    <row r="44" spans="1:6" x14ac:dyDescent="0.15">
      <c r="A44" s="3"/>
      <c r="B44" s="724" t="s">
        <v>1851</v>
      </c>
      <c r="D44" t="s">
        <v>3615</v>
      </c>
      <c r="E44" t="s">
        <v>3591</v>
      </c>
      <c r="F44" t="s">
        <v>3592</v>
      </c>
    </row>
    <row r="45" spans="1:6" x14ac:dyDescent="0.15">
      <c r="A45" s="3" t="s">
        <v>3617</v>
      </c>
      <c r="B45">
        <v>0</v>
      </c>
      <c r="C45">
        <v>0</v>
      </c>
      <c r="D45" s="893">
        <v>425</v>
      </c>
      <c r="E45" t="s">
        <v>3604</v>
      </c>
      <c r="F45" t="s">
        <v>3604</v>
      </c>
    </row>
    <row r="48" spans="1:6" x14ac:dyDescent="0.15">
      <c r="A48" s="3" t="s">
        <v>3618</v>
      </c>
      <c r="B48">
        <v>0</v>
      </c>
      <c r="C48">
        <v>0</v>
      </c>
      <c r="D48" s="893">
        <v>970</v>
      </c>
      <c r="E48" t="s">
        <v>3604</v>
      </c>
      <c r="F48" t="s">
        <v>3604</v>
      </c>
    </row>
    <row r="49" spans="1:6" x14ac:dyDescent="0.15">
      <c r="A49" s="3"/>
      <c r="B49" s="724" t="s">
        <v>1853</v>
      </c>
      <c r="D49" t="s">
        <v>3598</v>
      </c>
      <c r="E49" t="s">
        <v>3591</v>
      </c>
      <c r="F49" t="s">
        <v>3592</v>
      </c>
    </row>
    <row r="50" spans="1:6" x14ac:dyDescent="0.15">
      <c r="A50" s="3" t="s">
        <v>3620</v>
      </c>
      <c r="B50">
        <v>0</v>
      </c>
      <c r="C50">
        <v>0</v>
      </c>
      <c r="D50" s="893">
        <v>660</v>
      </c>
      <c r="E50" t="s">
        <v>3604</v>
      </c>
      <c r="F50" t="s">
        <v>3604</v>
      </c>
    </row>
    <row r="53" spans="1:6" x14ac:dyDescent="0.15">
      <c r="A53" s="3" t="s">
        <v>3616</v>
      </c>
      <c r="B53">
        <v>0</v>
      </c>
      <c r="C53">
        <v>0</v>
      </c>
      <c r="D53" s="893">
        <v>425</v>
      </c>
      <c r="E53" t="s">
        <v>3604</v>
      </c>
      <c r="F53" t="s">
        <v>3604</v>
      </c>
    </row>
    <row r="54" spans="1:6" x14ac:dyDescent="0.15">
      <c r="A54" s="3"/>
      <c r="B54" s="724" t="s">
        <v>1852</v>
      </c>
      <c r="D54" t="s">
        <v>3615</v>
      </c>
      <c r="E54" t="s">
        <v>3591</v>
      </c>
      <c r="F54" t="s">
        <v>3592</v>
      </c>
    </row>
    <row r="55" spans="1:6" x14ac:dyDescent="0.15">
      <c r="A55" s="3" t="s">
        <v>3621</v>
      </c>
      <c r="B55">
        <v>0</v>
      </c>
      <c r="C55">
        <v>0</v>
      </c>
      <c r="D55" s="893">
        <v>970</v>
      </c>
      <c r="E55" t="s">
        <v>3604</v>
      </c>
      <c r="F55" t="s">
        <v>3604</v>
      </c>
    </row>
    <row r="58" spans="1:6" x14ac:dyDescent="0.15">
      <c r="A58" s="3" t="s">
        <v>3619</v>
      </c>
      <c r="B58">
        <v>0</v>
      </c>
      <c r="C58">
        <v>0</v>
      </c>
      <c r="D58" s="893">
        <v>660</v>
      </c>
      <c r="E58" t="s">
        <v>3604</v>
      </c>
      <c r="F58" t="s">
        <v>3604</v>
      </c>
    </row>
    <row r="59" spans="1:6" x14ac:dyDescent="0.15">
      <c r="A59" s="3"/>
      <c r="B59" s="724" t="s">
        <v>1854</v>
      </c>
      <c r="D59" t="s">
        <v>3608</v>
      </c>
      <c r="E59" t="s">
        <v>3591</v>
      </c>
      <c r="F59" t="s">
        <v>3592</v>
      </c>
    </row>
    <row r="60" spans="1:6" x14ac:dyDescent="0.15">
      <c r="A60" s="3" t="s">
        <v>3622</v>
      </c>
      <c r="B60">
        <v>0</v>
      </c>
      <c r="C60">
        <v>0</v>
      </c>
      <c r="D60" s="893">
        <v>2650</v>
      </c>
      <c r="E60" t="s">
        <v>3604</v>
      </c>
      <c r="F60" t="s">
        <v>3604</v>
      </c>
    </row>
    <row r="63" spans="1:6" x14ac:dyDescent="0.15">
      <c r="A63" s="891" t="s">
        <v>3623</v>
      </c>
      <c r="B63" s="891" t="s">
        <v>3624</v>
      </c>
      <c r="C63" s="891"/>
      <c r="D63" s="891"/>
      <c r="E63" s="891"/>
      <c r="F63" s="891"/>
    </row>
    <row r="64" spans="1:6" x14ac:dyDescent="0.15">
      <c r="A64" s="889">
        <v>26</v>
      </c>
      <c r="B64" s="894" t="s">
        <v>870</v>
      </c>
      <c r="C64" s="320" t="s">
        <v>871</v>
      </c>
      <c r="D64" s="847" t="s">
        <v>3598</v>
      </c>
      <c r="E64" s="894" t="s">
        <v>3625</v>
      </c>
      <c r="F64" s="847" t="s">
        <v>3592</v>
      </c>
    </row>
    <row r="65" spans="1:6" x14ac:dyDescent="0.15">
      <c r="A65" s="3" t="s">
        <v>3626</v>
      </c>
      <c r="B65" s="526">
        <v>0</v>
      </c>
      <c r="C65">
        <v>0.216</v>
      </c>
      <c r="D65" s="890">
        <v>4845.9262035465572</v>
      </c>
      <c r="E65">
        <v>35</v>
      </c>
      <c r="F65">
        <v>30</v>
      </c>
    </row>
    <row r="66" spans="1:6" x14ac:dyDescent="0.15">
      <c r="A66" s="3"/>
      <c r="B66" s="526">
        <v>0.217</v>
      </c>
      <c r="C66">
        <v>0.32400000000000001</v>
      </c>
      <c r="D66" s="890">
        <v>4723.3564925311694</v>
      </c>
      <c r="E66">
        <v>35</v>
      </c>
      <c r="F66">
        <v>30</v>
      </c>
    </row>
    <row r="67" spans="1:6" x14ac:dyDescent="0.15">
      <c r="A67" s="3"/>
      <c r="B67" s="526">
        <v>0.32500000000000001</v>
      </c>
      <c r="C67">
        <v>0.64800000000000002</v>
      </c>
      <c r="D67" s="890">
        <v>16283.820788606667</v>
      </c>
      <c r="E67">
        <v>35</v>
      </c>
      <c r="F67">
        <v>30</v>
      </c>
    </row>
    <row r="68" spans="1:6" x14ac:dyDescent="0.15">
      <c r="A68" s="3"/>
      <c r="B68" s="526">
        <v>0.64900000000000002</v>
      </c>
      <c r="C68">
        <v>1.08</v>
      </c>
      <c r="D68" s="890">
        <v>30059.781891890772</v>
      </c>
      <c r="E68">
        <v>35</v>
      </c>
      <c r="F68">
        <v>30</v>
      </c>
    </row>
    <row r="69" spans="1:6" x14ac:dyDescent="0.15">
      <c r="A69" s="3"/>
      <c r="B69" s="526">
        <v>1.081</v>
      </c>
      <c r="C69">
        <v>1.728</v>
      </c>
      <c r="D69" s="890">
        <v>40784.260105788446</v>
      </c>
      <c r="E69">
        <v>35</v>
      </c>
      <c r="F69">
        <v>30</v>
      </c>
    </row>
    <row r="70" spans="1:6" x14ac:dyDescent="0.15">
      <c r="A70" s="3"/>
      <c r="B70" s="526">
        <v>1.7289999999999999</v>
      </c>
      <c r="C70">
        <v>2.3039999999999998</v>
      </c>
      <c r="D70" s="890">
        <v>28052.036954037438</v>
      </c>
      <c r="E70">
        <v>35</v>
      </c>
      <c r="F70">
        <v>30</v>
      </c>
    </row>
    <row r="71" spans="1:6" x14ac:dyDescent="0.15">
      <c r="A71" s="3"/>
      <c r="B71" s="526">
        <v>2.3049999999999997</v>
      </c>
      <c r="C71">
        <v>2.7650000000000001</v>
      </c>
      <c r="D71" s="890">
        <v>30326.526436797234</v>
      </c>
      <c r="E71">
        <v>35</v>
      </c>
      <c r="F71">
        <v>30</v>
      </c>
    </row>
    <row r="72" spans="1:6" x14ac:dyDescent="0.15">
      <c r="A72" s="3"/>
      <c r="B72" s="526">
        <v>2.766</v>
      </c>
      <c r="C72">
        <v>3.456</v>
      </c>
      <c r="D72" s="890">
        <v>35633.668563236744</v>
      </c>
      <c r="E72">
        <v>35</v>
      </c>
      <c r="F72">
        <v>30</v>
      </c>
    </row>
    <row r="73" spans="1:6" x14ac:dyDescent="0.15">
      <c r="A73" s="3"/>
      <c r="B73" s="526">
        <v>3.4569999999999999</v>
      </c>
      <c r="C73">
        <v>4.32</v>
      </c>
      <c r="D73" s="890">
        <v>51555.094942555297</v>
      </c>
      <c r="E73">
        <v>35</v>
      </c>
      <c r="F73">
        <v>30</v>
      </c>
    </row>
    <row r="74" spans="1:6" x14ac:dyDescent="0.15">
      <c r="A74" s="3"/>
      <c r="B74" s="526">
        <v>4.3210000000000006</v>
      </c>
      <c r="C74" t="s">
        <v>3599</v>
      </c>
      <c r="D74" s="890" t="s">
        <v>3599</v>
      </c>
      <c r="E74">
        <v>35</v>
      </c>
      <c r="F74">
        <v>30</v>
      </c>
    </row>
    <row r="77" spans="1:6" x14ac:dyDescent="0.15">
      <c r="A77" s="891" t="s">
        <v>3623</v>
      </c>
      <c r="B77" s="891" t="s">
        <v>3627</v>
      </c>
      <c r="C77" s="891"/>
      <c r="D77" s="891"/>
      <c r="E77" s="891"/>
      <c r="F77" s="891"/>
    </row>
    <row r="78" spans="1:6" x14ac:dyDescent="0.15">
      <c r="A78" s="889">
        <v>26</v>
      </c>
      <c r="B78" s="894" t="s">
        <v>870</v>
      </c>
      <c r="C78" s="320" t="s">
        <v>871</v>
      </c>
      <c r="D78" s="847" t="s">
        <v>3598</v>
      </c>
      <c r="E78" s="894" t="s">
        <v>3625</v>
      </c>
      <c r="F78" s="847" t="s">
        <v>3592</v>
      </c>
    </row>
    <row r="79" spans="1:6" x14ac:dyDescent="0.15">
      <c r="A79" s="3" t="s">
        <v>3628</v>
      </c>
      <c r="B79" s="526">
        <v>0</v>
      </c>
      <c r="C79">
        <v>0.05</v>
      </c>
      <c r="D79" s="890">
        <v>185.01350000000002</v>
      </c>
      <c r="E79" s="44" t="s">
        <v>3604</v>
      </c>
      <c r="F79" s="44" t="s">
        <v>3604</v>
      </c>
    </row>
    <row r="80" spans="1:6" x14ac:dyDescent="0.15">
      <c r="A80" s="3"/>
      <c r="B80" s="526">
        <v>5.0999999999999997E-2</v>
      </c>
      <c r="C80">
        <v>0.14399999999999999</v>
      </c>
      <c r="D80" s="890">
        <v>185.01350000000002</v>
      </c>
      <c r="E80" s="44" t="s">
        <v>3604</v>
      </c>
      <c r="F80" s="44" t="s">
        <v>3604</v>
      </c>
    </row>
    <row r="81" spans="1:6" x14ac:dyDescent="0.15">
      <c r="A81" s="3"/>
      <c r="B81" s="526">
        <v>0.14499999999999999</v>
      </c>
      <c r="C81">
        <v>0.2</v>
      </c>
      <c r="D81" s="890">
        <v>216.1635</v>
      </c>
      <c r="E81" s="44" t="s">
        <v>3604</v>
      </c>
      <c r="F81" s="44" t="s">
        <v>3604</v>
      </c>
    </row>
    <row r="82" spans="1:6" x14ac:dyDescent="0.15">
      <c r="A82" s="3"/>
      <c r="B82" s="526">
        <v>0.20100000000000001</v>
      </c>
      <c r="C82">
        <v>0.5</v>
      </c>
      <c r="D82" s="890">
        <v>296.12099999999998</v>
      </c>
      <c r="E82" s="44" t="s">
        <v>3604</v>
      </c>
      <c r="F82" s="44" t="s">
        <v>3604</v>
      </c>
    </row>
    <row r="83" spans="1:6" x14ac:dyDescent="0.15">
      <c r="A83" s="3"/>
      <c r="B83" s="526">
        <v>0.501</v>
      </c>
      <c r="C83">
        <v>1</v>
      </c>
      <c r="D83" s="890">
        <v>296.12099999999998</v>
      </c>
      <c r="E83" s="44" t="s">
        <v>3604</v>
      </c>
      <c r="F83" s="44" t="s">
        <v>3604</v>
      </c>
    </row>
    <row r="84" spans="1:6" x14ac:dyDescent="0.15">
      <c r="A84" s="3"/>
      <c r="B84" s="526">
        <v>1.0009999999999999</v>
      </c>
      <c r="C84">
        <v>2</v>
      </c>
      <c r="D84" s="890">
        <v>296.12099999999998</v>
      </c>
      <c r="E84" s="44" t="s">
        <v>3604</v>
      </c>
      <c r="F84" s="44" t="s">
        <v>3604</v>
      </c>
    </row>
    <row r="85" spans="1:6" x14ac:dyDescent="0.15">
      <c r="A85" s="3"/>
      <c r="B85" s="526">
        <v>2.0009999999999999</v>
      </c>
      <c r="C85">
        <v>5</v>
      </c>
      <c r="D85" s="890">
        <v>296.12099999999998</v>
      </c>
      <c r="E85" s="44" t="s">
        <v>3604</v>
      </c>
      <c r="F85" s="44" t="s">
        <v>3604</v>
      </c>
    </row>
    <row r="86" spans="1:6" x14ac:dyDescent="0.15">
      <c r="A86" s="3"/>
      <c r="B86" s="526">
        <v>5.0010000000000003</v>
      </c>
      <c r="C86" t="s">
        <v>3599</v>
      </c>
      <c r="D86" s="890" t="s">
        <v>3599</v>
      </c>
      <c r="E86" s="44" t="s">
        <v>3604</v>
      </c>
      <c r="F86" s="44" t="s">
        <v>3604</v>
      </c>
    </row>
    <row r="89" spans="1:6" x14ac:dyDescent="0.15">
      <c r="A89" s="895" t="s">
        <v>3629</v>
      </c>
      <c r="B89" s="896" t="s">
        <v>3630</v>
      </c>
      <c r="C89" s="897"/>
      <c r="D89" s="898"/>
      <c r="E89" s="897"/>
      <c r="F89" s="897"/>
    </row>
    <row r="90" spans="1:6" x14ac:dyDescent="0.15">
      <c r="A90" s="889">
        <v>11</v>
      </c>
      <c r="B90" s="320" t="s">
        <v>3631</v>
      </c>
      <c r="C90" s="320" t="s">
        <v>279</v>
      </c>
      <c r="D90" s="847" t="s">
        <v>3598</v>
      </c>
      <c r="E90" s="320" t="s">
        <v>3591</v>
      </c>
      <c r="F90" s="320" t="s">
        <v>3592</v>
      </c>
    </row>
    <row r="91" spans="1:6" x14ac:dyDescent="0.15">
      <c r="A91" s="132" t="s">
        <v>3694</v>
      </c>
      <c r="B91" s="899" t="s">
        <v>3632</v>
      </c>
      <c r="C91" s="899" t="s">
        <v>3633</v>
      </c>
      <c r="D91" s="900">
        <v>0.25892298275361592</v>
      </c>
      <c r="E91" s="901" t="s">
        <v>3604</v>
      </c>
      <c r="F91" s="901" t="s">
        <v>3604</v>
      </c>
    </row>
    <row r="92" spans="1:6" x14ac:dyDescent="0.15">
      <c r="B92" s="902" t="s">
        <v>3634</v>
      </c>
      <c r="C92" s="899" t="s">
        <v>3635</v>
      </c>
      <c r="D92" s="900">
        <v>379.67249647750987</v>
      </c>
      <c r="E92" s="901" t="s">
        <v>3604</v>
      </c>
      <c r="F92" s="901" t="s">
        <v>3604</v>
      </c>
    </row>
    <row r="93" spans="1:6" x14ac:dyDescent="0.15">
      <c r="B93" s="899" t="s">
        <v>3636</v>
      </c>
      <c r="C93" s="899" t="s">
        <v>3633</v>
      </c>
      <c r="D93" s="900">
        <v>0.98400176743500989</v>
      </c>
      <c r="E93" s="901" t="s">
        <v>3604</v>
      </c>
      <c r="F93" s="901" t="s">
        <v>3604</v>
      </c>
    </row>
    <row r="94" spans="1:6" x14ac:dyDescent="0.15">
      <c r="B94" s="373" t="s">
        <v>3637</v>
      </c>
      <c r="C94" s="373" t="s">
        <v>3633</v>
      </c>
      <c r="D94" s="903">
        <v>2.935905987838364</v>
      </c>
      <c r="E94" s="904" t="s">
        <v>3604</v>
      </c>
      <c r="F94" s="904" t="s">
        <v>3604</v>
      </c>
    </row>
    <row r="95" spans="1:6" x14ac:dyDescent="0.15">
      <c r="B95" s="320" t="s">
        <v>3638</v>
      </c>
      <c r="C95" s="320" t="s">
        <v>3633</v>
      </c>
      <c r="D95" s="905">
        <v>4.298511395790559</v>
      </c>
      <c r="E95" s="620" t="s">
        <v>3604</v>
      </c>
      <c r="F95" s="620" t="s">
        <v>3604</v>
      </c>
    </row>
    <row r="96" spans="1:6" x14ac:dyDescent="0.15">
      <c r="B96" s="906" t="s">
        <v>3639</v>
      </c>
      <c r="C96" s="373" t="s">
        <v>3633</v>
      </c>
      <c r="D96" s="903">
        <v>0.14933365711760807</v>
      </c>
      <c r="E96" s="904" t="s">
        <v>3604</v>
      </c>
      <c r="F96" s="904" t="s">
        <v>3604</v>
      </c>
    </row>
    <row r="97" spans="2:6" x14ac:dyDescent="0.15">
      <c r="B97" s="847" t="s">
        <v>3640</v>
      </c>
      <c r="C97" s="320" t="s">
        <v>3633</v>
      </c>
      <c r="D97" s="905">
        <v>0.25092360451306417</v>
      </c>
      <c r="E97" s="620" t="s">
        <v>3604</v>
      </c>
      <c r="F97" s="620" t="s">
        <v>3604</v>
      </c>
    </row>
    <row r="98" spans="2:6" x14ac:dyDescent="0.15">
      <c r="B98" s="526" t="s">
        <v>3641</v>
      </c>
      <c r="C98" t="s">
        <v>3633</v>
      </c>
      <c r="D98" s="893">
        <v>1.8076509548824649</v>
      </c>
      <c r="E98" s="44" t="s">
        <v>3604</v>
      </c>
      <c r="F98" s="44" t="s">
        <v>3604</v>
      </c>
    </row>
    <row r="99" spans="2:6" x14ac:dyDescent="0.15">
      <c r="B99" s="847" t="s">
        <v>3642</v>
      </c>
      <c r="C99" s="320" t="s">
        <v>3633</v>
      </c>
      <c r="D99" s="905">
        <v>3.0195931290952047</v>
      </c>
      <c r="E99" s="620" t="s">
        <v>3604</v>
      </c>
      <c r="F99" s="620" t="s">
        <v>3604</v>
      </c>
    </row>
    <row r="100" spans="2:6" x14ac:dyDescent="0.15">
      <c r="B100" s="320" t="s">
        <v>3643</v>
      </c>
      <c r="C100" s="320" t="s">
        <v>3635</v>
      </c>
      <c r="D100" s="905">
        <v>292.14602474409008</v>
      </c>
      <c r="E100" s="620" t="s">
        <v>3604</v>
      </c>
      <c r="F100" s="620" t="s">
        <v>3604</v>
      </c>
    </row>
    <row r="101" spans="2:6" x14ac:dyDescent="0.15">
      <c r="B101" s="847" t="s">
        <v>3644</v>
      </c>
      <c r="C101" s="320" t="s">
        <v>3633</v>
      </c>
      <c r="D101" s="905">
        <v>1.2847889581924627</v>
      </c>
      <c r="E101" s="620" t="s">
        <v>3604</v>
      </c>
      <c r="F101" s="620" t="s">
        <v>3604</v>
      </c>
    </row>
    <row r="102" spans="2:6" x14ac:dyDescent="0.15">
      <c r="B102" s="907" t="s">
        <v>3645</v>
      </c>
      <c r="C102" s="899" t="s">
        <v>1132</v>
      </c>
      <c r="D102" s="900">
        <v>4.5669105752706649</v>
      </c>
      <c r="E102" s="901" t="s">
        <v>3604</v>
      </c>
      <c r="F102" s="901" t="s">
        <v>3604</v>
      </c>
    </row>
    <row r="103" spans="2:6" x14ac:dyDescent="0.15">
      <c r="B103" s="902" t="s">
        <v>3646</v>
      </c>
      <c r="C103" s="899" t="s">
        <v>3633</v>
      </c>
      <c r="D103" s="900">
        <v>0.16017416334156323</v>
      </c>
      <c r="E103" s="901" t="s">
        <v>3604</v>
      </c>
      <c r="F103" s="901" t="s">
        <v>3604</v>
      </c>
    </row>
    <row r="104" spans="2:6" x14ac:dyDescent="0.15">
      <c r="B104" s="526" t="s">
        <v>3647</v>
      </c>
      <c r="C104" t="s">
        <v>3633</v>
      </c>
      <c r="D104" s="893">
        <v>0.14204018747082317</v>
      </c>
      <c r="E104" s="44" t="s">
        <v>3604</v>
      </c>
      <c r="F104" s="44" t="s">
        <v>3604</v>
      </c>
    </row>
    <row r="105" spans="2:6" x14ac:dyDescent="0.15">
      <c r="B105" s="906" t="s">
        <v>3648</v>
      </c>
      <c r="C105" s="373" t="s">
        <v>3633</v>
      </c>
      <c r="D105" s="903">
        <v>1.4750000000000001</v>
      </c>
      <c r="E105" s="904" t="s">
        <v>3604</v>
      </c>
      <c r="F105" s="904" t="s">
        <v>3604</v>
      </c>
    </row>
    <row r="106" spans="2:6" x14ac:dyDescent="0.15">
      <c r="B106" s="526" t="s">
        <v>3649</v>
      </c>
      <c r="C106" t="s">
        <v>3633</v>
      </c>
      <c r="D106" s="893">
        <v>1.1012</v>
      </c>
      <c r="E106" s="44" t="s">
        <v>3604</v>
      </c>
      <c r="F106" s="44" t="s">
        <v>3604</v>
      </c>
    </row>
    <row r="107" spans="2:6" x14ac:dyDescent="0.15">
      <c r="B107" s="847" t="s">
        <v>3650</v>
      </c>
      <c r="C107" s="320" t="s">
        <v>3633</v>
      </c>
      <c r="D107" s="905">
        <v>0.91449999999999998</v>
      </c>
      <c r="E107" s="620" t="s">
        <v>3604</v>
      </c>
      <c r="F107" s="620" t="s">
        <v>3604</v>
      </c>
    </row>
    <row r="108" spans="2:6" x14ac:dyDescent="0.15">
      <c r="B108" s="906" t="s">
        <v>3651</v>
      </c>
      <c r="C108" s="373" t="s">
        <v>3633</v>
      </c>
      <c r="D108" s="903">
        <v>0.49255463949257372</v>
      </c>
      <c r="E108" s="904" t="s">
        <v>3604</v>
      </c>
      <c r="F108" s="904" t="s">
        <v>3604</v>
      </c>
    </row>
    <row r="109" spans="2:6" x14ac:dyDescent="0.15">
      <c r="B109" s="526" t="s">
        <v>3652</v>
      </c>
      <c r="C109" t="s">
        <v>3633</v>
      </c>
      <c r="D109" s="893">
        <v>0.57004275858817965</v>
      </c>
      <c r="E109" s="44" t="s">
        <v>3604</v>
      </c>
      <c r="F109" s="44" t="s">
        <v>3604</v>
      </c>
    </row>
    <row r="110" spans="2:6" x14ac:dyDescent="0.15">
      <c r="B110" s="847" t="s">
        <v>3653</v>
      </c>
      <c r="C110" s="320" t="s">
        <v>3633</v>
      </c>
      <c r="D110" s="905">
        <v>0.93372617539628344</v>
      </c>
      <c r="E110" s="620" t="s">
        <v>3604</v>
      </c>
      <c r="F110" s="620" t="s">
        <v>3604</v>
      </c>
    </row>
    <row r="111" spans="2:6" x14ac:dyDescent="0.15">
      <c r="B111" s="906" t="s">
        <v>3654</v>
      </c>
      <c r="C111" s="373" t="s">
        <v>3633</v>
      </c>
      <c r="D111" s="903">
        <v>0.3172018248175183</v>
      </c>
      <c r="E111" s="904" t="s">
        <v>3604</v>
      </c>
      <c r="F111" s="904" t="s">
        <v>3604</v>
      </c>
    </row>
    <row r="112" spans="2:6" x14ac:dyDescent="0.15">
      <c r="B112" s="847" t="s">
        <v>3655</v>
      </c>
      <c r="C112" s="320" t="s">
        <v>3633</v>
      </c>
      <c r="D112" s="905">
        <v>0.47022883285981981</v>
      </c>
      <c r="E112" s="620" t="s">
        <v>3604</v>
      </c>
      <c r="F112" s="620" t="s">
        <v>3604</v>
      </c>
    </row>
    <row r="113" spans="2:6" x14ac:dyDescent="0.15">
      <c r="B113" s="906" t="s">
        <v>3656</v>
      </c>
      <c r="C113" s="373" t="s">
        <v>3635</v>
      </c>
      <c r="D113" s="903">
        <v>78.476632289948313</v>
      </c>
      <c r="E113" s="904" t="s">
        <v>3604</v>
      </c>
      <c r="F113" s="904" t="s">
        <v>3604</v>
      </c>
    </row>
    <row r="114" spans="2:6" x14ac:dyDescent="0.15">
      <c r="B114" s="526" t="s">
        <v>3657</v>
      </c>
      <c r="C114" t="s">
        <v>3635</v>
      </c>
      <c r="D114" s="893">
        <v>361.7648758605846</v>
      </c>
      <c r="E114" s="44" t="s">
        <v>3604</v>
      </c>
      <c r="F114" s="44" t="s">
        <v>3604</v>
      </c>
    </row>
    <row r="115" spans="2:6" x14ac:dyDescent="0.15">
      <c r="B115" s="847" t="s">
        <v>3658</v>
      </c>
      <c r="C115" s="320" t="s">
        <v>3635</v>
      </c>
      <c r="D115" s="905">
        <v>811.40046895446164</v>
      </c>
      <c r="E115" s="620" t="s">
        <v>3604</v>
      </c>
      <c r="F115" s="620" t="s">
        <v>3604</v>
      </c>
    </row>
    <row r="116" spans="2:6" x14ac:dyDescent="0.15">
      <c r="B116" s="373" t="s">
        <v>3659</v>
      </c>
      <c r="C116" s="373" t="s">
        <v>1132</v>
      </c>
      <c r="D116" s="903">
        <v>44.177656959004025</v>
      </c>
      <c r="E116" s="904" t="s">
        <v>3604</v>
      </c>
      <c r="F116" s="904" t="s">
        <v>3604</v>
      </c>
    </row>
    <row r="117" spans="2:6" x14ac:dyDescent="0.15">
      <c r="B117" s="320" t="s">
        <v>3660</v>
      </c>
      <c r="C117" s="320" t="s">
        <v>1132</v>
      </c>
      <c r="D117" s="905">
        <v>38.525745847892914</v>
      </c>
      <c r="E117" s="620" t="s">
        <v>3604</v>
      </c>
      <c r="F117" s="620" t="s">
        <v>3604</v>
      </c>
    </row>
    <row r="118" spans="2:6" x14ac:dyDescent="0.15">
      <c r="B118" s="526" t="s">
        <v>3661</v>
      </c>
      <c r="C118" t="s">
        <v>3633</v>
      </c>
      <c r="D118" s="893">
        <v>0.65600897434378369</v>
      </c>
      <c r="E118" s="44" t="s">
        <v>3604</v>
      </c>
      <c r="F118" s="44" t="s">
        <v>3604</v>
      </c>
    </row>
    <row r="119" spans="2:6" x14ac:dyDescent="0.15">
      <c r="B119" s="526" t="s">
        <v>3662</v>
      </c>
      <c r="C119" t="s">
        <v>3633</v>
      </c>
      <c r="D119" s="893">
        <v>0.74193129494261945</v>
      </c>
      <c r="E119" s="44" t="s">
        <v>3604</v>
      </c>
      <c r="F119" s="44" t="s">
        <v>3604</v>
      </c>
    </row>
    <row r="120" spans="2:6" x14ac:dyDescent="0.15">
      <c r="B120" s="847" t="s">
        <v>3663</v>
      </c>
      <c r="C120" s="320" t="s">
        <v>3633</v>
      </c>
      <c r="D120" s="905">
        <v>0.84674242280285039</v>
      </c>
      <c r="E120" s="620" t="s">
        <v>3604</v>
      </c>
      <c r="F120" s="620" t="s">
        <v>3604</v>
      </c>
    </row>
    <row r="121" spans="2:6" x14ac:dyDescent="0.15">
      <c r="B121" s="526" t="s">
        <v>3664</v>
      </c>
      <c r="C121" t="s">
        <v>3633</v>
      </c>
      <c r="D121" s="893">
        <v>0.33234317417601811</v>
      </c>
      <c r="E121" s="44" t="s">
        <v>3604</v>
      </c>
      <c r="F121" s="44" t="s">
        <v>3604</v>
      </c>
    </row>
    <row r="122" spans="2:6" x14ac:dyDescent="0.15">
      <c r="B122" s="847" t="s">
        <v>3665</v>
      </c>
      <c r="C122" s="320" t="s">
        <v>3633</v>
      </c>
      <c r="D122" s="905">
        <v>0.81370650744184447</v>
      </c>
      <c r="E122" s="620" t="s">
        <v>3604</v>
      </c>
      <c r="F122" s="620" t="s">
        <v>3604</v>
      </c>
    </row>
    <row r="123" spans="2:6" x14ac:dyDescent="0.15">
      <c r="B123" s="526" t="s">
        <v>3666</v>
      </c>
      <c r="C123" t="s">
        <v>3633</v>
      </c>
      <c r="D123" s="893">
        <v>0.20438225614058614</v>
      </c>
      <c r="E123" s="44" t="s">
        <v>3604</v>
      </c>
      <c r="F123" s="44" t="s">
        <v>3604</v>
      </c>
    </row>
    <row r="124" spans="2:6" x14ac:dyDescent="0.15">
      <c r="B124" s="847" t="s">
        <v>3667</v>
      </c>
      <c r="C124" s="320" t="s">
        <v>3633</v>
      </c>
      <c r="D124" s="905">
        <v>0.40812805824157544</v>
      </c>
      <c r="E124" s="620" t="s">
        <v>3604</v>
      </c>
      <c r="F124" s="620" t="s">
        <v>3604</v>
      </c>
    </row>
    <row r="125" spans="2:6" x14ac:dyDescent="0.15">
      <c r="B125" s="899" t="s">
        <v>3668</v>
      </c>
      <c r="C125" s="899" t="s">
        <v>3633</v>
      </c>
      <c r="D125" s="900">
        <v>0.74137399196238118</v>
      </c>
      <c r="E125" s="901" t="s">
        <v>3604</v>
      </c>
      <c r="F125" s="901" t="s">
        <v>3604</v>
      </c>
    </row>
    <row r="126" spans="2:6" x14ac:dyDescent="0.15">
      <c r="B126" s="526" t="s">
        <v>3669</v>
      </c>
      <c r="C126" t="s">
        <v>3633</v>
      </c>
      <c r="D126" s="893">
        <v>2.3881161426276218</v>
      </c>
      <c r="E126" s="44" t="s">
        <v>3604</v>
      </c>
      <c r="F126" s="44" t="s">
        <v>3604</v>
      </c>
    </row>
    <row r="127" spans="2:6" x14ac:dyDescent="0.15">
      <c r="B127" s="899" t="s">
        <v>3670</v>
      </c>
      <c r="C127" s="899" t="s">
        <v>3633</v>
      </c>
      <c r="D127" s="900">
        <v>0.42575032116788325</v>
      </c>
      <c r="E127" s="901" t="s">
        <v>3604</v>
      </c>
      <c r="F127" s="901" t="s">
        <v>3604</v>
      </c>
    </row>
    <row r="128" spans="2:6" x14ac:dyDescent="0.15">
      <c r="B128" s="899" t="s">
        <v>3671</v>
      </c>
      <c r="C128" s="899" t="s">
        <v>3633</v>
      </c>
      <c r="D128" s="900">
        <v>0.48694420796818616</v>
      </c>
      <c r="E128" s="901" t="s">
        <v>3604</v>
      </c>
      <c r="F128" s="901" t="s">
        <v>3604</v>
      </c>
    </row>
    <row r="129" spans="2:6" x14ac:dyDescent="0.15">
      <c r="B129" s="899" t="s">
        <v>3672</v>
      </c>
      <c r="C129" s="899" t="s">
        <v>3633</v>
      </c>
      <c r="D129" s="900">
        <v>0.38999349762688967</v>
      </c>
      <c r="E129" s="901" t="s">
        <v>3604</v>
      </c>
      <c r="F129" s="901" t="s">
        <v>3604</v>
      </c>
    </row>
    <row r="130" spans="2:6" x14ac:dyDescent="0.15">
      <c r="B130" s="526" t="s">
        <v>3673</v>
      </c>
      <c r="C130" t="s">
        <v>3633</v>
      </c>
      <c r="D130" s="893">
        <v>0.10445948132048184</v>
      </c>
      <c r="E130" s="44" t="s">
        <v>3604</v>
      </c>
      <c r="F130" s="44" t="s">
        <v>3604</v>
      </c>
    </row>
    <row r="131" spans="2:6" x14ac:dyDescent="0.15">
      <c r="B131" s="526" t="s">
        <v>3674</v>
      </c>
      <c r="C131" t="s">
        <v>3633</v>
      </c>
      <c r="D131" s="893">
        <v>0.21448163524559982</v>
      </c>
      <c r="E131" s="44" t="s">
        <v>3604</v>
      </c>
      <c r="F131" s="44" t="s">
        <v>3604</v>
      </c>
    </row>
    <row r="132" spans="2:6" x14ac:dyDescent="0.15">
      <c r="B132" s="847" t="s">
        <v>3675</v>
      </c>
      <c r="C132" s="320" t="s">
        <v>3633</v>
      </c>
      <c r="D132" s="905">
        <v>0.28961344000739103</v>
      </c>
      <c r="E132" s="620" t="s">
        <v>3604</v>
      </c>
      <c r="F132" s="620" t="s">
        <v>3604</v>
      </c>
    </row>
    <row r="133" spans="2:6" x14ac:dyDescent="0.15">
      <c r="B133" s="906" t="s">
        <v>3676</v>
      </c>
      <c r="C133" s="373" t="s">
        <v>3633</v>
      </c>
      <c r="D133" s="903">
        <v>0.87543886696652329</v>
      </c>
      <c r="E133" s="904" t="s">
        <v>3604</v>
      </c>
      <c r="F133" s="904" t="s">
        <v>3604</v>
      </c>
    </row>
    <row r="134" spans="2:6" x14ac:dyDescent="0.15">
      <c r="B134" s="847" t="s">
        <v>3677</v>
      </c>
      <c r="C134" s="320" t="s">
        <v>3633</v>
      </c>
      <c r="D134" s="905">
        <v>0.48591449775627299</v>
      </c>
      <c r="E134" s="620" t="s">
        <v>3604</v>
      </c>
      <c r="F134" s="620" t="s">
        <v>3604</v>
      </c>
    </row>
    <row r="135" spans="2:6" x14ac:dyDescent="0.15">
      <c r="B135" s="899" t="s">
        <v>3678</v>
      </c>
      <c r="C135" s="899" t="s">
        <v>3633</v>
      </c>
      <c r="D135" s="900">
        <v>0.68255791765637375</v>
      </c>
      <c r="E135" s="901" t="s">
        <v>3604</v>
      </c>
      <c r="F135" s="901" t="s">
        <v>3604</v>
      </c>
    </row>
    <row r="136" spans="2:6" x14ac:dyDescent="0.15">
      <c r="B136" s="526" t="s">
        <v>3679</v>
      </c>
      <c r="C136" t="s">
        <v>3633</v>
      </c>
      <c r="D136" s="893">
        <v>0.21325228017050835</v>
      </c>
      <c r="E136" s="44" t="s">
        <v>3604</v>
      </c>
      <c r="F136" s="44" t="s">
        <v>3604</v>
      </c>
    </row>
    <row r="137" spans="2:6" x14ac:dyDescent="0.15">
      <c r="B137" s="526" t="s">
        <v>3680</v>
      </c>
      <c r="C137" t="s">
        <v>3633</v>
      </c>
      <c r="D137" s="893">
        <v>0.2558351123249763</v>
      </c>
      <c r="E137" s="44" t="s">
        <v>3604</v>
      </c>
      <c r="F137" s="44" t="s">
        <v>3604</v>
      </c>
    </row>
    <row r="138" spans="2:6" x14ac:dyDescent="0.15">
      <c r="B138" s="847" t="s">
        <v>3681</v>
      </c>
      <c r="C138" s="320" t="s">
        <v>3633</v>
      </c>
      <c r="D138" s="905">
        <v>0.31827794416978772</v>
      </c>
      <c r="E138" s="620" t="s">
        <v>3604</v>
      </c>
      <c r="F138" s="620" t="s">
        <v>3604</v>
      </c>
    </row>
    <row r="139" spans="2:6" x14ac:dyDescent="0.15">
      <c r="B139" s="526" t="s">
        <v>3682</v>
      </c>
      <c r="C139" t="s">
        <v>3633</v>
      </c>
      <c r="D139" s="893">
        <v>0.12531949821201241</v>
      </c>
      <c r="E139" s="44" t="s">
        <v>3604</v>
      </c>
      <c r="F139" s="44" t="s">
        <v>3604</v>
      </c>
    </row>
    <row r="140" spans="2:6" x14ac:dyDescent="0.15">
      <c r="B140" s="526" t="s">
        <v>3683</v>
      </c>
      <c r="C140" t="s">
        <v>3633</v>
      </c>
      <c r="D140" s="893">
        <v>0.15728565790356952</v>
      </c>
      <c r="E140" s="44" t="s">
        <v>3604</v>
      </c>
      <c r="F140" s="44" t="s">
        <v>3604</v>
      </c>
    </row>
    <row r="141" spans="2:6" x14ac:dyDescent="0.15">
      <c r="B141" s="847" t="s">
        <v>3684</v>
      </c>
      <c r="C141" s="320" t="s">
        <v>3633</v>
      </c>
      <c r="D141" s="905">
        <v>0.17978347397804662</v>
      </c>
      <c r="E141" s="620" t="s">
        <v>3604</v>
      </c>
      <c r="F141" s="620" t="s">
        <v>3604</v>
      </c>
    </row>
    <row r="142" spans="2:6" x14ac:dyDescent="0.15">
      <c r="B142" t="s">
        <v>3685</v>
      </c>
      <c r="C142" t="s">
        <v>1132</v>
      </c>
      <c r="D142" s="893">
        <v>1.0111282050615207</v>
      </c>
      <c r="E142" s="44" t="s">
        <v>3604</v>
      </c>
      <c r="F142" s="44" t="s">
        <v>3604</v>
      </c>
    </row>
    <row r="143" spans="2:6" x14ac:dyDescent="0.15">
      <c r="B143" s="526" t="s">
        <v>3686</v>
      </c>
      <c r="C143" t="s">
        <v>1132</v>
      </c>
      <c r="D143" s="893">
        <v>1.3708025989562564</v>
      </c>
      <c r="E143" s="44" t="s">
        <v>3604</v>
      </c>
      <c r="F143" s="44" t="s">
        <v>3604</v>
      </c>
    </row>
    <row r="144" spans="2:6" x14ac:dyDescent="0.15">
      <c r="B144" s="320" t="s">
        <v>3687</v>
      </c>
      <c r="C144" s="320" t="s">
        <v>1132</v>
      </c>
      <c r="D144" s="905">
        <v>1.7203222705757928</v>
      </c>
      <c r="E144" s="620" t="s">
        <v>3604</v>
      </c>
      <c r="F144" s="620" t="s">
        <v>3604</v>
      </c>
    </row>
    <row r="145" spans="1:6" x14ac:dyDescent="0.15">
      <c r="B145" s="526" t="s">
        <v>3688</v>
      </c>
      <c r="C145" t="s">
        <v>3633</v>
      </c>
      <c r="D145" s="893">
        <v>0.13709828619050735</v>
      </c>
      <c r="E145" s="44" t="s">
        <v>3604</v>
      </c>
      <c r="F145" s="44" t="s">
        <v>3604</v>
      </c>
    </row>
    <row r="146" spans="1:6" x14ac:dyDescent="0.15">
      <c r="B146" s="847" t="s">
        <v>3689</v>
      </c>
      <c r="C146" s="320" t="s">
        <v>3633</v>
      </c>
      <c r="D146" s="905">
        <v>0.19509817893903403</v>
      </c>
      <c r="E146" s="620" t="s">
        <v>3604</v>
      </c>
      <c r="F146" s="620" t="s">
        <v>3604</v>
      </c>
    </row>
    <row r="147" spans="1:6" x14ac:dyDescent="0.15">
      <c r="B147" s="902" t="s">
        <v>3690</v>
      </c>
      <c r="C147" s="899" t="s">
        <v>3633</v>
      </c>
      <c r="D147" s="900">
        <v>8.3511491937189888</v>
      </c>
      <c r="E147" s="901" t="s">
        <v>3604</v>
      </c>
      <c r="F147" s="901" t="s">
        <v>3604</v>
      </c>
    </row>
    <row r="148" spans="1:6" x14ac:dyDescent="0.15">
      <c r="B148" s="526" t="s">
        <v>3691</v>
      </c>
      <c r="C148" t="s">
        <v>1132</v>
      </c>
      <c r="D148" s="893">
        <v>6.3109223358010995</v>
      </c>
      <c r="E148" s="44" t="s">
        <v>3604</v>
      </c>
      <c r="F148" s="44" t="s">
        <v>3604</v>
      </c>
    </row>
    <row r="149" spans="1:6" x14ac:dyDescent="0.15">
      <c r="B149" s="526" t="s">
        <v>3692</v>
      </c>
      <c r="C149" t="s">
        <v>1132</v>
      </c>
      <c r="D149" s="893">
        <v>8.0362899049881236</v>
      </c>
      <c r="E149" s="44" t="s">
        <v>3604</v>
      </c>
      <c r="F149" s="44" t="s">
        <v>3604</v>
      </c>
    </row>
    <row r="150" spans="1:6" x14ac:dyDescent="0.15">
      <c r="B150" s="847" t="s">
        <v>3693</v>
      </c>
      <c r="C150" s="320" t="s">
        <v>1132</v>
      </c>
      <c r="D150" s="905">
        <v>10.748262798053529</v>
      </c>
      <c r="E150" s="620" t="s">
        <v>3604</v>
      </c>
      <c r="F150" s="620" t="s">
        <v>3604</v>
      </c>
    </row>
    <row r="153" spans="1:6" x14ac:dyDescent="0.15">
      <c r="A153" s="891" t="s">
        <v>3695</v>
      </c>
      <c r="B153" s="891" t="s">
        <v>3696</v>
      </c>
      <c r="C153" s="891"/>
      <c r="D153" s="891"/>
      <c r="E153" s="891"/>
      <c r="F153" s="891"/>
    </row>
    <row r="154" spans="1:6" x14ac:dyDescent="0.15">
      <c r="A154" s="889">
        <v>35</v>
      </c>
      <c r="B154" s="320" t="s">
        <v>3697</v>
      </c>
      <c r="C154" s="320" t="s">
        <v>3698</v>
      </c>
      <c r="D154" s="847" t="s">
        <v>3598</v>
      </c>
      <c r="E154" s="320" t="s">
        <v>3591</v>
      </c>
      <c r="F154" s="320" t="s">
        <v>3592</v>
      </c>
    </row>
    <row r="155" spans="1:6" x14ac:dyDescent="0.15">
      <c r="A155" s="3" t="s">
        <v>3700</v>
      </c>
      <c r="B155">
        <v>0</v>
      </c>
      <c r="C155">
        <v>2</v>
      </c>
      <c r="D155" s="890">
        <v>382.59443243243237</v>
      </c>
      <c r="E155">
        <v>25</v>
      </c>
      <c r="F155">
        <v>20</v>
      </c>
    </row>
    <row r="156" spans="1:6" x14ac:dyDescent="0.15">
      <c r="A156" s="3"/>
      <c r="B156">
        <v>2.1</v>
      </c>
      <c r="C156">
        <v>2.5</v>
      </c>
      <c r="D156" s="890">
        <v>465.81371999999999</v>
      </c>
      <c r="E156">
        <v>25</v>
      </c>
      <c r="F156">
        <v>20</v>
      </c>
    </row>
    <row r="157" spans="1:6" x14ac:dyDescent="0.15">
      <c r="A157" s="3"/>
      <c r="B157">
        <v>2.6</v>
      </c>
      <c r="C157">
        <v>3</v>
      </c>
      <c r="D157" s="890">
        <v>985.99555274261604</v>
      </c>
      <c r="E157">
        <v>25</v>
      </c>
      <c r="F157">
        <v>20</v>
      </c>
    </row>
    <row r="158" spans="1:6" x14ac:dyDescent="0.15">
      <c r="A158" s="3"/>
      <c r="B158">
        <v>3.1</v>
      </c>
      <c r="C158">
        <v>4</v>
      </c>
      <c r="D158" s="890">
        <v>1175</v>
      </c>
      <c r="E158">
        <v>25</v>
      </c>
      <c r="F158">
        <v>20</v>
      </c>
    </row>
    <row r="159" spans="1:6" x14ac:dyDescent="0.15">
      <c r="A159" s="3"/>
      <c r="B159">
        <v>4.0999999999999996</v>
      </c>
      <c r="C159">
        <v>8</v>
      </c>
      <c r="D159" s="890">
        <v>1725</v>
      </c>
      <c r="E159">
        <v>25</v>
      </c>
      <c r="F159">
        <v>20</v>
      </c>
    </row>
    <row r="160" spans="1:6" x14ac:dyDescent="0.15">
      <c r="A160" s="3"/>
      <c r="B160">
        <v>8.1</v>
      </c>
      <c r="C160">
        <v>12</v>
      </c>
      <c r="D160" s="890">
        <v>2875</v>
      </c>
      <c r="E160">
        <v>25</v>
      </c>
      <c r="F160">
        <v>20</v>
      </c>
    </row>
    <row r="161" spans="1:6" x14ac:dyDescent="0.15">
      <c r="A161" s="3" t="s">
        <v>3699</v>
      </c>
      <c r="B161">
        <v>12.1</v>
      </c>
      <c r="C161">
        <v>14</v>
      </c>
      <c r="D161" s="890">
        <v>5400</v>
      </c>
      <c r="E161">
        <v>25</v>
      </c>
      <c r="F161">
        <v>20</v>
      </c>
    </row>
    <row r="162" spans="1:6" x14ac:dyDescent="0.15">
      <c r="A162" s="3"/>
      <c r="B162">
        <v>14.1</v>
      </c>
      <c r="C162">
        <v>18</v>
      </c>
      <c r="D162" s="890">
        <v>9700</v>
      </c>
      <c r="E162">
        <v>25</v>
      </c>
      <c r="F162">
        <v>20</v>
      </c>
    </row>
    <row r="163" spans="1:6" x14ac:dyDescent="0.15">
      <c r="A163" s="3"/>
      <c r="B163">
        <v>18.100000000000001</v>
      </c>
      <c r="C163">
        <v>20</v>
      </c>
      <c r="D163" s="890">
        <v>12700</v>
      </c>
      <c r="E163">
        <v>25</v>
      </c>
      <c r="F163">
        <v>20</v>
      </c>
    </row>
    <row r="164" spans="1:6" x14ac:dyDescent="0.15">
      <c r="A164" s="3"/>
      <c r="B164">
        <v>20.100000000000001</v>
      </c>
      <c r="C164">
        <v>24</v>
      </c>
      <c r="D164" s="890">
        <v>20900</v>
      </c>
      <c r="E164">
        <v>25</v>
      </c>
      <c r="F164">
        <v>20</v>
      </c>
    </row>
    <row r="165" spans="1:6" x14ac:dyDescent="0.15">
      <c r="A165" s="3"/>
      <c r="B165">
        <v>24.1</v>
      </c>
      <c r="C165">
        <v>30</v>
      </c>
      <c r="D165" s="890">
        <v>17100</v>
      </c>
      <c r="E165">
        <v>25</v>
      </c>
      <c r="F165">
        <v>20</v>
      </c>
    </row>
    <row r="166" spans="1:6" x14ac:dyDescent="0.15">
      <c r="A166" s="3"/>
      <c r="B166">
        <v>30.1</v>
      </c>
      <c r="C166">
        <v>36</v>
      </c>
      <c r="D166" s="890">
        <v>21100</v>
      </c>
      <c r="E166">
        <v>25</v>
      </c>
      <c r="F166">
        <v>20</v>
      </c>
    </row>
    <row r="167" spans="1:6" x14ac:dyDescent="0.15">
      <c r="A167" s="3"/>
      <c r="B167">
        <v>36.1</v>
      </c>
      <c r="C167">
        <v>42</v>
      </c>
      <c r="D167" s="890">
        <v>26600</v>
      </c>
      <c r="E167">
        <v>25</v>
      </c>
      <c r="F167">
        <v>20</v>
      </c>
    </row>
    <row r="168" spans="1:6" x14ac:dyDescent="0.15">
      <c r="A168" s="3"/>
      <c r="B168">
        <v>42.1</v>
      </c>
      <c r="C168">
        <v>48</v>
      </c>
      <c r="D168" s="890">
        <v>34100</v>
      </c>
      <c r="E168">
        <v>25</v>
      </c>
      <c r="F168">
        <v>20</v>
      </c>
    </row>
    <row r="169" spans="1:6" x14ac:dyDescent="0.15">
      <c r="A169" s="3"/>
      <c r="B169">
        <v>48.1</v>
      </c>
      <c r="C169" t="s">
        <v>3599</v>
      </c>
      <c r="D169" s="890" t="s">
        <v>3599</v>
      </c>
      <c r="E169">
        <v>25</v>
      </c>
      <c r="F169">
        <v>20</v>
      </c>
    </row>
    <row r="172" spans="1:6" x14ac:dyDescent="0.15">
      <c r="A172" s="891" t="s">
        <v>3695</v>
      </c>
      <c r="B172" s="891" t="s">
        <v>3701</v>
      </c>
      <c r="C172" s="891"/>
      <c r="D172" s="891"/>
      <c r="E172" s="891"/>
      <c r="F172" s="891"/>
    </row>
    <row r="173" spans="1:6" x14ac:dyDescent="0.15">
      <c r="A173" s="889">
        <v>35</v>
      </c>
      <c r="B173" s="320" t="s">
        <v>3697</v>
      </c>
      <c r="C173" s="320" t="s">
        <v>3698</v>
      </c>
      <c r="D173" s="847" t="s">
        <v>3598</v>
      </c>
      <c r="E173" s="320" t="s">
        <v>3591</v>
      </c>
      <c r="F173" s="320" t="s">
        <v>3592</v>
      </c>
    </row>
    <row r="174" spans="1:6" x14ac:dyDescent="0.15">
      <c r="A174" s="3" t="s">
        <v>3702</v>
      </c>
      <c r="B174">
        <v>0</v>
      </c>
      <c r="C174">
        <v>2</v>
      </c>
      <c r="D174" s="890">
        <v>727.99227027027018</v>
      </c>
      <c r="E174">
        <v>25</v>
      </c>
      <c r="F174">
        <v>20</v>
      </c>
    </row>
    <row r="175" spans="1:6" x14ac:dyDescent="0.15">
      <c r="A175" s="3"/>
      <c r="B175">
        <v>2.1</v>
      </c>
      <c r="C175">
        <v>3</v>
      </c>
      <c r="D175" s="890">
        <v>906.87331645569623</v>
      </c>
      <c r="E175">
        <v>25</v>
      </c>
      <c r="F175">
        <v>20</v>
      </c>
    </row>
    <row r="176" spans="1:6" x14ac:dyDescent="0.15">
      <c r="A176" s="3"/>
      <c r="B176">
        <v>3.1</v>
      </c>
      <c r="C176">
        <v>4</v>
      </c>
      <c r="D176" s="890">
        <v>1775</v>
      </c>
      <c r="E176">
        <v>25</v>
      </c>
      <c r="F176">
        <v>20</v>
      </c>
    </row>
    <row r="177" spans="1:6" x14ac:dyDescent="0.15">
      <c r="A177" s="3"/>
      <c r="B177">
        <v>4.0999999999999996</v>
      </c>
      <c r="C177">
        <v>6</v>
      </c>
      <c r="D177" s="890">
        <v>2750</v>
      </c>
      <c r="E177">
        <v>25</v>
      </c>
      <c r="F177">
        <v>20</v>
      </c>
    </row>
    <row r="178" spans="1:6" x14ac:dyDescent="0.15">
      <c r="A178" s="3"/>
      <c r="B178">
        <v>6.1</v>
      </c>
      <c r="C178">
        <v>8</v>
      </c>
      <c r="D178" s="890">
        <v>4850</v>
      </c>
      <c r="E178">
        <v>25</v>
      </c>
      <c r="F178">
        <v>20</v>
      </c>
    </row>
    <row r="179" spans="1:6" x14ac:dyDescent="0.15">
      <c r="A179" s="3"/>
      <c r="B179">
        <v>8.1</v>
      </c>
      <c r="C179">
        <v>12</v>
      </c>
      <c r="D179" s="890">
        <v>12600</v>
      </c>
      <c r="E179">
        <v>25</v>
      </c>
      <c r="F179">
        <v>20</v>
      </c>
    </row>
    <row r="180" spans="1:6" x14ac:dyDescent="0.15">
      <c r="A180" s="3"/>
      <c r="B180">
        <v>12.1</v>
      </c>
      <c r="C180">
        <v>18</v>
      </c>
      <c r="D180" s="890">
        <v>47100</v>
      </c>
      <c r="E180">
        <v>25</v>
      </c>
      <c r="F180">
        <v>20</v>
      </c>
    </row>
    <row r="181" spans="1:6" x14ac:dyDescent="0.15">
      <c r="A181" s="3"/>
      <c r="B181">
        <v>18.100000000000001</v>
      </c>
      <c r="C181">
        <v>24</v>
      </c>
      <c r="D181" s="890">
        <v>66500</v>
      </c>
      <c r="E181">
        <v>25</v>
      </c>
      <c r="F181">
        <v>20</v>
      </c>
    </row>
    <row r="182" spans="1:6" x14ac:dyDescent="0.15">
      <c r="A182" s="3"/>
      <c r="B182">
        <v>24.1</v>
      </c>
      <c r="C182" t="s">
        <v>3599</v>
      </c>
      <c r="D182" s="890" t="s">
        <v>3599</v>
      </c>
      <c r="E182">
        <v>25</v>
      </c>
      <c r="F182">
        <v>20</v>
      </c>
    </row>
    <row r="185" spans="1:6" x14ac:dyDescent="0.15">
      <c r="A185" s="891" t="s">
        <v>3695</v>
      </c>
      <c r="B185" s="891" t="s">
        <v>3703</v>
      </c>
      <c r="C185" s="891"/>
      <c r="D185" s="891"/>
      <c r="E185" s="891"/>
      <c r="F185" s="891"/>
    </row>
    <row r="186" spans="1:6" x14ac:dyDescent="0.15">
      <c r="A186" s="889">
        <v>35</v>
      </c>
      <c r="B186" s="320" t="s">
        <v>3697</v>
      </c>
      <c r="C186" s="320" t="s">
        <v>3698</v>
      </c>
      <c r="D186" s="847" t="s">
        <v>3598</v>
      </c>
      <c r="E186" s="320" t="s">
        <v>3591</v>
      </c>
      <c r="F186" s="320" t="s">
        <v>3592</v>
      </c>
    </row>
    <row r="187" spans="1:6" x14ac:dyDescent="0.15">
      <c r="A187" s="3" t="s">
        <v>3704</v>
      </c>
      <c r="B187">
        <v>0</v>
      </c>
      <c r="C187">
        <v>1</v>
      </c>
      <c r="D187" s="890">
        <v>1344.7174074420614</v>
      </c>
      <c r="E187">
        <v>25</v>
      </c>
      <c r="F187">
        <v>20</v>
      </c>
    </row>
    <row r="188" spans="1:6" x14ac:dyDescent="0.15">
      <c r="A188" s="3"/>
      <c r="B188">
        <v>1.1000000000000001</v>
      </c>
      <c r="C188">
        <v>2</v>
      </c>
      <c r="D188" s="890">
        <v>863.90978021978026</v>
      </c>
      <c r="E188">
        <v>25</v>
      </c>
      <c r="F188">
        <v>20</v>
      </c>
    </row>
    <row r="189" spans="1:6" x14ac:dyDescent="0.15">
      <c r="A189" s="3"/>
      <c r="B189">
        <v>2.1</v>
      </c>
      <c r="C189">
        <v>3</v>
      </c>
      <c r="D189" s="890">
        <v>3473.2001649484537</v>
      </c>
      <c r="E189">
        <v>25</v>
      </c>
      <c r="F189">
        <v>20</v>
      </c>
    </row>
    <row r="190" spans="1:6" x14ac:dyDescent="0.15">
      <c r="A190" s="3"/>
      <c r="B190">
        <v>3.1</v>
      </c>
      <c r="C190">
        <v>4</v>
      </c>
      <c r="D190" s="890">
        <v>4185.087896551724</v>
      </c>
      <c r="E190">
        <v>25</v>
      </c>
      <c r="F190">
        <v>20</v>
      </c>
    </row>
    <row r="191" spans="1:6" x14ac:dyDescent="0.15">
      <c r="A191" s="3"/>
      <c r="B191">
        <v>4.0999999999999996</v>
      </c>
      <c r="C191">
        <v>6</v>
      </c>
      <c r="D191" s="890">
        <v>6000.7343666666675</v>
      </c>
      <c r="E191">
        <v>25</v>
      </c>
      <c r="F191">
        <v>20</v>
      </c>
    </row>
    <row r="192" spans="1:6" x14ac:dyDescent="0.15">
      <c r="A192" s="3"/>
      <c r="B192">
        <v>6.1</v>
      </c>
      <c r="C192">
        <v>8</v>
      </c>
      <c r="D192" s="890">
        <v>11061.839595959596</v>
      </c>
      <c r="E192">
        <v>25</v>
      </c>
      <c r="F192">
        <v>20</v>
      </c>
    </row>
    <row r="193" spans="1:6" x14ac:dyDescent="0.15">
      <c r="A193" s="3"/>
      <c r="B193">
        <v>8.1</v>
      </c>
      <c r="C193">
        <v>10</v>
      </c>
      <c r="D193" s="890">
        <v>14396.050612244897</v>
      </c>
      <c r="E193">
        <v>25</v>
      </c>
      <c r="F193">
        <v>20</v>
      </c>
    </row>
    <row r="194" spans="1:6" x14ac:dyDescent="0.15">
      <c r="A194" s="3"/>
      <c r="B194">
        <v>10.1</v>
      </c>
      <c r="C194">
        <v>12</v>
      </c>
      <c r="D194" s="890">
        <v>16659.506451612902</v>
      </c>
      <c r="E194">
        <v>25</v>
      </c>
      <c r="F194">
        <v>20</v>
      </c>
    </row>
    <row r="195" spans="1:6" x14ac:dyDescent="0.15">
      <c r="A195" s="3"/>
      <c r="B195">
        <v>12.1</v>
      </c>
      <c r="C195">
        <v>14</v>
      </c>
      <c r="D195" s="890">
        <v>19254.500240963855</v>
      </c>
      <c r="E195">
        <v>25</v>
      </c>
      <c r="F195">
        <v>20</v>
      </c>
    </row>
    <row r="196" spans="1:6" x14ac:dyDescent="0.15">
      <c r="A196" s="3"/>
      <c r="B196">
        <v>14.1</v>
      </c>
      <c r="C196">
        <v>16</v>
      </c>
      <c r="D196" s="890">
        <v>26647.512289156628</v>
      </c>
      <c r="E196">
        <v>25</v>
      </c>
      <c r="F196">
        <v>20</v>
      </c>
    </row>
    <row r="197" spans="1:6" x14ac:dyDescent="0.15">
      <c r="A197" s="3"/>
      <c r="B197">
        <v>16.100000000000001</v>
      </c>
      <c r="C197">
        <v>18</v>
      </c>
      <c r="D197" s="890">
        <v>33531.189219858155</v>
      </c>
      <c r="E197">
        <v>25</v>
      </c>
      <c r="F197">
        <v>20</v>
      </c>
    </row>
    <row r="198" spans="1:6" x14ac:dyDescent="0.15">
      <c r="A198" s="3"/>
      <c r="B198">
        <v>18.100000000000001</v>
      </c>
      <c r="C198">
        <v>30</v>
      </c>
      <c r="D198" s="890">
        <v>42084.270140109402</v>
      </c>
      <c r="E198">
        <v>25</v>
      </c>
      <c r="F198">
        <v>20</v>
      </c>
    </row>
    <row r="199" spans="1:6" x14ac:dyDescent="0.15">
      <c r="A199" s="3"/>
      <c r="B199">
        <v>30.1</v>
      </c>
      <c r="C199">
        <v>48</v>
      </c>
      <c r="D199" s="890">
        <v>59227.779900671587</v>
      </c>
      <c r="E199">
        <v>25</v>
      </c>
      <c r="F199">
        <v>20</v>
      </c>
    </row>
    <row r="200" spans="1:6" x14ac:dyDescent="0.15">
      <c r="A200" s="3"/>
      <c r="B200">
        <v>48.1</v>
      </c>
      <c r="C200" t="s">
        <v>3599</v>
      </c>
      <c r="D200" s="890" t="s">
        <v>3599</v>
      </c>
      <c r="E200">
        <v>25</v>
      </c>
      <c r="F200">
        <v>20</v>
      </c>
    </row>
    <row r="203" spans="1:6" x14ac:dyDescent="0.15">
      <c r="A203" s="892" t="s">
        <v>3601</v>
      </c>
      <c r="B203" s="892" t="s">
        <v>3705</v>
      </c>
      <c r="C203" s="892"/>
      <c r="D203" s="892"/>
      <c r="E203" s="892"/>
      <c r="F203" s="892"/>
    </row>
    <row r="204" spans="1:6" x14ac:dyDescent="0.15">
      <c r="A204" s="889">
        <v>3</v>
      </c>
      <c r="B204" s="320"/>
      <c r="C204" s="320"/>
      <c r="D204" s="320" t="s">
        <v>3603</v>
      </c>
      <c r="E204" s="894" t="s">
        <v>3591</v>
      </c>
      <c r="F204" s="894" t="s">
        <v>3592</v>
      </c>
    </row>
    <row r="205" spans="1:6" x14ac:dyDescent="0.15">
      <c r="A205" s="3" t="s">
        <v>3706</v>
      </c>
      <c r="B205">
        <v>0</v>
      </c>
      <c r="C205">
        <v>0</v>
      </c>
      <c r="D205" s="893">
        <v>739.60558874747949</v>
      </c>
      <c r="E205" s="526">
        <v>40</v>
      </c>
      <c r="F205" s="526">
        <v>37</v>
      </c>
    </row>
    <row r="208" spans="1:6" x14ac:dyDescent="0.15">
      <c r="A208" s="892" t="s">
        <v>3629</v>
      </c>
      <c r="B208" s="892" t="s">
        <v>3707</v>
      </c>
      <c r="C208" s="892"/>
      <c r="D208" s="892"/>
      <c r="E208" s="892"/>
      <c r="F208" s="892"/>
    </row>
    <row r="209" spans="1:6" x14ac:dyDescent="0.15">
      <c r="A209" s="889">
        <v>11</v>
      </c>
      <c r="B209" s="320"/>
      <c r="C209" s="320"/>
      <c r="D209" s="908" t="s">
        <v>3708</v>
      </c>
      <c r="E209" s="894" t="s">
        <v>3591</v>
      </c>
      <c r="F209" s="894" t="s">
        <v>3592</v>
      </c>
    </row>
    <row r="210" spans="1:6" x14ac:dyDescent="0.15">
      <c r="A210" s="3" t="s">
        <v>3709</v>
      </c>
      <c r="B210">
        <v>0</v>
      </c>
      <c r="C210">
        <v>0</v>
      </c>
      <c r="D210" s="893">
        <v>389.13</v>
      </c>
      <c r="E210" s="526">
        <v>10</v>
      </c>
      <c r="F210" s="526">
        <v>10</v>
      </c>
    </row>
    <row r="213" spans="1:6" x14ac:dyDescent="0.15">
      <c r="A213" s="892" t="s">
        <v>3601</v>
      </c>
      <c r="B213" s="892" t="s">
        <v>1349</v>
      </c>
      <c r="C213" s="892"/>
      <c r="D213" s="892"/>
      <c r="E213" s="892"/>
      <c r="F213" s="892"/>
    </row>
    <row r="214" spans="1:6" x14ac:dyDescent="0.15">
      <c r="A214" s="889">
        <v>3</v>
      </c>
      <c r="B214" s="320"/>
      <c r="C214" s="320"/>
      <c r="D214" s="320" t="s">
        <v>3603</v>
      </c>
      <c r="E214" s="894" t="s">
        <v>3591</v>
      </c>
      <c r="F214" s="894" t="s">
        <v>3592</v>
      </c>
    </row>
    <row r="215" spans="1:6" x14ac:dyDescent="0.15">
      <c r="A215" s="3" t="s">
        <v>3710</v>
      </c>
      <c r="B215">
        <v>0</v>
      </c>
      <c r="C215">
        <v>0</v>
      </c>
      <c r="D215" s="893">
        <v>492.74999999999994</v>
      </c>
      <c r="E215" s="526">
        <v>40</v>
      </c>
      <c r="F215" s="526">
        <v>37</v>
      </c>
    </row>
    <row r="218" spans="1:6" x14ac:dyDescent="0.15">
      <c r="A218" s="891" t="s">
        <v>3589</v>
      </c>
      <c r="B218" s="891" t="s">
        <v>3711</v>
      </c>
      <c r="C218" s="891"/>
      <c r="D218" s="891"/>
      <c r="E218" s="891"/>
      <c r="F218" s="891"/>
    </row>
    <row r="219" spans="1:6" x14ac:dyDescent="0.15">
      <c r="A219" s="889">
        <v>43</v>
      </c>
      <c r="B219" s="320"/>
      <c r="C219" s="320"/>
      <c r="D219" s="847" t="s">
        <v>3598</v>
      </c>
      <c r="E219" s="320" t="s">
        <v>3591</v>
      </c>
      <c r="F219" s="320" t="s">
        <v>3592</v>
      </c>
    </row>
    <row r="220" spans="1:6" x14ac:dyDescent="0.15">
      <c r="A220" s="3" t="s">
        <v>3712</v>
      </c>
      <c r="B220">
        <v>0</v>
      </c>
      <c r="C220">
        <v>0</v>
      </c>
      <c r="D220" s="890">
        <v>2280.4682700037665</v>
      </c>
      <c r="E220">
        <v>15</v>
      </c>
      <c r="F220">
        <v>14</v>
      </c>
    </row>
    <row r="223" spans="1:6" x14ac:dyDescent="0.15">
      <c r="A223" s="891" t="s">
        <v>3713</v>
      </c>
      <c r="B223" s="891" t="s">
        <v>3714</v>
      </c>
      <c r="C223" s="891"/>
      <c r="D223" s="891"/>
      <c r="E223" s="891"/>
      <c r="F223" s="891"/>
    </row>
    <row r="224" spans="1:6" x14ac:dyDescent="0.15">
      <c r="A224" s="889">
        <v>15</v>
      </c>
      <c r="B224" s="320" t="s">
        <v>3697</v>
      </c>
      <c r="C224" s="320" t="s">
        <v>3698</v>
      </c>
      <c r="D224" s="847" t="s">
        <v>3715</v>
      </c>
      <c r="E224" s="320" t="s">
        <v>3591</v>
      </c>
      <c r="F224" s="320" t="s">
        <v>3592</v>
      </c>
    </row>
    <row r="225" spans="1:6" x14ac:dyDescent="0.15">
      <c r="A225" s="3" t="s">
        <v>3716</v>
      </c>
      <c r="B225">
        <v>0</v>
      </c>
      <c r="C225">
        <v>0.5</v>
      </c>
      <c r="D225" s="890">
        <v>2.6632135313802943</v>
      </c>
      <c r="E225">
        <v>22</v>
      </c>
      <c r="F225">
        <v>17</v>
      </c>
    </row>
    <row r="226" spans="1:6" x14ac:dyDescent="0.15">
      <c r="A226" s="3"/>
      <c r="B226">
        <v>0.6</v>
      </c>
      <c r="C226">
        <v>0.75</v>
      </c>
      <c r="D226" s="890">
        <v>3.4161861313868607</v>
      </c>
      <c r="E226">
        <v>22</v>
      </c>
      <c r="F226">
        <v>17</v>
      </c>
    </row>
    <row r="227" spans="1:6" x14ac:dyDescent="0.15">
      <c r="A227" s="3"/>
      <c r="B227">
        <v>0.76</v>
      </c>
      <c r="C227">
        <v>1</v>
      </c>
      <c r="D227" s="890">
        <v>4.6191902899139743</v>
      </c>
      <c r="E227">
        <v>22</v>
      </c>
      <c r="F227">
        <v>17</v>
      </c>
    </row>
    <row r="228" spans="1:6" x14ac:dyDescent="0.15">
      <c r="A228" s="3"/>
      <c r="B228">
        <v>1.1000000000000001</v>
      </c>
      <c r="C228">
        <v>1.5</v>
      </c>
      <c r="D228" s="890">
        <v>6.9897382182847299</v>
      </c>
      <c r="E228">
        <v>22</v>
      </c>
      <c r="F228">
        <v>17</v>
      </c>
    </row>
    <row r="229" spans="1:6" x14ac:dyDescent="0.15">
      <c r="A229" s="3"/>
      <c r="B229">
        <v>1.6</v>
      </c>
      <c r="C229">
        <v>2</v>
      </c>
      <c r="D229" s="890">
        <v>9.7307617597109495</v>
      </c>
      <c r="E229">
        <v>22</v>
      </c>
      <c r="F229">
        <v>17</v>
      </c>
    </row>
    <row r="230" spans="1:6" x14ac:dyDescent="0.15">
      <c r="A230" s="3"/>
      <c r="B230">
        <v>2.1</v>
      </c>
      <c r="C230">
        <v>2.5</v>
      </c>
      <c r="D230" s="890">
        <v>13.9160178794061</v>
      </c>
      <c r="E230">
        <v>22</v>
      </c>
      <c r="F230">
        <v>17</v>
      </c>
    </row>
    <row r="231" spans="1:6" x14ac:dyDescent="0.15">
      <c r="A231" s="3"/>
      <c r="B231">
        <v>2.6</v>
      </c>
      <c r="C231">
        <v>3</v>
      </c>
      <c r="D231" s="890">
        <v>15.479636354286573</v>
      </c>
      <c r="E231">
        <v>22</v>
      </c>
      <c r="F231">
        <v>17</v>
      </c>
    </row>
    <row r="232" spans="1:6" x14ac:dyDescent="0.15">
      <c r="A232" s="3"/>
      <c r="B232">
        <v>3.1</v>
      </c>
      <c r="C232">
        <v>4</v>
      </c>
      <c r="D232" s="890">
        <v>27.687322631427584</v>
      </c>
      <c r="E232">
        <v>22</v>
      </c>
      <c r="F232">
        <v>17</v>
      </c>
    </row>
    <row r="233" spans="1:6" x14ac:dyDescent="0.15">
      <c r="A233" s="3"/>
      <c r="B233">
        <v>4.0999999999999996</v>
      </c>
      <c r="C233">
        <v>6</v>
      </c>
      <c r="D233" s="890">
        <v>50.768846439169138</v>
      </c>
      <c r="E233">
        <v>22</v>
      </c>
      <c r="F233">
        <v>17</v>
      </c>
    </row>
    <row r="234" spans="1:6" x14ac:dyDescent="0.15">
      <c r="A234" s="3"/>
      <c r="B234">
        <v>6.1</v>
      </c>
      <c r="C234">
        <v>8</v>
      </c>
      <c r="D234" s="890">
        <v>60.907083897837325</v>
      </c>
      <c r="E234">
        <v>22</v>
      </c>
      <c r="F234">
        <v>17</v>
      </c>
    </row>
    <row r="235" spans="1:6" x14ac:dyDescent="0.15">
      <c r="A235" s="3"/>
      <c r="B235">
        <v>8.1</v>
      </c>
      <c r="C235">
        <v>10</v>
      </c>
      <c r="D235" s="890">
        <v>120.49246198157502</v>
      </c>
      <c r="E235">
        <v>22</v>
      </c>
      <c r="F235">
        <v>17</v>
      </c>
    </row>
    <row r="236" spans="1:6" x14ac:dyDescent="0.15">
      <c r="A236" s="3"/>
      <c r="B236">
        <v>10.1</v>
      </c>
      <c r="C236">
        <v>12</v>
      </c>
      <c r="D236" s="890">
        <v>157.99898111173229</v>
      </c>
      <c r="E236">
        <v>22</v>
      </c>
      <c r="F236">
        <v>17</v>
      </c>
    </row>
    <row r="237" spans="1:6" x14ac:dyDescent="0.15">
      <c r="A237" s="3"/>
      <c r="B237">
        <v>12.1</v>
      </c>
      <c r="C237">
        <v>14</v>
      </c>
      <c r="D237" s="890">
        <v>232.01930337969426</v>
      </c>
      <c r="E237">
        <v>22</v>
      </c>
      <c r="F237">
        <v>17</v>
      </c>
    </row>
    <row r="238" spans="1:6" x14ac:dyDescent="0.15">
      <c r="A238" s="3"/>
      <c r="B238">
        <v>14.1</v>
      </c>
      <c r="C238">
        <v>16</v>
      </c>
      <c r="D238" s="890">
        <v>296.65379213483146</v>
      </c>
      <c r="E238">
        <v>22</v>
      </c>
      <c r="F238">
        <v>17</v>
      </c>
    </row>
    <row r="239" spans="1:6" x14ac:dyDescent="0.15">
      <c r="A239" s="3"/>
      <c r="B239">
        <v>16.100000000000001</v>
      </c>
      <c r="C239">
        <v>18</v>
      </c>
      <c r="D239" s="890">
        <v>297.3340569345113</v>
      </c>
      <c r="E239">
        <v>22</v>
      </c>
      <c r="F239">
        <v>17</v>
      </c>
    </row>
    <row r="240" spans="1:6" x14ac:dyDescent="0.15">
      <c r="A240" s="3"/>
      <c r="B240">
        <v>18.100000000000001</v>
      </c>
      <c r="C240" t="s">
        <v>3599</v>
      </c>
      <c r="D240" s="890" t="s">
        <v>3599</v>
      </c>
      <c r="E240">
        <v>22</v>
      </c>
      <c r="F240">
        <v>17</v>
      </c>
    </row>
    <row r="243" spans="1:6" x14ac:dyDescent="0.15">
      <c r="A243" s="891" t="s">
        <v>3717</v>
      </c>
      <c r="B243" s="891" t="s">
        <v>3718</v>
      </c>
      <c r="C243" s="891"/>
      <c r="D243" s="891"/>
      <c r="E243" s="891"/>
      <c r="F243" s="891"/>
    </row>
    <row r="244" spans="1:6" x14ac:dyDescent="0.15">
      <c r="A244" s="889">
        <v>23</v>
      </c>
      <c r="B244" s="320" t="s">
        <v>3719</v>
      </c>
      <c r="C244" s="320" t="s">
        <v>3720</v>
      </c>
      <c r="D244" s="320" t="s">
        <v>3598</v>
      </c>
      <c r="E244" s="320" t="s">
        <v>3591</v>
      </c>
      <c r="F244" s="320" t="s">
        <v>3592</v>
      </c>
    </row>
    <row r="245" spans="1:6" x14ac:dyDescent="0.15">
      <c r="A245" s="3" t="s">
        <v>3721</v>
      </c>
      <c r="B245">
        <v>0</v>
      </c>
      <c r="C245" s="526">
        <v>180</v>
      </c>
      <c r="D245" s="890">
        <v>18903.617325224444</v>
      </c>
      <c r="E245">
        <v>35</v>
      </c>
      <c r="F245">
        <v>30</v>
      </c>
    </row>
    <row r="246" spans="1:6" x14ac:dyDescent="0.15">
      <c r="A246" s="3"/>
      <c r="B246">
        <v>181</v>
      </c>
      <c r="C246" s="526">
        <v>1400</v>
      </c>
      <c r="D246" s="890">
        <v>37307.291561729398</v>
      </c>
      <c r="E246">
        <v>35</v>
      </c>
      <c r="F246">
        <v>30</v>
      </c>
    </row>
    <row r="247" spans="1:6" x14ac:dyDescent="0.15">
      <c r="A247" s="3"/>
      <c r="B247">
        <v>1401</v>
      </c>
      <c r="C247" s="526">
        <v>2000</v>
      </c>
      <c r="D247" s="890">
        <v>56179.431524547799</v>
      </c>
      <c r="E247">
        <v>35</v>
      </c>
      <c r="F247">
        <v>30</v>
      </c>
    </row>
    <row r="248" spans="1:6" x14ac:dyDescent="0.15">
      <c r="A248" s="3"/>
      <c r="B248">
        <v>2001</v>
      </c>
      <c r="C248" s="526">
        <v>6800</v>
      </c>
      <c r="D248" s="890">
        <v>86885.007846737135</v>
      </c>
      <c r="E248">
        <v>35</v>
      </c>
      <c r="F248">
        <v>30</v>
      </c>
    </row>
    <row r="249" spans="1:6" x14ac:dyDescent="0.15">
      <c r="A249" s="3"/>
      <c r="B249">
        <v>6801</v>
      </c>
      <c r="C249" s="526">
        <v>27100</v>
      </c>
      <c r="D249" s="890">
        <v>188661.29032258067</v>
      </c>
      <c r="E249">
        <v>35</v>
      </c>
      <c r="F249">
        <v>30</v>
      </c>
    </row>
    <row r="250" spans="1:6" x14ac:dyDescent="0.15">
      <c r="A250" s="3"/>
      <c r="B250">
        <v>27101</v>
      </c>
      <c r="C250" t="s">
        <v>3599</v>
      </c>
      <c r="D250" s="890" t="s">
        <v>3599</v>
      </c>
      <c r="E250">
        <v>35</v>
      </c>
      <c r="F250">
        <v>30</v>
      </c>
    </row>
    <row r="253" spans="1:6" x14ac:dyDescent="0.15">
      <c r="A253" s="891" t="s">
        <v>3717</v>
      </c>
      <c r="B253" s="891" t="s">
        <v>3722</v>
      </c>
      <c r="C253" s="891"/>
      <c r="D253" s="891"/>
      <c r="E253" s="891"/>
      <c r="F253" s="891"/>
    </row>
    <row r="254" spans="1:6" x14ac:dyDescent="0.15">
      <c r="A254" s="889">
        <v>23</v>
      </c>
      <c r="B254" s="320" t="s">
        <v>3719</v>
      </c>
      <c r="C254" s="320" t="s">
        <v>3720</v>
      </c>
      <c r="D254" s="320" t="s">
        <v>3598</v>
      </c>
      <c r="E254" s="320" t="s">
        <v>3591</v>
      </c>
      <c r="F254" s="320" t="s">
        <v>3592</v>
      </c>
    </row>
    <row r="255" spans="1:6" x14ac:dyDescent="0.15">
      <c r="A255" s="3" t="s">
        <v>3723</v>
      </c>
      <c r="B255">
        <v>0</v>
      </c>
      <c r="C255" s="526">
        <v>180</v>
      </c>
      <c r="D255" s="890">
        <v>17250.424316108834</v>
      </c>
      <c r="E255">
        <v>35</v>
      </c>
      <c r="F255">
        <v>30</v>
      </c>
    </row>
    <row r="256" spans="1:6" x14ac:dyDescent="0.15">
      <c r="A256" s="3"/>
      <c r="B256">
        <v>181</v>
      </c>
      <c r="C256" s="526">
        <v>1400</v>
      </c>
      <c r="D256" s="890">
        <v>32550.197998383468</v>
      </c>
      <c r="E256">
        <v>35</v>
      </c>
      <c r="F256">
        <v>30</v>
      </c>
    </row>
    <row r="257" spans="1:6" x14ac:dyDescent="0.15">
      <c r="A257" s="3"/>
      <c r="B257">
        <v>1701</v>
      </c>
      <c r="C257" s="526">
        <v>2000</v>
      </c>
      <c r="D257" s="890">
        <v>49233.695090439272</v>
      </c>
      <c r="E257">
        <v>35</v>
      </c>
      <c r="F257">
        <v>30</v>
      </c>
    </row>
    <row r="258" spans="1:6" x14ac:dyDescent="0.15">
      <c r="A258" s="3"/>
      <c r="B258">
        <v>1401</v>
      </c>
      <c r="C258" s="526">
        <v>6800</v>
      </c>
      <c r="D258" s="890">
        <v>71941.198515468393</v>
      </c>
      <c r="E258">
        <v>35</v>
      </c>
      <c r="F258">
        <v>30</v>
      </c>
    </row>
    <row r="259" spans="1:6" x14ac:dyDescent="0.15">
      <c r="A259" s="3"/>
      <c r="B259">
        <v>6801</v>
      </c>
      <c r="C259" s="526">
        <v>27100</v>
      </c>
      <c r="D259" s="890">
        <v>142935.48387096776</v>
      </c>
      <c r="E259">
        <v>35</v>
      </c>
      <c r="F259">
        <v>30</v>
      </c>
    </row>
    <row r="260" spans="1:6" x14ac:dyDescent="0.15">
      <c r="A260" s="3"/>
      <c r="B260">
        <v>27101</v>
      </c>
      <c r="C260" t="s">
        <v>3599</v>
      </c>
      <c r="D260" s="890" t="s">
        <v>3599</v>
      </c>
      <c r="E260">
        <v>35</v>
      </c>
      <c r="F260">
        <v>30</v>
      </c>
    </row>
    <row r="263" spans="1:6" x14ac:dyDescent="0.15">
      <c r="A263" s="891" t="s">
        <v>3724</v>
      </c>
      <c r="B263" s="891" t="s">
        <v>3725</v>
      </c>
      <c r="C263" s="891"/>
      <c r="D263" s="891"/>
      <c r="E263" s="891"/>
      <c r="F263" s="891"/>
    </row>
    <row r="264" spans="1:6" x14ac:dyDescent="0.15">
      <c r="A264" s="889">
        <v>22</v>
      </c>
      <c r="B264" s="894" t="s">
        <v>3726</v>
      </c>
      <c r="C264" s="847" t="s">
        <v>3727</v>
      </c>
      <c r="D264" s="320" t="s">
        <v>3598</v>
      </c>
      <c r="E264" s="320" t="s">
        <v>3591</v>
      </c>
      <c r="F264" s="320" t="s">
        <v>3592</v>
      </c>
    </row>
    <row r="265" spans="1:6" x14ac:dyDescent="0.15">
      <c r="A265" s="3" t="s">
        <v>3728</v>
      </c>
      <c r="B265">
        <v>0</v>
      </c>
      <c r="C265">
        <v>40</v>
      </c>
      <c r="D265" s="890">
        <v>2118</v>
      </c>
      <c r="E265">
        <v>10</v>
      </c>
      <c r="F265">
        <v>7</v>
      </c>
    </row>
    <row r="266" spans="1:6" x14ac:dyDescent="0.15">
      <c r="A266" s="3"/>
      <c r="B266">
        <v>41</v>
      </c>
      <c r="C266">
        <v>60</v>
      </c>
      <c r="D266" s="890">
        <v>2118</v>
      </c>
      <c r="E266">
        <v>10</v>
      </c>
      <c r="F266">
        <v>7</v>
      </c>
    </row>
    <row r="267" spans="1:6" x14ac:dyDescent="0.15">
      <c r="A267" s="3"/>
      <c r="B267">
        <v>61</v>
      </c>
      <c r="C267">
        <v>80</v>
      </c>
      <c r="D267" s="890">
        <v>2118</v>
      </c>
      <c r="E267">
        <v>10</v>
      </c>
      <c r="F267">
        <v>7</v>
      </c>
    </row>
    <row r="268" spans="1:6" x14ac:dyDescent="0.15">
      <c r="A268" s="3"/>
      <c r="B268">
        <v>81</v>
      </c>
      <c r="C268">
        <v>120</v>
      </c>
      <c r="D268" s="890">
        <v>2118</v>
      </c>
      <c r="E268">
        <v>10</v>
      </c>
      <c r="F268">
        <v>7</v>
      </c>
    </row>
    <row r="269" spans="1:6" x14ac:dyDescent="0.15">
      <c r="A269" s="3"/>
      <c r="B269">
        <v>121</v>
      </c>
      <c r="C269">
        <v>140</v>
      </c>
      <c r="D269" s="890">
        <v>2118</v>
      </c>
      <c r="E269">
        <v>10</v>
      </c>
      <c r="F269">
        <v>7</v>
      </c>
    </row>
    <row r="270" spans="1:6" x14ac:dyDescent="0.15">
      <c r="A270" s="3"/>
      <c r="B270">
        <v>141</v>
      </c>
      <c r="C270">
        <v>175</v>
      </c>
      <c r="D270" s="890">
        <v>2118</v>
      </c>
      <c r="E270">
        <v>10</v>
      </c>
      <c r="F270">
        <v>7</v>
      </c>
    </row>
    <row r="271" spans="1:6" x14ac:dyDescent="0.15">
      <c r="A271" s="3"/>
      <c r="B271">
        <v>176</v>
      </c>
      <c r="C271">
        <v>200</v>
      </c>
      <c r="D271" s="890">
        <v>2118</v>
      </c>
      <c r="E271">
        <v>10</v>
      </c>
      <c r="F271">
        <v>7</v>
      </c>
    </row>
    <row r="272" spans="1:6" x14ac:dyDescent="0.15">
      <c r="A272" s="3"/>
      <c r="B272">
        <v>201</v>
      </c>
      <c r="C272">
        <v>250</v>
      </c>
      <c r="D272" s="890">
        <v>2118</v>
      </c>
      <c r="E272">
        <v>10</v>
      </c>
      <c r="F272">
        <v>7</v>
      </c>
    </row>
    <row r="273" spans="1:6" x14ac:dyDescent="0.15">
      <c r="A273" s="3"/>
      <c r="B273">
        <v>251</v>
      </c>
      <c r="C273">
        <v>300</v>
      </c>
      <c r="D273" s="890">
        <v>2118</v>
      </c>
      <c r="E273">
        <v>10</v>
      </c>
      <c r="F273">
        <v>7</v>
      </c>
    </row>
    <row r="274" spans="1:6" x14ac:dyDescent="0.15">
      <c r="A274" s="3"/>
      <c r="B274">
        <v>301</v>
      </c>
      <c r="C274">
        <v>400</v>
      </c>
      <c r="D274" s="890">
        <v>2203</v>
      </c>
      <c r="E274">
        <v>10</v>
      </c>
      <c r="F274">
        <v>7</v>
      </c>
    </row>
    <row r="275" spans="1:6" x14ac:dyDescent="0.15">
      <c r="A275" s="3"/>
      <c r="B275">
        <v>401</v>
      </c>
      <c r="C275">
        <v>550</v>
      </c>
      <c r="D275" s="890">
        <v>2203</v>
      </c>
      <c r="E275">
        <v>10</v>
      </c>
      <c r="F275">
        <v>7</v>
      </c>
    </row>
    <row r="276" spans="1:6" x14ac:dyDescent="0.15">
      <c r="A276" s="3"/>
      <c r="B276">
        <v>551</v>
      </c>
      <c r="C276">
        <v>625</v>
      </c>
      <c r="D276" s="890">
        <v>3358</v>
      </c>
      <c r="E276">
        <v>10</v>
      </c>
      <c r="F276">
        <v>7</v>
      </c>
    </row>
    <row r="277" spans="1:6" x14ac:dyDescent="0.15">
      <c r="A277" s="3"/>
      <c r="B277">
        <v>626</v>
      </c>
      <c r="C277">
        <v>700</v>
      </c>
      <c r="D277" s="890">
        <v>2491</v>
      </c>
      <c r="E277">
        <v>10</v>
      </c>
      <c r="F277">
        <v>7</v>
      </c>
    </row>
    <row r="278" spans="1:6" x14ac:dyDescent="0.15">
      <c r="A278" s="3"/>
      <c r="B278">
        <v>701</v>
      </c>
      <c r="C278">
        <v>850</v>
      </c>
      <c r="D278" s="890">
        <v>2306</v>
      </c>
      <c r="E278">
        <v>10</v>
      </c>
      <c r="F278">
        <v>7</v>
      </c>
    </row>
    <row r="279" spans="1:6" x14ac:dyDescent="0.15">
      <c r="A279" s="3"/>
      <c r="B279">
        <v>851</v>
      </c>
      <c r="C279">
        <v>950</v>
      </c>
      <c r="D279" s="890">
        <v>2560</v>
      </c>
      <c r="E279">
        <v>10</v>
      </c>
      <c r="F279">
        <v>7</v>
      </c>
    </row>
    <row r="280" spans="1:6" x14ac:dyDescent="0.15">
      <c r="A280" s="3"/>
      <c r="B280">
        <v>951</v>
      </c>
      <c r="C280">
        <v>1000</v>
      </c>
      <c r="D280" s="890">
        <v>2184.75</v>
      </c>
      <c r="E280">
        <v>10</v>
      </c>
      <c r="F280">
        <v>7</v>
      </c>
    </row>
    <row r="281" spans="1:6" x14ac:dyDescent="0.15">
      <c r="A281" s="3"/>
      <c r="B281">
        <v>1001</v>
      </c>
      <c r="C281">
        <v>1100</v>
      </c>
      <c r="D281" s="890">
        <v>2627</v>
      </c>
      <c r="E281">
        <v>10</v>
      </c>
      <c r="F281">
        <v>7</v>
      </c>
    </row>
    <row r="282" spans="1:6" x14ac:dyDescent="0.15">
      <c r="A282" s="3"/>
      <c r="B282">
        <v>1101</v>
      </c>
      <c r="C282">
        <v>1200</v>
      </c>
      <c r="D282" s="890">
        <v>2636</v>
      </c>
      <c r="E282">
        <v>10</v>
      </c>
      <c r="F282">
        <v>7</v>
      </c>
    </row>
    <row r="283" spans="1:6" x14ac:dyDescent="0.15">
      <c r="A283" s="3"/>
      <c r="B283">
        <v>1201</v>
      </c>
      <c r="C283">
        <v>1500</v>
      </c>
      <c r="D283" s="890">
        <v>2627</v>
      </c>
      <c r="E283">
        <v>10</v>
      </c>
      <c r="F283">
        <v>7</v>
      </c>
    </row>
    <row r="284" spans="1:6" x14ac:dyDescent="0.15">
      <c r="A284" s="3"/>
      <c r="B284">
        <v>1501</v>
      </c>
      <c r="C284">
        <v>1850</v>
      </c>
      <c r="D284" s="890">
        <v>2694</v>
      </c>
      <c r="E284">
        <v>10</v>
      </c>
      <c r="F284">
        <v>7</v>
      </c>
    </row>
    <row r="285" spans="1:6" x14ac:dyDescent="0.15">
      <c r="A285" s="3"/>
      <c r="B285">
        <v>1851</v>
      </c>
      <c r="C285">
        <v>2000</v>
      </c>
      <c r="D285" s="890">
        <v>2694</v>
      </c>
      <c r="E285">
        <v>10</v>
      </c>
      <c r="F285">
        <v>7</v>
      </c>
    </row>
    <row r="286" spans="1:6" x14ac:dyDescent="0.15">
      <c r="A286" s="3"/>
      <c r="B286">
        <v>2001</v>
      </c>
      <c r="C286">
        <v>2050</v>
      </c>
      <c r="D286" s="890">
        <v>2694</v>
      </c>
      <c r="E286">
        <v>10</v>
      </c>
      <c r="F286">
        <v>7</v>
      </c>
    </row>
    <row r="287" spans="1:6" x14ac:dyDescent="0.15">
      <c r="A287" s="3"/>
      <c r="B287">
        <v>2051</v>
      </c>
      <c r="C287">
        <v>2400</v>
      </c>
      <c r="D287" s="890">
        <v>3033</v>
      </c>
      <c r="E287">
        <v>10</v>
      </c>
      <c r="F287">
        <v>7</v>
      </c>
    </row>
    <row r="288" spans="1:6" x14ac:dyDescent="0.15">
      <c r="A288" s="3"/>
      <c r="B288">
        <v>2401</v>
      </c>
      <c r="C288">
        <v>2500</v>
      </c>
      <c r="D288" s="890">
        <v>2571.9499999999998</v>
      </c>
      <c r="E288">
        <v>10</v>
      </c>
      <c r="F288">
        <v>7</v>
      </c>
    </row>
    <row r="289" spans="1:6" x14ac:dyDescent="0.15">
      <c r="A289" s="3"/>
      <c r="B289">
        <v>2501</v>
      </c>
      <c r="C289">
        <v>2900</v>
      </c>
      <c r="D289" s="890">
        <v>3136</v>
      </c>
      <c r="E289">
        <v>10</v>
      </c>
      <c r="F289">
        <v>7</v>
      </c>
    </row>
    <row r="290" spans="1:6" x14ac:dyDescent="0.15">
      <c r="A290" s="3"/>
      <c r="B290">
        <v>2901</v>
      </c>
      <c r="C290">
        <v>3000</v>
      </c>
      <c r="D290" s="890">
        <v>3136</v>
      </c>
      <c r="E290">
        <v>10</v>
      </c>
      <c r="F290">
        <v>7</v>
      </c>
    </row>
    <row r="291" spans="1:6" x14ac:dyDescent="0.15">
      <c r="A291" s="3"/>
      <c r="B291">
        <v>3001</v>
      </c>
      <c r="C291">
        <v>4000</v>
      </c>
      <c r="D291" s="890">
        <v>3424</v>
      </c>
      <c r="E291">
        <v>10</v>
      </c>
      <c r="F291">
        <v>7</v>
      </c>
    </row>
    <row r="292" spans="1:6" x14ac:dyDescent="0.15">
      <c r="A292" s="3"/>
      <c r="B292">
        <v>4001</v>
      </c>
      <c r="C292">
        <v>4100</v>
      </c>
      <c r="D292" s="890">
        <v>3424</v>
      </c>
      <c r="E292">
        <v>10</v>
      </c>
      <c r="F292">
        <v>7</v>
      </c>
    </row>
    <row r="293" spans="1:6" x14ac:dyDescent="0.15">
      <c r="A293" s="3"/>
      <c r="B293">
        <v>4101</v>
      </c>
      <c r="C293">
        <v>4200</v>
      </c>
      <c r="D293" s="890">
        <v>3424</v>
      </c>
      <c r="E293">
        <v>10</v>
      </c>
      <c r="F293">
        <v>7</v>
      </c>
    </row>
    <row r="294" spans="1:6" x14ac:dyDescent="0.15">
      <c r="A294" s="3"/>
      <c r="B294">
        <v>4201</v>
      </c>
      <c r="C294">
        <v>5200</v>
      </c>
      <c r="D294" s="890">
        <v>2781.75</v>
      </c>
      <c r="E294">
        <v>10</v>
      </c>
      <c r="F294">
        <v>7</v>
      </c>
    </row>
    <row r="295" spans="1:6" x14ac:dyDescent="0.15">
      <c r="A295" s="3"/>
      <c r="B295">
        <v>5201</v>
      </c>
      <c r="C295">
        <v>5500</v>
      </c>
      <c r="D295" s="890">
        <v>3542</v>
      </c>
      <c r="E295">
        <v>10</v>
      </c>
      <c r="F295">
        <v>7</v>
      </c>
    </row>
    <row r="296" spans="1:6" x14ac:dyDescent="0.15">
      <c r="A296" s="3"/>
      <c r="B296">
        <v>5501</v>
      </c>
      <c r="C296">
        <v>5600</v>
      </c>
      <c r="D296" s="890">
        <v>3542</v>
      </c>
      <c r="E296">
        <v>10</v>
      </c>
      <c r="F296">
        <v>7</v>
      </c>
    </row>
    <row r="297" spans="1:6" x14ac:dyDescent="0.15">
      <c r="A297" s="3"/>
      <c r="B297">
        <v>5601</v>
      </c>
      <c r="C297">
        <v>6500</v>
      </c>
      <c r="D297" s="890">
        <v>5354</v>
      </c>
      <c r="E297">
        <v>10</v>
      </c>
      <c r="F297">
        <v>7</v>
      </c>
    </row>
    <row r="298" spans="1:6" x14ac:dyDescent="0.15">
      <c r="A298" s="3"/>
      <c r="B298">
        <v>6501</v>
      </c>
      <c r="C298">
        <v>6510</v>
      </c>
      <c r="D298" s="890">
        <v>5354</v>
      </c>
      <c r="E298">
        <v>10</v>
      </c>
      <c r="F298">
        <v>7</v>
      </c>
    </row>
    <row r="299" spans="1:6" x14ac:dyDescent="0.15">
      <c r="A299" s="3"/>
      <c r="B299">
        <v>6511</v>
      </c>
      <c r="C299">
        <v>7300</v>
      </c>
      <c r="D299" s="890">
        <v>5777</v>
      </c>
      <c r="E299">
        <v>10</v>
      </c>
      <c r="F299">
        <v>7</v>
      </c>
    </row>
    <row r="300" spans="1:6" x14ac:dyDescent="0.15">
      <c r="A300" s="3"/>
      <c r="B300">
        <v>7301</v>
      </c>
      <c r="C300">
        <v>8000</v>
      </c>
      <c r="D300" s="890">
        <v>4290.45</v>
      </c>
      <c r="E300">
        <v>10</v>
      </c>
      <c r="F300">
        <v>7</v>
      </c>
    </row>
    <row r="301" spans="1:6" x14ac:dyDescent="0.15">
      <c r="A301" s="3"/>
      <c r="B301">
        <v>8001</v>
      </c>
      <c r="C301">
        <v>8400</v>
      </c>
      <c r="D301" s="890">
        <v>5777</v>
      </c>
      <c r="E301">
        <v>10</v>
      </c>
      <c r="F301">
        <v>7</v>
      </c>
    </row>
    <row r="302" spans="1:6" x14ac:dyDescent="0.15">
      <c r="A302" s="3"/>
      <c r="B302">
        <v>8401</v>
      </c>
      <c r="C302">
        <v>10000</v>
      </c>
      <c r="D302" s="890">
        <v>5777</v>
      </c>
      <c r="E302">
        <v>10</v>
      </c>
      <c r="F302">
        <v>7</v>
      </c>
    </row>
    <row r="303" spans="1:6" x14ac:dyDescent="0.15">
      <c r="A303" s="3"/>
      <c r="B303">
        <v>10001</v>
      </c>
      <c r="C303">
        <v>12000</v>
      </c>
      <c r="D303" s="890">
        <v>8374.167270844122</v>
      </c>
      <c r="E303">
        <v>10</v>
      </c>
      <c r="F303">
        <v>7</v>
      </c>
    </row>
    <row r="304" spans="1:6" x14ac:dyDescent="0.15">
      <c r="A304" s="3"/>
      <c r="B304">
        <v>12001</v>
      </c>
      <c r="C304" t="s">
        <v>3599</v>
      </c>
      <c r="D304" s="890" t="s">
        <v>3599</v>
      </c>
      <c r="E304">
        <v>10</v>
      </c>
      <c r="F304">
        <v>7</v>
      </c>
    </row>
    <row r="307" spans="1:6" x14ac:dyDescent="0.15">
      <c r="A307" s="891" t="s">
        <v>3724</v>
      </c>
      <c r="B307" s="891" t="s">
        <v>3729</v>
      </c>
      <c r="C307" s="891"/>
      <c r="D307" s="891"/>
      <c r="E307" s="891"/>
      <c r="F307" s="891"/>
    </row>
    <row r="308" spans="1:6" x14ac:dyDescent="0.15">
      <c r="A308" s="889">
        <v>22</v>
      </c>
      <c r="B308" s="894" t="s">
        <v>3726</v>
      </c>
      <c r="C308" s="847" t="s">
        <v>3727</v>
      </c>
      <c r="D308" s="320" t="s">
        <v>3598</v>
      </c>
      <c r="E308" s="320" t="s">
        <v>3591</v>
      </c>
      <c r="F308" s="320" t="s">
        <v>3592</v>
      </c>
    </row>
    <row r="309" spans="1:6" x14ac:dyDescent="0.15">
      <c r="A309" s="3" t="s">
        <v>3730</v>
      </c>
      <c r="B309">
        <v>0</v>
      </c>
      <c r="C309">
        <v>40</v>
      </c>
      <c r="D309" s="890">
        <v>230</v>
      </c>
      <c r="E309">
        <v>10</v>
      </c>
      <c r="F309">
        <v>7</v>
      </c>
    </row>
    <row r="310" spans="1:6" x14ac:dyDescent="0.15">
      <c r="A310" s="3"/>
      <c r="B310">
        <v>41</v>
      </c>
      <c r="C310">
        <v>60</v>
      </c>
      <c r="D310" s="890">
        <v>294</v>
      </c>
      <c r="E310">
        <v>10</v>
      </c>
      <c r="F310">
        <v>7</v>
      </c>
    </row>
    <row r="311" spans="1:6" x14ac:dyDescent="0.15">
      <c r="A311" s="3"/>
      <c r="B311">
        <v>61</v>
      </c>
      <c r="C311">
        <v>80</v>
      </c>
      <c r="D311" s="890">
        <v>353</v>
      </c>
      <c r="E311">
        <v>10</v>
      </c>
      <c r="F311">
        <v>7</v>
      </c>
    </row>
    <row r="312" spans="1:6" x14ac:dyDescent="0.15">
      <c r="A312" s="3"/>
      <c r="B312">
        <v>81</v>
      </c>
      <c r="C312">
        <v>120</v>
      </c>
      <c r="D312" s="890">
        <v>460</v>
      </c>
      <c r="E312">
        <v>10</v>
      </c>
      <c r="F312">
        <v>7</v>
      </c>
    </row>
    <row r="313" spans="1:6" x14ac:dyDescent="0.15">
      <c r="A313" s="3"/>
      <c r="B313">
        <v>121</v>
      </c>
      <c r="C313">
        <v>140</v>
      </c>
      <c r="D313" s="890">
        <v>506</v>
      </c>
      <c r="E313">
        <v>10</v>
      </c>
      <c r="F313">
        <v>7</v>
      </c>
    </row>
    <row r="314" spans="1:6" x14ac:dyDescent="0.15">
      <c r="A314" s="3"/>
      <c r="B314">
        <v>141</v>
      </c>
      <c r="C314">
        <v>175</v>
      </c>
      <c r="D314" s="890">
        <v>558</v>
      </c>
      <c r="E314">
        <v>10</v>
      </c>
      <c r="F314">
        <v>7</v>
      </c>
    </row>
    <row r="315" spans="1:6" x14ac:dyDescent="0.15">
      <c r="A315" s="3"/>
      <c r="B315">
        <v>176</v>
      </c>
      <c r="C315">
        <v>200</v>
      </c>
      <c r="D315" s="890">
        <v>615</v>
      </c>
      <c r="E315">
        <v>10</v>
      </c>
      <c r="F315">
        <v>7</v>
      </c>
    </row>
    <row r="316" spans="1:6" x14ac:dyDescent="0.15">
      <c r="A316" s="3"/>
      <c r="B316">
        <v>201</v>
      </c>
      <c r="C316">
        <v>250</v>
      </c>
      <c r="D316" s="890">
        <v>727</v>
      </c>
      <c r="E316">
        <v>10</v>
      </c>
      <c r="F316">
        <v>7</v>
      </c>
    </row>
    <row r="317" spans="1:6" x14ac:dyDescent="0.15">
      <c r="A317" s="3"/>
      <c r="B317">
        <v>251</v>
      </c>
      <c r="C317">
        <v>300</v>
      </c>
      <c r="D317" s="890">
        <v>879</v>
      </c>
      <c r="E317">
        <v>10</v>
      </c>
      <c r="F317">
        <v>7</v>
      </c>
    </row>
    <row r="318" spans="1:6" x14ac:dyDescent="0.15">
      <c r="A318" s="3"/>
      <c r="B318">
        <v>301</v>
      </c>
      <c r="C318">
        <v>400</v>
      </c>
      <c r="D318" s="890">
        <v>1016</v>
      </c>
      <c r="E318">
        <v>10</v>
      </c>
      <c r="F318">
        <v>7</v>
      </c>
    </row>
    <row r="319" spans="1:6" x14ac:dyDescent="0.15">
      <c r="A319" s="3"/>
      <c r="B319">
        <v>401</v>
      </c>
      <c r="C319">
        <v>550</v>
      </c>
      <c r="D319" s="890">
        <v>1257</v>
      </c>
      <c r="E319">
        <v>10</v>
      </c>
      <c r="F319">
        <v>7</v>
      </c>
    </row>
    <row r="320" spans="1:6" x14ac:dyDescent="0.15">
      <c r="A320" s="3"/>
      <c r="B320">
        <v>551</v>
      </c>
      <c r="C320">
        <v>625</v>
      </c>
      <c r="D320" s="890">
        <v>1306</v>
      </c>
      <c r="E320">
        <v>10</v>
      </c>
      <c r="F320">
        <v>7</v>
      </c>
    </row>
    <row r="321" spans="1:6" x14ac:dyDescent="0.15">
      <c r="A321" s="3"/>
      <c r="B321">
        <v>626</v>
      </c>
      <c r="C321">
        <v>700</v>
      </c>
      <c r="D321" s="890">
        <v>1306</v>
      </c>
      <c r="E321">
        <v>10</v>
      </c>
      <c r="F321">
        <v>7</v>
      </c>
    </row>
    <row r="322" spans="1:6" x14ac:dyDescent="0.15">
      <c r="A322" s="3"/>
      <c r="B322">
        <v>701</v>
      </c>
      <c r="C322">
        <v>850</v>
      </c>
      <c r="D322" s="890">
        <v>1724</v>
      </c>
      <c r="E322">
        <v>10</v>
      </c>
      <c r="F322">
        <v>7</v>
      </c>
    </row>
    <row r="323" spans="1:6" x14ac:dyDescent="0.15">
      <c r="A323" s="3"/>
      <c r="B323">
        <v>851</v>
      </c>
      <c r="C323">
        <v>950</v>
      </c>
      <c r="D323" s="890">
        <v>1758</v>
      </c>
      <c r="E323">
        <v>10</v>
      </c>
      <c r="F323">
        <v>7</v>
      </c>
    </row>
    <row r="324" spans="1:6" x14ac:dyDescent="0.15">
      <c r="A324" s="3"/>
      <c r="B324">
        <v>951</v>
      </c>
      <c r="C324">
        <v>1000</v>
      </c>
      <c r="D324" s="890">
        <v>1613.8</v>
      </c>
      <c r="E324">
        <v>10</v>
      </c>
      <c r="F324">
        <v>7</v>
      </c>
    </row>
    <row r="325" spans="1:6" x14ac:dyDescent="0.15">
      <c r="A325" s="3"/>
      <c r="B325">
        <v>1001</v>
      </c>
      <c r="C325">
        <v>1100</v>
      </c>
      <c r="D325" s="890">
        <v>1834</v>
      </c>
      <c r="E325">
        <v>10</v>
      </c>
      <c r="F325">
        <v>7</v>
      </c>
    </row>
    <row r="326" spans="1:6" x14ac:dyDescent="0.15">
      <c r="A326" s="3"/>
      <c r="B326">
        <v>1101</v>
      </c>
      <c r="C326">
        <v>1200</v>
      </c>
      <c r="D326" s="890">
        <v>2032</v>
      </c>
      <c r="E326">
        <v>10</v>
      </c>
      <c r="F326">
        <v>7</v>
      </c>
    </row>
    <row r="327" spans="1:6" x14ac:dyDescent="0.15">
      <c r="A327" s="3"/>
      <c r="B327">
        <v>1201</v>
      </c>
      <c r="C327">
        <v>1500</v>
      </c>
      <c r="D327" s="890">
        <v>2469</v>
      </c>
      <c r="E327">
        <v>10</v>
      </c>
      <c r="F327">
        <v>7</v>
      </c>
    </row>
    <row r="328" spans="1:6" x14ac:dyDescent="0.15">
      <c r="A328" s="3"/>
      <c r="B328">
        <v>1501</v>
      </c>
      <c r="C328">
        <v>1850</v>
      </c>
      <c r="D328" s="890">
        <v>2823</v>
      </c>
      <c r="E328">
        <v>10</v>
      </c>
      <c r="F328">
        <v>7</v>
      </c>
    </row>
    <row r="329" spans="1:6" x14ac:dyDescent="0.15">
      <c r="A329" s="3"/>
      <c r="B329">
        <v>1851</v>
      </c>
      <c r="C329">
        <v>2000</v>
      </c>
      <c r="D329" s="890">
        <v>2823</v>
      </c>
      <c r="E329">
        <v>10</v>
      </c>
      <c r="F329">
        <v>7</v>
      </c>
    </row>
    <row r="330" spans="1:6" x14ac:dyDescent="0.15">
      <c r="A330" s="3"/>
      <c r="B330">
        <v>2001</v>
      </c>
      <c r="C330">
        <v>2050</v>
      </c>
      <c r="D330" s="890">
        <v>3237</v>
      </c>
      <c r="E330">
        <v>10</v>
      </c>
      <c r="F330">
        <v>7</v>
      </c>
    </row>
    <row r="331" spans="1:6" x14ac:dyDescent="0.15">
      <c r="A331" s="3"/>
      <c r="B331">
        <v>2051</v>
      </c>
      <c r="C331">
        <v>2400</v>
      </c>
      <c r="D331" s="890">
        <v>3221</v>
      </c>
      <c r="E331">
        <v>10</v>
      </c>
      <c r="F331">
        <v>7</v>
      </c>
    </row>
    <row r="332" spans="1:6" x14ac:dyDescent="0.15">
      <c r="A332" s="3"/>
      <c r="B332">
        <v>2401</v>
      </c>
      <c r="C332">
        <v>2500</v>
      </c>
      <c r="D332" s="890">
        <v>2956.9</v>
      </c>
      <c r="E332">
        <v>10</v>
      </c>
      <c r="F332">
        <v>7</v>
      </c>
    </row>
    <row r="333" spans="1:6" x14ac:dyDescent="0.15">
      <c r="A333" s="3"/>
      <c r="B333">
        <v>2501</v>
      </c>
      <c r="C333">
        <v>2900</v>
      </c>
      <c r="D333" s="890">
        <v>3648</v>
      </c>
      <c r="E333">
        <v>10</v>
      </c>
      <c r="F333">
        <v>7</v>
      </c>
    </row>
    <row r="334" spans="1:6" x14ac:dyDescent="0.15">
      <c r="A334" s="3"/>
      <c r="B334">
        <v>2901</v>
      </c>
      <c r="C334">
        <v>3000</v>
      </c>
      <c r="D334" s="890">
        <v>3648</v>
      </c>
      <c r="E334">
        <v>10</v>
      </c>
      <c r="F334">
        <v>7</v>
      </c>
    </row>
    <row r="335" spans="1:6" x14ac:dyDescent="0.15">
      <c r="A335" s="3"/>
      <c r="B335">
        <v>3001</v>
      </c>
      <c r="C335">
        <v>4000</v>
      </c>
      <c r="D335" s="890">
        <v>4418</v>
      </c>
      <c r="E335">
        <v>10</v>
      </c>
      <c r="F335">
        <v>7</v>
      </c>
    </row>
    <row r="336" spans="1:6" x14ac:dyDescent="0.15">
      <c r="A336" s="3"/>
      <c r="B336">
        <v>4001</v>
      </c>
      <c r="C336">
        <v>4100</v>
      </c>
      <c r="D336" s="890">
        <v>4549</v>
      </c>
      <c r="E336">
        <v>10</v>
      </c>
      <c r="F336">
        <v>7</v>
      </c>
    </row>
    <row r="337" spans="1:6" x14ac:dyDescent="0.15">
      <c r="A337" s="3"/>
      <c r="B337">
        <v>4101</v>
      </c>
      <c r="C337">
        <v>4200</v>
      </c>
      <c r="D337" s="890">
        <v>4654</v>
      </c>
      <c r="E337">
        <v>10</v>
      </c>
      <c r="F337">
        <v>7</v>
      </c>
    </row>
    <row r="338" spans="1:6" x14ac:dyDescent="0.15">
      <c r="A338" s="3"/>
      <c r="B338">
        <v>4201</v>
      </c>
      <c r="C338">
        <v>5200</v>
      </c>
      <c r="D338" s="890">
        <v>4641.1000000000004</v>
      </c>
      <c r="E338">
        <v>10</v>
      </c>
      <c r="F338">
        <v>7</v>
      </c>
    </row>
    <row r="339" spans="1:6" x14ac:dyDescent="0.15">
      <c r="A339" s="3"/>
      <c r="B339">
        <v>5201</v>
      </c>
      <c r="C339">
        <v>5500</v>
      </c>
      <c r="D339" s="890">
        <v>4808</v>
      </c>
      <c r="E339">
        <v>10</v>
      </c>
      <c r="F339">
        <v>7</v>
      </c>
    </row>
    <row r="340" spans="1:6" x14ac:dyDescent="0.15">
      <c r="A340" s="3"/>
      <c r="B340">
        <v>5501</v>
      </c>
      <c r="C340">
        <v>5600</v>
      </c>
      <c r="D340" s="890">
        <v>5674</v>
      </c>
      <c r="E340">
        <v>10</v>
      </c>
      <c r="F340">
        <v>7</v>
      </c>
    </row>
    <row r="341" spans="1:6" x14ac:dyDescent="0.15">
      <c r="A341" s="3"/>
      <c r="B341">
        <v>5601</v>
      </c>
      <c r="C341">
        <v>6500</v>
      </c>
      <c r="D341" s="890">
        <v>6276</v>
      </c>
      <c r="E341">
        <v>10</v>
      </c>
      <c r="F341">
        <v>7</v>
      </c>
    </row>
    <row r="342" spans="1:6" x14ac:dyDescent="0.15">
      <c r="A342" s="3"/>
      <c r="B342">
        <v>6501</v>
      </c>
      <c r="C342">
        <v>6510</v>
      </c>
      <c r="D342" s="890">
        <v>5297</v>
      </c>
      <c r="E342">
        <v>10</v>
      </c>
      <c r="F342">
        <v>7</v>
      </c>
    </row>
    <row r="343" spans="1:6" x14ac:dyDescent="0.15">
      <c r="A343" s="3"/>
      <c r="B343">
        <v>6511</v>
      </c>
      <c r="C343">
        <v>7300</v>
      </c>
      <c r="D343" s="890">
        <v>6966</v>
      </c>
      <c r="E343">
        <v>10</v>
      </c>
      <c r="F343">
        <v>7</v>
      </c>
    </row>
    <row r="344" spans="1:6" x14ac:dyDescent="0.15">
      <c r="A344" s="3"/>
      <c r="B344">
        <v>7301</v>
      </c>
      <c r="C344">
        <v>8000</v>
      </c>
      <c r="D344" s="890">
        <v>6394.7</v>
      </c>
      <c r="E344">
        <v>10</v>
      </c>
      <c r="F344">
        <v>7</v>
      </c>
    </row>
    <row r="345" spans="1:6" x14ac:dyDescent="0.15">
      <c r="A345" s="3"/>
      <c r="B345">
        <v>8001</v>
      </c>
      <c r="C345">
        <v>8400</v>
      </c>
      <c r="D345" s="890">
        <v>7347</v>
      </c>
      <c r="E345">
        <v>10</v>
      </c>
      <c r="F345">
        <v>7</v>
      </c>
    </row>
    <row r="346" spans="1:6" x14ac:dyDescent="0.15">
      <c r="A346" s="3"/>
      <c r="B346">
        <v>8401</v>
      </c>
      <c r="C346">
        <v>10000</v>
      </c>
      <c r="D346" s="890">
        <v>8170</v>
      </c>
      <c r="E346">
        <v>10</v>
      </c>
      <c r="F346">
        <v>7</v>
      </c>
    </row>
    <row r="347" spans="1:6" x14ac:dyDescent="0.15">
      <c r="A347" s="3"/>
      <c r="B347">
        <v>10001</v>
      </c>
      <c r="C347">
        <v>12000</v>
      </c>
      <c r="D347" s="890">
        <v>9076</v>
      </c>
      <c r="E347">
        <v>10</v>
      </c>
      <c r="F347">
        <v>7</v>
      </c>
    </row>
    <row r="348" spans="1:6" x14ac:dyDescent="0.15">
      <c r="A348" s="3"/>
      <c r="B348">
        <v>12001</v>
      </c>
      <c r="C348" t="s">
        <v>3599</v>
      </c>
      <c r="D348" s="890" t="s">
        <v>3599</v>
      </c>
      <c r="E348">
        <v>10</v>
      </c>
      <c r="F348">
        <v>7</v>
      </c>
    </row>
    <row r="351" spans="1:6" x14ac:dyDescent="0.15">
      <c r="A351" s="3"/>
    </row>
    <row r="352" spans="1:6" x14ac:dyDescent="0.15">
      <c r="A352" s="909" t="s">
        <v>3731</v>
      </c>
      <c r="B352" s="910" t="s">
        <v>3732</v>
      </c>
      <c r="C352" s="911">
        <v>2021</v>
      </c>
    </row>
    <row r="355" spans="1:6" x14ac:dyDescent="0.15">
      <c r="A355" s="891" t="s">
        <v>3733</v>
      </c>
      <c r="B355" s="891" t="s">
        <v>3734</v>
      </c>
      <c r="C355" s="891"/>
      <c r="D355" s="891"/>
      <c r="E355" s="891"/>
      <c r="F355" s="891"/>
    </row>
    <row r="356" spans="1:6" x14ac:dyDescent="0.15">
      <c r="A356" s="889">
        <v>19</v>
      </c>
      <c r="B356" s="320" t="s">
        <v>3697</v>
      </c>
      <c r="C356" s="320" t="s">
        <v>3698</v>
      </c>
      <c r="D356" s="847" t="s">
        <v>3715</v>
      </c>
      <c r="E356" s="320" t="s">
        <v>3591</v>
      </c>
      <c r="F356" s="320" t="s">
        <v>3592</v>
      </c>
    </row>
    <row r="357" spans="1:6" x14ac:dyDescent="0.15">
      <c r="A357" s="3" t="s">
        <v>3735</v>
      </c>
      <c r="B357">
        <v>0</v>
      </c>
      <c r="C357">
        <v>4</v>
      </c>
      <c r="D357" s="890">
        <v>75</v>
      </c>
      <c r="E357">
        <v>40</v>
      </c>
      <c r="F357">
        <v>35</v>
      </c>
    </row>
    <row r="358" spans="1:6" x14ac:dyDescent="0.15">
      <c r="A358" s="3"/>
      <c r="B358">
        <v>4.0999999999999996</v>
      </c>
      <c r="C358">
        <v>6</v>
      </c>
      <c r="D358" s="890">
        <v>92.5</v>
      </c>
      <c r="E358">
        <v>40</v>
      </c>
      <c r="F358">
        <v>35</v>
      </c>
    </row>
    <row r="359" spans="1:6" x14ac:dyDescent="0.15">
      <c r="A359" s="3"/>
      <c r="B359">
        <v>6.1</v>
      </c>
      <c r="C359">
        <v>8</v>
      </c>
      <c r="D359" s="890">
        <v>126</v>
      </c>
      <c r="E359">
        <v>40</v>
      </c>
      <c r="F359">
        <v>35</v>
      </c>
    </row>
    <row r="360" spans="1:6" x14ac:dyDescent="0.15">
      <c r="A360" s="3"/>
      <c r="B360">
        <v>8.1</v>
      </c>
      <c r="C360">
        <v>10</v>
      </c>
      <c r="D360" s="890">
        <v>161</v>
      </c>
      <c r="E360">
        <v>40</v>
      </c>
      <c r="F360">
        <v>35</v>
      </c>
    </row>
    <row r="361" spans="1:6" x14ac:dyDescent="0.15">
      <c r="A361" s="3"/>
      <c r="B361">
        <v>10.1</v>
      </c>
      <c r="C361">
        <v>12</v>
      </c>
      <c r="D361" s="890">
        <v>197</v>
      </c>
      <c r="E361">
        <v>40</v>
      </c>
      <c r="F361">
        <v>35</v>
      </c>
    </row>
    <row r="362" spans="1:6" x14ac:dyDescent="0.15">
      <c r="A362" s="3"/>
      <c r="B362">
        <v>12.1</v>
      </c>
      <c r="C362">
        <v>14</v>
      </c>
      <c r="D362" s="890">
        <v>157</v>
      </c>
      <c r="E362">
        <v>40</v>
      </c>
      <c r="F362">
        <v>35</v>
      </c>
    </row>
    <row r="363" spans="1:6" x14ac:dyDescent="0.15">
      <c r="A363" s="3"/>
      <c r="B363">
        <v>14.1</v>
      </c>
      <c r="C363">
        <v>16</v>
      </c>
      <c r="D363" s="890">
        <v>169</v>
      </c>
      <c r="E363">
        <v>40</v>
      </c>
      <c r="F363">
        <v>35</v>
      </c>
    </row>
    <row r="364" spans="1:6" x14ac:dyDescent="0.15">
      <c r="A364" s="3"/>
      <c r="B364">
        <v>16.100000000000001</v>
      </c>
      <c r="C364">
        <v>18</v>
      </c>
      <c r="D364" s="890">
        <v>216</v>
      </c>
      <c r="E364">
        <v>40</v>
      </c>
      <c r="F364">
        <v>35</v>
      </c>
    </row>
    <row r="365" spans="1:6" x14ac:dyDescent="0.15">
      <c r="A365" s="3"/>
      <c r="B365">
        <v>18.100000000000001</v>
      </c>
      <c r="C365">
        <v>20</v>
      </c>
      <c r="D365" s="890">
        <v>225</v>
      </c>
      <c r="E365">
        <v>40</v>
      </c>
      <c r="F365">
        <v>35</v>
      </c>
    </row>
    <row r="366" spans="1:6" x14ac:dyDescent="0.15">
      <c r="A366" s="3"/>
      <c r="B366">
        <v>20.100000000000001</v>
      </c>
      <c r="C366">
        <v>24</v>
      </c>
      <c r="D366" s="890">
        <v>254</v>
      </c>
      <c r="E366">
        <v>40</v>
      </c>
      <c r="F366">
        <v>35</v>
      </c>
    </row>
    <row r="367" spans="1:6" x14ac:dyDescent="0.15">
      <c r="A367" s="3"/>
      <c r="B367">
        <v>24.1</v>
      </c>
      <c r="C367">
        <v>30</v>
      </c>
      <c r="D367" s="890">
        <v>345.13777777777773</v>
      </c>
      <c r="E367">
        <v>40</v>
      </c>
      <c r="F367">
        <v>35</v>
      </c>
    </row>
    <row r="368" spans="1:6" x14ac:dyDescent="0.15">
      <c r="A368" s="3"/>
      <c r="B368">
        <v>30.1</v>
      </c>
      <c r="C368">
        <v>36</v>
      </c>
      <c r="D368" s="890">
        <v>451.23555555555549</v>
      </c>
      <c r="E368">
        <v>40</v>
      </c>
      <c r="F368">
        <v>35</v>
      </c>
    </row>
    <row r="369" spans="1:6" x14ac:dyDescent="0.15">
      <c r="A369" s="3"/>
      <c r="B369">
        <v>36.1</v>
      </c>
      <c r="C369">
        <v>42</v>
      </c>
      <c r="D369" s="890">
        <v>628.76444444444439</v>
      </c>
      <c r="E369">
        <v>40</v>
      </c>
      <c r="F369">
        <v>35</v>
      </c>
    </row>
    <row r="370" spans="1:6" x14ac:dyDescent="0.15">
      <c r="A370" s="3"/>
      <c r="B370">
        <v>42.1</v>
      </c>
      <c r="C370">
        <v>48</v>
      </c>
      <c r="D370" s="890">
        <v>816.64</v>
      </c>
      <c r="E370">
        <v>40</v>
      </c>
      <c r="F370">
        <v>35</v>
      </c>
    </row>
    <row r="371" spans="1:6" x14ac:dyDescent="0.15">
      <c r="A371" s="3"/>
      <c r="B371">
        <v>48.1</v>
      </c>
      <c r="C371" t="s">
        <v>3599</v>
      </c>
      <c r="D371" s="890" t="s">
        <v>3599</v>
      </c>
      <c r="E371">
        <v>40</v>
      </c>
      <c r="F371">
        <v>35</v>
      </c>
    </row>
    <row r="374" spans="1:6" x14ac:dyDescent="0.15">
      <c r="A374" s="892" t="s">
        <v>3589</v>
      </c>
      <c r="B374" s="892" t="s">
        <v>93</v>
      </c>
      <c r="C374" s="892"/>
      <c r="D374" s="892"/>
      <c r="E374" s="892"/>
      <c r="F374" s="892"/>
    </row>
    <row r="375" spans="1:6" x14ac:dyDescent="0.15">
      <c r="A375" s="889">
        <v>43</v>
      </c>
      <c r="B375" s="320"/>
      <c r="C375" s="320"/>
      <c r="D375" s="847" t="s">
        <v>3598</v>
      </c>
      <c r="E375" s="320" t="s">
        <v>3591</v>
      </c>
      <c r="F375" s="320" t="s">
        <v>3592</v>
      </c>
    </row>
    <row r="376" spans="1:6" x14ac:dyDescent="0.15">
      <c r="A376" s="3" t="s">
        <v>3736</v>
      </c>
      <c r="B376">
        <v>0</v>
      </c>
      <c r="C376">
        <v>0</v>
      </c>
      <c r="D376" s="890">
        <v>1400</v>
      </c>
      <c r="E376">
        <v>22</v>
      </c>
      <c r="F376">
        <v>17</v>
      </c>
    </row>
    <row r="379" spans="1:6" x14ac:dyDescent="0.15">
      <c r="A379" s="889">
        <v>3</v>
      </c>
      <c r="B379" s="320"/>
      <c r="C379" s="782"/>
      <c r="D379" s="847" t="s">
        <v>3603</v>
      </c>
      <c r="E379" s="847" t="s">
        <v>3591</v>
      </c>
    </row>
    <row r="380" spans="1:6" x14ac:dyDescent="0.15">
      <c r="A380" s="3" t="s">
        <v>3738</v>
      </c>
      <c r="B380" s="526" t="s">
        <v>3737</v>
      </c>
      <c r="C380" s="3" t="s">
        <v>3738</v>
      </c>
      <c r="D380" s="893">
        <v>8.19</v>
      </c>
      <c r="E380" t="s">
        <v>1345</v>
      </c>
    </row>
    <row r="383" spans="1:6" x14ac:dyDescent="0.15">
      <c r="A383" s="892" t="s">
        <v>3739</v>
      </c>
      <c r="B383" s="892" t="s">
        <v>3740</v>
      </c>
      <c r="C383" s="892"/>
      <c r="D383" s="892"/>
      <c r="E383" s="892"/>
      <c r="F383" s="892"/>
    </row>
    <row r="384" spans="1:6" x14ac:dyDescent="0.15">
      <c r="A384" s="889">
        <v>16</v>
      </c>
      <c r="B384" s="320"/>
      <c r="C384" s="782"/>
      <c r="D384" s="847" t="s">
        <v>3741</v>
      </c>
      <c r="E384" s="847" t="s">
        <v>3591</v>
      </c>
      <c r="F384" s="847" t="s">
        <v>3592</v>
      </c>
    </row>
    <row r="385" spans="1:6" x14ac:dyDescent="0.15">
      <c r="A385" s="3" t="s">
        <v>3742</v>
      </c>
      <c r="B385">
        <v>0</v>
      </c>
      <c r="C385">
        <v>0</v>
      </c>
      <c r="D385" s="893">
        <v>2.7</v>
      </c>
      <c r="E385" s="526">
        <v>10</v>
      </c>
      <c r="F385" s="526">
        <v>10</v>
      </c>
    </row>
    <row r="388" spans="1:6" x14ac:dyDescent="0.15">
      <c r="A388" s="892" t="s">
        <v>3601</v>
      </c>
      <c r="B388" s="892" t="s">
        <v>566</v>
      </c>
      <c r="C388" s="892"/>
      <c r="D388" s="892"/>
      <c r="E388" s="892"/>
      <c r="F388" s="892"/>
    </row>
    <row r="389" spans="1:6" x14ac:dyDescent="0.15">
      <c r="A389" s="889">
        <v>3</v>
      </c>
      <c r="B389" s="320"/>
      <c r="C389" s="320"/>
      <c r="D389" s="320" t="s">
        <v>3603</v>
      </c>
      <c r="E389" s="320" t="s">
        <v>3591</v>
      </c>
      <c r="F389" s="320" t="s">
        <v>3592</v>
      </c>
    </row>
    <row r="390" spans="1:6" x14ac:dyDescent="0.15">
      <c r="A390" s="3" t="s">
        <v>3743</v>
      </c>
      <c r="B390">
        <v>0</v>
      </c>
      <c r="C390">
        <v>0</v>
      </c>
      <c r="D390" s="893">
        <v>30.879999999999995</v>
      </c>
      <c r="E390" t="s">
        <v>3604</v>
      </c>
      <c r="F390" t="s">
        <v>3604</v>
      </c>
    </row>
    <row r="393" spans="1:6" x14ac:dyDescent="0.15">
      <c r="A393" s="891" t="s">
        <v>3739</v>
      </c>
      <c r="B393" s="891" t="s">
        <v>3744</v>
      </c>
      <c r="C393" s="891"/>
      <c r="D393" s="891"/>
      <c r="E393" s="891"/>
      <c r="F393" s="891"/>
    </row>
    <row r="394" spans="1:6" x14ac:dyDescent="0.15">
      <c r="A394" s="889">
        <v>16</v>
      </c>
      <c r="B394" s="320" t="s">
        <v>3719</v>
      </c>
      <c r="C394" s="320" t="s">
        <v>3720</v>
      </c>
      <c r="D394" s="320" t="s">
        <v>3598</v>
      </c>
      <c r="E394" s="320" t="s">
        <v>3591</v>
      </c>
      <c r="F394" s="320" t="s">
        <v>3592</v>
      </c>
    </row>
    <row r="395" spans="1:6" x14ac:dyDescent="0.15">
      <c r="A395" s="3" t="s">
        <v>3745</v>
      </c>
      <c r="B395">
        <v>0</v>
      </c>
      <c r="C395">
        <v>564</v>
      </c>
      <c r="D395" s="890">
        <v>7145.2205882352946</v>
      </c>
      <c r="E395">
        <v>25</v>
      </c>
      <c r="F395">
        <v>20</v>
      </c>
    </row>
    <row r="396" spans="1:6" x14ac:dyDescent="0.15">
      <c r="A396" s="3"/>
      <c r="B396">
        <v>565</v>
      </c>
      <c r="C396">
        <v>600</v>
      </c>
      <c r="D396" s="890">
        <v>18678.227941176472</v>
      </c>
      <c r="E396">
        <v>25</v>
      </c>
      <c r="F396">
        <v>20</v>
      </c>
    </row>
    <row r="397" spans="1:6" x14ac:dyDescent="0.15">
      <c r="A397" s="3"/>
      <c r="B397">
        <v>601</v>
      </c>
      <c r="C397">
        <v>1000</v>
      </c>
      <c r="D397" s="890">
        <v>28419.964285714283</v>
      </c>
      <c r="E397">
        <v>25</v>
      </c>
      <c r="F397">
        <v>20</v>
      </c>
    </row>
    <row r="398" spans="1:6" x14ac:dyDescent="0.15">
      <c r="A398" s="3"/>
      <c r="B398">
        <v>1001</v>
      </c>
      <c r="C398">
        <v>1470</v>
      </c>
      <c r="D398" s="890">
        <v>8733.9285714285706</v>
      </c>
      <c r="E398">
        <v>25</v>
      </c>
      <c r="F398">
        <v>20</v>
      </c>
    </row>
    <row r="399" spans="1:6" x14ac:dyDescent="0.15">
      <c r="A399" s="3"/>
      <c r="B399">
        <v>1471</v>
      </c>
      <c r="C399">
        <v>1500</v>
      </c>
      <c r="D399" s="890">
        <v>24998.206896551721</v>
      </c>
      <c r="E399">
        <v>25</v>
      </c>
      <c r="F399">
        <v>20</v>
      </c>
    </row>
    <row r="400" spans="1:6" x14ac:dyDescent="0.15">
      <c r="A400" s="3"/>
      <c r="B400">
        <v>1501</v>
      </c>
      <c r="C400">
        <v>2000</v>
      </c>
      <c r="D400" s="890">
        <v>28731.03875968992</v>
      </c>
      <c r="E400">
        <v>25</v>
      </c>
      <c r="F400">
        <v>20</v>
      </c>
    </row>
    <row r="401" spans="1:6" x14ac:dyDescent="0.15">
      <c r="A401" s="3"/>
      <c r="B401">
        <v>2001</v>
      </c>
      <c r="C401">
        <v>3000</v>
      </c>
      <c r="D401" s="890">
        <v>30053.043927648578</v>
      </c>
      <c r="E401">
        <v>25</v>
      </c>
      <c r="F401">
        <v>20</v>
      </c>
    </row>
    <row r="402" spans="1:6" x14ac:dyDescent="0.15">
      <c r="A402" s="3"/>
      <c r="B402">
        <v>3001</v>
      </c>
      <c r="C402">
        <v>4000</v>
      </c>
      <c r="D402" s="890">
        <v>33272.392764857876</v>
      </c>
      <c r="E402">
        <v>25</v>
      </c>
      <c r="F402">
        <v>20</v>
      </c>
    </row>
    <row r="403" spans="1:6" x14ac:dyDescent="0.15">
      <c r="A403" s="3"/>
      <c r="B403">
        <v>4001</v>
      </c>
      <c r="C403">
        <v>4500</v>
      </c>
      <c r="D403" s="890">
        <v>12994.315245478036</v>
      </c>
      <c r="E403">
        <v>25</v>
      </c>
      <c r="F403">
        <v>20</v>
      </c>
    </row>
    <row r="404" spans="1:6" x14ac:dyDescent="0.15">
      <c r="A404" s="3"/>
      <c r="B404">
        <v>4501</v>
      </c>
      <c r="C404">
        <v>5000</v>
      </c>
      <c r="D404" s="890">
        <v>36466.366492146597</v>
      </c>
      <c r="E404">
        <v>25</v>
      </c>
      <c r="F404">
        <v>20</v>
      </c>
    </row>
    <row r="405" spans="1:6" x14ac:dyDescent="0.15">
      <c r="A405" s="3"/>
      <c r="B405">
        <v>5001</v>
      </c>
      <c r="C405">
        <v>6000</v>
      </c>
      <c r="D405" s="890">
        <v>40172.167539267015</v>
      </c>
      <c r="E405">
        <v>25</v>
      </c>
      <c r="F405">
        <v>20</v>
      </c>
    </row>
    <row r="406" spans="1:6" x14ac:dyDescent="0.15">
      <c r="A406" s="3"/>
      <c r="B406">
        <v>6001</v>
      </c>
      <c r="C406">
        <v>7000</v>
      </c>
      <c r="D406" s="890">
        <v>43357.41361256544</v>
      </c>
      <c r="E406">
        <v>25</v>
      </c>
      <c r="F406">
        <v>20</v>
      </c>
    </row>
    <row r="407" spans="1:6" x14ac:dyDescent="0.15">
      <c r="A407" s="3"/>
      <c r="B407">
        <v>7001</v>
      </c>
      <c r="C407">
        <v>8000</v>
      </c>
      <c r="D407" s="890">
        <v>46547.246073298425</v>
      </c>
      <c r="E407">
        <v>25</v>
      </c>
      <c r="F407">
        <v>20</v>
      </c>
    </row>
    <row r="408" spans="1:6" x14ac:dyDescent="0.15">
      <c r="A408" s="3"/>
      <c r="B408">
        <v>8001</v>
      </c>
      <c r="C408">
        <v>9000</v>
      </c>
      <c r="D408" s="890">
        <v>49390.806282722508</v>
      </c>
      <c r="E408">
        <v>25</v>
      </c>
      <c r="F408">
        <v>20</v>
      </c>
    </row>
    <row r="409" spans="1:6" x14ac:dyDescent="0.15">
      <c r="A409" s="3"/>
      <c r="B409">
        <v>9001</v>
      </c>
      <c r="C409">
        <v>10000</v>
      </c>
      <c r="D409" s="890">
        <v>58598.51880877743</v>
      </c>
      <c r="E409">
        <v>25</v>
      </c>
      <c r="F409">
        <v>20</v>
      </c>
    </row>
    <row r="410" spans="1:6" x14ac:dyDescent="0.15">
      <c r="A410" s="3"/>
      <c r="B410">
        <v>10001</v>
      </c>
      <c r="C410">
        <v>11000</v>
      </c>
      <c r="D410" s="890">
        <v>55237.429467084643</v>
      </c>
      <c r="E410">
        <v>25</v>
      </c>
      <c r="F410">
        <v>20</v>
      </c>
    </row>
    <row r="411" spans="1:6" x14ac:dyDescent="0.15">
      <c r="A411" s="3"/>
      <c r="B411">
        <v>11001</v>
      </c>
      <c r="C411">
        <v>11750</v>
      </c>
      <c r="D411" s="890">
        <v>26877.272727272728</v>
      </c>
      <c r="E411">
        <v>25</v>
      </c>
      <c r="F411">
        <v>20</v>
      </c>
    </row>
    <row r="412" spans="1:6" x14ac:dyDescent="0.15">
      <c r="A412" s="3"/>
      <c r="B412">
        <v>11751</v>
      </c>
      <c r="C412">
        <v>12000</v>
      </c>
      <c r="D412" s="890">
        <v>58195.188087774295</v>
      </c>
      <c r="E412">
        <v>25</v>
      </c>
      <c r="F412">
        <v>20</v>
      </c>
    </row>
    <row r="413" spans="1:6" x14ac:dyDescent="0.15">
      <c r="A413" s="3"/>
      <c r="B413">
        <v>12001</v>
      </c>
      <c r="C413">
        <v>13000</v>
      </c>
      <c r="D413" s="890">
        <v>67522.711598746086</v>
      </c>
      <c r="E413">
        <v>25</v>
      </c>
      <c r="F413">
        <v>20</v>
      </c>
    </row>
    <row r="414" spans="1:6" x14ac:dyDescent="0.15">
      <c r="A414" s="3"/>
      <c r="B414">
        <v>13001</v>
      </c>
      <c r="C414">
        <v>14000</v>
      </c>
      <c r="D414" s="890">
        <v>74843.307210031358</v>
      </c>
      <c r="E414">
        <v>25</v>
      </c>
      <c r="F414">
        <v>20</v>
      </c>
    </row>
    <row r="415" spans="1:6" x14ac:dyDescent="0.15">
      <c r="A415" s="3"/>
      <c r="B415">
        <v>14001</v>
      </c>
      <c r="C415">
        <v>15000</v>
      </c>
      <c r="D415" s="890">
        <v>73837.256097560967</v>
      </c>
      <c r="E415">
        <v>25</v>
      </c>
      <c r="F415">
        <v>20</v>
      </c>
    </row>
    <row r="416" spans="1:6" x14ac:dyDescent="0.15">
      <c r="A416" s="3"/>
      <c r="B416">
        <v>15001</v>
      </c>
      <c r="C416">
        <v>20000</v>
      </c>
      <c r="D416" s="890">
        <v>103145.65094339623</v>
      </c>
      <c r="E416">
        <v>25</v>
      </c>
      <c r="F416">
        <v>20</v>
      </c>
    </row>
    <row r="417" spans="1:6" x14ac:dyDescent="0.15">
      <c r="A417" s="3"/>
      <c r="B417">
        <v>20001</v>
      </c>
      <c r="C417">
        <v>20300</v>
      </c>
      <c r="D417" s="890">
        <v>37943.773584905663</v>
      </c>
      <c r="E417">
        <v>25</v>
      </c>
      <c r="F417">
        <v>20</v>
      </c>
    </row>
    <row r="418" spans="1:6" x14ac:dyDescent="0.15">
      <c r="A418" s="3"/>
      <c r="B418">
        <v>20001</v>
      </c>
      <c r="C418">
        <v>22000</v>
      </c>
      <c r="D418" s="890">
        <v>115906.58490566039</v>
      </c>
      <c r="E418">
        <v>25</v>
      </c>
      <c r="F418">
        <v>20</v>
      </c>
    </row>
    <row r="419" spans="1:6" x14ac:dyDescent="0.15">
      <c r="A419" s="3"/>
      <c r="B419">
        <v>20001</v>
      </c>
      <c r="C419">
        <v>25000</v>
      </c>
      <c r="D419" s="890">
        <v>134954.3548387097</v>
      </c>
      <c r="E419">
        <v>25</v>
      </c>
      <c r="F419">
        <v>20</v>
      </c>
    </row>
    <row r="420" spans="1:6" x14ac:dyDescent="0.15">
      <c r="A420" s="3"/>
      <c r="B420">
        <v>20001</v>
      </c>
      <c r="C420">
        <v>30000</v>
      </c>
      <c r="D420" s="890">
        <v>163190.43243243243</v>
      </c>
      <c r="E420">
        <v>25</v>
      </c>
      <c r="F420">
        <v>20</v>
      </c>
    </row>
    <row r="421" spans="1:6" x14ac:dyDescent="0.15">
      <c r="A421" s="3"/>
      <c r="B421">
        <v>20001</v>
      </c>
      <c r="C421">
        <v>35000</v>
      </c>
      <c r="D421" s="890">
        <v>177220.13513513512</v>
      </c>
      <c r="E421">
        <v>25</v>
      </c>
      <c r="F421">
        <v>20</v>
      </c>
    </row>
    <row r="422" spans="1:6" x14ac:dyDescent="0.15">
      <c r="A422" s="3"/>
      <c r="B422">
        <v>20001</v>
      </c>
      <c r="C422">
        <v>40000</v>
      </c>
      <c r="D422" s="890">
        <v>222109.6216216216</v>
      </c>
      <c r="E422">
        <v>25</v>
      </c>
      <c r="F422">
        <v>20</v>
      </c>
    </row>
    <row r="423" spans="1:6" x14ac:dyDescent="0.15">
      <c r="A423" s="3"/>
      <c r="B423">
        <v>20001</v>
      </c>
      <c r="C423">
        <v>45000</v>
      </c>
      <c r="D423" s="890">
        <v>254334.97297297296</v>
      </c>
      <c r="E423">
        <v>25</v>
      </c>
      <c r="F423">
        <v>20</v>
      </c>
    </row>
    <row r="424" spans="1:6" x14ac:dyDescent="0.15">
      <c r="A424" s="3"/>
      <c r="B424">
        <v>20001</v>
      </c>
      <c r="C424">
        <v>48000</v>
      </c>
      <c r="D424" s="890">
        <v>271073.67567567568</v>
      </c>
      <c r="E424">
        <v>25</v>
      </c>
      <c r="F424">
        <v>20</v>
      </c>
    </row>
    <row r="425" spans="1:6" x14ac:dyDescent="0.15">
      <c r="A425" s="3"/>
      <c r="B425">
        <v>20001</v>
      </c>
      <c r="C425">
        <v>50000</v>
      </c>
      <c r="D425" s="890">
        <v>203871.02702702701</v>
      </c>
      <c r="E425">
        <v>25</v>
      </c>
      <c r="F425">
        <v>20</v>
      </c>
    </row>
    <row r="426" spans="1:6" x14ac:dyDescent="0.15">
      <c r="A426" s="3"/>
      <c r="B426">
        <v>20001</v>
      </c>
      <c r="C426" t="s">
        <v>3599</v>
      </c>
      <c r="D426" s="890" t="s">
        <v>3599</v>
      </c>
      <c r="E426">
        <v>25</v>
      </c>
      <c r="F426">
        <v>20</v>
      </c>
    </row>
    <row r="429" spans="1:6" x14ac:dyDescent="0.15">
      <c r="A429" s="891" t="s">
        <v>3739</v>
      </c>
      <c r="B429" s="891" t="s">
        <v>3746</v>
      </c>
      <c r="C429" s="891"/>
      <c r="D429" s="891"/>
      <c r="E429" s="891"/>
      <c r="F429" s="891"/>
    </row>
    <row r="430" spans="1:6" x14ac:dyDescent="0.15">
      <c r="A430" s="889">
        <v>16</v>
      </c>
      <c r="B430" s="894" t="s">
        <v>3726</v>
      </c>
      <c r="C430" s="847" t="s">
        <v>3727</v>
      </c>
      <c r="D430" s="320" t="s">
        <v>3598</v>
      </c>
      <c r="E430" s="320" t="s">
        <v>3591</v>
      </c>
      <c r="F430" s="320" t="s">
        <v>3592</v>
      </c>
    </row>
    <row r="431" spans="1:6" x14ac:dyDescent="0.15">
      <c r="A431" s="3" t="s">
        <v>3747</v>
      </c>
      <c r="B431">
        <v>0</v>
      </c>
      <c r="C431">
        <v>564</v>
      </c>
      <c r="D431" s="890">
        <v>10643.27205882353</v>
      </c>
      <c r="E431">
        <v>10</v>
      </c>
      <c r="F431">
        <v>7</v>
      </c>
    </row>
    <row r="432" spans="1:6" x14ac:dyDescent="0.15">
      <c r="A432" s="3"/>
      <c r="B432">
        <v>565</v>
      </c>
      <c r="C432">
        <v>600</v>
      </c>
      <c r="D432" s="890">
        <v>9872.8308823529405</v>
      </c>
      <c r="E432">
        <v>10</v>
      </c>
      <c r="F432">
        <v>7</v>
      </c>
    </row>
    <row r="433" spans="1:6" x14ac:dyDescent="0.15">
      <c r="A433" s="3"/>
      <c r="B433">
        <v>601</v>
      </c>
      <c r="C433">
        <v>625</v>
      </c>
      <c r="D433" s="890">
        <v>10625.875</v>
      </c>
      <c r="E433">
        <v>10</v>
      </c>
      <c r="F433">
        <v>7</v>
      </c>
    </row>
    <row r="434" spans="1:6" x14ac:dyDescent="0.15">
      <c r="A434" s="3"/>
      <c r="B434">
        <v>626</v>
      </c>
      <c r="C434">
        <v>1000</v>
      </c>
      <c r="D434" s="890">
        <v>12232.285714285714</v>
      </c>
      <c r="E434">
        <v>10</v>
      </c>
      <c r="F434">
        <v>7</v>
      </c>
    </row>
    <row r="435" spans="1:6" x14ac:dyDescent="0.15">
      <c r="A435" s="3"/>
      <c r="B435">
        <v>1001</v>
      </c>
      <c r="C435">
        <v>1470</v>
      </c>
      <c r="D435" s="890">
        <v>12855.625</v>
      </c>
      <c r="E435">
        <v>10</v>
      </c>
      <c r="F435">
        <v>7</v>
      </c>
    </row>
    <row r="436" spans="1:6" x14ac:dyDescent="0.15">
      <c r="A436" s="3"/>
      <c r="B436">
        <v>1471</v>
      </c>
      <c r="C436">
        <v>1500</v>
      </c>
      <c r="D436" s="890">
        <v>15064.344827586207</v>
      </c>
      <c r="E436">
        <v>10</v>
      </c>
      <c r="F436">
        <v>7</v>
      </c>
    </row>
    <row r="437" spans="1:6" x14ac:dyDescent="0.15">
      <c r="A437" s="3"/>
      <c r="B437">
        <v>1501</v>
      </c>
      <c r="C437">
        <v>2000</v>
      </c>
      <c r="D437" s="890">
        <v>18487.235142118861</v>
      </c>
      <c r="E437">
        <v>10</v>
      </c>
      <c r="F437">
        <v>7</v>
      </c>
    </row>
    <row r="438" spans="1:6" x14ac:dyDescent="0.15">
      <c r="A438" s="3"/>
      <c r="B438">
        <v>2001</v>
      </c>
      <c r="C438">
        <v>2150</v>
      </c>
      <c r="D438" s="890">
        <v>12954.956072351421</v>
      </c>
      <c r="E438">
        <v>10</v>
      </c>
      <c r="F438">
        <v>7</v>
      </c>
    </row>
    <row r="439" spans="1:6" x14ac:dyDescent="0.15">
      <c r="A439" s="3"/>
      <c r="B439">
        <v>2151</v>
      </c>
      <c r="C439">
        <v>3000</v>
      </c>
      <c r="D439" s="890">
        <v>19159.81395348837</v>
      </c>
      <c r="E439">
        <v>10</v>
      </c>
      <c r="F439">
        <v>7</v>
      </c>
    </row>
    <row r="440" spans="1:6" x14ac:dyDescent="0.15">
      <c r="A440" s="3"/>
      <c r="B440">
        <v>3001</v>
      </c>
      <c r="C440">
        <v>4000</v>
      </c>
      <c r="D440" s="890">
        <v>21829.291989664081</v>
      </c>
      <c r="E440">
        <v>10</v>
      </c>
      <c r="F440">
        <v>7</v>
      </c>
    </row>
    <row r="441" spans="1:6" x14ac:dyDescent="0.15">
      <c r="A441" s="3"/>
      <c r="B441">
        <v>4001</v>
      </c>
      <c r="C441">
        <v>4500</v>
      </c>
      <c r="D441" s="890">
        <v>39689.09560723514</v>
      </c>
      <c r="E441">
        <v>10</v>
      </c>
      <c r="F441">
        <v>7</v>
      </c>
    </row>
    <row r="442" spans="1:6" x14ac:dyDescent="0.15">
      <c r="A442" s="3"/>
      <c r="B442">
        <v>4501</v>
      </c>
      <c r="C442">
        <v>5000</v>
      </c>
      <c r="D442" s="890">
        <v>24602.528795811515</v>
      </c>
      <c r="E442">
        <v>10</v>
      </c>
      <c r="F442">
        <v>7</v>
      </c>
    </row>
    <row r="443" spans="1:6" x14ac:dyDescent="0.15">
      <c r="A443" s="3"/>
      <c r="B443">
        <v>5001</v>
      </c>
      <c r="C443">
        <v>6000</v>
      </c>
      <c r="D443" s="890">
        <v>27770.575916230366</v>
      </c>
      <c r="E443">
        <v>10</v>
      </c>
      <c r="F443">
        <v>7</v>
      </c>
    </row>
    <row r="444" spans="1:6" x14ac:dyDescent="0.15">
      <c r="A444" s="3"/>
      <c r="B444">
        <v>6001</v>
      </c>
      <c r="C444">
        <v>7000</v>
      </c>
      <c r="D444" s="890">
        <v>30351.565445026175</v>
      </c>
      <c r="E444">
        <v>10</v>
      </c>
      <c r="F444">
        <v>7</v>
      </c>
    </row>
    <row r="445" spans="1:6" x14ac:dyDescent="0.15">
      <c r="A445" s="3"/>
      <c r="B445">
        <v>7001</v>
      </c>
      <c r="C445">
        <v>8000</v>
      </c>
      <c r="D445" s="890">
        <v>32931.408376963351</v>
      </c>
      <c r="E445">
        <v>10</v>
      </c>
      <c r="F445">
        <v>7</v>
      </c>
    </row>
    <row r="446" spans="1:6" x14ac:dyDescent="0.15">
      <c r="A446" s="3"/>
      <c r="B446">
        <v>8001</v>
      </c>
      <c r="C446">
        <v>9000</v>
      </c>
      <c r="D446" s="890">
        <v>35253.267015706806</v>
      </c>
      <c r="E446">
        <v>10</v>
      </c>
      <c r="F446">
        <v>7</v>
      </c>
    </row>
    <row r="447" spans="1:6" x14ac:dyDescent="0.15">
      <c r="A447" s="3"/>
      <c r="B447">
        <v>9001</v>
      </c>
      <c r="C447">
        <v>10000</v>
      </c>
      <c r="D447" s="890">
        <v>37624.749216300945</v>
      </c>
      <c r="E447">
        <v>10</v>
      </c>
      <c r="F447">
        <v>7</v>
      </c>
    </row>
    <row r="448" spans="1:6" x14ac:dyDescent="0.15">
      <c r="A448" s="3"/>
      <c r="B448">
        <v>10001</v>
      </c>
      <c r="C448">
        <v>10100</v>
      </c>
      <c r="D448" s="890">
        <v>18617.288401253922</v>
      </c>
      <c r="E448">
        <v>10</v>
      </c>
      <c r="F448">
        <v>7</v>
      </c>
    </row>
    <row r="449" spans="1:6" x14ac:dyDescent="0.15">
      <c r="A449" s="3"/>
      <c r="B449">
        <v>10101</v>
      </c>
      <c r="C449">
        <v>11000</v>
      </c>
      <c r="D449" s="890">
        <v>39992.100313479626</v>
      </c>
      <c r="E449">
        <v>10</v>
      </c>
      <c r="F449">
        <v>7</v>
      </c>
    </row>
    <row r="450" spans="1:6" x14ac:dyDescent="0.15">
      <c r="A450" s="3"/>
      <c r="B450">
        <v>11001</v>
      </c>
      <c r="C450">
        <v>11750</v>
      </c>
      <c r="D450" s="890">
        <v>55751.175548589345</v>
      </c>
      <c r="E450">
        <v>10</v>
      </c>
      <c r="F450">
        <v>7</v>
      </c>
    </row>
    <row r="451" spans="1:6" x14ac:dyDescent="0.15">
      <c r="A451" s="3"/>
      <c r="B451">
        <v>11751</v>
      </c>
      <c r="C451">
        <v>12000</v>
      </c>
      <c r="D451" s="890">
        <v>42353.730407523515</v>
      </c>
      <c r="E451">
        <v>10</v>
      </c>
      <c r="F451">
        <v>7</v>
      </c>
    </row>
    <row r="452" spans="1:6" x14ac:dyDescent="0.15">
      <c r="A452" s="3"/>
      <c r="B452">
        <v>12001</v>
      </c>
      <c r="C452">
        <v>13000</v>
      </c>
      <c r="D452" s="890">
        <v>49086.206896551725</v>
      </c>
      <c r="E452">
        <v>10</v>
      </c>
      <c r="F452">
        <v>7</v>
      </c>
    </row>
    <row r="453" spans="1:6" x14ac:dyDescent="0.15">
      <c r="A453" s="3"/>
      <c r="B453">
        <v>13001</v>
      </c>
      <c r="C453">
        <v>14000</v>
      </c>
      <c r="D453" s="890">
        <v>55803.808777429469</v>
      </c>
      <c r="E453">
        <v>10</v>
      </c>
      <c r="F453">
        <v>7</v>
      </c>
    </row>
    <row r="454" spans="1:6" x14ac:dyDescent="0.15">
      <c r="A454" s="3"/>
      <c r="B454">
        <v>14001</v>
      </c>
      <c r="C454">
        <v>15000</v>
      </c>
      <c r="D454" s="890">
        <v>59147.258536585359</v>
      </c>
      <c r="E454">
        <v>10</v>
      </c>
      <c r="F454">
        <v>7</v>
      </c>
    </row>
    <row r="455" spans="1:6" x14ac:dyDescent="0.15">
      <c r="A455" s="3"/>
      <c r="B455">
        <v>15001</v>
      </c>
      <c r="C455">
        <v>20000</v>
      </c>
      <c r="D455" s="890">
        <v>75892.113207547169</v>
      </c>
      <c r="E455">
        <v>10</v>
      </c>
      <c r="F455">
        <v>7</v>
      </c>
    </row>
    <row r="456" spans="1:6" x14ac:dyDescent="0.15">
      <c r="A456" s="3"/>
      <c r="B456">
        <v>20001</v>
      </c>
      <c r="C456">
        <v>22000</v>
      </c>
      <c r="D456" s="890">
        <v>95701.867924528313</v>
      </c>
      <c r="E456">
        <v>10</v>
      </c>
      <c r="F456">
        <v>7</v>
      </c>
    </row>
    <row r="457" spans="1:6" x14ac:dyDescent="0.15">
      <c r="A457" s="3"/>
      <c r="B457">
        <v>22001</v>
      </c>
      <c r="C457">
        <v>25000</v>
      </c>
      <c r="D457" s="890">
        <v>111582.25806451614</v>
      </c>
      <c r="E457">
        <v>10</v>
      </c>
      <c r="F457">
        <v>7</v>
      </c>
    </row>
    <row r="458" spans="1:6" x14ac:dyDescent="0.15">
      <c r="A458" s="3"/>
      <c r="B458">
        <v>25001</v>
      </c>
      <c r="C458">
        <v>29610</v>
      </c>
      <c r="D458" s="890">
        <v>34484.032258064522</v>
      </c>
      <c r="E458">
        <v>10</v>
      </c>
      <c r="F458">
        <v>7</v>
      </c>
    </row>
    <row r="459" spans="1:6" x14ac:dyDescent="0.15">
      <c r="A459" s="3"/>
      <c r="B459">
        <v>29611</v>
      </c>
      <c r="C459">
        <v>30000</v>
      </c>
      <c r="D459" s="890">
        <v>135622.54054054053</v>
      </c>
      <c r="E459">
        <v>10</v>
      </c>
      <c r="F459">
        <v>7</v>
      </c>
    </row>
    <row r="460" spans="1:6" x14ac:dyDescent="0.15">
      <c r="A460" s="3"/>
      <c r="B460">
        <v>30001</v>
      </c>
      <c r="C460" t="s">
        <v>3599</v>
      </c>
      <c r="D460" s="890" t="s">
        <v>3599</v>
      </c>
      <c r="E460">
        <v>10</v>
      </c>
      <c r="F460">
        <v>7</v>
      </c>
    </row>
    <row r="463" spans="1:6" x14ac:dyDescent="0.15">
      <c r="A463" s="891" t="s">
        <v>3739</v>
      </c>
      <c r="B463" s="891" t="s">
        <v>3748</v>
      </c>
      <c r="C463" s="891"/>
      <c r="D463" s="891"/>
      <c r="E463" s="891"/>
      <c r="F463" s="891"/>
    </row>
    <row r="464" spans="1:6" x14ac:dyDescent="0.15">
      <c r="A464" s="889">
        <v>16</v>
      </c>
      <c r="B464" s="320" t="s">
        <v>3719</v>
      </c>
      <c r="C464" s="320" t="s">
        <v>3720</v>
      </c>
      <c r="D464" s="320" t="s">
        <v>3598</v>
      </c>
      <c r="E464" s="320" t="s">
        <v>3591</v>
      </c>
      <c r="F464" s="320" t="s">
        <v>3592</v>
      </c>
    </row>
    <row r="465" spans="1:6" x14ac:dyDescent="0.15">
      <c r="A465" s="3" t="s">
        <v>3749</v>
      </c>
      <c r="B465">
        <v>0</v>
      </c>
      <c r="C465">
        <v>187</v>
      </c>
      <c r="D465" s="890">
        <v>3564.9366552509068</v>
      </c>
      <c r="E465">
        <v>25</v>
      </c>
      <c r="F465">
        <v>20</v>
      </c>
    </row>
    <row r="466" spans="1:6" x14ac:dyDescent="0.15">
      <c r="A466" s="3"/>
      <c r="B466">
        <v>188</v>
      </c>
      <c r="C466">
        <v>264</v>
      </c>
      <c r="D466" s="890">
        <v>4715.9393278960542</v>
      </c>
      <c r="E466">
        <v>25</v>
      </c>
      <c r="F466">
        <v>20</v>
      </c>
    </row>
    <row r="467" spans="1:6" x14ac:dyDescent="0.15">
      <c r="A467" s="3"/>
      <c r="B467">
        <v>265</v>
      </c>
      <c r="C467">
        <v>345</v>
      </c>
      <c r="D467" s="890">
        <v>6699.5778154536429</v>
      </c>
      <c r="E467">
        <v>25</v>
      </c>
      <c r="F467">
        <v>20</v>
      </c>
    </row>
    <row r="468" spans="1:6" x14ac:dyDescent="0.15">
      <c r="A468" s="3"/>
      <c r="B468">
        <v>346</v>
      </c>
      <c r="C468">
        <v>463</v>
      </c>
      <c r="D468" s="890">
        <v>8437.1019714039867</v>
      </c>
      <c r="E468">
        <v>25</v>
      </c>
      <c r="F468">
        <v>20</v>
      </c>
    </row>
    <row r="469" spans="1:6" x14ac:dyDescent="0.15">
      <c r="A469" s="3"/>
      <c r="B469">
        <v>464</v>
      </c>
      <c r="C469">
        <v>900</v>
      </c>
      <c r="D469" s="890">
        <v>17867.134000531456</v>
      </c>
      <c r="E469">
        <v>25</v>
      </c>
      <c r="F469">
        <v>20</v>
      </c>
    </row>
    <row r="470" spans="1:6" x14ac:dyDescent="0.15">
      <c r="A470" s="3"/>
      <c r="B470">
        <v>901</v>
      </c>
      <c r="C470" t="s">
        <v>3599</v>
      </c>
      <c r="D470" s="890" t="s">
        <v>3599</v>
      </c>
      <c r="E470">
        <v>25</v>
      </c>
      <c r="F470">
        <v>20</v>
      </c>
    </row>
    <row r="473" spans="1:6" x14ac:dyDescent="0.15">
      <c r="A473" s="891" t="s">
        <v>3750</v>
      </c>
      <c r="B473" s="891" t="s">
        <v>3751</v>
      </c>
      <c r="C473" s="891"/>
      <c r="D473" s="891"/>
      <c r="E473" s="891"/>
      <c r="F473" s="891"/>
    </row>
    <row r="474" spans="1:6" x14ac:dyDescent="0.15">
      <c r="A474" s="889">
        <v>29</v>
      </c>
      <c r="B474" s="894" t="s">
        <v>3752</v>
      </c>
      <c r="C474" s="320" t="s">
        <v>3753</v>
      </c>
      <c r="D474" s="912" t="s">
        <v>3598</v>
      </c>
      <c r="E474" s="894" t="s">
        <v>3625</v>
      </c>
      <c r="F474" s="847" t="s">
        <v>3592</v>
      </c>
    </row>
    <row r="475" spans="1:6" x14ac:dyDescent="0.15">
      <c r="A475" s="3" t="s">
        <v>3754</v>
      </c>
      <c r="B475" s="526">
        <v>0</v>
      </c>
      <c r="C475">
        <v>5</v>
      </c>
      <c r="D475" s="890">
        <v>15616.958308798366</v>
      </c>
      <c r="E475">
        <v>25</v>
      </c>
      <c r="F475">
        <v>20</v>
      </c>
    </row>
    <row r="476" spans="1:6" x14ac:dyDescent="0.15">
      <c r="A476" s="3"/>
      <c r="B476" s="526">
        <v>5.0999999999999996</v>
      </c>
      <c r="C476">
        <v>10</v>
      </c>
      <c r="D476" s="890">
        <v>41977.372309220293</v>
      </c>
      <c r="E476">
        <v>25</v>
      </c>
      <c r="F476">
        <v>20</v>
      </c>
    </row>
    <row r="477" spans="1:6" x14ac:dyDescent="0.15">
      <c r="A477" s="3"/>
      <c r="B477" s="526">
        <v>10.1</v>
      </c>
      <c r="C477">
        <v>35</v>
      </c>
      <c r="D477" s="890">
        <v>56372.334683886889</v>
      </c>
      <c r="E477">
        <v>25</v>
      </c>
      <c r="F477">
        <v>20</v>
      </c>
    </row>
    <row r="478" spans="1:6" x14ac:dyDescent="0.15">
      <c r="A478" s="3"/>
      <c r="B478" s="526">
        <v>35.1</v>
      </c>
      <c r="C478">
        <v>40</v>
      </c>
      <c r="D478" s="890">
        <v>68450.961837467112</v>
      </c>
      <c r="E478">
        <v>25</v>
      </c>
      <c r="F478">
        <v>20</v>
      </c>
    </row>
    <row r="479" spans="1:6" x14ac:dyDescent="0.15">
      <c r="A479" s="3"/>
      <c r="B479" s="526">
        <v>40.1</v>
      </c>
      <c r="C479">
        <v>75</v>
      </c>
      <c r="D479" s="890">
        <v>98010.007096359113</v>
      </c>
      <c r="E479">
        <v>25</v>
      </c>
      <c r="F479">
        <v>20</v>
      </c>
    </row>
    <row r="480" spans="1:6" x14ac:dyDescent="0.15">
      <c r="A480" s="3"/>
      <c r="B480" s="526">
        <v>75.099999999999994</v>
      </c>
      <c r="C480">
        <v>80</v>
      </c>
      <c r="D480" s="890">
        <v>79665.455340428918</v>
      </c>
      <c r="E480">
        <v>25</v>
      </c>
      <c r="F480">
        <v>20</v>
      </c>
    </row>
    <row r="481" spans="1:6" x14ac:dyDescent="0.15">
      <c r="A481" s="3"/>
      <c r="B481" s="526">
        <v>80.099999999999994</v>
      </c>
      <c r="C481" t="s">
        <v>3599</v>
      </c>
      <c r="D481" s="890" t="s">
        <v>3599</v>
      </c>
      <c r="E481">
        <v>25</v>
      </c>
      <c r="F481">
        <v>20</v>
      </c>
    </row>
    <row r="484" spans="1:6" x14ac:dyDescent="0.15">
      <c r="A484" s="891" t="s">
        <v>3594</v>
      </c>
      <c r="B484" s="891" t="s">
        <v>3755</v>
      </c>
      <c r="C484" s="891"/>
      <c r="D484" s="891"/>
      <c r="E484" s="891"/>
      <c r="F484" s="891"/>
    </row>
    <row r="485" spans="1:6" x14ac:dyDescent="0.15">
      <c r="A485" s="889">
        <v>30</v>
      </c>
      <c r="B485" s="894" t="s">
        <v>3756</v>
      </c>
      <c r="C485" s="320" t="s">
        <v>3757</v>
      </c>
      <c r="D485" s="847" t="s">
        <v>3598</v>
      </c>
      <c r="E485" s="894" t="s">
        <v>3625</v>
      </c>
      <c r="F485" s="847" t="s">
        <v>3592</v>
      </c>
    </row>
    <row r="486" spans="1:6" x14ac:dyDescent="0.15">
      <c r="A486" s="3" t="s">
        <v>3758</v>
      </c>
      <c r="B486">
        <v>0</v>
      </c>
      <c r="C486">
        <v>3369</v>
      </c>
      <c r="D486" s="890">
        <v>2695.6790639301639</v>
      </c>
      <c r="E486">
        <v>20</v>
      </c>
      <c r="F486">
        <v>15</v>
      </c>
    </row>
    <row r="487" spans="1:6" x14ac:dyDescent="0.15">
      <c r="A487" s="3"/>
      <c r="B487">
        <v>3370</v>
      </c>
      <c r="C487">
        <v>8422</v>
      </c>
      <c r="D487" s="890">
        <v>3397.7395118773702</v>
      </c>
      <c r="E487">
        <v>20</v>
      </c>
      <c r="F487">
        <v>15</v>
      </c>
    </row>
    <row r="488" spans="1:6" x14ac:dyDescent="0.15">
      <c r="A488" s="3"/>
      <c r="B488">
        <v>8423</v>
      </c>
      <c r="C488">
        <v>12513</v>
      </c>
      <c r="D488" s="890">
        <v>4485.1233552826388</v>
      </c>
      <c r="E488">
        <v>20</v>
      </c>
      <c r="F488">
        <v>15</v>
      </c>
    </row>
    <row r="489" spans="1:6" x14ac:dyDescent="0.15">
      <c r="A489" s="3"/>
      <c r="B489">
        <v>12514</v>
      </c>
      <c r="C489">
        <v>21658</v>
      </c>
      <c r="D489" s="890">
        <v>5623.1498382603413</v>
      </c>
      <c r="E489">
        <v>20</v>
      </c>
      <c r="F489">
        <v>15</v>
      </c>
    </row>
    <row r="490" spans="1:6" x14ac:dyDescent="0.15">
      <c r="A490" s="3"/>
      <c r="B490">
        <v>21659</v>
      </c>
      <c r="C490">
        <v>24064</v>
      </c>
      <c r="D490" s="890">
        <v>5503.1934667585701</v>
      </c>
      <c r="E490">
        <v>20</v>
      </c>
      <c r="F490">
        <v>15</v>
      </c>
    </row>
    <row r="491" spans="1:6" x14ac:dyDescent="0.15">
      <c r="A491" s="3"/>
      <c r="B491">
        <v>24065</v>
      </c>
      <c r="C491">
        <v>29599</v>
      </c>
      <c r="D491" s="890">
        <v>7395.6437375098158</v>
      </c>
      <c r="E491">
        <v>20</v>
      </c>
      <c r="F491">
        <v>15</v>
      </c>
    </row>
    <row r="492" spans="1:6" x14ac:dyDescent="0.15">
      <c r="A492" s="3"/>
      <c r="B492">
        <v>29600</v>
      </c>
      <c r="C492">
        <v>36096</v>
      </c>
      <c r="D492" s="890">
        <v>8157.4375622864745</v>
      </c>
      <c r="E492">
        <v>20</v>
      </c>
      <c r="F492">
        <v>15</v>
      </c>
    </row>
    <row r="493" spans="1:6" x14ac:dyDescent="0.15">
      <c r="A493" s="3"/>
      <c r="B493">
        <v>36097</v>
      </c>
      <c r="C493">
        <v>41390</v>
      </c>
      <c r="D493" s="890">
        <v>12412.345463578609</v>
      </c>
      <c r="E493">
        <v>20</v>
      </c>
      <c r="F493">
        <v>15</v>
      </c>
    </row>
    <row r="494" spans="1:6" x14ac:dyDescent="0.15">
      <c r="A494" s="3"/>
      <c r="B494">
        <v>41391</v>
      </c>
      <c r="C494">
        <v>57032</v>
      </c>
      <c r="D494" s="890">
        <v>15312.983296187971</v>
      </c>
      <c r="E494">
        <v>20</v>
      </c>
      <c r="F494">
        <v>15</v>
      </c>
    </row>
    <row r="495" spans="1:6" x14ac:dyDescent="0.15">
      <c r="A495" s="3"/>
      <c r="B495">
        <v>57033</v>
      </c>
      <c r="C495">
        <v>66176</v>
      </c>
      <c r="D495" s="890">
        <v>16434.285464427834</v>
      </c>
      <c r="E495">
        <v>20</v>
      </c>
      <c r="F495">
        <v>15</v>
      </c>
    </row>
    <row r="496" spans="1:6" x14ac:dyDescent="0.15">
      <c r="A496" s="3"/>
      <c r="B496">
        <v>66177</v>
      </c>
      <c r="C496">
        <v>72193</v>
      </c>
      <c r="D496" s="890">
        <v>16931.904693619013</v>
      </c>
      <c r="E496">
        <v>20</v>
      </c>
      <c r="F496">
        <v>15</v>
      </c>
    </row>
    <row r="497" spans="1:6" x14ac:dyDescent="0.15">
      <c r="A497" s="3"/>
      <c r="B497">
        <v>72194</v>
      </c>
      <c r="C497">
        <v>108289</v>
      </c>
      <c r="D497" s="890">
        <v>16394.998463315911</v>
      </c>
      <c r="E497">
        <v>20</v>
      </c>
      <c r="F497">
        <v>15</v>
      </c>
    </row>
    <row r="498" spans="1:6" x14ac:dyDescent="0.15">
      <c r="A498" s="3"/>
      <c r="B498">
        <v>108290</v>
      </c>
      <c r="C498" t="s">
        <v>3599</v>
      </c>
      <c r="D498" s="890" t="s">
        <v>3599</v>
      </c>
      <c r="E498">
        <v>20</v>
      </c>
      <c r="F498">
        <v>15</v>
      </c>
    </row>
    <row r="501" spans="1:6" x14ac:dyDescent="0.15">
      <c r="A501" s="891" t="s">
        <v>3739</v>
      </c>
      <c r="B501" s="891" t="s">
        <v>3759</v>
      </c>
      <c r="C501" s="891"/>
      <c r="D501" s="891"/>
      <c r="E501" s="891"/>
      <c r="F501" s="891"/>
    </row>
    <row r="502" spans="1:6" x14ac:dyDescent="0.15">
      <c r="A502" s="889">
        <v>16</v>
      </c>
      <c r="B502" s="894" t="s">
        <v>3726</v>
      </c>
      <c r="C502" s="847" t="s">
        <v>3727</v>
      </c>
      <c r="D502" s="320" t="s">
        <v>3598</v>
      </c>
      <c r="E502" s="320" t="s">
        <v>3591</v>
      </c>
      <c r="F502" s="320" t="s">
        <v>3592</v>
      </c>
    </row>
    <row r="503" spans="1:6" x14ac:dyDescent="0.15">
      <c r="A503" s="3" t="s">
        <v>3760</v>
      </c>
      <c r="B503" s="654">
        <v>0</v>
      </c>
      <c r="C503" s="526">
        <v>300</v>
      </c>
      <c r="D503" s="890">
        <v>1386.5477871292217</v>
      </c>
      <c r="E503">
        <v>25</v>
      </c>
      <c r="F503">
        <v>20</v>
      </c>
    </row>
    <row r="504" spans="1:6" x14ac:dyDescent="0.15">
      <c r="A504" s="3"/>
      <c r="B504" s="654">
        <v>301</v>
      </c>
      <c r="C504" s="526">
        <v>550</v>
      </c>
      <c r="D504" s="890">
        <v>1384.7996533333639</v>
      </c>
      <c r="E504">
        <v>25</v>
      </c>
      <c r="F504">
        <v>20</v>
      </c>
    </row>
    <row r="505" spans="1:6" x14ac:dyDescent="0.15">
      <c r="B505" s="654">
        <v>551</v>
      </c>
      <c r="C505">
        <v>850</v>
      </c>
      <c r="D505" s="890">
        <v>2146.4226420816422</v>
      </c>
      <c r="E505">
        <v>25</v>
      </c>
      <c r="F505">
        <v>20</v>
      </c>
    </row>
    <row r="506" spans="1:6" x14ac:dyDescent="0.15">
      <c r="B506" s="654">
        <v>851</v>
      </c>
      <c r="C506">
        <v>1000</v>
      </c>
      <c r="D506" s="890">
        <v>1995.7016566438342</v>
      </c>
      <c r="E506">
        <v>25</v>
      </c>
      <c r="F506">
        <v>20</v>
      </c>
    </row>
    <row r="507" spans="1:6" x14ac:dyDescent="0.15">
      <c r="B507" s="654">
        <v>1001</v>
      </c>
      <c r="C507">
        <v>1200</v>
      </c>
      <c r="D507" s="890">
        <v>3130.7544642857142</v>
      </c>
      <c r="E507">
        <v>25</v>
      </c>
      <c r="F507">
        <v>20</v>
      </c>
    </row>
    <row r="508" spans="1:6" x14ac:dyDescent="0.15">
      <c r="B508" s="654">
        <v>1201</v>
      </c>
      <c r="C508">
        <v>1500</v>
      </c>
      <c r="D508" s="890">
        <v>3408.9308352781204</v>
      </c>
      <c r="E508">
        <v>25</v>
      </c>
      <c r="F508">
        <v>20</v>
      </c>
    </row>
    <row r="509" spans="1:6" x14ac:dyDescent="0.15">
      <c r="B509" s="654">
        <v>1501</v>
      </c>
      <c r="C509">
        <v>2000</v>
      </c>
      <c r="D509" s="890">
        <v>4730.5117831880343</v>
      </c>
      <c r="E509">
        <v>25</v>
      </c>
      <c r="F509">
        <v>20</v>
      </c>
    </row>
    <row r="510" spans="1:6" x14ac:dyDescent="0.15">
      <c r="B510" s="654">
        <v>2001</v>
      </c>
      <c r="C510">
        <v>2500</v>
      </c>
      <c r="D510" s="890">
        <v>5435.1240971303132</v>
      </c>
      <c r="E510">
        <v>25</v>
      </c>
      <c r="F510">
        <v>20</v>
      </c>
    </row>
    <row r="511" spans="1:6" x14ac:dyDescent="0.15">
      <c r="B511" s="654">
        <v>2501</v>
      </c>
      <c r="C511">
        <v>3000</v>
      </c>
      <c r="D511" s="890">
        <v>6806.9102726329838</v>
      </c>
      <c r="E511">
        <v>25</v>
      </c>
      <c r="F511">
        <v>20</v>
      </c>
    </row>
    <row r="512" spans="1:6" x14ac:dyDescent="0.15">
      <c r="B512" s="654">
        <v>3001</v>
      </c>
      <c r="C512">
        <v>4200</v>
      </c>
      <c r="D512" s="890">
        <v>11072.07111111111</v>
      </c>
      <c r="E512">
        <v>25</v>
      </c>
      <c r="F512">
        <v>20</v>
      </c>
    </row>
    <row r="513" spans="1:6" x14ac:dyDescent="0.15">
      <c r="B513" s="654">
        <v>4201</v>
      </c>
      <c r="C513">
        <v>5200</v>
      </c>
      <c r="D513" s="890">
        <v>12227.704476439791</v>
      </c>
      <c r="E513">
        <v>25</v>
      </c>
      <c r="F513">
        <v>20</v>
      </c>
    </row>
    <row r="514" spans="1:6" x14ac:dyDescent="0.15">
      <c r="B514" s="654">
        <v>5201</v>
      </c>
      <c r="C514">
        <v>6500</v>
      </c>
      <c r="D514" s="890">
        <v>15376.40342557439</v>
      </c>
      <c r="E514">
        <v>25</v>
      </c>
      <c r="F514">
        <v>20</v>
      </c>
    </row>
    <row r="515" spans="1:6" x14ac:dyDescent="0.15">
      <c r="B515" s="654">
        <v>6501</v>
      </c>
      <c r="C515">
        <v>8000</v>
      </c>
      <c r="D515" s="890">
        <v>14636.079581151831</v>
      </c>
      <c r="E515">
        <v>25</v>
      </c>
      <c r="F515">
        <v>20</v>
      </c>
    </row>
    <row r="516" spans="1:6" x14ac:dyDescent="0.15">
      <c r="B516" s="654">
        <v>8001</v>
      </c>
      <c r="C516">
        <v>10500</v>
      </c>
      <c r="D516" s="890">
        <v>17612.96962298809</v>
      </c>
      <c r="E516">
        <v>25</v>
      </c>
      <c r="F516">
        <v>20</v>
      </c>
    </row>
    <row r="517" spans="1:6" x14ac:dyDescent="0.15">
      <c r="B517" s="654">
        <v>10501</v>
      </c>
      <c r="C517">
        <v>12500</v>
      </c>
      <c r="D517" s="890">
        <v>28047.512796129413</v>
      </c>
      <c r="E517">
        <v>25</v>
      </c>
      <c r="F517">
        <v>20</v>
      </c>
    </row>
    <row r="518" spans="1:6" x14ac:dyDescent="0.15">
      <c r="B518" s="654">
        <v>12501</v>
      </c>
      <c r="C518">
        <v>15000</v>
      </c>
      <c r="D518" s="890">
        <v>28077.508317844786</v>
      </c>
      <c r="E518">
        <v>25</v>
      </c>
      <c r="F518">
        <v>20</v>
      </c>
    </row>
    <row r="519" spans="1:6" x14ac:dyDescent="0.15">
      <c r="B519" s="654">
        <v>15001</v>
      </c>
      <c r="C519">
        <v>16501</v>
      </c>
      <c r="D519" s="890">
        <v>53210.572999570199</v>
      </c>
      <c r="E519">
        <v>25</v>
      </c>
      <c r="F519">
        <v>20</v>
      </c>
    </row>
    <row r="520" spans="1:6" x14ac:dyDescent="0.15">
      <c r="B520" s="654">
        <v>16502</v>
      </c>
      <c r="C520" t="s">
        <v>3599</v>
      </c>
      <c r="D520" s="890" t="s">
        <v>3599</v>
      </c>
      <c r="E520">
        <v>25</v>
      </c>
      <c r="F520">
        <v>20</v>
      </c>
    </row>
    <row r="523" spans="1:6" x14ac:dyDescent="0.15">
      <c r="A523" s="891" t="s">
        <v>3589</v>
      </c>
      <c r="B523" s="891" t="s">
        <v>3761</v>
      </c>
      <c r="C523" s="891"/>
      <c r="D523" s="891"/>
      <c r="E523" s="891"/>
      <c r="F523" s="891"/>
    </row>
    <row r="524" spans="1:6" x14ac:dyDescent="0.15">
      <c r="A524" s="889">
        <v>43</v>
      </c>
      <c r="B524" s="320"/>
      <c r="C524" s="320"/>
      <c r="D524" s="320" t="s">
        <v>2580</v>
      </c>
      <c r="E524" s="320" t="s">
        <v>3591</v>
      </c>
      <c r="F524" s="320" t="s">
        <v>3592</v>
      </c>
    </row>
    <row r="525" spans="1:6" x14ac:dyDescent="0.15">
      <c r="A525" s="3" t="s">
        <v>3762</v>
      </c>
      <c r="B525">
        <v>0</v>
      </c>
      <c r="C525">
        <v>0</v>
      </c>
      <c r="D525" s="890">
        <v>2388.9364733422249</v>
      </c>
      <c r="E525">
        <v>15</v>
      </c>
      <c r="F525">
        <v>14</v>
      </c>
    </row>
    <row r="528" spans="1:6" x14ac:dyDescent="0.15">
      <c r="A528" s="891" t="s">
        <v>3750</v>
      </c>
      <c r="B528" s="891" t="s">
        <v>3763</v>
      </c>
      <c r="C528" s="891"/>
      <c r="D528" s="891"/>
      <c r="E528" s="891"/>
      <c r="F528" s="891"/>
    </row>
    <row r="529" spans="1:6" x14ac:dyDescent="0.15">
      <c r="A529" s="889">
        <v>29</v>
      </c>
      <c r="B529" s="320" t="s">
        <v>3764</v>
      </c>
      <c r="C529" s="847" t="s">
        <v>3765</v>
      </c>
      <c r="D529" s="847" t="s">
        <v>3598</v>
      </c>
      <c r="E529" s="320" t="s">
        <v>3591</v>
      </c>
      <c r="F529" s="320" t="s">
        <v>3592</v>
      </c>
    </row>
    <row r="530" spans="1:6" x14ac:dyDescent="0.15">
      <c r="A530" s="3" t="s">
        <v>3766</v>
      </c>
      <c r="B530">
        <v>0</v>
      </c>
      <c r="C530">
        <v>1</v>
      </c>
      <c r="D530" s="890">
        <v>5215.639311849045</v>
      </c>
      <c r="E530">
        <v>25</v>
      </c>
      <c r="F530">
        <v>20</v>
      </c>
    </row>
    <row r="531" spans="1:6" x14ac:dyDescent="0.15">
      <c r="A531" s="3"/>
      <c r="B531">
        <v>1.1000000000000001</v>
      </c>
      <c r="C531">
        <v>1.5</v>
      </c>
      <c r="D531" s="890">
        <v>5974.8263252684128</v>
      </c>
      <c r="E531">
        <v>25</v>
      </c>
      <c r="F531">
        <v>20</v>
      </c>
    </row>
    <row r="532" spans="1:6" x14ac:dyDescent="0.15">
      <c r="A532" s="3"/>
      <c r="B532">
        <v>1.6</v>
      </c>
      <c r="C532">
        <v>2</v>
      </c>
      <c r="D532" s="890">
        <v>6068.3450523109377</v>
      </c>
      <c r="E532">
        <v>25</v>
      </c>
      <c r="F532">
        <v>20</v>
      </c>
    </row>
    <row r="533" spans="1:6" x14ac:dyDescent="0.15">
      <c r="A533" s="3"/>
      <c r="B533">
        <v>2.1</v>
      </c>
      <c r="C533">
        <v>3</v>
      </c>
      <c r="D533" s="890">
        <v>7378.3626076365754</v>
      </c>
      <c r="E533">
        <v>25</v>
      </c>
      <c r="F533">
        <v>20</v>
      </c>
    </row>
    <row r="534" spans="1:6" x14ac:dyDescent="0.15">
      <c r="A534" s="3"/>
      <c r="B534">
        <v>3.1</v>
      </c>
      <c r="C534">
        <v>5</v>
      </c>
      <c r="D534" s="890">
        <v>8134.7527370290263</v>
      </c>
      <c r="E534">
        <v>25</v>
      </c>
      <c r="F534">
        <v>20</v>
      </c>
    </row>
    <row r="535" spans="1:6" x14ac:dyDescent="0.15">
      <c r="A535" s="3"/>
      <c r="B535">
        <v>5.0999999999999996</v>
      </c>
      <c r="C535">
        <v>7.5</v>
      </c>
      <c r="D535" s="890">
        <v>11316.307504296892</v>
      </c>
      <c r="E535">
        <v>25</v>
      </c>
      <c r="F535">
        <v>20</v>
      </c>
    </row>
    <row r="536" spans="1:6" x14ac:dyDescent="0.15">
      <c r="A536" s="3"/>
      <c r="B536">
        <v>7.6</v>
      </c>
      <c r="C536">
        <v>10</v>
      </c>
      <c r="D536" s="890">
        <v>14374.813447090328</v>
      </c>
      <c r="E536">
        <v>25</v>
      </c>
      <c r="F536">
        <v>20</v>
      </c>
    </row>
    <row r="537" spans="1:6" x14ac:dyDescent="0.15">
      <c r="A537" s="3"/>
      <c r="B537">
        <v>10.1</v>
      </c>
      <c r="C537">
        <v>20</v>
      </c>
      <c r="D537" s="890">
        <v>25944.468684113283</v>
      </c>
      <c r="E537">
        <v>25</v>
      </c>
      <c r="F537">
        <v>20</v>
      </c>
    </row>
    <row r="538" spans="1:6" x14ac:dyDescent="0.15">
      <c r="A538" s="3"/>
      <c r="B538">
        <v>20.100000000000001</v>
      </c>
      <c r="C538">
        <v>30</v>
      </c>
      <c r="D538" s="890">
        <v>39315.823046232101</v>
      </c>
      <c r="E538">
        <v>25</v>
      </c>
      <c r="F538">
        <v>20</v>
      </c>
    </row>
    <row r="539" spans="1:6" x14ac:dyDescent="0.15">
      <c r="A539" s="3"/>
      <c r="B539">
        <v>30.1</v>
      </c>
      <c r="C539" t="s">
        <v>3599</v>
      </c>
      <c r="D539" s="890" t="s">
        <v>3599</v>
      </c>
      <c r="E539">
        <v>25</v>
      </c>
      <c r="F539">
        <v>20</v>
      </c>
    </row>
    <row r="542" spans="1:6" x14ac:dyDescent="0.15">
      <c r="A542" s="891" t="s">
        <v>3767</v>
      </c>
      <c r="B542" s="891" t="s">
        <v>3768</v>
      </c>
      <c r="C542" s="891"/>
      <c r="D542" s="891"/>
      <c r="E542" s="891"/>
      <c r="F542" s="891"/>
    </row>
    <row r="543" spans="1:6" x14ac:dyDescent="0.15">
      <c r="A543" s="889">
        <v>38</v>
      </c>
      <c r="B543" s="320"/>
      <c r="C543" s="320"/>
      <c r="D543" s="847" t="s">
        <v>3598</v>
      </c>
      <c r="E543" s="320" t="s">
        <v>3591</v>
      </c>
      <c r="F543" s="320" t="s">
        <v>3592</v>
      </c>
    </row>
    <row r="544" spans="1:6" x14ac:dyDescent="0.15">
      <c r="A544" s="3" t="s">
        <v>3769</v>
      </c>
      <c r="B544">
        <v>0</v>
      </c>
      <c r="C544">
        <v>0</v>
      </c>
      <c r="D544" s="890">
        <v>373.99500000000006</v>
      </c>
      <c r="E544">
        <v>10</v>
      </c>
      <c r="F544">
        <v>8</v>
      </c>
    </row>
    <row r="547" spans="1:6" x14ac:dyDescent="0.15">
      <c r="A547" s="891" t="s">
        <v>3589</v>
      </c>
      <c r="B547" s="891" t="s">
        <v>3770</v>
      </c>
      <c r="C547" s="891"/>
      <c r="D547" s="891"/>
      <c r="E547" s="891"/>
      <c r="F547" s="891"/>
    </row>
    <row r="548" spans="1:6" x14ac:dyDescent="0.15">
      <c r="A548" s="889">
        <v>43</v>
      </c>
      <c r="B548" s="320" t="s">
        <v>3697</v>
      </c>
      <c r="C548" s="320" t="s">
        <v>3698</v>
      </c>
      <c r="D548" s="847" t="s">
        <v>3598</v>
      </c>
      <c r="E548" s="320" t="s">
        <v>3591</v>
      </c>
      <c r="F548" s="320" t="s">
        <v>3592</v>
      </c>
    </row>
    <row r="549" spans="1:6" x14ac:dyDescent="0.15">
      <c r="A549" s="3" t="s">
        <v>3771</v>
      </c>
      <c r="B549">
        <v>0</v>
      </c>
      <c r="C549">
        <v>0.75</v>
      </c>
      <c r="D549" s="890">
        <v>5046.2119844357976</v>
      </c>
      <c r="E549">
        <v>15</v>
      </c>
      <c r="F549">
        <v>14</v>
      </c>
    </row>
    <row r="550" spans="1:6" x14ac:dyDescent="0.15">
      <c r="A550" s="3"/>
      <c r="B550">
        <v>0.76</v>
      </c>
      <c r="C550">
        <v>1</v>
      </c>
      <c r="D550" s="890">
        <v>3719.3050000000003</v>
      </c>
      <c r="E550">
        <v>15</v>
      </c>
      <c r="F550">
        <v>14</v>
      </c>
    </row>
    <row r="551" spans="1:6" x14ac:dyDescent="0.15">
      <c r="A551" s="3"/>
      <c r="B551">
        <v>1.1000000000000001</v>
      </c>
      <c r="C551">
        <v>1.5</v>
      </c>
      <c r="D551" s="890">
        <v>3762.3734647887327</v>
      </c>
      <c r="E551">
        <v>15</v>
      </c>
      <c r="F551">
        <v>14</v>
      </c>
    </row>
    <row r="552" spans="1:6" x14ac:dyDescent="0.15">
      <c r="A552" s="3"/>
      <c r="B552">
        <v>1.6</v>
      </c>
      <c r="C552">
        <v>2</v>
      </c>
      <c r="D552" s="890">
        <v>3899.756109589041</v>
      </c>
      <c r="E552">
        <v>15</v>
      </c>
      <c r="F552">
        <v>14</v>
      </c>
    </row>
    <row r="553" spans="1:6" x14ac:dyDescent="0.15">
      <c r="A553" s="3"/>
      <c r="B553">
        <v>2.1</v>
      </c>
      <c r="C553">
        <v>2.5</v>
      </c>
      <c r="D553" s="890">
        <v>3894.0035399999997</v>
      </c>
      <c r="E553">
        <v>15</v>
      </c>
      <c r="F553">
        <v>14</v>
      </c>
    </row>
    <row r="554" spans="1:6" x14ac:dyDescent="0.15">
      <c r="A554" s="3"/>
      <c r="B554">
        <v>2.6</v>
      </c>
      <c r="C554">
        <v>3</v>
      </c>
      <c r="D554" s="890">
        <v>4108.8077378640774</v>
      </c>
      <c r="E554">
        <v>15</v>
      </c>
      <c r="F554">
        <v>14</v>
      </c>
    </row>
    <row r="555" spans="1:6" x14ac:dyDescent="0.15">
      <c r="A555" s="3"/>
      <c r="B555">
        <v>3.1</v>
      </c>
      <c r="C555">
        <v>4</v>
      </c>
      <c r="D555" s="890">
        <v>4281.420210752688</v>
      </c>
      <c r="E555">
        <v>15</v>
      </c>
      <c r="F555">
        <v>14</v>
      </c>
    </row>
    <row r="556" spans="1:6" x14ac:dyDescent="0.15">
      <c r="A556" s="3"/>
      <c r="B556">
        <v>4.0999999999999996</v>
      </c>
      <c r="C556">
        <v>6</v>
      </c>
      <c r="D556" s="890">
        <v>6813.2262666666675</v>
      </c>
      <c r="E556">
        <v>15</v>
      </c>
      <c r="F556">
        <v>14</v>
      </c>
    </row>
    <row r="557" spans="1:6" x14ac:dyDescent="0.15">
      <c r="A557" s="3"/>
      <c r="B557">
        <v>6.1</v>
      </c>
      <c r="C557">
        <v>8</v>
      </c>
      <c r="D557" s="890">
        <v>9089.8655287356323</v>
      </c>
      <c r="E557">
        <v>15</v>
      </c>
      <c r="F557">
        <v>14</v>
      </c>
    </row>
    <row r="558" spans="1:6" x14ac:dyDescent="0.15">
      <c r="A558" s="3"/>
      <c r="B558">
        <v>8.1</v>
      </c>
      <c r="C558">
        <v>10</v>
      </c>
      <c r="D558" s="890">
        <v>12176.345693430656</v>
      </c>
      <c r="E558">
        <v>15</v>
      </c>
      <c r="F558">
        <v>14</v>
      </c>
    </row>
    <row r="559" spans="1:6" x14ac:dyDescent="0.15">
      <c r="A559" s="3"/>
      <c r="B559">
        <v>10.1</v>
      </c>
      <c r="C559">
        <v>12</v>
      </c>
      <c r="D559" s="890">
        <v>12145.340729927009</v>
      </c>
      <c r="E559">
        <v>15</v>
      </c>
      <c r="F559">
        <v>14</v>
      </c>
    </row>
    <row r="560" spans="1:6" x14ac:dyDescent="0.15">
      <c r="A560" s="3"/>
      <c r="B560">
        <v>12.1</v>
      </c>
      <c r="C560">
        <v>14</v>
      </c>
      <c r="D560" s="890">
        <v>10284.360875912409</v>
      </c>
      <c r="E560">
        <v>15</v>
      </c>
      <c r="F560">
        <v>14</v>
      </c>
    </row>
    <row r="561" spans="1:6" x14ac:dyDescent="0.15">
      <c r="A561" s="3"/>
      <c r="B561">
        <v>14.1</v>
      </c>
      <c r="C561">
        <v>16</v>
      </c>
      <c r="D561" s="890">
        <v>12564.606131386863</v>
      </c>
      <c r="E561">
        <v>15</v>
      </c>
      <c r="F561">
        <v>14</v>
      </c>
    </row>
    <row r="562" spans="1:6" x14ac:dyDescent="0.15">
      <c r="A562" s="3"/>
      <c r="B562">
        <v>16.100000000000001</v>
      </c>
      <c r="C562">
        <v>18</v>
      </c>
      <c r="D562" s="890">
        <v>10867.900729927009</v>
      </c>
      <c r="E562">
        <v>15</v>
      </c>
      <c r="F562">
        <v>14</v>
      </c>
    </row>
    <row r="563" spans="1:6" x14ac:dyDescent="0.15">
      <c r="A563" s="3"/>
      <c r="B563">
        <v>18.100000000000001</v>
      </c>
      <c r="C563">
        <v>20</v>
      </c>
      <c r="D563" s="890">
        <v>14743.154452554745</v>
      </c>
      <c r="E563">
        <v>15</v>
      </c>
      <c r="F563">
        <v>14</v>
      </c>
    </row>
    <row r="564" spans="1:6" x14ac:dyDescent="0.15">
      <c r="A564" s="3"/>
      <c r="B564">
        <v>20.100000000000001</v>
      </c>
      <c r="C564">
        <v>24</v>
      </c>
      <c r="D564" s="890">
        <v>19627.052846715331</v>
      </c>
      <c r="E564">
        <v>15</v>
      </c>
      <c r="F564">
        <v>14</v>
      </c>
    </row>
    <row r="565" spans="1:6" x14ac:dyDescent="0.15">
      <c r="A565" s="3"/>
      <c r="B565">
        <v>24.1</v>
      </c>
      <c r="C565">
        <v>30</v>
      </c>
      <c r="D565" s="890">
        <v>22949.66189781022</v>
      </c>
      <c r="E565">
        <v>15</v>
      </c>
      <c r="F565">
        <v>14</v>
      </c>
    </row>
    <row r="566" spans="1:6" x14ac:dyDescent="0.15">
      <c r="A566" s="3"/>
      <c r="B566">
        <v>30.1</v>
      </c>
      <c r="C566">
        <v>36</v>
      </c>
      <c r="D566" s="890">
        <v>30908.188029197081</v>
      </c>
      <c r="E566">
        <v>15</v>
      </c>
      <c r="F566">
        <v>14</v>
      </c>
    </row>
    <row r="567" spans="1:6" x14ac:dyDescent="0.15">
      <c r="A567" s="3"/>
      <c r="B567">
        <v>36.1</v>
      </c>
      <c r="C567" t="s">
        <v>3599</v>
      </c>
      <c r="D567" s="890" t="s">
        <v>3599</v>
      </c>
      <c r="E567">
        <v>15</v>
      </c>
      <c r="F567">
        <v>14</v>
      </c>
    </row>
    <row r="570" spans="1:6" x14ac:dyDescent="0.15">
      <c r="A570" s="892" t="s">
        <v>3606</v>
      </c>
      <c r="B570" s="892" t="s">
        <v>3772</v>
      </c>
      <c r="C570" s="892"/>
      <c r="D570" s="892"/>
      <c r="E570" s="892"/>
      <c r="F570" s="892"/>
    </row>
    <row r="571" spans="1:6" x14ac:dyDescent="0.15">
      <c r="A571" s="889">
        <v>2</v>
      </c>
      <c r="B571" s="320"/>
      <c r="C571" s="320" t="s">
        <v>279</v>
      </c>
      <c r="D571" s="320" t="s">
        <v>3598</v>
      </c>
      <c r="E571" s="320" t="s">
        <v>3591</v>
      </c>
      <c r="F571" s="320" t="s">
        <v>3592</v>
      </c>
    </row>
    <row r="572" spans="1:6" x14ac:dyDescent="0.15">
      <c r="A572" s="3" t="s">
        <v>3778</v>
      </c>
      <c r="B572" s="913" t="s">
        <v>3773</v>
      </c>
      <c r="C572" t="s">
        <v>1332</v>
      </c>
      <c r="D572" s="893">
        <v>44</v>
      </c>
      <c r="E572" s="526">
        <v>40</v>
      </c>
      <c r="F572" s="526">
        <v>35</v>
      </c>
    </row>
    <row r="573" spans="1:6" x14ac:dyDescent="0.15">
      <c r="A573" s="3"/>
      <c r="B573" s="913" t="s">
        <v>3774</v>
      </c>
      <c r="C573" t="s">
        <v>3775</v>
      </c>
      <c r="D573" s="893">
        <v>460</v>
      </c>
      <c r="E573" s="526">
        <v>40</v>
      </c>
      <c r="F573" s="526">
        <v>35</v>
      </c>
    </row>
    <row r="574" spans="1:6" x14ac:dyDescent="0.15">
      <c r="A574" s="3"/>
      <c r="B574" s="913" t="s">
        <v>3776</v>
      </c>
      <c r="C574" t="s">
        <v>1350</v>
      </c>
      <c r="D574" s="893">
        <v>47.774999999999999</v>
      </c>
      <c r="E574" s="526">
        <v>40</v>
      </c>
      <c r="F574" s="526">
        <v>35</v>
      </c>
    </row>
    <row r="575" spans="1:6" x14ac:dyDescent="0.15">
      <c r="A575" s="3"/>
      <c r="B575" s="913" t="s">
        <v>3777</v>
      </c>
      <c r="C575" t="s">
        <v>1350</v>
      </c>
      <c r="D575" s="893">
        <v>43.491623083060013</v>
      </c>
      <c r="E575" s="526">
        <v>40</v>
      </c>
      <c r="F575" s="526">
        <v>35</v>
      </c>
    </row>
    <row r="578" spans="1:6" x14ac:dyDescent="0.15">
      <c r="A578" s="891" t="s">
        <v>3750</v>
      </c>
      <c r="B578" s="891" t="s">
        <v>3779</v>
      </c>
      <c r="C578" s="891"/>
      <c r="D578" s="891"/>
      <c r="E578" s="891"/>
      <c r="F578" s="891"/>
    </row>
    <row r="579" spans="1:6" x14ac:dyDescent="0.15">
      <c r="A579" s="889">
        <v>29</v>
      </c>
      <c r="B579" s="320" t="s">
        <v>3764</v>
      </c>
      <c r="C579" s="320" t="s">
        <v>3780</v>
      </c>
      <c r="D579" s="847" t="s">
        <v>3598</v>
      </c>
      <c r="E579" s="320" t="s">
        <v>3591</v>
      </c>
      <c r="F579" s="320" t="s">
        <v>3592</v>
      </c>
    </row>
    <row r="580" spans="1:6" x14ac:dyDescent="0.15">
      <c r="A580" s="3" t="s">
        <v>3781</v>
      </c>
      <c r="B580">
        <v>0</v>
      </c>
      <c r="C580">
        <v>0.33333333333333331</v>
      </c>
      <c r="D580" s="890">
        <v>2576.0571507413197</v>
      </c>
      <c r="E580">
        <v>25</v>
      </c>
      <c r="F580">
        <v>22</v>
      </c>
    </row>
    <row r="581" spans="1:6" x14ac:dyDescent="0.15">
      <c r="A581" s="3"/>
      <c r="B581">
        <v>0.34</v>
      </c>
      <c r="C581">
        <v>0.5</v>
      </c>
      <c r="D581" s="890">
        <v>3281.4726797331573</v>
      </c>
      <c r="E581">
        <v>25</v>
      </c>
      <c r="F581">
        <v>22</v>
      </c>
    </row>
    <row r="582" spans="1:6" x14ac:dyDescent="0.15">
      <c r="A582" s="3"/>
      <c r="B582">
        <v>0.51</v>
      </c>
      <c r="C582">
        <v>0.75</v>
      </c>
      <c r="D582" s="890">
        <v>2703.2428881584933</v>
      </c>
      <c r="E582">
        <v>25</v>
      </c>
      <c r="F582">
        <v>22</v>
      </c>
    </row>
    <row r="583" spans="1:6" x14ac:dyDescent="0.15">
      <c r="A583" s="3"/>
      <c r="B583">
        <v>0.76</v>
      </c>
      <c r="C583">
        <v>1</v>
      </c>
      <c r="D583" s="890">
        <v>3740.58217089759</v>
      </c>
      <c r="E583">
        <v>25</v>
      </c>
      <c r="F583">
        <v>22</v>
      </c>
    </row>
    <row r="584" spans="1:6" x14ac:dyDescent="0.15">
      <c r="A584" s="3"/>
      <c r="B584">
        <v>1.1000000000000001</v>
      </c>
      <c r="C584">
        <v>1.5</v>
      </c>
      <c r="D584" s="890">
        <v>3059.3629529265804</v>
      </c>
      <c r="E584">
        <v>25</v>
      </c>
      <c r="F584">
        <v>22</v>
      </c>
    </row>
    <row r="585" spans="1:6" x14ac:dyDescent="0.15">
      <c r="A585" s="3"/>
      <c r="B585">
        <v>1.6</v>
      </c>
      <c r="C585">
        <v>2</v>
      </c>
      <c r="D585" s="890">
        <v>3689.7078759307205</v>
      </c>
      <c r="E585">
        <v>25</v>
      </c>
      <c r="F585">
        <v>22</v>
      </c>
    </row>
    <row r="586" spans="1:6" x14ac:dyDescent="0.15">
      <c r="A586" s="3"/>
      <c r="B586">
        <v>2.1</v>
      </c>
      <c r="C586">
        <v>4</v>
      </c>
      <c r="D586" s="890">
        <v>3958.3489700850441</v>
      </c>
      <c r="E586">
        <v>25</v>
      </c>
      <c r="F586">
        <v>22</v>
      </c>
    </row>
    <row r="587" spans="1:6" x14ac:dyDescent="0.15">
      <c r="A587" s="3"/>
      <c r="B587">
        <v>4.0999999999999996</v>
      </c>
      <c r="C587" t="s">
        <v>3599</v>
      </c>
      <c r="D587" s="890" t="s">
        <v>3599</v>
      </c>
      <c r="E587">
        <v>25</v>
      </c>
      <c r="F587">
        <v>22</v>
      </c>
    </row>
    <row r="590" spans="1:6" x14ac:dyDescent="0.15">
      <c r="A590" s="891" t="s">
        <v>3589</v>
      </c>
      <c r="B590" s="891" t="s">
        <v>3782</v>
      </c>
      <c r="C590" s="891"/>
      <c r="D590" s="891"/>
      <c r="E590" s="891"/>
      <c r="F590" s="891"/>
    </row>
    <row r="591" spans="1:6" x14ac:dyDescent="0.15">
      <c r="A591" s="889">
        <v>43</v>
      </c>
      <c r="B591" s="320" t="s">
        <v>3697</v>
      </c>
      <c r="C591" s="320" t="s">
        <v>3698</v>
      </c>
      <c r="D591" s="847" t="s">
        <v>3598</v>
      </c>
      <c r="E591" s="320" t="s">
        <v>3591</v>
      </c>
      <c r="F591" s="320" t="s">
        <v>3592</v>
      </c>
    </row>
    <row r="592" spans="1:6" x14ac:dyDescent="0.15">
      <c r="A592" s="3" t="s">
        <v>3783</v>
      </c>
      <c r="B592">
        <v>0</v>
      </c>
      <c r="C592">
        <v>2</v>
      </c>
      <c r="D592" s="890">
        <v>1917.9132555761435</v>
      </c>
      <c r="E592">
        <v>15</v>
      </c>
      <c r="F592">
        <v>14</v>
      </c>
    </row>
    <row r="593" spans="1:6" x14ac:dyDescent="0.15">
      <c r="A593" s="3"/>
      <c r="B593">
        <v>2.1</v>
      </c>
      <c r="C593">
        <v>3</v>
      </c>
      <c r="D593" s="890">
        <v>2012.2775307939435</v>
      </c>
      <c r="E593">
        <v>15</v>
      </c>
      <c r="F593">
        <v>14</v>
      </c>
    </row>
    <row r="594" spans="1:6" x14ac:dyDescent="0.15">
      <c r="A594" s="3"/>
      <c r="B594">
        <v>3.1</v>
      </c>
      <c r="C594">
        <v>6</v>
      </c>
      <c r="D594" s="890">
        <v>3229.2703536375971</v>
      </c>
      <c r="E594">
        <v>15</v>
      </c>
      <c r="F594">
        <v>14</v>
      </c>
    </row>
    <row r="595" spans="1:6" x14ac:dyDescent="0.15">
      <c r="A595" s="3"/>
      <c r="B595">
        <v>6.1</v>
      </c>
      <c r="C595">
        <v>12</v>
      </c>
      <c r="D595" s="890">
        <v>5131.3008277058216</v>
      </c>
      <c r="E595">
        <v>15</v>
      </c>
      <c r="F595">
        <v>14</v>
      </c>
    </row>
    <row r="596" spans="1:6" x14ac:dyDescent="0.15">
      <c r="A596" s="3"/>
      <c r="B596">
        <v>12.1</v>
      </c>
      <c r="C596">
        <v>16</v>
      </c>
      <c r="D596" s="890">
        <v>6932.5703263810165</v>
      </c>
      <c r="E596">
        <v>15</v>
      </c>
      <c r="F596">
        <v>14</v>
      </c>
    </row>
    <row r="597" spans="1:6" x14ac:dyDescent="0.15">
      <c r="A597" s="3"/>
      <c r="B597">
        <v>16.100000000000001</v>
      </c>
      <c r="C597">
        <v>24</v>
      </c>
      <c r="D597" s="890">
        <v>6272.4431261963609</v>
      </c>
      <c r="E597">
        <v>15</v>
      </c>
      <c r="F597">
        <v>14</v>
      </c>
    </row>
    <row r="598" spans="1:6" x14ac:dyDescent="0.15">
      <c r="A598" s="3"/>
      <c r="B598">
        <v>48.1</v>
      </c>
      <c r="C598">
        <v>60</v>
      </c>
      <c r="D598" s="890">
        <v>25150.900552878997</v>
      </c>
      <c r="E598">
        <v>15</v>
      </c>
      <c r="F598">
        <v>14</v>
      </c>
    </row>
    <row r="599" spans="1:6" x14ac:dyDescent="0.15">
      <c r="A599" s="3"/>
      <c r="B599">
        <v>60.1</v>
      </c>
      <c r="C599" t="s">
        <v>3599</v>
      </c>
      <c r="D599" s="890" t="s">
        <v>3599</v>
      </c>
      <c r="E599">
        <v>15</v>
      </c>
      <c r="F599">
        <v>14</v>
      </c>
    </row>
    <row r="602" spans="1:6" x14ac:dyDescent="0.15">
      <c r="A602" s="891" t="s">
        <v>3784</v>
      </c>
      <c r="B602" s="891" t="s">
        <v>3785</v>
      </c>
      <c r="C602" s="891"/>
      <c r="D602" s="891"/>
      <c r="E602" s="891"/>
      <c r="F602" s="891"/>
    </row>
    <row r="603" spans="1:6" x14ac:dyDescent="0.15">
      <c r="A603" s="889">
        <v>42</v>
      </c>
      <c r="B603" s="320"/>
      <c r="C603" s="320"/>
      <c r="D603" s="847" t="s">
        <v>3598</v>
      </c>
      <c r="E603" s="320" t="s">
        <v>3591</v>
      </c>
      <c r="F603" s="320" t="s">
        <v>3592</v>
      </c>
    </row>
    <row r="604" spans="1:6" x14ac:dyDescent="0.15">
      <c r="A604" s="3" t="s">
        <v>3786</v>
      </c>
      <c r="B604">
        <v>0</v>
      </c>
      <c r="C604">
        <v>0</v>
      </c>
      <c r="D604" s="890">
        <v>40.5</v>
      </c>
      <c r="E604">
        <v>10</v>
      </c>
      <c r="F604">
        <v>8</v>
      </c>
    </row>
    <row r="607" spans="1:6" x14ac:dyDescent="0.15">
      <c r="A607" s="891" t="s">
        <v>3589</v>
      </c>
      <c r="B607" s="891" t="s">
        <v>3787</v>
      </c>
      <c r="C607" s="891"/>
      <c r="D607" s="891"/>
      <c r="E607" s="891"/>
      <c r="F607" s="891"/>
    </row>
    <row r="608" spans="1:6" x14ac:dyDescent="0.15">
      <c r="A608" s="889">
        <v>43</v>
      </c>
      <c r="B608" s="320"/>
      <c r="C608" s="320"/>
      <c r="D608" s="847" t="s">
        <v>3598</v>
      </c>
      <c r="E608" s="320" t="s">
        <v>3591</v>
      </c>
      <c r="F608" s="320" t="s">
        <v>3592</v>
      </c>
    </row>
    <row r="609" spans="1:6" x14ac:dyDescent="0.15">
      <c r="A609" s="3" t="s">
        <v>3788</v>
      </c>
      <c r="B609">
        <v>0</v>
      </c>
      <c r="C609">
        <v>0</v>
      </c>
      <c r="D609" s="890">
        <v>2732.7503535108604</v>
      </c>
      <c r="E609">
        <v>15</v>
      </c>
      <c r="F609">
        <v>14</v>
      </c>
    </row>
    <row r="612" spans="1:6" x14ac:dyDescent="0.15">
      <c r="A612" s="891" t="s">
        <v>3789</v>
      </c>
      <c r="B612" s="891" t="s">
        <v>3790</v>
      </c>
      <c r="C612" s="891"/>
      <c r="D612" s="891"/>
      <c r="E612" s="891"/>
      <c r="F612" s="891"/>
    </row>
    <row r="613" spans="1:6" x14ac:dyDescent="0.15">
      <c r="A613" s="889">
        <v>37</v>
      </c>
      <c r="B613" s="320"/>
      <c r="C613" s="320"/>
      <c r="D613" s="847" t="s">
        <v>3598</v>
      </c>
      <c r="E613" s="320" t="s">
        <v>3591</v>
      </c>
      <c r="F613" s="320" t="s">
        <v>3592</v>
      </c>
    </row>
    <row r="614" spans="1:6" x14ac:dyDescent="0.15">
      <c r="A614" s="3" t="s">
        <v>3791</v>
      </c>
      <c r="B614">
        <v>0</v>
      </c>
      <c r="C614">
        <v>0</v>
      </c>
      <c r="D614" s="890">
        <v>1325.79</v>
      </c>
      <c r="E614">
        <v>10</v>
      </c>
      <c r="F614">
        <v>8</v>
      </c>
    </row>
    <row r="617" spans="1:6" x14ac:dyDescent="0.15">
      <c r="A617" s="891" t="s">
        <v>3589</v>
      </c>
      <c r="B617" s="891" t="s">
        <v>3792</v>
      </c>
      <c r="C617" s="891"/>
      <c r="D617" s="891"/>
      <c r="E617" s="891"/>
      <c r="F617" s="891"/>
    </row>
    <row r="618" spans="1:6" x14ac:dyDescent="0.15">
      <c r="A618" s="889">
        <v>43</v>
      </c>
      <c r="B618" s="320"/>
      <c r="C618" s="320"/>
      <c r="D618" s="847" t="s">
        <v>3598</v>
      </c>
      <c r="E618" s="320" t="s">
        <v>3591</v>
      </c>
      <c r="F618" s="320" t="s">
        <v>3592</v>
      </c>
    </row>
    <row r="619" spans="1:6" x14ac:dyDescent="0.15">
      <c r="A619" s="3" t="s">
        <v>3793</v>
      </c>
      <c r="B619">
        <v>0</v>
      </c>
      <c r="C619">
        <v>0</v>
      </c>
      <c r="D619" s="890">
        <v>3047.1155477538618</v>
      </c>
      <c r="E619">
        <v>15</v>
      </c>
      <c r="F619">
        <v>14</v>
      </c>
    </row>
    <row r="622" spans="1:6" x14ac:dyDescent="0.15">
      <c r="A622" s="3" t="s">
        <v>3612</v>
      </c>
      <c r="B622">
        <v>0</v>
      </c>
      <c r="C622">
        <v>0</v>
      </c>
      <c r="D622" s="893">
        <v>64</v>
      </c>
      <c r="E622" t="s">
        <v>3604</v>
      </c>
      <c r="F622" t="s">
        <v>3604</v>
      </c>
    </row>
    <row r="623" spans="1:6" x14ac:dyDescent="0.15">
      <c r="A623" s="3"/>
      <c r="B623" t="s">
        <v>3794</v>
      </c>
      <c r="D623" t="s">
        <v>3603</v>
      </c>
      <c r="E623" t="s">
        <v>3591</v>
      </c>
      <c r="F623" t="s">
        <v>3592</v>
      </c>
    </row>
    <row r="624" spans="1:6" x14ac:dyDescent="0.15">
      <c r="A624" s="782" t="s">
        <v>3795</v>
      </c>
      <c r="B624" s="320">
        <v>0</v>
      </c>
      <c r="C624" s="320">
        <v>0</v>
      </c>
      <c r="D624" s="905">
        <v>284.5</v>
      </c>
      <c r="E624" s="320" t="s">
        <v>3604</v>
      </c>
      <c r="F624" s="320" t="s">
        <v>3604</v>
      </c>
    </row>
    <row r="627" spans="1:6" x14ac:dyDescent="0.15">
      <c r="A627" s="891" t="s">
        <v>3739</v>
      </c>
      <c r="B627" s="891" t="s">
        <v>3796</v>
      </c>
      <c r="C627" s="891"/>
      <c r="D627" s="891"/>
      <c r="E627" s="891"/>
      <c r="F627" s="891"/>
    </row>
    <row r="628" spans="1:6" x14ac:dyDescent="0.15">
      <c r="A628" s="889">
        <v>16</v>
      </c>
      <c r="B628" s="894" t="s">
        <v>3726</v>
      </c>
      <c r="C628" s="847" t="s">
        <v>3727</v>
      </c>
      <c r="D628" s="320" t="s">
        <v>3598</v>
      </c>
      <c r="E628" s="320" t="s">
        <v>3591</v>
      </c>
      <c r="F628" s="320" t="s">
        <v>3592</v>
      </c>
    </row>
    <row r="629" spans="1:6" x14ac:dyDescent="0.15">
      <c r="A629" s="3" t="s">
        <v>3797</v>
      </c>
      <c r="B629">
        <v>0</v>
      </c>
      <c r="C629">
        <v>60</v>
      </c>
      <c r="D629" s="890">
        <v>648.92857142857144</v>
      </c>
      <c r="E629">
        <v>10</v>
      </c>
      <c r="F629">
        <v>7</v>
      </c>
    </row>
    <row r="630" spans="1:6" x14ac:dyDescent="0.15">
      <c r="A630" s="3"/>
      <c r="B630">
        <v>61</v>
      </c>
      <c r="C630">
        <v>100</v>
      </c>
      <c r="D630" s="890">
        <v>1067.8571428571429</v>
      </c>
      <c r="E630">
        <v>10</v>
      </c>
      <c r="F630">
        <v>7</v>
      </c>
    </row>
    <row r="631" spans="1:6" x14ac:dyDescent="0.15">
      <c r="A631" s="3"/>
      <c r="B631">
        <v>101</v>
      </c>
      <c r="C631">
        <v>120</v>
      </c>
      <c r="D631" s="890">
        <v>745.85714285714289</v>
      </c>
      <c r="E631">
        <v>10</v>
      </c>
      <c r="F631">
        <v>7</v>
      </c>
    </row>
    <row r="632" spans="1:6" x14ac:dyDescent="0.15">
      <c r="A632" s="3"/>
      <c r="B632">
        <v>121</v>
      </c>
      <c r="C632">
        <v>155</v>
      </c>
      <c r="D632" s="890">
        <v>821.42857142857133</v>
      </c>
      <c r="E632">
        <v>10</v>
      </c>
      <c r="F632">
        <v>7</v>
      </c>
    </row>
    <row r="633" spans="1:6" x14ac:dyDescent="0.15">
      <c r="A633" s="3"/>
      <c r="B633">
        <v>156</v>
      </c>
      <c r="C633">
        <v>200</v>
      </c>
      <c r="D633" s="890">
        <v>903.57142857142856</v>
      </c>
      <c r="E633">
        <v>10</v>
      </c>
      <c r="F633">
        <v>7</v>
      </c>
    </row>
    <row r="634" spans="1:6" x14ac:dyDescent="0.15">
      <c r="A634" s="3"/>
      <c r="B634">
        <v>201</v>
      </c>
      <c r="C634">
        <v>205</v>
      </c>
      <c r="D634" s="890">
        <v>1412.8571428571427</v>
      </c>
      <c r="E634">
        <v>10</v>
      </c>
      <c r="F634">
        <v>7</v>
      </c>
    </row>
    <row r="635" spans="1:6" x14ac:dyDescent="0.15">
      <c r="A635" s="3"/>
      <c r="B635">
        <v>206</v>
      </c>
      <c r="C635">
        <v>295</v>
      </c>
      <c r="D635" s="890">
        <v>1150</v>
      </c>
      <c r="E635">
        <v>10</v>
      </c>
      <c r="F635">
        <v>7</v>
      </c>
    </row>
    <row r="636" spans="1:6" x14ac:dyDescent="0.15">
      <c r="A636" s="3"/>
      <c r="B636">
        <v>296</v>
      </c>
      <c r="C636">
        <v>300</v>
      </c>
      <c r="D636" s="890">
        <v>1288</v>
      </c>
      <c r="E636">
        <v>10</v>
      </c>
      <c r="F636">
        <v>7</v>
      </c>
    </row>
    <row r="637" spans="1:6" x14ac:dyDescent="0.15">
      <c r="A637" s="3"/>
      <c r="B637">
        <v>301</v>
      </c>
      <c r="C637">
        <v>540</v>
      </c>
      <c r="D637" s="890">
        <v>1827.6785714285716</v>
      </c>
      <c r="E637">
        <v>10</v>
      </c>
      <c r="F637">
        <v>7</v>
      </c>
    </row>
    <row r="638" spans="1:6" x14ac:dyDescent="0.15">
      <c r="A638" s="3"/>
      <c r="B638">
        <v>541</v>
      </c>
      <c r="C638">
        <v>550</v>
      </c>
      <c r="D638" s="890">
        <v>1339.5735294117649</v>
      </c>
      <c r="E638">
        <v>10</v>
      </c>
      <c r="F638">
        <v>7</v>
      </c>
    </row>
    <row r="639" spans="1:6" x14ac:dyDescent="0.15">
      <c r="A639" s="3"/>
      <c r="B639">
        <v>551</v>
      </c>
      <c r="C639">
        <v>850</v>
      </c>
      <c r="D639" s="890">
        <v>1913.6764705882354</v>
      </c>
      <c r="E639">
        <v>10</v>
      </c>
      <c r="F639">
        <v>7</v>
      </c>
    </row>
    <row r="640" spans="1:6" x14ac:dyDescent="0.15">
      <c r="A640" s="3"/>
      <c r="B640">
        <v>851</v>
      </c>
      <c r="C640">
        <v>1000</v>
      </c>
      <c r="D640" s="890">
        <v>1653.4642857142858</v>
      </c>
      <c r="E640">
        <v>10</v>
      </c>
      <c r="F640">
        <v>7</v>
      </c>
    </row>
    <row r="641" spans="1:6" x14ac:dyDescent="0.15">
      <c r="A641" s="3"/>
      <c r="B641">
        <v>1001</v>
      </c>
      <c r="C641">
        <v>1050</v>
      </c>
      <c r="D641" s="890">
        <v>3015</v>
      </c>
      <c r="E641">
        <v>10</v>
      </c>
      <c r="F641">
        <v>7</v>
      </c>
    </row>
    <row r="642" spans="1:6" x14ac:dyDescent="0.15">
      <c r="A642" s="3"/>
      <c r="B642">
        <v>1051</v>
      </c>
      <c r="C642">
        <v>1200</v>
      </c>
      <c r="D642" s="890">
        <v>2413.1964285714284</v>
      </c>
      <c r="E642">
        <v>10</v>
      </c>
      <c r="F642">
        <v>7</v>
      </c>
    </row>
    <row r="643" spans="1:6" x14ac:dyDescent="0.15">
      <c r="A643" s="3"/>
      <c r="B643">
        <v>1201</v>
      </c>
      <c r="C643">
        <v>1450</v>
      </c>
      <c r="D643" s="890">
        <v>1917.875</v>
      </c>
      <c r="E643">
        <v>10</v>
      </c>
      <c r="F643">
        <v>7</v>
      </c>
    </row>
    <row r="644" spans="1:6" x14ac:dyDescent="0.15">
      <c r="A644" s="3"/>
      <c r="B644">
        <v>1451</v>
      </c>
      <c r="C644">
        <v>1500</v>
      </c>
      <c r="D644" s="890">
        <v>3619.2413793103447</v>
      </c>
      <c r="E644">
        <v>10</v>
      </c>
      <c r="F644">
        <v>7</v>
      </c>
    </row>
    <row r="645" spans="1:6" x14ac:dyDescent="0.15">
      <c r="A645" s="3"/>
      <c r="B645">
        <v>1501</v>
      </c>
      <c r="C645">
        <v>2000</v>
      </c>
      <c r="D645" s="890">
        <v>4125.1886304909558</v>
      </c>
      <c r="E645">
        <v>10</v>
      </c>
      <c r="F645">
        <v>7</v>
      </c>
    </row>
    <row r="646" spans="1:6" x14ac:dyDescent="0.15">
      <c r="A646" s="3"/>
      <c r="B646">
        <v>2001</v>
      </c>
      <c r="C646">
        <v>2450</v>
      </c>
      <c r="D646" s="890">
        <v>3836.3617571059431</v>
      </c>
      <c r="E646">
        <v>10</v>
      </c>
      <c r="F646">
        <v>7</v>
      </c>
    </row>
    <row r="647" spans="1:6" x14ac:dyDescent="0.15">
      <c r="A647" s="3"/>
      <c r="B647">
        <v>2451</v>
      </c>
      <c r="C647">
        <v>2500</v>
      </c>
      <c r="D647" s="890">
        <v>5598.2635658914724</v>
      </c>
      <c r="E647">
        <v>10</v>
      </c>
      <c r="F647">
        <v>7</v>
      </c>
    </row>
    <row r="648" spans="1:6" x14ac:dyDescent="0.15">
      <c r="A648" s="3"/>
      <c r="B648">
        <v>2501</v>
      </c>
      <c r="C648">
        <v>2550</v>
      </c>
      <c r="D648" s="890">
        <v>7703.9793281653738</v>
      </c>
      <c r="E648">
        <v>10</v>
      </c>
      <c r="F648">
        <v>7</v>
      </c>
    </row>
    <row r="649" spans="1:6" x14ac:dyDescent="0.15">
      <c r="A649" s="3"/>
      <c r="B649">
        <v>2551</v>
      </c>
      <c r="C649">
        <v>3000</v>
      </c>
      <c r="D649" s="890">
        <v>5615.0490956072354</v>
      </c>
      <c r="E649">
        <v>10</v>
      </c>
      <c r="F649">
        <v>7</v>
      </c>
    </row>
    <row r="650" spans="1:6" x14ac:dyDescent="0.15">
      <c r="A650" s="3"/>
      <c r="B650">
        <v>3001</v>
      </c>
      <c r="C650">
        <v>4200</v>
      </c>
      <c r="D650" s="890">
        <v>8250.3772609819116</v>
      </c>
      <c r="E650">
        <v>10</v>
      </c>
      <c r="F650">
        <v>7</v>
      </c>
    </row>
    <row r="651" spans="1:6" x14ac:dyDescent="0.15">
      <c r="A651" s="3"/>
      <c r="B651">
        <v>4201</v>
      </c>
      <c r="C651">
        <v>5200</v>
      </c>
      <c r="D651" s="890">
        <v>11687.261780104711</v>
      </c>
      <c r="E651">
        <v>10</v>
      </c>
      <c r="F651">
        <v>7</v>
      </c>
    </row>
    <row r="652" spans="1:6" x14ac:dyDescent="0.15">
      <c r="A652" s="3"/>
      <c r="B652">
        <v>5201</v>
      </c>
      <c r="C652">
        <v>5300</v>
      </c>
      <c r="D652" s="890">
        <v>13787.82722513089</v>
      </c>
      <c r="E652">
        <v>10</v>
      </c>
      <c r="F652">
        <v>7</v>
      </c>
    </row>
    <row r="653" spans="1:6" x14ac:dyDescent="0.15">
      <c r="A653" s="3"/>
      <c r="B653">
        <v>5301</v>
      </c>
      <c r="C653">
        <v>6500</v>
      </c>
      <c r="D653" s="890">
        <v>14716.570680628272</v>
      </c>
      <c r="E653">
        <v>10</v>
      </c>
      <c r="F653">
        <v>7</v>
      </c>
    </row>
    <row r="654" spans="1:6" x14ac:dyDescent="0.15">
      <c r="A654" s="3"/>
      <c r="B654">
        <v>6501</v>
      </c>
      <c r="C654">
        <v>6600</v>
      </c>
      <c r="D654" s="890">
        <v>17680.523560209422</v>
      </c>
      <c r="E654">
        <v>10</v>
      </c>
      <c r="F654">
        <v>7</v>
      </c>
    </row>
    <row r="655" spans="1:6" x14ac:dyDescent="0.15">
      <c r="A655" s="3"/>
      <c r="B655">
        <v>6601</v>
      </c>
      <c r="C655" t="s">
        <v>3599</v>
      </c>
      <c r="D655" s="890" t="s">
        <v>3599</v>
      </c>
      <c r="E655">
        <v>10</v>
      </c>
      <c r="F655">
        <v>7</v>
      </c>
    </row>
    <row r="658" spans="1:6" x14ac:dyDescent="0.15">
      <c r="A658" s="891" t="s">
        <v>3750</v>
      </c>
      <c r="B658" s="891" t="s">
        <v>3798</v>
      </c>
      <c r="C658" s="891"/>
      <c r="D658" s="891"/>
      <c r="E658" s="891"/>
      <c r="F658" s="891"/>
    </row>
    <row r="659" spans="1:6" x14ac:dyDescent="0.15">
      <c r="A659" s="889">
        <v>29</v>
      </c>
      <c r="B659" s="894" t="s">
        <v>3799</v>
      </c>
      <c r="C659" s="320" t="s">
        <v>3800</v>
      </c>
      <c r="D659" s="847" t="s">
        <v>3598</v>
      </c>
      <c r="E659" s="894" t="s">
        <v>3625</v>
      </c>
      <c r="F659" s="847" t="s">
        <v>3592</v>
      </c>
    </row>
    <row r="660" spans="1:6" x14ac:dyDescent="0.15">
      <c r="A660" s="3" t="s">
        <v>3801</v>
      </c>
      <c r="B660">
        <v>0</v>
      </c>
      <c r="C660">
        <v>0.5</v>
      </c>
      <c r="D660" s="890">
        <v>481.93126486452076</v>
      </c>
      <c r="E660">
        <v>22</v>
      </c>
      <c r="F660">
        <v>17</v>
      </c>
    </row>
    <row r="661" spans="1:6" x14ac:dyDescent="0.15">
      <c r="A661" s="3"/>
      <c r="B661">
        <v>0.51</v>
      </c>
      <c r="C661">
        <v>0.75</v>
      </c>
      <c r="D661" s="890">
        <v>702.02717316143742</v>
      </c>
      <c r="E661">
        <v>22</v>
      </c>
      <c r="F661">
        <v>17</v>
      </c>
    </row>
    <row r="662" spans="1:6" x14ac:dyDescent="0.15">
      <c r="A662" s="3"/>
      <c r="B662">
        <v>0.76</v>
      </c>
      <c r="C662">
        <v>1</v>
      </c>
      <c r="D662" s="890">
        <v>699.02092264499606</v>
      </c>
      <c r="E662">
        <v>22</v>
      </c>
      <c r="F662">
        <v>17</v>
      </c>
    </row>
    <row r="663" spans="1:6" x14ac:dyDescent="0.15">
      <c r="A663" s="3"/>
      <c r="B663">
        <v>1.1000000000000001</v>
      </c>
      <c r="C663">
        <v>1.5</v>
      </c>
      <c r="D663" s="890">
        <v>1099.9332416323491</v>
      </c>
      <c r="E663">
        <v>22</v>
      </c>
      <c r="F663">
        <v>17</v>
      </c>
    </row>
    <row r="664" spans="1:6" x14ac:dyDescent="0.15">
      <c r="A664" s="3"/>
      <c r="B664">
        <v>1.6</v>
      </c>
      <c r="C664">
        <v>2</v>
      </c>
      <c r="D664" s="890">
        <v>1360.1061971941751</v>
      </c>
      <c r="E664">
        <v>22</v>
      </c>
      <c r="F664">
        <v>17</v>
      </c>
    </row>
    <row r="665" spans="1:6" x14ac:dyDescent="0.15">
      <c r="A665" s="3"/>
      <c r="B665">
        <v>2.1</v>
      </c>
      <c r="C665">
        <v>3</v>
      </c>
      <c r="D665" s="890">
        <v>2365.6722675847818</v>
      </c>
      <c r="E665">
        <v>22</v>
      </c>
      <c r="F665">
        <v>17</v>
      </c>
    </row>
    <row r="666" spans="1:6" x14ac:dyDescent="0.15">
      <c r="A666" s="3"/>
      <c r="B666">
        <v>3.1</v>
      </c>
      <c r="C666" t="s">
        <v>3599</v>
      </c>
      <c r="D666" s="890" t="s">
        <v>3599</v>
      </c>
      <c r="E666">
        <v>22</v>
      </c>
      <c r="F666">
        <v>17</v>
      </c>
    </row>
    <row r="669" spans="1:6" x14ac:dyDescent="0.15">
      <c r="A669" s="891" t="s">
        <v>3750</v>
      </c>
      <c r="B669" s="891" t="s">
        <v>3802</v>
      </c>
      <c r="C669" s="891"/>
      <c r="D669" s="891"/>
      <c r="E669" s="891"/>
      <c r="F669" s="891"/>
    </row>
    <row r="670" spans="1:6" x14ac:dyDescent="0.15">
      <c r="A670" s="889">
        <v>29</v>
      </c>
      <c r="B670" s="894" t="s">
        <v>3752</v>
      </c>
      <c r="C670" s="320" t="s">
        <v>3753</v>
      </c>
      <c r="D670" s="912" t="s">
        <v>3598</v>
      </c>
      <c r="E670" s="894" t="s">
        <v>3625</v>
      </c>
      <c r="F670" s="847" t="s">
        <v>3592</v>
      </c>
    </row>
    <row r="671" spans="1:6" x14ac:dyDescent="0.15">
      <c r="A671" s="3" t="s">
        <v>3803</v>
      </c>
      <c r="B671">
        <v>0</v>
      </c>
      <c r="C671">
        <v>23</v>
      </c>
      <c r="D671" s="890">
        <v>46895.133512695342</v>
      </c>
      <c r="E671">
        <v>25</v>
      </c>
      <c r="F671">
        <v>20</v>
      </c>
    </row>
    <row r="672" spans="1:6" x14ac:dyDescent="0.15">
      <c r="A672" s="3"/>
      <c r="B672">
        <v>23.1</v>
      </c>
      <c r="C672">
        <v>25</v>
      </c>
      <c r="D672" s="890">
        <v>36207.352424455079</v>
      </c>
      <c r="E672">
        <v>25</v>
      </c>
      <c r="F672">
        <v>20</v>
      </c>
    </row>
    <row r="673" spans="1:6" x14ac:dyDescent="0.15">
      <c r="A673" s="3"/>
      <c r="B673">
        <v>25.1</v>
      </c>
      <c r="C673">
        <v>27</v>
      </c>
      <c r="D673" s="890">
        <v>41804.409352504816</v>
      </c>
      <c r="E673">
        <v>25</v>
      </c>
      <c r="F673">
        <v>20</v>
      </c>
    </row>
    <row r="674" spans="1:6" x14ac:dyDescent="0.15">
      <c r="A674" s="3"/>
      <c r="B674">
        <v>27.1</v>
      </c>
      <c r="C674">
        <v>40</v>
      </c>
      <c r="D674" s="890">
        <v>54130.913463583238</v>
      </c>
      <c r="E674">
        <v>25</v>
      </c>
      <c r="F674">
        <v>20</v>
      </c>
    </row>
    <row r="675" spans="1:6" x14ac:dyDescent="0.15">
      <c r="A675" s="3"/>
      <c r="B675">
        <v>40.1</v>
      </c>
      <c r="C675">
        <v>42</v>
      </c>
      <c r="D675" s="890">
        <v>44373.49303762948</v>
      </c>
      <c r="E675">
        <v>25</v>
      </c>
      <c r="F675">
        <v>20</v>
      </c>
    </row>
    <row r="676" spans="1:6" x14ac:dyDescent="0.15">
      <c r="A676" s="3"/>
      <c r="B676">
        <v>42.1</v>
      </c>
      <c r="C676">
        <v>59</v>
      </c>
      <c r="D676" s="890">
        <v>49529.137167641573</v>
      </c>
      <c r="E676">
        <v>25</v>
      </c>
      <c r="F676">
        <v>20</v>
      </c>
    </row>
    <row r="677" spans="1:6" x14ac:dyDescent="0.15">
      <c r="A677" s="3"/>
      <c r="B677">
        <v>59.1</v>
      </c>
      <c r="C677">
        <v>60</v>
      </c>
      <c r="D677" s="890">
        <v>64367.056872138957</v>
      </c>
      <c r="E677">
        <v>25</v>
      </c>
      <c r="F677">
        <v>20</v>
      </c>
    </row>
    <row r="678" spans="1:6" x14ac:dyDescent="0.15">
      <c r="A678" s="3"/>
      <c r="B678">
        <v>60.1</v>
      </c>
      <c r="C678">
        <v>63</v>
      </c>
      <c r="D678" s="890">
        <v>57099.898982493134</v>
      </c>
      <c r="E678">
        <v>25</v>
      </c>
      <c r="F678">
        <v>20</v>
      </c>
    </row>
    <row r="679" spans="1:6" x14ac:dyDescent="0.15">
      <c r="A679" s="3"/>
      <c r="B679">
        <v>63.1</v>
      </c>
      <c r="C679">
        <v>80</v>
      </c>
      <c r="D679" s="890">
        <v>55873.200961520859</v>
      </c>
      <c r="E679">
        <v>25</v>
      </c>
      <c r="F679">
        <v>20</v>
      </c>
    </row>
    <row r="680" spans="1:6" x14ac:dyDescent="0.15">
      <c r="A680" s="3"/>
      <c r="B680">
        <v>80.099999999999994</v>
      </c>
      <c r="C680" t="s">
        <v>3599</v>
      </c>
      <c r="D680" s="890" t="s">
        <v>3599</v>
      </c>
      <c r="E680">
        <v>25</v>
      </c>
      <c r="F680">
        <v>20</v>
      </c>
    </row>
    <row r="683" spans="1:6" x14ac:dyDescent="0.15">
      <c r="A683" s="891" t="s">
        <v>3804</v>
      </c>
      <c r="B683" s="891" t="s">
        <v>3805</v>
      </c>
      <c r="C683" s="891"/>
      <c r="D683" s="891"/>
      <c r="E683" s="891"/>
      <c r="F683" s="891"/>
    </row>
    <row r="684" spans="1:6" x14ac:dyDescent="0.15">
      <c r="A684" s="889">
        <v>36</v>
      </c>
      <c r="B684" s="320"/>
      <c r="C684" s="320"/>
      <c r="D684" s="847" t="s">
        <v>3598</v>
      </c>
      <c r="E684" s="320" t="s">
        <v>3591</v>
      </c>
      <c r="F684" s="320" t="s">
        <v>3592</v>
      </c>
    </row>
    <row r="685" spans="1:6" x14ac:dyDescent="0.15">
      <c r="A685" s="3" t="s">
        <v>3806</v>
      </c>
      <c r="B685">
        <v>0</v>
      </c>
      <c r="C685">
        <v>0</v>
      </c>
      <c r="D685" s="890">
        <v>20680.739999999998</v>
      </c>
      <c r="E685">
        <v>10</v>
      </c>
      <c r="F685">
        <v>8</v>
      </c>
    </row>
    <row r="688" spans="1:6" x14ac:dyDescent="0.15">
      <c r="A688" s="891" t="s">
        <v>3804</v>
      </c>
      <c r="B688" s="891" t="s">
        <v>3807</v>
      </c>
      <c r="C688" s="891"/>
      <c r="D688" s="891"/>
      <c r="E688" s="891"/>
      <c r="F688" s="891"/>
    </row>
    <row r="689" spans="1:6" x14ac:dyDescent="0.15">
      <c r="A689" s="889">
        <v>36</v>
      </c>
      <c r="B689" s="320"/>
      <c r="C689" s="320"/>
      <c r="D689" s="847" t="s">
        <v>3598</v>
      </c>
      <c r="E689" s="320" t="s">
        <v>3591</v>
      </c>
      <c r="F689" s="320" t="s">
        <v>3592</v>
      </c>
    </row>
    <row r="690" spans="1:6" x14ac:dyDescent="0.15">
      <c r="A690" s="3" t="s">
        <v>3808</v>
      </c>
      <c r="B690">
        <v>0</v>
      </c>
      <c r="C690">
        <v>0</v>
      </c>
      <c r="D690" s="890">
        <v>107.74000000000001</v>
      </c>
      <c r="E690">
        <v>10</v>
      </c>
      <c r="F690">
        <v>8</v>
      </c>
    </row>
    <row r="693" spans="1:6" x14ac:dyDescent="0.15">
      <c r="A693" s="891" t="s">
        <v>3784</v>
      </c>
      <c r="B693" s="891" t="s">
        <v>3809</v>
      </c>
      <c r="C693" s="891"/>
      <c r="D693" s="891"/>
      <c r="E693" s="891"/>
      <c r="F693" s="891"/>
    </row>
    <row r="694" spans="1:6" x14ac:dyDescent="0.15">
      <c r="A694" s="889">
        <v>42</v>
      </c>
      <c r="B694" s="320"/>
      <c r="C694" s="320"/>
      <c r="D694" s="847" t="s">
        <v>3598</v>
      </c>
      <c r="E694" s="320" t="s">
        <v>3591</v>
      </c>
      <c r="F694" s="320" t="s">
        <v>3592</v>
      </c>
    </row>
    <row r="695" spans="1:6" x14ac:dyDescent="0.15">
      <c r="A695" s="3" t="s">
        <v>3810</v>
      </c>
      <c r="B695">
        <v>0</v>
      </c>
      <c r="C695">
        <v>0</v>
      </c>
      <c r="D695" s="890">
        <v>142.66999999999999</v>
      </c>
      <c r="E695">
        <v>10</v>
      </c>
      <c r="F695">
        <v>8</v>
      </c>
    </row>
    <row r="698" spans="1:6" x14ac:dyDescent="0.15">
      <c r="A698" s="891" t="s">
        <v>3784</v>
      </c>
      <c r="B698" s="891" t="s">
        <v>3811</v>
      </c>
      <c r="C698" s="891"/>
      <c r="D698" s="891"/>
      <c r="E698" s="891"/>
      <c r="F698" s="891"/>
    </row>
    <row r="699" spans="1:6" x14ac:dyDescent="0.15">
      <c r="A699" s="889">
        <v>42</v>
      </c>
      <c r="B699" s="320"/>
      <c r="C699" s="320"/>
      <c r="D699" s="847" t="s">
        <v>3598</v>
      </c>
      <c r="E699" s="320" t="s">
        <v>3591</v>
      </c>
      <c r="F699" s="320" t="s">
        <v>3592</v>
      </c>
    </row>
    <row r="700" spans="1:6" x14ac:dyDescent="0.15">
      <c r="A700" s="3" t="s">
        <v>3812</v>
      </c>
      <c r="B700">
        <v>0</v>
      </c>
      <c r="C700">
        <v>0</v>
      </c>
      <c r="D700" s="890">
        <v>557.33500000000004</v>
      </c>
      <c r="E700">
        <v>10</v>
      </c>
      <c r="F700">
        <v>8</v>
      </c>
    </row>
    <row r="703" spans="1:6" x14ac:dyDescent="0.15">
      <c r="A703" s="891" t="s">
        <v>3784</v>
      </c>
      <c r="B703" s="891" t="s">
        <v>3813</v>
      </c>
      <c r="C703" s="891"/>
      <c r="D703" s="891"/>
      <c r="E703" s="891"/>
      <c r="F703" s="891"/>
    </row>
    <row r="704" spans="1:6" x14ac:dyDescent="0.15">
      <c r="A704" s="889">
        <v>42</v>
      </c>
      <c r="B704" s="320"/>
      <c r="C704" s="320"/>
      <c r="D704" s="847" t="s">
        <v>3598</v>
      </c>
      <c r="E704" s="320" t="s">
        <v>3591</v>
      </c>
      <c r="F704" s="320" t="s">
        <v>3592</v>
      </c>
    </row>
    <row r="705" spans="1:6" x14ac:dyDescent="0.15">
      <c r="A705" s="3" t="s">
        <v>3814</v>
      </c>
      <c r="B705">
        <v>0</v>
      </c>
      <c r="C705">
        <v>0</v>
      </c>
      <c r="D705" s="890">
        <v>378.8</v>
      </c>
      <c r="E705">
        <v>10</v>
      </c>
      <c r="F705">
        <v>8</v>
      </c>
    </row>
    <row r="708" spans="1:6" x14ac:dyDescent="0.15">
      <c r="A708" s="891" t="s">
        <v>3784</v>
      </c>
      <c r="B708" s="891" t="s">
        <v>3815</v>
      </c>
      <c r="C708" s="891"/>
      <c r="D708" s="891"/>
      <c r="E708" s="891"/>
      <c r="F708" s="891"/>
    </row>
    <row r="709" spans="1:6" x14ac:dyDescent="0.15">
      <c r="A709" s="889">
        <v>42</v>
      </c>
      <c r="B709" s="320"/>
      <c r="C709" s="320"/>
      <c r="D709" s="847" t="s">
        <v>3598</v>
      </c>
      <c r="E709" s="320" t="s">
        <v>3591</v>
      </c>
      <c r="F709" s="320" t="s">
        <v>3592</v>
      </c>
    </row>
    <row r="710" spans="1:6" x14ac:dyDescent="0.15">
      <c r="A710" s="3" t="s">
        <v>3816</v>
      </c>
      <c r="B710">
        <v>0</v>
      </c>
      <c r="C710">
        <v>0</v>
      </c>
      <c r="D710" s="890">
        <v>597.23500000000001</v>
      </c>
      <c r="E710">
        <v>10</v>
      </c>
      <c r="F710">
        <v>8</v>
      </c>
    </row>
    <row r="713" spans="1:6" x14ac:dyDescent="0.15">
      <c r="A713" s="891" t="s">
        <v>3784</v>
      </c>
      <c r="B713" s="891" t="s">
        <v>3817</v>
      </c>
      <c r="C713" s="891"/>
      <c r="D713" s="891"/>
      <c r="E713" s="891"/>
      <c r="F713" s="891"/>
    </row>
    <row r="714" spans="1:6" x14ac:dyDescent="0.15">
      <c r="A714" s="889">
        <v>42</v>
      </c>
      <c r="B714" s="320"/>
      <c r="C714" s="320"/>
      <c r="D714" s="847" t="s">
        <v>3598</v>
      </c>
      <c r="E714" s="320" t="s">
        <v>3591</v>
      </c>
      <c r="F714" s="320" t="s">
        <v>3592</v>
      </c>
    </row>
    <row r="715" spans="1:6" x14ac:dyDescent="0.15">
      <c r="A715" s="3" t="s">
        <v>3818</v>
      </c>
      <c r="B715">
        <v>0</v>
      </c>
      <c r="C715">
        <v>0</v>
      </c>
      <c r="D715" s="890">
        <v>382.68</v>
      </c>
      <c r="E715">
        <v>10</v>
      </c>
      <c r="F715">
        <v>8</v>
      </c>
    </row>
    <row r="718" spans="1:6" x14ac:dyDescent="0.15">
      <c r="A718" s="891" t="s">
        <v>3784</v>
      </c>
      <c r="B718" s="891" t="s">
        <v>3819</v>
      </c>
      <c r="C718" s="891"/>
      <c r="D718" s="891"/>
      <c r="E718" s="891"/>
      <c r="F718" s="891"/>
    </row>
    <row r="719" spans="1:6" x14ac:dyDescent="0.15">
      <c r="A719" s="889">
        <v>42</v>
      </c>
      <c r="B719" s="320"/>
      <c r="C719" s="320"/>
      <c r="D719" s="847" t="s">
        <v>3598</v>
      </c>
      <c r="E719" s="320" t="s">
        <v>3591</v>
      </c>
      <c r="F719" s="320" t="s">
        <v>3592</v>
      </c>
    </row>
    <row r="720" spans="1:6" x14ac:dyDescent="0.15">
      <c r="A720" s="3" t="s">
        <v>3820</v>
      </c>
      <c r="B720">
        <v>0</v>
      </c>
      <c r="C720">
        <v>0</v>
      </c>
      <c r="D720" s="890">
        <v>340.42500000000001</v>
      </c>
      <c r="E720">
        <v>10</v>
      </c>
      <c r="F720">
        <v>8</v>
      </c>
    </row>
    <row r="723" spans="1:6" x14ac:dyDescent="0.15">
      <c r="A723" s="891" t="s">
        <v>3784</v>
      </c>
      <c r="B723" s="891" t="s">
        <v>3821</v>
      </c>
      <c r="C723" s="891"/>
      <c r="D723" s="891"/>
      <c r="E723" s="891"/>
      <c r="F723" s="891"/>
    </row>
    <row r="724" spans="1:6" x14ac:dyDescent="0.15">
      <c r="A724" s="889">
        <v>42</v>
      </c>
      <c r="B724" s="320"/>
      <c r="C724" s="320"/>
      <c r="D724" s="847" t="s">
        <v>3598</v>
      </c>
      <c r="E724" s="320" t="s">
        <v>3591</v>
      </c>
      <c r="F724" s="320" t="s">
        <v>3592</v>
      </c>
    </row>
    <row r="725" spans="1:6" x14ac:dyDescent="0.15">
      <c r="A725" s="3" t="s">
        <v>3822</v>
      </c>
      <c r="B725">
        <v>0</v>
      </c>
      <c r="C725">
        <v>0</v>
      </c>
      <c r="D725" s="890">
        <v>1342.2349999999999</v>
      </c>
      <c r="E725">
        <v>10</v>
      </c>
      <c r="F725">
        <v>8</v>
      </c>
    </row>
    <row r="728" spans="1:6" x14ac:dyDescent="0.15">
      <c r="A728" s="891" t="s">
        <v>3804</v>
      </c>
      <c r="B728" s="891" t="s">
        <v>3823</v>
      </c>
      <c r="C728" s="891"/>
      <c r="D728" s="891"/>
      <c r="E728" s="891"/>
      <c r="F728" s="891"/>
    </row>
    <row r="729" spans="1:6" x14ac:dyDescent="0.15">
      <c r="A729" s="889">
        <v>36</v>
      </c>
      <c r="B729" s="320" t="s">
        <v>2887</v>
      </c>
      <c r="C729" s="320"/>
      <c r="D729" s="847" t="s">
        <v>3598</v>
      </c>
      <c r="E729" s="320" t="s">
        <v>3591</v>
      </c>
      <c r="F729" s="320" t="s">
        <v>3592</v>
      </c>
    </row>
    <row r="730" spans="1:6" x14ac:dyDescent="0.15">
      <c r="A730" s="3" t="s">
        <v>3826</v>
      </c>
      <c r="B730" t="s">
        <v>3824</v>
      </c>
      <c r="C730" t="s">
        <v>3824</v>
      </c>
      <c r="D730" s="890">
        <v>1828.625</v>
      </c>
      <c r="E730">
        <v>10</v>
      </c>
      <c r="F730">
        <v>8</v>
      </c>
    </row>
    <row r="731" spans="1:6" x14ac:dyDescent="0.15">
      <c r="A731" s="3"/>
      <c r="B731" t="s">
        <v>3825</v>
      </c>
      <c r="C731" t="s">
        <v>3825</v>
      </c>
      <c r="D731" s="890">
        <v>616.5</v>
      </c>
      <c r="E731">
        <v>10</v>
      </c>
      <c r="F731">
        <v>8</v>
      </c>
    </row>
    <row r="734" spans="1:6" x14ac:dyDescent="0.15">
      <c r="A734" s="891" t="s">
        <v>3804</v>
      </c>
      <c r="B734" s="891" t="s">
        <v>3827</v>
      </c>
      <c r="C734" s="891"/>
      <c r="D734" s="891"/>
      <c r="E734" s="891"/>
      <c r="F734" s="891"/>
    </row>
    <row r="735" spans="1:6" x14ac:dyDescent="0.15">
      <c r="A735" s="889">
        <v>36</v>
      </c>
      <c r="B735" s="320"/>
      <c r="C735" s="320"/>
      <c r="D735" s="847" t="s">
        <v>3598</v>
      </c>
      <c r="E735" s="320" t="s">
        <v>3591</v>
      </c>
      <c r="F735" s="320" t="s">
        <v>3592</v>
      </c>
    </row>
    <row r="736" spans="1:6" x14ac:dyDescent="0.15">
      <c r="A736" s="3" t="s">
        <v>3828</v>
      </c>
      <c r="B736">
        <v>0</v>
      </c>
      <c r="C736">
        <v>0</v>
      </c>
      <c r="D736" s="890">
        <v>355.56</v>
      </c>
      <c r="E736">
        <v>10</v>
      </c>
      <c r="F736">
        <v>8</v>
      </c>
    </row>
    <row r="739" spans="1:6" x14ac:dyDescent="0.15">
      <c r="A739" s="891" t="s">
        <v>3784</v>
      </c>
      <c r="B739" s="891" t="s">
        <v>3829</v>
      </c>
      <c r="C739" s="891"/>
      <c r="D739" s="891"/>
      <c r="E739" s="891"/>
      <c r="F739" s="891"/>
    </row>
    <row r="740" spans="1:6" x14ac:dyDescent="0.15">
      <c r="A740" s="889">
        <v>42</v>
      </c>
      <c r="B740" s="320"/>
      <c r="C740" s="320"/>
      <c r="D740" s="847" t="s">
        <v>3598</v>
      </c>
      <c r="E740" s="320" t="s">
        <v>3591</v>
      </c>
      <c r="F740" s="320" t="s">
        <v>3592</v>
      </c>
    </row>
    <row r="741" spans="1:6" x14ac:dyDescent="0.15">
      <c r="A741" s="3" t="s">
        <v>3830</v>
      </c>
      <c r="B741">
        <v>0</v>
      </c>
      <c r="C741">
        <v>0</v>
      </c>
      <c r="D741" s="890">
        <v>553.5</v>
      </c>
      <c r="E741">
        <v>10</v>
      </c>
      <c r="F741">
        <v>8</v>
      </c>
    </row>
    <row r="744" spans="1:6" x14ac:dyDescent="0.15">
      <c r="A744" s="891" t="s">
        <v>3750</v>
      </c>
      <c r="B744" s="891" t="s">
        <v>3831</v>
      </c>
      <c r="C744" s="891"/>
      <c r="D744" s="891"/>
      <c r="E744" s="891"/>
      <c r="F744" s="891"/>
    </row>
    <row r="745" spans="1:6" x14ac:dyDescent="0.15">
      <c r="A745" s="889">
        <v>29</v>
      </c>
      <c r="B745" s="320" t="s">
        <v>3764</v>
      </c>
      <c r="C745" s="320" t="s">
        <v>3780</v>
      </c>
      <c r="D745" s="847" t="s">
        <v>3598</v>
      </c>
      <c r="E745" s="320" t="s">
        <v>3591</v>
      </c>
      <c r="F745" s="320" t="s">
        <v>3592</v>
      </c>
    </row>
    <row r="746" spans="1:6" x14ac:dyDescent="0.15">
      <c r="A746" s="3" t="s">
        <v>3832</v>
      </c>
      <c r="B746">
        <v>0</v>
      </c>
      <c r="C746">
        <v>1</v>
      </c>
      <c r="D746" s="890">
        <v>2673.5819322709162</v>
      </c>
      <c r="E746">
        <v>25</v>
      </c>
      <c r="F746">
        <v>20</v>
      </c>
    </row>
    <row r="747" spans="1:6" x14ac:dyDescent="0.15">
      <c r="A747" s="3"/>
      <c r="B747">
        <v>1.1000000000000001</v>
      </c>
      <c r="C747" t="s">
        <v>3599</v>
      </c>
      <c r="D747" s="890" t="s">
        <v>3599</v>
      </c>
      <c r="E747">
        <v>25</v>
      </c>
      <c r="F747">
        <v>20</v>
      </c>
    </row>
    <row r="750" spans="1:6" x14ac:dyDescent="0.15">
      <c r="A750" s="891" t="s">
        <v>3695</v>
      </c>
      <c r="B750" s="891" t="s">
        <v>3833</v>
      </c>
      <c r="C750" s="891"/>
      <c r="D750" s="891"/>
      <c r="E750" s="891"/>
      <c r="F750" s="891"/>
    </row>
    <row r="751" spans="1:6" x14ac:dyDescent="0.15">
      <c r="A751" s="889">
        <v>35</v>
      </c>
      <c r="B751" s="320" t="s">
        <v>3697</v>
      </c>
      <c r="C751" s="320" t="s">
        <v>3698</v>
      </c>
      <c r="D751" s="847" t="s">
        <v>3598</v>
      </c>
      <c r="E751" s="320" t="s">
        <v>3591</v>
      </c>
      <c r="F751" s="320" t="s">
        <v>3592</v>
      </c>
    </row>
    <row r="752" spans="1:6" x14ac:dyDescent="0.15">
      <c r="A752" s="3" t="s">
        <v>3834</v>
      </c>
      <c r="B752">
        <v>0</v>
      </c>
      <c r="C752">
        <v>0.5</v>
      </c>
      <c r="D752" s="890">
        <v>86</v>
      </c>
      <c r="E752">
        <v>25</v>
      </c>
      <c r="F752">
        <v>20</v>
      </c>
    </row>
    <row r="753" spans="1:6" x14ac:dyDescent="0.15">
      <c r="A753" s="3"/>
      <c r="B753">
        <v>0.6</v>
      </c>
      <c r="C753">
        <v>0.75</v>
      </c>
      <c r="D753" s="890">
        <v>94</v>
      </c>
      <c r="E753">
        <v>25</v>
      </c>
      <c r="F753">
        <v>20</v>
      </c>
    </row>
    <row r="754" spans="1:6" x14ac:dyDescent="0.15">
      <c r="A754" s="3"/>
      <c r="B754">
        <v>0.76</v>
      </c>
      <c r="C754">
        <v>1</v>
      </c>
      <c r="D754" s="890">
        <v>112</v>
      </c>
      <c r="E754">
        <v>25</v>
      </c>
      <c r="F754">
        <v>20</v>
      </c>
    </row>
    <row r="755" spans="1:6" x14ac:dyDescent="0.15">
      <c r="A755" s="3"/>
      <c r="B755">
        <v>1.1000000000000001</v>
      </c>
      <c r="C755">
        <v>1.5</v>
      </c>
      <c r="D755" s="890">
        <v>168</v>
      </c>
      <c r="E755">
        <v>25</v>
      </c>
      <c r="F755">
        <v>20</v>
      </c>
    </row>
    <row r="756" spans="1:6" x14ac:dyDescent="0.15">
      <c r="A756" s="3"/>
      <c r="B756">
        <v>1.51</v>
      </c>
      <c r="C756">
        <v>2</v>
      </c>
      <c r="D756" s="890">
        <v>221</v>
      </c>
      <c r="E756">
        <v>25</v>
      </c>
      <c r="F756">
        <v>20</v>
      </c>
    </row>
    <row r="757" spans="1:6" x14ac:dyDescent="0.15">
      <c r="A757" s="3"/>
      <c r="B757">
        <v>2.1</v>
      </c>
      <c r="C757">
        <v>3</v>
      </c>
      <c r="D757" s="890">
        <v>535</v>
      </c>
      <c r="E757">
        <v>25</v>
      </c>
      <c r="F757">
        <v>20</v>
      </c>
    </row>
    <row r="758" spans="1:6" x14ac:dyDescent="0.15">
      <c r="A758" s="3"/>
      <c r="B758">
        <v>3.1</v>
      </c>
      <c r="C758">
        <v>4</v>
      </c>
      <c r="D758" s="890">
        <v>745</v>
      </c>
      <c r="E758">
        <v>25</v>
      </c>
      <c r="F758">
        <v>20</v>
      </c>
    </row>
    <row r="759" spans="1:6" x14ac:dyDescent="0.15">
      <c r="A759" s="3"/>
      <c r="B759">
        <v>4.0999999999999996</v>
      </c>
      <c r="C759">
        <v>6</v>
      </c>
      <c r="D759" s="890">
        <v>1183.2912922943299</v>
      </c>
      <c r="E759">
        <v>25</v>
      </c>
      <c r="F759">
        <v>20</v>
      </c>
    </row>
    <row r="760" spans="1:6" x14ac:dyDescent="0.15">
      <c r="A760" s="3"/>
      <c r="B760">
        <v>6.1</v>
      </c>
      <c r="C760">
        <v>8</v>
      </c>
      <c r="D760" s="890">
        <v>2546.809935210013</v>
      </c>
      <c r="E760">
        <v>25</v>
      </c>
      <c r="F760">
        <v>20</v>
      </c>
    </row>
    <row r="761" spans="1:6" x14ac:dyDescent="0.15">
      <c r="A761" s="3"/>
      <c r="B761">
        <v>8.1</v>
      </c>
      <c r="C761">
        <v>10</v>
      </c>
      <c r="D761" s="890">
        <v>3343.2641795643849</v>
      </c>
      <c r="E761">
        <v>25</v>
      </c>
      <c r="F761">
        <v>20</v>
      </c>
    </row>
    <row r="762" spans="1:6" x14ac:dyDescent="0.15">
      <c r="A762" s="3"/>
      <c r="B762">
        <v>10.1</v>
      </c>
      <c r="C762">
        <v>12</v>
      </c>
      <c r="D762" s="890">
        <v>3308.8022170682825</v>
      </c>
      <c r="E762">
        <v>25</v>
      </c>
      <c r="F762">
        <v>20</v>
      </c>
    </row>
    <row r="763" spans="1:6" x14ac:dyDescent="0.15">
      <c r="A763" s="3"/>
      <c r="B763">
        <v>12.1</v>
      </c>
      <c r="C763" t="s">
        <v>3599</v>
      </c>
      <c r="D763" s="890" t="s">
        <v>3599</v>
      </c>
      <c r="E763">
        <v>25</v>
      </c>
      <c r="F763">
        <v>20</v>
      </c>
    </row>
    <row r="766" spans="1:6" x14ac:dyDescent="0.15">
      <c r="A766" s="891" t="s">
        <v>3695</v>
      </c>
      <c r="B766" s="891" t="s">
        <v>3835</v>
      </c>
      <c r="C766" s="891"/>
      <c r="D766" s="891"/>
      <c r="E766" s="891"/>
      <c r="F766" s="891"/>
    </row>
    <row r="767" spans="1:6" x14ac:dyDescent="0.15">
      <c r="A767" s="889">
        <v>35</v>
      </c>
      <c r="B767" s="320" t="s">
        <v>3697</v>
      </c>
      <c r="C767" s="320" t="s">
        <v>3698</v>
      </c>
      <c r="D767" s="847" t="s">
        <v>3598</v>
      </c>
      <c r="E767" s="320" t="s">
        <v>3591</v>
      </c>
      <c r="F767" s="320" t="s">
        <v>3592</v>
      </c>
    </row>
    <row r="768" spans="1:6" x14ac:dyDescent="0.15">
      <c r="A768" s="3" t="s">
        <v>3837</v>
      </c>
      <c r="B768">
        <v>0</v>
      </c>
      <c r="C768">
        <v>0.5</v>
      </c>
      <c r="D768" s="890">
        <v>128.83954852512139</v>
      </c>
      <c r="E768">
        <v>25</v>
      </c>
      <c r="F768">
        <v>20</v>
      </c>
    </row>
    <row r="769" spans="1:6" x14ac:dyDescent="0.15">
      <c r="A769" s="3"/>
      <c r="B769">
        <v>0.6</v>
      </c>
      <c r="C769">
        <v>0.75</v>
      </c>
      <c r="D769" s="890">
        <v>147.50199593286607</v>
      </c>
      <c r="E769">
        <v>25</v>
      </c>
      <c r="F769">
        <v>20</v>
      </c>
    </row>
    <row r="770" spans="1:6" x14ac:dyDescent="0.15">
      <c r="A770" s="3"/>
      <c r="B770">
        <v>0.76</v>
      </c>
      <c r="C770">
        <v>1</v>
      </c>
      <c r="D770" s="890">
        <v>165.45892277617779</v>
      </c>
      <c r="E770">
        <v>25</v>
      </c>
      <c r="F770">
        <v>20</v>
      </c>
    </row>
    <row r="771" spans="1:6" x14ac:dyDescent="0.15">
      <c r="A771" s="3"/>
      <c r="B771">
        <v>1.1000000000000001</v>
      </c>
      <c r="C771">
        <v>1.5</v>
      </c>
      <c r="D771" s="890">
        <v>234.30425345942169</v>
      </c>
      <c r="E771">
        <v>25</v>
      </c>
      <c r="F771">
        <v>20</v>
      </c>
    </row>
    <row r="772" spans="1:6" x14ac:dyDescent="0.15">
      <c r="A772" s="3"/>
      <c r="B772">
        <v>1.6</v>
      </c>
      <c r="C772">
        <v>2</v>
      </c>
      <c r="D772" s="890">
        <v>297.00740796003362</v>
      </c>
      <c r="E772">
        <v>25</v>
      </c>
      <c r="F772">
        <v>20</v>
      </c>
    </row>
    <row r="773" spans="1:6" x14ac:dyDescent="0.15">
      <c r="A773" s="3"/>
      <c r="B773">
        <v>2.1</v>
      </c>
      <c r="C773">
        <v>3</v>
      </c>
      <c r="D773" s="890">
        <v>500.39976319112048</v>
      </c>
      <c r="E773">
        <v>25</v>
      </c>
      <c r="F773">
        <v>20</v>
      </c>
    </row>
    <row r="774" spans="1:6" x14ac:dyDescent="0.15">
      <c r="A774" s="3"/>
      <c r="B774">
        <v>3.1</v>
      </c>
      <c r="C774">
        <v>4</v>
      </c>
      <c r="D774" s="890">
        <v>636.40287930604438</v>
      </c>
      <c r="E774">
        <v>25</v>
      </c>
      <c r="F774">
        <v>20</v>
      </c>
    </row>
    <row r="775" spans="1:6" x14ac:dyDescent="0.15">
      <c r="A775" s="3"/>
      <c r="B775">
        <v>4.0999999999999996</v>
      </c>
      <c r="C775">
        <v>6</v>
      </c>
      <c r="D775" s="890">
        <v>509.65011818181824</v>
      </c>
      <c r="E775">
        <v>25</v>
      </c>
      <c r="F775">
        <v>20</v>
      </c>
    </row>
    <row r="776" spans="1:6" x14ac:dyDescent="0.15">
      <c r="A776" s="3"/>
      <c r="B776">
        <v>6.1</v>
      </c>
      <c r="C776">
        <v>8</v>
      </c>
      <c r="D776" s="890">
        <v>1509.803581818182</v>
      </c>
      <c r="E776">
        <v>25</v>
      </c>
      <c r="F776">
        <v>20</v>
      </c>
    </row>
    <row r="777" spans="1:6" x14ac:dyDescent="0.15">
      <c r="A777" s="3"/>
      <c r="B777">
        <v>8.1</v>
      </c>
      <c r="C777">
        <v>10</v>
      </c>
      <c r="D777" s="890">
        <v>2218.7854000000002</v>
      </c>
      <c r="E777">
        <v>25</v>
      </c>
      <c r="F777">
        <v>20</v>
      </c>
    </row>
    <row r="778" spans="1:6" x14ac:dyDescent="0.15">
      <c r="A778" s="3"/>
      <c r="B778" s="526">
        <v>10.1</v>
      </c>
      <c r="C778">
        <v>12</v>
      </c>
      <c r="D778" s="890">
        <v>3493.0035818181823</v>
      </c>
      <c r="E778">
        <v>25</v>
      </c>
      <c r="F778">
        <v>20</v>
      </c>
    </row>
    <row r="779" spans="1:6" x14ac:dyDescent="0.15">
      <c r="A779" s="3" t="s">
        <v>3836</v>
      </c>
      <c r="B779" s="526">
        <v>12.1</v>
      </c>
      <c r="C779">
        <v>14</v>
      </c>
      <c r="D779" s="890">
        <v>9497.3730363636369</v>
      </c>
      <c r="E779">
        <v>25</v>
      </c>
      <c r="F779">
        <v>20</v>
      </c>
    </row>
    <row r="780" spans="1:6" x14ac:dyDescent="0.15">
      <c r="A780" s="3"/>
      <c r="B780" s="526">
        <v>14.1</v>
      </c>
      <c r="C780">
        <v>16</v>
      </c>
      <c r="D780" s="890">
        <v>15175.099218181818</v>
      </c>
      <c r="E780">
        <v>25</v>
      </c>
      <c r="F780">
        <v>20</v>
      </c>
    </row>
    <row r="781" spans="1:6" x14ac:dyDescent="0.15">
      <c r="A781" s="3"/>
      <c r="B781" s="526">
        <v>16.100000000000001</v>
      </c>
      <c r="C781">
        <v>18</v>
      </c>
      <c r="D781" s="890">
        <v>26336.568309090911</v>
      </c>
      <c r="E781">
        <v>25</v>
      </c>
      <c r="F781">
        <v>20</v>
      </c>
    </row>
    <row r="782" spans="1:6" x14ac:dyDescent="0.15">
      <c r="A782" s="3"/>
      <c r="B782" s="526">
        <v>18.100000000000001</v>
      </c>
      <c r="C782">
        <v>20</v>
      </c>
      <c r="D782" s="890">
        <v>27037.973036363637</v>
      </c>
      <c r="E782">
        <v>25</v>
      </c>
      <c r="F782">
        <v>20</v>
      </c>
    </row>
    <row r="783" spans="1:6" x14ac:dyDescent="0.15">
      <c r="A783" s="3"/>
      <c r="B783" s="526">
        <v>20.100000000000001</v>
      </c>
      <c r="C783">
        <v>24</v>
      </c>
      <c r="D783" s="890">
        <v>30928.845763636364</v>
      </c>
      <c r="E783">
        <v>25</v>
      </c>
      <c r="F783">
        <v>20</v>
      </c>
    </row>
    <row r="784" spans="1:6" x14ac:dyDescent="0.15">
      <c r="A784" s="3"/>
      <c r="B784" s="526">
        <v>24.1</v>
      </c>
      <c r="C784" t="s">
        <v>3599</v>
      </c>
      <c r="D784" s="890" t="s">
        <v>3599</v>
      </c>
      <c r="E784">
        <v>25</v>
      </c>
      <c r="F784">
        <v>20</v>
      </c>
    </row>
    <row r="787" spans="1:6" x14ac:dyDescent="0.15">
      <c r="A787" s="891" t="s">
        <v>3695</v>
      </c>
      <c r="B787" s="891" t="s">
        <v>3838</v>
      </c>
      <c r="C787" s="891"/>
      <c r="D787" s="914"/>
      <c r="E787" s="891"/>
      <c r="F787" s="891"/>
    </row>
    <row r="788" spans="1:6" x14ac:dyDescent="0.15">
      <c r="A788" s="889">
        <v>35</v>
      </c>
      <c r="B788" s="320" t="s">
        <v>3697</v>
      </c>
      <c r="C788" s="320" t="s">
        <v>3698</v>
      </c>
      <c r="D788" s="847" t="s">
        <v>3598</v>
      </c>
      <c r="E788" s="320" t="s">
        <v>3591</v>
      </c>
      <c r="F788" s="320" t="s">
        <v>3592</v>
      </c>
    </row>
    <row r="789" spans="1:6" x14ac:dyDescent="0.15">
      <c r="A789" s="3" t="s">
        <v>3840</v>
      </c>
      <c r="B789">
        <v>0</v>
      </c>
      <c r="C789">
        <v>0.5</v>
      </c>
      <c r="D789" s="890">
        <v>740.26144396551717</v>
      </c>
      <c r="E789">
        <v>25</v>
      </c>
      <c r="F789">
        <v>20</v>
      </c>
    </row>
    <row r="790" spans="1:6" x14ac:dyDescent="0.15">
      <c r="A790" s="3"/>
      <c r="B790">
        <v>0.6</v>
      </c>
      <c r="C790">
        <v>0.75</v>
      </c>
      <c r="D790" s="890">
        <v>756.44980603448266</v>
      </c>
      <c r="E790">
        <v>25</v>
      </c>
      <c r="F790">
        <v>20</v>
      </c>
    </row>
    <row r="791" spans="1:6" x14ac:dyDescent="0.15">
      <c r="A791" s="3"/>
      <c r="B791">
        <v>0.76</v>
      </c>
      <c r="C791">
        <v>1</v>
      </c>
      <c r="D791" s="890">
        <v>762.05928879310341</v>
      </c>
      <c r="E791">
        <v>25</v>
      </c>
      <c r="F791">
        <v>20</v>
      </c>
    </row>
    <row r="792" spans="1:6" x14ac:dyDescent="0.15">
      <c r="A792" s="3"/>
      <c r="B792">
        <v>1.1000000000000001</v>
      </c>
      <c r="C792">
        <v>1.5</v>
      </c>
      <c r="D792" s="890">
        <v>832.34657327586206</v>
      </c>
      <c r="E792">
        <v>25</v>
      </c>
      <c r="F792">
        <v>20</v>
      </c>
    </row>
    <row r="793" spans="1:6" x14ac:dyDescent="0.15">
      <c r="A793" s="3"/>
      <c r="B793">
        <v>1.6</v>
      </c>
      <c r="C793">
        <v>2</v>
      </c>
      <c r="D793" s="890">
        <v>819.5775532116046</v>
      </c>
      <c r="E793">
        <v>25</v>
      </c>
      <c r="F793">
        <v>20</v>
      </c>
    </row>
    <row r="794" spans="1:6" x14ac:dyDescent="0.15">
      <c r="A794" s="3"/>
      <c r="B794">
        <v>2.1</v>
      </c>
      <c r="C794">
        <v>2.5</v>
      </c>
      <c r="D794" s="890">
        <v>754.23778894515874</v>
      </c>
      <c r="E794">
        <v>25</v>
      </c>
      <c r="F794">
        <v>20</v>
      </c>
    </row>
    <row r="795" spans="1:6" x14ac:dyDescent="0.15">
      <c r="A795" s="3"/>
      <c r="B795">
        <v>2.6</v>
      </c>
      <c r="C795">
        <v>3</v>
      </c>
      <c r="D795" s="890">
        <v>976.71146485581494</v>
      </c>
      <c r="E795">
        <v>25</v>
      </c>
      <c r="F795">
        <v>20</v>
      </c>
    </row>
    <row r="796" spans="1:6" x14ac:dyDescent="0.15">
      <c r="A796" s="3"/>
      <c r="B796">
        <v>3.1</v>
      </c>
      <c r="C796">
        <v>4</v>
      </c>
      <c r="D796" s="890">
        <v>1166.5479564973525</v>
      </c>
      <c r="E796">
        <v>25</v>
      </c>
      <c r="F796">
        <v>20</v>
      </c>
    </row>
    <row r="797" spans="1:6" x14ac:dyDescent="0.15">
      <c r="A797" s="3"/>
      <c r="B797">
        <v>4.0999999999999996</v>
      </c>
      <c r="C797">
        <v>6</v>
      </c>
      <c r="D797" s="890">
        <v>1648.4738331376229</v>
      </c>
      <c r="E797">
        <v>25</v>
      </c>
      <c r="F797">
        <v>20</v>
      </c>
    </row>
    <row r="798" spans="1:6" x14ac:dyDescent="0.15">
      <c r="A798" s="3"/>
      <c r="B798">
        <v>6.1</v>
      </c>
      <c r="C798">
        <v>8</v>
      </c>
      <c r="D798" s="890">
        <v>2631.2493192641541</v>
      </c>
      <c r="E798">
        <v>25</v>
      </c>
      <c r="F798">
        <v>20</v>
      </c>
    </row>
    <row r="799" spans="1:6" x14ac:dyDescent="0.15">
      <c r="A799" s="3"/>
      <c r="B799">
        <v>8.1</v>
      </c>
      <c r="C799">
        <v>10</v>
      </c>
      <c r="D799" s="890">
        <v>4317.4601627104021</v>
      </c>
      <c r="E799">
        <v>25</v>
      </c>
      <c r="F799">
        <v>20</v>
      </c>
    </row>
    <row r="800" spans="1:6" x14ac:dyDescent="0.15">
      <c r="A800" s="3"/>
      <c r="B800">
        <v>10.1</v>
      </c>
      <c r="C800">
        <v>12</v>
      </c>
      <c r="D800" s="890">
        <v>5117.5928035714278</v>
      </c>
      <c r="E800">
        <v>25</v>
      </c>
      <c r="F800">
        <v>20</v>
      </c>
    </row>
    <row r="801" spans="1:6" x14ac:dyDescent="0.15">
      <c r="A801" s="3" t="s">
        <v>3839</v>
      </c>
      <c r="B801">
        <v>12.1</v>
      </c>
      <c r="C801">
        <v>14</v>
      </c>
      <c r="D801" s="890">
        <v>11974.494936134073</v>
      </c>
      <c r="E801">
        <v>25</v>
      </c>
      <c r="F801">
        <v>20</v>
      </c>
    </row>
    <row r="802" spans="1:6" x14ac:dyDescent="0.15">
      <c r="A802" s="3"/>
      <c r="B802">
        <v>14.1</v>
      </c>
      <c r="C802">
        <v>16</v>
      </c>
      <c r="D802" s="890">
        <v>17391.798762050355</v>
      </c>
      <c r="E802">
        <v>25</v>
      </c>
      <c r="F802">
        <v>20</v>
      </c>
    </row>
    <row r="803" spans="1:6" x14ac:dyDescent="0.15">
      <c r="A803" s="3"/>
      <c r="B803">
        <v>16.100000000000001</v>
      </c>
      <c r="C803">
        <v>18</v>
      </c>
      <c r="D803" s="890">
        <v>27381.034667861262</v>
      </c>
      <c r="E803">
        <v>25</v>
      </c>
      <c r="F803">
        <v>20</v>
      </c>
    </row>
    <row r="804" spans="1:6" x14ac:dyDescent="0.15">
      <c r="A804" s="3"/>
      <c r="B804">
        <v>18.100000000000001</v>
      </c>
      <c r="C804">
        <v>20</v>
      </c>
      <c r="D804" s="890">
        <v>29109.944789041583</v>
      </c>
      <c r="E804">
        <v>25</v>
      </c>
      <c r="F804">
        <v>20</v>
      </c>
    </row>
    <row r="805" spans="1:6" x14ac:dyDescent="0.15">
      <c r="A805" s="3"/>
      <c r="B805">
        <v>20.100000000000001</v>
      </c>
      <c r="C805">
        <v>24</v>
      </c>
      <c r="D805" s="890">
        <v>32873.996547028371</v>
      </c>
      <c r="E805">
        <v>25</v>
      </c>
      <c r="F805">
        <v>20</v>
      </c>
    </row>
    <row r="806" spans="1:6" x14ac:dyDescent="0.15">
      <c r="A806" s="3"/>
      <c r="B806">
        <v>24.1</v>
      </c>
      <c r="C806" t="s">
        <v>3599</v>
      </c>
      <c r="D806" s="890" t="s">
        <v>3599</v>
      </c>
      <c r="E806">
        <v>25</v>
      </c>
      <c r="F806">
        <v>20</v>
      </c>
    </row>
    <row r="809" spans="1:6" x14ac:dyDescent="0.15">
      <c r="A809" s="891" t="s">
        <v>3589</v>
      </c>
      <c r="B809" s="891" t="s">
        <v>3841</v>
      </c>
      <c r="C809" s="891"/>
      <c r="D809" s="891"/>
      <c r="E809" s="891"/>
      <c r="F809" s="891"/>
    </row>
    <row r="810" spans="1:6" x14ac:dyDescent="0.15">
      <c r="A810" s="889">
        <v>43</v>
      </c>
      <c r="B810" s="320" t="s">
        <v>3697</v>
      </c>
      <c r="C810" s="320" t="s">
        <v>3698</v>
      </c>
      <c r="D810" s="847" t="s">
        <v>3598</v>
      </c>
      <c r="E810" s="320" t="s">
        <v>3591</v>
      </c>
      <c r="F810" s="320" t="s">
        <v>3592</v>
      </c>
    </row>
    <row r="811" spans="1:6" x14ac:dyDescent="0.15">
      <c r="A811" s="3" t="s">
        <v>3842</v>
      </c>
      <c r="B811">
        <v>0</v>
      </c>
      <c r="C811">
        <v>2</v>
      </c>
      <c r="D811" s="890">
        <v>2762.2015890410958</v>
      </c>
      <c r="E811">
        <v>15</v>
      </c>
      <c r="F811">
        <v>14</v>
      </c>
    </row>
    <row r="812" spans="1:6" x14ac:dyDescent="0.15">
      <c r="A812" s="3"/>
      <c r="B812">
        <v>2.1</v>
      </c>
      <c r="C812">
        <v>3</v>
      </c>
      <c r="D812" s="890">
        <v>2952.1338543689321</v>
      </c>
      <c r="E812">
        <v>15</v>
      </c>
      <c r="F812">
        <v>14</v>
      </c>
    </row>
    <row r="813" spans="1:6" x14ac:dyDescent="0.15">
      <c r="A813" s="3"/>
      <c r="B813">
        <v>3.1</v>
      </c>
      <c r="C813">
        <v>4</v>
      </c>
      <c r="D813" s="890">
        <v>3374.8769849462369</v>
      </c>
      <c r="E813">
        <v>15</v>
      </c>
      <c r="F813">
        <v>14</v>
      </c>
    </row>
    <row r="814" spans="1:6" x14ac:dyDescent="0.15">
      <c r="A814" s="3"/>
      <c r="B814">
        <v>4.0999999999999996</v>
      </c>
      <c r="C814">
        <v>6</v>
      </c>
      <c r="D814" s="890">
        <v>5052.9042666666664</v>
      </c>
      <c r="E814">
        <v>15</v>
      </c>
      <c r="F814">
        <v>14</v>
      </c>
    </row>
    <row r="815" spans="1:6" x14ac:dyDescent="0.15">
      <c r="A815" s="3"/>
      <c r="B815">
        <v>6.1</v>
      </c>
      <c r="C815">
        <v>8</v>
      </c>
      <c r="D815" s="890">
        <v>5332.266333333333</v>
      </c>
      <c r="E815">
        <v>15</v>
      </c>
      <c r="F815">
        <v>14</v>
      </c>
    </row>
    <row r="816" spans="1:6" x14ac:dyDescent="0.15">
      <c r="A816" s="3"/>
      <c r="B816">
        <v>8.1</v>
      </c>
      <c r="C816">
        <v>10</v>
      </c>
      <c r="D816" s="890">
        <v>5899.4732846715342</v>
      </c>
      <c r="E816">
        <v>15</v>
      </c>
      <c r="F816">
        <v>14</v>
      </c>
    </row>
    <row r="817" spans="1:6" x14ac:dyDescent="0.15">
      <c r="A817" s="3"/>
      <c r="B817">
        <v>10.1</v>
      </c>
      <c r="C817">
        <v>12</v>
      </c>
      <c r="D817" s="890">
        <v>6787.882043795621</v>
      </c>
      <c r="E817">
        <v>15</v>
      </c>
      <c r="F817">
        <v>14</v>
      </c>
    </row>
    <row r="818" spans="1:6" x14ac:dyDescent="0.15">
      <c r="A818" s="3"/>
      <c r="B818">
        <v>12.1</v>
      </c>
      <c r="C818">
        <v>14</v>
      </c>
      <c r="D818" s="890">
        <v>7395.5316788321179</v>
      </c>
      <c r="E818">
        <v>15</v>
      </c>
      <c r="F818">
        <v>14</v>
      </c>
    </row>
    <row r="819" spans="1:6" x14ac:dyDescent="0.15">
      <c r="A819" s="3"/>
      <c r="B819">
        <v>14.1</v>
      </c>
      <c r="C819">
        <v>16</v>
      </c>
      <c r="D819" s="890">
        <v>8116.5827737226282</v>
      </c>
      <c r="E819">
        <v>15</v>
      </c>
      <c r="F819">
        <v>14</v>
      </c>
    </row>
    <row r="820" spans="1:6" x14ac:dyDescent="0.15">
      <c r="A820" s="3"/>
      <c r="B820">
        <v>16.100000000000001</v>
      </c>
      <c r="C820">
        <v>18</v>
      </c>
      <c r="D820" s="890">
        <v>8534.2178102189791</v>
      </c>
      <c r="E820">
        <v>15</v>
      </c>
      <c r="F820">
        <v>14</v>
      </c>
    </row>
    <row r="821" spans="1:6" x14ac:dyDescent="0.15">
      <c r="A821" s="3"/>
      <c r="B821">
        <v>18.100000000000001</v>
      </c>
      <c r="C821">
        <v>20</v>
      </c>
      <c r="D821" s="890">
        <v>9377.896642335767</v>
      </c>
      <c r="E821">
        <v>15</v>
      </c>
      <c r="F821">
        <v>14</v>
      </c>
    </row>
    <row r="822" spans="1:6" x14ac:dyDescent="0.15">
      <c r="A822" s="3"/>
      <c r="B822">
        <v>20.100000000000001</v>
      </c>
      <c r="C822">
        <v>24</v>
      </c>
      <c r="D822" s="890">
        <v>11593.604671532848</v>
      </c>
      <c r="E822">
        <v>15</v>
      </c>
      <c r="F822">
        <v>14</v>
      </c>
    </row>
    <row r="823" spans="1:6" x14ac:dyDescent="0.15">
      <c r="A823" s="3"/>
      <c r="B823">
        <v>24.1</v>
      </c>
      <c r="C823">
        <v>30</v>
      </c>
      <c r="D823" s="890">
        <v>15914.305401459857</v>
      </c>
      <c r="E823">
        <v>15</v>
      </c>
      <c r="F823">
        <v>14</v>
      </c>
    </row>
    <row r="824" spans="1:6" x14ac:dyDescent="0.15">
      <c r="A824" s="3"/>
      <c r="B824">
        <v>30.1</v>
      </c>
      <c r="C824">
        <v>36</v>
      </c>
      <c r="D824" s="890">
        <v>20239.210510948906</v>
      </c>
      <c r="E824">
        <v>15</v>
      </c>
      <c r="F824">
        <v>14</v>
      </c>
    </row>
    <row r="825" spans="1:6" x14ac:dyDescent="0.15">
      <c r="A825" s="3"/>
      <c r="B825">
        <v>36.1</v>
      </c>
      <c r="C825" t="s">
        <v>3599</v>
      </c>
      <c r="D825" s="890" t="s">
        <v>3599</v>
      </c>
      <c r="E825">
        <v>15</v>
      </c>
      <c r="F825">
        <v>14</v>
      </c>
    </row>
    <row r="828" spans="1:6" x14ac:dyDescent="0.15">
      <c r="A828" s="891" t="s">
        <v>3594</v>
      </c>
      <c r="B828" s="891" t="s">
        <v>3843</v>
      </c>
      <c r="C828" s="891"/>
      <c r="D828" s="891"/>
      <c r="E828" s="891"/>
      <c r="F828" s="891"/>
    </row>
    <row r="829" spans="1:6" x14ac:dyDescent="0.15">
      <c r="A829" s="889">
        <v>30</v>
      </c>
      <c r="B829" s="320" t="s">
        <v>3596</v>
      </c>
      <c r="C829" s="320" t="s">
        <v>3597</v>
      </c>
      <c r="D829" s="847" t="s">
        <v>3598</v>
      </c>
      <c r="E829" s="320" t="s">
        <v>3591</v>
      </c>
      <c r="F829" s="320" t="s">
        <v>3592</v>
      </c>
    </row>
    <row r="830" spans="1:6" x14ac:dyDescent="0.15">
      <c r="A830" s="3" t="s">
        <v>3844</v>
      </c>
      <c r="B830">
        <v>0</v>
      </c>
      <c r="C830">
        <v>10</v>
      </c>
      <c r="D830" s="890">
        <v>3765.081740826402</v>
      </c>
      <c r="E830">
        <v>20</v>
      </c>
      <c r="F830">
        <v>17</v>
      </c>
    </row>
    <row r="831" spans="1:6" x14ac:dyDescent="0.15">
      <c r="A831" s="3"/>
      <c r="B831">
        <v>11</v>
      </c>
      <c r="C831">
        <v>30</v>
      </c>
      <c r="D831" s="890">
        <v>4254.6995836907727</v>
      </c>
      <c r="E831">
        <v>20</v>
      </c>
      <c r="F831">
        <v>17</v>
      </c>
    </row>
    <row r="832" spans="1:6" x14ac:dyDescent="0.15">
      <c r="A832" s="3"/>
      <c r="B832">
        <v>31</v>
      </c>
      <c r="C832">
        <v>200</v>
      </c>
      <c r="D832" s="890">
        <v>12125.919025502953</v>
      </c>
      <c r="E832">
        <v>20</v>
      </c>
      <c r="F832">
        <v>17</v>
      </c>
    </row>
    <row r="833" spans="1:6" x14ac:dyDescent="0.15">
      <c r="A833" s="3"/>
      <c r="B833">
        <v>301</v>
      </c>
      <c r="C833">
        <v>500</v>
      </c>
      <c r="D833" s="890">
        <v>13969.613526038316</v>
      </c>
      <c r="E833">
        <v>20</v>
      </c>
      <c r="F833">
        <v>17</v>
      </c>
    </row>
    <row r="834" spans="1:6" x14ac:dyDescent="0.15">
      <c r="A834" s="3"/>
      <c r="B834">
        <v>501</v>
      </c>
      <c r="C834">
        <v>750</v>
      </c>
      <c r="D834" s="890">
        <v>17759.918572183145</v>
      </c>
      <c r="E834">
        <v>20</v>
      </c>
      <c r="F834">
        <v>17</v>
      </c>
    </row>
    <row r="835" spans="1:6" x14ac:dyDescent="0.15">
      <c r="A835" s="3"/>
      <c r="B835">
        <v>751</v>
      </c>
      <c r="C835">
        <v>1000</v>
      </c>
      <c r="D835" s="890">
        <v>18367.928438860366</v>
      </c>
      <c r="E835">
        <v>20</v>
      </c>
      <c r="F835">
        <v>17</v>
      </c>
    </row>
    <row r="836" spans="1:6" x14ac:dyDescent="0.15">
      <c r="A836" s="3"/>
      <c r="B836">
        <v>1001</v>
      </c>
      <c r="C836">
        <v>1500</v>
      </c>
      <c r="D836" s="890">
        <v>23207.19064302601</v>
      </c>
      <c r="E836">
        <v>20</v>
      </c>
      <c r="F836">
        <v>17</v>
      </c>
    </row>
    <row r="837" spans="1:6" x14ac:dyDescent="0.15">
      <c r="A837" s="3"/>
      <c r="B837">
        <v>1501</v>
      </c>
      <c r="C837">
        <v>2000</v>
      </c>
      <c r="D837" s="890">
        <v>33543.358376538781</v>
      </c>
      <c r="E837">
        <v>20</v>
      </c>
      <c r="F837">
        <v>17</v>
      </c>
    </row>
    <row r="838" spans="1:6" x14ac:dyDescent="0.15">
      <c r="A838" s="3"/>
      <c r="B838">
        <v>2001</v>
      </c>
      <c r="C838">
        <v>3000</v>
      </c>
      <c r="D838" s="890">
        <v>38246.128569817702</v>
      </c>
      <c r="E838">
        <v>20</v>
      </c>
      <c r="F838">
        <v>17</v>
      </c>
    </row>
    <row r="839" spans="1:6" x14ac:dyDescent="0.15">
      <c r="A839" s="3"/>
      <c r="B839">
        <v>3001</v>
      </c>
      <c r="C839">
        <v>3500</v>
      </c>
      <c r="D839" s="890">
        <v>41894.187769881028</v>
      </c>
      <c r="E839">
        <v>20</v>
      </c>
      <c r="F839">
        <v>17</v>
      </c>
    </row>
    <row r="840" spans="1:6" x14ac:dyDescent="0.15">
      <c r="A840" s="3"/>
      <c r="B840">
        <v>3501</v>
      </c>
      <c r="C840">
        <v>4000</v>
      </c>
      <c r="D840" s="890">
        <v>44289.002142711717</v>
      </c>
      <c r="E840">
        <v>20</v>
      </c>
      <c r="F840">
        <v>17</v>
      </c>
    </row>
    <row r="841" spans="1:6" x14ac:dyDescent="0.15">
      <c r="A841" s="3"/>
      <c r="B841">
        <v>4001</v>
      </c>
      <c r="C841">
        <v>6000</v>
      </c>
      <c r="D841" s="890">
        <v>82333.048086229319</v>
      </c>
      <c r="E841">
        <v>20</v>
      </c>
      <c r="F841">
        <v>17</v>
      </c>
    </row>
    <row r="842" spans="1:6" x14ac:dyDescent="0.15">
      <c r="A842" s="3"/>
      <c r="B842">
        <v>6001</v>
      </c>
      <c r="C842">
        <v>10000</v>
      </c>
      <c r="D842" s="890">
        <v>89174.66776026864</v>
      </c>
      <c r="E842">
        <v>20</v>
      </c>
      <c r="F842">
        <v>17</v>
      </c>
    </row>
    <row r="843" spans="1:6" x14ac:dyDescent="0.15">
      <c r="A843" s="3"/>
      <c r="B843">
        <v>10001</v>
      </c>
      <c r="C843" t="s">
        <v>3599</v>
      </c>
      <c r="D843" s="890" t="s">
        <v>3599</v>
      </c>
      <c r="E843">
        <v>20</v>
      </c>
      <c r="F843">
        <v>17</v>
      </c>
    </row>
    <row r="846" spans="1:6" x14ac:dyDescent="0.15">
      <c r="A846" s="891" t="s">
        <v>3594</v>
      </c>
      <c r="B846" s="891" t="s">
        <v>3845</v>
      </c>
      <c r="C846" s="891"/>
      <c r="D846" s="891"/>
      <c r="E846" s="891"/>
      <c r="F846" s="891"/>
    </row>
    <row r="847" spans="1:6" x14ac:dyDescent="0.15">
      <c r="A847" s="889">
        <v>30</v>
      </c>
      <c r="B847" s="320" t="s">
        <v>3846</v>
      </c>
      <c r="C847" s="320" t="s">
        <v>3847</v>
      </c>
      <c r="D847" s="847" t="s">
        <v>3598</v>
      </c>
      <c r="E847" s="320" t="s">
        <v>3591</v>
      </c>
      <c r="F847" s="320" t="s">
        <v>3592</v>
      </c>
    </row>
    <row r="848" spans="1:6" x14ac:dyDescent="0.15">
      <c r="A848" s="3" t="s">
        <v>3848</v>
      </c>
      <c r="B848">
        <v>0</v>
      </c>
      <c r="C848">
        <v>0.21</v>
      </c>
      <c r="D848" s="890">
        <v>1430.5603577391205</v>
      </c>
      <c r="E848">
        <v>20</v>
      </c>
      <c r="F848">
        <v>15</v>
      </c>
    </row>
    <row r="849" spans="1:6" x14ac:dyDescent="0.15">
      <c r="A849" s="3"/>
      <c r="B849">
        <v>0.22</v>
      </c>
      <c r="C849">
        <v>0.5</v>
      </c>
      <c r="D849" s="890">
        <v>1698.9532846009226</v>
      </c>
      <c r="E849">
        <v>20</v>
      </c>
      <c r="F849">
        <v>15</v>
      </c>
    </row>
    <row r="850" spans="1:6" x14ac:dyDescent="0.15">
      <c r="A850" s="3"/>
      <c r="B850">
        <v>0.51</v>
      </c>
      <c r="C850">
        <v>0.6</v>
      </c>
      <c r="D850" s="890">
        <v>667.04762473158007</v>
      </c>
      <c r="E850">
        <v>20</v>
      </c>
      <c r="F850">
        <v>15</v>
      </c>
    </row>
    <row r="851" spans="1:6" x14ac:dyDescent="0.15">
      <c r="A851" s="3"/>
      <c r="B851">
        <v>0.61</v>
      </c>
      <c r="C851">
        <v>1</v>
      </c>
      <c r="D851" s="890">
        <v>1376.9078299324747</v>
      </c>
      <c r="E851">
        <v>20</v>
      </c>
      <c r="F851">
        <v>15</v>
      </c>
    </row>
    <row r="852" spans="1:6" x14ac:dyDescent="0.15">
      <c r="A852" s="3"/>
      <c r="B852">
        <v>1.01</v>
      </c>
      <c r="C852">
        <v>1.5</v>
      </c>
      <c r="D852" s="890">
        <v>717.80776274388995</v>
      </c>
      <c r="E852">
        <v>20</v>
      </c>
      <c r="F852">
        <v>15</v>
      </c>
    </row>
    <row r="853" spans="1:6" x14ac:dyDescent="0.15">
      <c r="A853" s="3"/>
      <c r="B853">
        <v>1.51</v>
      </c>
      <c r="C853">
        <v>2</v>
      </c>
      <c r="D853" s="890">
        <v>1063.3180553384593</v>
      </c>
      <c r="E853">
        <v>20</v>
      </c>
      <c r="F853">
        <v>15</v>
      </c>
    </row>
    <row r="854" spans="1:6" x14ac:dyDescent="0.15">
      <c r="A854" s="3"/>
      <c r="B854">
        <v>2.0099999999999998</v>
      </c>
      <c r="C854">
        <v>2.5</v>
      </c>
      <c r="D854" s="890">
        <v>2044.2160303212022</v>
      </c>
      <c r="E854">
        <v>20</v>
      </c>
      <c r="F854">
        <v>15</v>
      </c>
    </row>
    <row r="855" spans="1:6" x14ac:dyDescent="0.15">
      <c r="A855" s="3"/>
      <c r="B855">
        <v>2.5099999999999998</v>
      </c>
      <c r="C855">
        <v>5</v>
      </c>
      <c r="D855" s="890">
        <v>2208.378694324052</v>
      </c>
      <c r="E855">
        <v>20</v>
      </c>
      <c r="F855">
        <v>15</v>
      </c>
    </row>
    <row r="856" spans="1:6" x14ac:dyDescent="0.15">
      <c r="A856" s="3"/>
      <c r="B856">
        <v>5.01</v>
      </c>
      <c r="C856">
        <v>6.3</v>
      </c>
      <c r="D856" s="890">
        <v>1184.6029949577078</v>
      </c>
      <c r="E856">
        <v>20</v>
      </c>
      <c r="F856">
        <v>15</v>
      </c>
    </row>
    <row r="857" spans="1:6" x14ac:dyDescent="0.15">
      <c r="A857" s="3"/>
      <c r="B857">
        <v>6.31</v>
      </c>
      <c r="C857">
        <v>10</v>
      </c>
      <c r="D857" s="890">
        <v>2393.3874108986925</v>
      </c>
      <c r="E857">
        <v>20</v>
      </c>
      <c r="F857">
        <v>15</v>
      </c>
    </row>
    <row r="858" spans="1:6" x14ac:dyDescent="0.15">
      <c r="A858" s="3"/>
      <c r="B858">
        <v>10.01</v>
      </c>
      <c r="C858">
        <v>21</v>
      </c>
      <c r="D858" s="890">
        <v>3340.5799246294214</v>
      </c>
      <c r="E858">
        <v>20</v>
      </c>
      <c r="F858">
        <v>15</v>
      </c>
    </row>
    <row r="859" spans="1:6" x14ac:dyDescent="0.15">
      <c r="A859" s="3"/>
      <c r="B859">
        <v>21.01</v>
      </c>
      <c r="C859" t="s">
        <v>3599</v>
      </c>
      <c r="D859" s="890" t="s">
        <v>3599</v>
      </c>
      <c r="E859">
        <v>20</v>
      </c>
      <c r="F859">
        <v>15</v>
      </c>
    </row>
    <row r="862" spans="1:6" x14ac:dyDescent="0.15">
      <c r="A862" s="891" t="s">
        <v>3594</v>
      </c>
      <c r="B862" s="891" t="s">
        <v>3849</v>
      </c>
      <c r="C862" s="891"/>
      <c r="D862" s="891"/>
      <c r="E862" s="891"/>
      <c r="F862" s="891"/>
    </row>
    <row r="863" spans="1:6" x14ac:dyDescent="0.15">
      <c r="A863" s="889">
        <v>30</v>
      </c>
      <c r="B863" s="320" t="s">
        <v>3846</v>
      </c>
      <c r="C863" s="320" t="s">
        <v>3847</v>
      </c>
      <c r="D863" s="847" t="s">
        <v>3598</v>
      </c>
      <c r="E863" s="320" t="s">
        <v>3591</v>
      </c>
      <c r="F863" s="320" t="s">
        <v>3592</v>
      </c>
    </row>
    <row r="864" spans="1:6" x14ac:dyDescent="0.15">
      <c r="A864" s="3" t="s">
        <v>3850</v>
      </c>
      <c r="B864">
        <v>0</v>
      </c>
      <c r="C864">
        <v>1</v>
      </c>
      <c r="D864" s="890">
        <v>3165.9942343406765</v>
      </c>
      <c r="E864">
        <v>20</v>
      </c>
      <c r="F864">
        <v>17</v>
      </c>
    </row>
    <row r="865" spans="1:6" x14ac:dyDescent="0.15">
      <c r="A865" s="3"/>
      <c r="B865">
        <v>1.01</v>
      </c>
      <c r="C865">
        <v>2</v>
      </c>
      <c r="D865" s="890">
        <v>3165.9942343406765</v>
      </c>
      <c r="E865">
        <v>20</v>
      </c>
      <c r="F865">
        <v>17</v>
      </c>
    </row>
    <row r="866" spans="1:6" x14ac:dyDescent="0.15">
      <c r="A866" s="3"/>
      <c r="B866">
        <v>2.0099999999999998</v>
      </c>
      <c r="C866">
        <v>4</v>
      </c>
      <c r="D866" s="890">
        <v>3165.9942343406765</v>
      </c>
      <c r="E866">
        <v>20</v>
      </c>
      <c r="F866">
        <v>17</v>
      </c>
    </row>
    <row r="867" spans="1:6" x14ac:dyDescent="0.15">
      <c r="A867" s="3"/>
      <c r="B867">
        <v>4.01</v>
      </c>
      <c r="C867">
        <v>5</v>
      </c>
      <c r="D867" s="890">
        <v>3165.9942343406765</v>
      </c>
      <c r="E867">
        <v>20</v>
      </c>
      <c r="F867">
        <v>17</v>
      </c>
    </row>
    <row r="868" spans="1:6" x14ac:dyDescent="0.15">
      <c r="A868" s="3"/>
      <c r="B868">
        <v>5.01</v>
      </c>
      <c r="C868">
        <v>7</v>
      </c>
      <c r="D868" s="890">
        <v>3599.2012643481967</v>
      </c>
      <c r="E868">
        <v>20</v>
      </c>
      <c r="F868">
        <v>17</v>
      </c>
    </row>
    <row r="869" spans="1:6" x14ac:dyDescent="0.15">
      <c r="A869" s="3"/>
      <c r="B869">
        <v>7.01</v>
      </c>
      <c r="C869">
        <v>11</v>
      </c>
      <c r="D869" s="890">
        <v>3165.9942343406765</v>
      </c>
      <c r="E869">
        <v>20</v>
      </c>
      <c r="F869">
        <v>17</v>
      </c>
    </row>
    <row r="870" spans="1:6" x14ac:dyDescent="0.15">
      <c r="A870" s="3"/>
      <c r="B870">
        <v>11.01</v>
      </c>
      <c r="C870">
        <v>14</v>
      </c>
      <c r="D870" s="890">
        <v>4109.2781132141945</v>
      </c>
      <c r="E870">
        <v>20</v>
      </c>
      <c r="F870">
        <v>17</v>
      </c>
    </row>
    <row r="871" spans="1:6" x14ac:dyDescent="0.15">
      <c r="A871" s="3"/>
      <c r="B871">
        <v>14.01</v>
      </c>
      <c r="C871">
        <v>22</v>
      </c>
      <c r="D871" s="890">
        <v>4552.8161503300189</v>
      </c>
      <c r="E871">
        <v>20</v>
      </c>
      <c r="F871">
        <v>17</v>
      </c>
    </row>
    <row r="872" spans="1:6" x14ac:dyDescent="0.15">
      <c r="A872" s="3"/>
      <c r="B872">
        <v>22.01</v>
      </c>
      <c r="C872">
        <v>29</v>
      </c>
      <c r="D872" s="890">
        <v>4415.4545103623668</v>
      </c>
      <c r="E872">
        <v>20</v>
      </c>
      <c r="F872">
        <v>17</v>
      </c>
    </row>
    <row r="873" spans="1:6" x14ac:dyDescent="0.15">
      <c r="A873" s="3"/>
      <c r="B873">
        <v>29.01</v>
      </c>
      <c r="C873">
        <v>35</v>
      </c>
      <c r="D873" s="890">
        <v>4569.1941480793221</v>
      </c>
      <c r="E873">
        <v>20</v>
      </c>
      <c r="F873">
        <v>17</v>
      </c>
    </row>
    <row r="874" spans="1:6" x14ac:dyDescent="0.15">
      <c r="A874" s="3"/>
      <c r="B874">
        <v>35.01</v>
      </c>
      <c r="C874">
        <v>59</v>
      </c>
      <c r="D874" s="890">
        <v>5503.0238131129645</v>
      </c>
      <c r="E874">
        <v>20</v>
      </c>
      <c r="F874">
        <v>17</v>
      </c>
    </row>
    <row r="875" spans="1:6" x14ac:dyDescent="0.15">
      <c r="A875" s="3"/>
      <c r="B875">
        <v>59.01</v>
      </c>
      <c r="C875">
        <v>132</v>
      </c>
      <c r="D875" s="890">
        <v>6656.4039497412641</v>
      </c>
      <c r="E875">
        <v>20</v>
      </c>
      <c r="F875">
        <v>17</v>
      </c>
    </row>
    <row r="876" spans="1:6" x14ac:dyDescent="0.15">
      <c r="A876" s="3"/>
      <c r="B876">
        <v>132.01</v>
      </c>
      <c r="C876" t="s">
        <v>3599</v>
      </c>
      <c r="D876" s="890" t="s">
        <v>3599</v>
      </c>
      <c r="E876">
        <v>20</v>
      </c>
      <c r="F876">
        <v>17</v>
      </c>
    </row>
    <row r="879" spans="1:6" x14ac:dyDescent="0.15">
      <c r="A879" s="891" t="s">
        <v>3713</v>
      </c>
      <c r="B879" s="891" t="s">
        <v>3851</v>
      </c>
      <c r="C879" s="891"/>
      <c r="D879" s="891"/>
      <c r="E879" s="891"/>
      <c r="F879" s="891"/>
    </row>
    <row r="880" spans="1:6" x14ac:dyDescent="0.15">
      <c r="A880" s="889">
        <v>15</v>
      </c>
      <c r="B880" s="320" t="s">
        <v>3697</v>
      </c>
      <c r="C880" s="320" t="s">
        <v>3698</v>
      </c>
      <c r="D880" s="847" t="s">
        <v>3715</v>
      </c>
      <c r="E880" s="320" t="s">
        <v>3591</v>
      </c>
      <c r="F880" s="320" t="s">
        <v>3592</v>
      </c>
    </row>
    <row r="881" spans="1:6" x14ac:dyDescent="0.15">
      <c r="A881" s="3" t="s">
        <v>3852</v>
      </c>
      <c r="B881">
        <v>0</v>
      </c>
      <c r="C881">
        <v>0.5</v>
      </c>
      <c r="D881" s="890">
        <v>1.9312269788838421</v>
      </c>
      <c r="E881">
        <v>22</v>
      </c>
      <c r="F881">
        <v>17</v>
      </c>
    </row>
    <row r="882" spans="1:6" x14ac:dyDescent="0.15">
      <c r="A882" s="3"/>
      <c r="B882">
        <v>0.6</v>
      </c>
      <c r="C882">
        <v>0.75</v>
      </c>
      <c r="D882" s="890">
        <v>2.5438388800988618</v>
      </c>
      <c r="E882">
        <v>22</v>
      </c>
      <c r="F882">
        <v>17</v>
      </c>
    </row>
    <row r="883" spans="1:6" x14ac:dyDescent="0.15">
      <c r="A883" s="3"/>
      <c r="B883">
        <v>0.76</v>
      </c>
      <c r="C883">
        <v>1</v>
      </c>
      <c r="D883" s="890">
        <v>3.7370578810951129</v>
      </c>
      <c r="E883">
        <v>22</v>
      </c>
      <c r="F883">
        <v>17</v>
      </c>
    </row>
    <row r="884" spans="1:6" x14ac:dyDescent="0.15">
      <c r="A884" s="3"/>
      <c r="B884">
        <v>1.1000000000000001</v>
      </c>
      <c r="C884">
        <v>1.5</v>
      </c>
      <c r="D884" s="890">
        <v>2.3199999999999998</v>
      </c>
      <c r="E884">
        <v>22</v>
      </c>
      <c r="F884">
        <v>17</v>
      </c>
    </row>
    <row r="885" spans="1:6" x14ac:dyDescent="0.15">
      <c r="A885" s="3"/>
      <c r="B885">
        <v>1.6</v>
      </c>
      <c r="C885">
        <v>2</v>
      </c>
      <c r="D885" s="890">
        <v>2.4700000000000002</v>
      </c>
      <c r="E885">
        <v>22</v>
      </c>
      <c r="F885">
        <v>17</v>
      </c>
    </row>
    <row r="886" spans="1:6" x14ac:dyDescent="0.15">
      <c r="A886" s="3"/>
      <c r="B886">
        <v>2.1</v>
      </c>
      <c r="C886">
        <v>2.5</v>
      </c>
      <c r="D886" s="890">
        <v>3.46</v>
      </c>
      <c r="E886">
        <v>22</v>
      </c>
      <c r="F886">
        <v>17</v>
      </c>
    </row>
    <row r="887" spans="1:6" x14ac:dyDescent="0.15">
      <c r="A887" s="3"/>
      <c r="B887">
        <v>2.6</v>
      </c>
      <c r="C887">
        <v>3</v>
      </c>
      <c r="D887" s="890">
        <v>6.45</v>
      </c>
      <c r="E887">
        <v>22</v>
      </c>
      <c r="F887">
        <v>17</v>
      </c>
    </row>
    <row r="888" spans="1:6" x14ac:dyDescent="0.15">
      <c r="A888" s="3"/>
      <c r="B888">
        <v>3.1</v>
      </c>
      <c r="C888">
        <v>4</v>
      </c>
      <c r="D888" s="890">
        <v>9.6</v>
      </c>
      <c r="E888">
        <v>22</v>
      </c>
      <c r="F888">
        <v>17</v>
      </c>
    </row>
    <row r="889" spans="1:6" x14ac:dyDescent="0.15">
      <c r="A889" s="3"/>
      <c r="B889">
        <v>3.1</v>
      </c>
      <c r="C889">
        <v>6</v>
      </c>
      <c r="D889" s="890">
        <v>12.6</v>
      </c>
      <c r="E889">
        <v>22</v>
      </c>
      <c r="F889">
        <v>17</v>
      </c>
    </row>
    <row r="890" spans="1:6" x14ac:dyDescent="0.15">
      <c r="A890" s="3"/>
      <c r="B890">
        <v>6.1</v>
      </c>
      <c r="C890">
        <v>8</v>
      </c>
      <c r="D890" s="890">
        <v>17.850000000000001</v>
      </c>
      <c r="E890">
        <v>22</v>
      </c>
      <c r="F890">
        <v>17</v>
      </c>
    </row>
    <row r="891" spans="1:6" x14ac:dyDescent="0.15">
      <c r="A891" s="3"/>
      <c r="B891">
        <v>8.1</v>
      </c>
      <c r="C891">
        <v>10</v>
      </c>
      <c r="D891" s="890">
        <v>22.5</v>
      </c>
      <c r="E891">
        <v>22</v>
      </c>
      <c r="F891">
        <v>17</v>
      </c>
    </row>
    <row r="892" spans="1:6" x14ac:dyDescent="0.15">
      <c r="A892" s="3"/>
      <c r="B892">
        <v>10.1</v>
      </c>
      <c r="C892">
        <v>12</v>
      </c>
      <c r="D892" s="890">
        <v>29</v>
      </c>
      <c r="E892">
        <v>22</v>
      </c>
      <c r="F892">
        <v>17</v>
      </c>
    </row>
    <row r="893" spans="1:6" x14ac:dyDescent="0.15">
      <c r="A893" s="3"/>
      <c r="B893">
        <v>12.1</v>
      </c>
      <c r="C893">
        <v>14</v>
      </c>
      <c r="D893" s="890">
        <v>28</v>
      </c>
      <c r="E893">
        <v>22</v>
      </c>
      <c r="F893">
        <v>17</v>
      </c>
    </row>
    <row r="894" spans="1:6" x14ac:dyDescent="0.15">
      <c r="A894" s="3"/>
      <c r="B894">
        <v>14.1</v>
      </c>
      <c r="C894">
        <v>16</v>
      </c>
      <c r="D894" s="890">
        <v>35</v>
      </c>
      <c r="E894">
        <v>22</v>
      </c>
      <c r="F894">
        <v>17</v>
      </c>
    </row>
    <row r="895" spans="1:6" x14ac:dyDescent="0.15">
      <c r="A895" s="3"/>
      <c r="B895">
        <v>16.100000000000001</v>
      </c>
      <c r="C895">
        <v>18</v>
      </c>
      <c r="D895" s="890">
        <v>42.5</v>
      </c>
      <c r="E895">
        <v>22</v>
      </c>
      <c r="F895">
        <v>17</v>
      </c>
    </row>
    <row r="896" spans="1:6" x14ac:dyDescent="0.15">
      <c r="A896" s="3"/>
      <c r="B896">
        <v>18.100000000000001</v>
      </c>
      <c r="C896">
        <v>20</v>
      </c>
      <c r="D896" s="890">
        <v>52.5</v>
      </c>
      <c r="E896">
        <v>22</v>
      </c>
      <c r="F896">
        <v>17</v>
      </c>
    </row>
    <row r="897" spans="1:6" x14ac:dyDescent="0.15">
      <c r="A897" s="3"/>
      <c r="B897">
        <v>20.100000000000001</v>
      </c>
      <c r="C897">
        <v>24</v>
      </c>
      <c r="D897" s="890">
        <v>73.5</v>
      </c>
      <c r="E897">
        <v>22</v>
      </c>
      <c r="F897">
        <v>17</v>
      </c>
    </row>
    <row r="898" spans="1:6" x14ac:dyDescent="0.15">
      <c r="A898" s="3"/>
      <c r="B898">
        <v>24.1</v>
      </c>
      <c r="C898">
        <v>30</v>
      </c>
      <c r="D898" s="890">
        <v>115</v>
      </c>
      <c r="E898">
        <v>22</v>
      </c>
      <c r="F898">
        <v>17</v>
      </c>
    </row>
    <row r="899" spans="1:6" x14ac:dyDescent="0.15">
      <c r="A899" s="3"/>
      <c r="B899">
        <v>30.1</v>
      </c>
      <c r="C899">
        <v>36</v>
      </c>
      <c r="D899" s="890">
        <v>160</v>
      </c>
      <c r="E899">
        <v>22</v>
      </c>
      <c r="F899">
        <v>17</v>
      </c>
    </row>
    <row r="900" spans="1:6" x14ac:dyDescent="0.15">
      <c r="A900" s="3"/>
      <c r="B900">
        <v>36.1</v>
      </c>
      <c r="C900">
        <v>42</v>
      </c>
      <c r="D900" s="890">
        <v>217</v>
      </c>
      <c r="E900">
        <v>22</v>
      </c>
      <c r="F900">
        <v>17</v>
      </c>
    </row>
    <row r="901" spans="1:6" x14ac:dyDescent="0.15">
      <c r="A901" s="3"/>
      <c r="B901">
        <v>42.1</v>
      </c>
      <c r="C901">
        <v>48</v>
      </c>
      <c r="D901" s="890">
        <v>265</v>
      </c>
      <c r="E901">
        <v>22</v>
      </c>
      <c r="F901">
        <v>17</v>
      </c>
    </row>
    <row r="902" spans="1:6" x14ac:dyDescent="0.15">
      <c r="A902" s="3"/>
      <c r="B902">
        <v>48.1</v>
      </c>
      <c r="C902" t="s">
        <v>3599</v>
      </c>
      <c r="D902" s="890" t="s">
        <v>3599</v>
      </c>
      <c r="E902">
        <v>22</v>
      </c>
      <c r="F902">
        <v>17</v>
      </c>
    </row>
    <row r="905" spans="1:6" x14ac:dyDescent="0.15">
      <c r="A905" s="895" t="s">
        <v>3853</v>
      </c>
      <c r="B905" s="896" t="s">
        <v>3854</v>
      </c>
      <c r="C905" s="897"/>
      <c r="D905" s="898"/>
      <c r="E905" s="897"/>
      <c r="F905" s="897"/>
    </row>
    <row r="906" spans="1:6" x14ac:dyDescent="0.15">
      <c r="A906" s="889">
        <v>12</v>
      </c>
      <c r="B906" s="320" t="s">
        <v>3855</v>
      </c>
      <c r="C906" s="320" t="s">
        <v>279</v>
      </c>
      <c r="D906" s="847" t="s">
        <v>3598</v>
      </c>
      <c r="E906" s="320" t="s">
        <v>3591</v>
      </c>
      <c r="F906" s="320" t="s">
        <v>3592</v>
      </c>
    </row>
    <row r="907" spans="1:6" x14ac:dyDescent="0.15">
      <c r="A907" s="3" t="s">
        <v>3862</v>
      </c>
      <c r="B907" t="s">
        <v>3856</v>
      </c>
      <c r="C907" t="s">
        <v>1100</v>
      </c>
      <c r="D907" s="890">
        <v>232.14331410016109</v>
      </c>
      <c r="E907" s="44" t="s">
        <v>3604</v>
      </c>
      <c r="F907" s="44" t="s">
        <v>3604</v>
      </c>
    </row>
    <row r="908" spans="1:6" x14ac:dyDescent="0.15">
      <c r="A908" s="3"/>
      <c r="B908" t="s">
        <v>3857</v>
      </c>
      <c r="C908" t="s">
        <v>1100</v>
      </c>
      <c r="D908" s="890">
        <v>244.12932340248665</v>
      </c>
      <c r="E908" s="44" t="s">
        <v>3604</v>
      </c>
      <c r="F908" s="44" t="s">
        <v>3604</v>
      </c>
    </row>
    <row r="909" spans="1:6" x14ac:dyDescent="0.15">
      <c r="A909" s="3"/>
      <c r="B909" t="s">
        <v>3858</v>
      </c>
      <c r="C909" t="s">
        <v>1100</v>
      </c>
      <c r="D909" s="890">
        <v>256.3837144722541</v>
      </c>
      <c r="E909" s="44" t="s">
        <v>3604</v>
      </c>
      <c r="F909" s="44" t="s">
        <v>3604</v>
      </c>
    </row>
    <row r="910" spans="1:6" x14ac:dyDescent="0.15">
      <c r="A910" s="3"/>
      <c r="B910" t="s">
        <v>3859</v>
      </c>
      <c r="C910" t="s">
        <v>1100</v>
      </c>
      <c r="D910" s="890">
        <v>261.3837144722541</v>
      </c>
      <c r="E910" s="44" t="s">
        <v>3604</v>
      </c>
      <c r="F910" s="44" t="s">
        <v>3604</v>
      </c>
    </row>
    <row r="911" spans="1:6" x14ac:dyDescent="0.15">
      <c r="A911" s="3"/>
      <c r="B911" t="s">
        <v>3860</v>
      </c>
      <c r="C911" t="s">
        <v>1100</v>
      </c>
      <c r="D911" s="890">
        <v>254.61176061178898</v>
      </c>
      <c r="E911" s="44" t="s">
        <v>3604</v>
      </c>
      <c r="F911" s="44" t="s">
        <v>3604</v>
      </c>
    </row>
    <row r="912" spans="1:6" x14ac:dyDescent="0.15">
      <c r="A912" s="3"/>
      <c r="B912" t="s">
        <v>3861</v>
      </c>
      <c r="C912" t="s">
        <v>1100</v>
      </c>
      <c r="D912" s="890">
        <v>291.27842727845564</v>
      </c>
      <c r="E912" s="44" t="s">
        <v>3604</v>
      </c>
      <c r="F912" s="44" t="s">
        <v>3604</v>
      </c>
    </row>
    <row r="913" spans="1:6" x14ac:dyDescent="0.15">
      <c r="A913" s="3"/>
      <c r="B913" s="526" t="s">
        <v>3216</v>
      </c>
      <c r="C913" t="s">
        <v>1100</v>
      </c>
      <c r="D913" s="890">
        <v>346.35702669178897</v>
      </c>
      <c r="E913" s="44" t="s">
        <v>3604</v>
      </c>
      <c r="F913" s="44" t="s">
        <v>3604</v>
      </c>
    </row>
    <row r="916" spans="1:6" x14ac:dyDescent="0.15">
      <c r="A916" s="891" t="s">
        <v>3750</v>
      </c>
      <c r="B916" s="891" t="s">
        <v>3863</v>
      </c>
      <c r="C916" s="891"/>
      <c r="D916" s="891"/>
      <c r="E916" s="891"/>
      <c r="F916" s="891"/>
    </row>
    <row r="917" spans="1:6" x14ac:dyDescent="0.15">
      <c r="A917" s="889">
        <v>29</v>
      </c>
      <c r="B917" s="894" t="s">
        <v>3799</v>
      </c>
      <c r="C917" s="320" t="s">
        <v>3800</v>
      </c>
      <c r="D917" s="847" t="s">
        <v>3598</v>
      </c>
      <c r="E917" s="894" t="s">
        <v>3625</v>
      </c>
      <c r="F917" s="847" t="s">
        <v>3592</v>
      </c>
    </row>
    <row r="918" spans="1:6" x14ac:dyDescent="0.15">
      <c r="A918" s="3" t="s">
        <v>3864</v>
      </c>
      <c r="B918">
        <v>0</v>
      </c>
      <c r="C918">
        <v>1.5</v>
      </c>
      <c r="D918" s="890">
        <v>1592.0114753108576</v>
      </c>
      <c r="E918">
        <v>45</v>
      </c>
      <c r="F918">
        <v>40</v>
      </c>
    </row>
    <row r="919" spans="1:6" x14ac:dyDescent="0.15">
      <c r="A919" s="3"/>
      <c r="B919">
        <v>1.6</v>
      </c>
      <c r="C919">
        <v>2</v>
      </c>
      <c r="D919" s="890">
        <v>2338.2652863410285</v>
      </c>
      <c r="E919">
        <v>45</v>
      </c>
      <c r="F919">
        <v>40</v>
      </c>
    </row>
    <row r="920" spans="1:6" x14ac:dyDescent="0.15">
      <c r="A920" s="3"/>
      <c r="B920">
        <v>2.1</v>
      </c>
      <c r="C920">
        <v>2.5</v>
      </c>
      <c r="D920" s="890">
        <v>3611.0523920066867</v>
      </c>
      <c r="E920">
        <v>45</v>
      </c>
      <c r="F920">
        <v>40</v>
      </c>
    </row>
    <row r="921" spans="1:6" x14ac:dyDescent="0.15">
      <c r="A921" s="3"/>
      <c r="B921">
        <v>2.6</v>
      </c>
      <c r="C921">
        <v>3</v>
      </c>
      <c r="D921" s="890">
        <v>5300.1058353433509</v>
      </c>
      <c r="E921">
        <v>45</v>
      </c>
      <c r="F921">
        <v>40</v>
      </c>
    </row>
    <row r="922" spans="1:6" x14ac:dyDescent="0.15">
      <c r="A922" s="3"/>
      <c r="B922">
        <v>3.1</v>
      </c>
      <c r="C922">
        <v>4</v>
      </c>
      <c r="D922" s="890">
        <v>9224.9830647570034</v>
      </c>
      <c r="E922">
        <v>45</v>
      </c>
      <c r="F922">
        <v>40</v>
      </c>
    </row>
    <row r="923" spans="1:6" x14ac:dyDescent="0.15">
      <c r="A923" s="3"/>
      <c r="B923">
        <v>4.0999999999999996</v>
      </c>
      <c r="C923">
        <v>6</v>
      </c>
      <c r="D923" s="890">
        <v>11428.861838511519</v>
      </c>
      <c r="E923">
        <v>45</v>
      </c>
      <c r="F923">
        <v>40</v>
      </c>
    </row>
    <row r="924" spans="1:6" x14ac:dyDescent="0.15">
      <c r="A924" s="3"/>
      <c r="B924">
        <v>6.1</v>
      </c>
      <c r="C924">
        <v>8</v>
      </c>
      <c r="D924" s="890">
        <v>17349.221932885906</v>
      </c>
      <c r="E924">
        <v>45</v>
      </c>
      <c r="F924">
        <v>40</v>
      </c>
    </row>
    <row r="925" spans="1:6" x14ac:dyDescent="0.15">
      <c r="A925" s="3"/>
      <c r="B925">
        <v>8.1</v>
      </c>
      <c r="C925" t="s">
        <v>3599</v>
      </c>
      <c r="D925" s="890" t="s">
        <v>3599</v>
      </c>
      <c r="E925">
        <v>45</v>
      </c>
      <c r="F925">
        <v>40</v>
      </c>
    </row>
    <row r="928" spans="1:6" x14ac:dyDescent="0.15">
      <c r="A928" s="889">
        <v>3</v>
      </c>
      <c r="B928" s="320"/>
      <c r="C928" s="320"/>
      <c r="D928" s="320" t="s">
        <v>3741</v>
      </c>
      <c r="E928" s="320" t="s">
        <v>3591</v>
      </c>
    </row>
    <row r="929" spans="1:6" x14ac:dyDescent="0.15">
      <c r="A929" s="3" t="s">
        <v>3866</v>
      </c>
      <c r="B929" t="s">
        <v>3865</v>
      </c>
      <c r="C929" s="3" t="s">
        <v>3866</v>
      </c>
      <c r="D929" s="893">
        <v>15.191208791208791</v>
      </c>
      <c r="E929" t="s">
        <v>3604</v>
      </c>
    </row>
    <row r="932" spans="1:6" x14ac:dyDescent="0.15">
      <c r="A932" s="891" t="s">
        <v>3695</v>
      </c>
      <c r="B932" s="891" t="s">
        <v>3867</v>
      </c>
      <c r="C932" s="891"/>
      <c r="D932" s="891"/>
      <c r="E932" s="891"/>
      <c r="F932" s="891"/>
    </row>
    <row r="933" spans="1:6" x14ac:dyDescent="0.15">
      <c r="A933" s="889">
        <v>35</v>
      </c>
      <c r="B933" s="320" t="s">
        <v>3697</v>
      </c>
      <c r="C933" s="320" t="s">
        <v>3698</v>
      </c>
      <c r="D933" s="847" t="s">
        <v>3598</v>
      </c>
      <c r="E933" s="320" t="s">
        <v>3591</v>
      </c>
      <c r="F933" s="320" t="s">
        <v>3592</v>
      </c>
    </row>
    <row r="934" spans="1:6" x14ac:dyDescent="0.15">
      <c r="A934" s="3" t="s">
        <v>3868</v>
      </c>
      <c r="B934">
        <v>0</v>
      </c>
      <c r="C934">
        <v>0.5</v>
      </c>
      <c r="D934" s="890">
        <v>260.09816326530608</v>
      </c>
      <c r="E934">
        <v>25</v>
      </c>
      <c r="F934">
        <v>20</v>
      </c>
    </row>
    <row r="935" spans="1:6" x14ac:dyDescent="0.15">
      <c r="A935" s="3"/>
      <c r="B935">
        <v>0.6</v>
      </c>
      <c r="C935">
        <v>0.75</v>
      </c>
      <c r="D935" s="890">
        <v>282.54780745341617</v>
      </c>
      <c r="E935">
        <v>25</v>
      </c>
      <c r="F935">
        <v>20</v>
      </c>
    </row>
    <row r="936" spans="1:6" x14ac:dyDescent="0.15">
      <c r="A936" s="3"/>
      <c r="B936">
        <v>0.76</v>
      </c>
      <c r="C936">
        <v>1</v>
      </c>
      <c r="D936" s="890">
        <v>307.49703414634143</v>
      </c>
      <c r="E936">
        <v>25</v>
      </c>
      <c r="F936">
        <v>20</v>
      </c>
    </row>
    <row r="937" spans="1:6" x14ac:dyDescent="0.15">
      <c r="A937" s="3"/>
      <c r="B937">
        <v>1.1000000000000001</v>
      </c>
      <c r="C937">
        <v>1.5</v>
      </c>
      <c r="D937" s="890">
        <v>473.64268354430379</v>
      </c>
      <c r="E937">
        <v>25</v>
      </c>
      <c r="F937">
        <v>20</v>
      </c>
    </row>
    <row r="938" spans="1:6" x14ac:dyDescent="0.15">
      <c r="A938" s="3"/>
      <c r="B938">
        <v>1.6</v>
      </c>
      <c r="C938">
        <v>2</v>
      </c>
      <c r="D938" s="890">
        <v>599.03731818181814</v>
      </c>
      <c r="E938">
        <v>25</v>
      </c>
      <c r="F938">
        <v>20</v>
      </c>
    </row>
    <row r="939" spans="1:6" x14ac:dyDescent="0.15">
      <c r="A939" s="3"/>
      <c r="B939">
        <v>2.1</v>
      </c>
      <c r="C939">
        <v>2.5</v>
      </c>
      <c r="D939" s="890">
        <v>768.14740298507468</v>
      </c>
      <c r="E939">
        <v>25</v>
      </c>
      <c r="F939">
        <v>20</v>
      </c>
    </row>
    <row r="940" spans="1:6" x14ac:dyDescent="0.15">
      <c r="A940" s="3"/>
      <c r="B940">
        <v>2.6</v>
      </c>
      <c r="C940">
        <v>3</v>
      </c>
      <c r="D940" s="890">
        <v>1029.0379104477611</v>
      </c>
      <c r="E940">
        <v>25</v>
      </c>
      <c r="F940">
        <v>20</v>
      </c>
    </row>
    <row r="941" spans="1:6" x14ac:dyDescent="0.15">
      <c r="A941" s="3"/>
      <c r="B941">
        <v>3.1</v>
      </c>
      <c r="C941">
        <v>4</v>
      </c>
      <c r="D941" s="890">
        <v>1644.4010800000003</v>
      </c>
      <c r="E941">
        <v>25</v>
      </c>
      <c r="F941">
        <v>20</v>
      </c>
    </row>
    <row r="942" spans="1:6" x14ac:dyDescent="0.15">
      <c r="A942" s="3"/>
      <c r="B942">
        <v>4.0999999999999996</v>
      </c>
      <c r="C942">
        <v>6</v>
      </c>
      <c r="D942" s="890">
        <v>6040.9246741573043</v>
      </c>
      <c r="E942">
        <v>25</v>
      </c>
      <c r="F942">
        <v>20</v>
      </c>
    </row>
    <row r="943" spans="1:6" x14ac:dyDescent="0.15">
      <c r="A943" s="3"/>
      <c r="B943">
        <v>6.1</v>
      </c>
      <c r="C943">
        <v>8</v>
      </c>
      <c r="D943" s="890">
        <v>9572.4145503355703</v>
      </c>
      <c r="E943">
        <v>25</v>
      </c>
      <c r="F943">
        <v>20</v>
      </c>
    </row>
    <row r="944" spans="1:6" x14ac:dyDescent="0.15">
      <c r="A944" s="915"/>
      <c r="B944">
        <v>8.1</v>
      </c>
      <c r="C944">
        <v>30</v>
      </c>
      <c r="D944" s="890">
        <v>49334.628922752097</v>
      </c>
      <c r="E944">
        <v>25</v>
      </c>
      <c r="F944">
        <v>20</v>
      </c>
    </row>
    <row r="945" spans="1:6" x14ac:dyDescent="0.15">
      <c r="A945" s="915"/>
      <c r="B945">
        <v>30.1</v>
      </c>
      <c r="C945">
        <v>36</v>
      </c>
      <c r="D945" s="890">
        <v>59019.279083141446</v>
      </c>
      <c r="E945">
        <v>25</v>
      </c>
      <c r="F945">
        <v>20</v>
      </c>
    </row>
    <row r="946" spans="1:6" x14ac:dyDescent="0.15">
      <c r="A946" s="915"/>
      <c r="B946">
        <v>36.1</v>
      </c>
      <c r="C946">
        <v>42</v>
      </c>
      <c r="D946" s="890">
        <v>80002.687763985043</v>
      </c>
      <c r="E946">
        <v>25</v>
      </c>
      <c r="F946">
        <v>20</v>
      </c>
    </row>
    <row r="947" spans="1:6" x14ac:dyDescent="0.15">
      <c r="A947" s="915"/>
      <c r="B947">
        <v>42.1</v>
      </c>
      <c r="C947">
        <v>48</v>
      </c>
      <c r="D947" s="890">
        <v>96143.77136463394</v>
      </c>
      <c r="E947">
        <v>25</v>
      </c>
      <c r="F947">
        <v>20</v>
      </c>
    </row>
    <row r="948" spans="1:6" x14ac:dyDescent="0.15">
      <c r="A948" s="3"/>
      <c r="B948">
        <v>48.1</v>
      </c>
      <c r="C948" t="s">
        <v>3599</v>
      </c>
      <c r="D948" s="890" t="s">
        <v>3599</v>
      </c>
      <c r="E948">
        <v>25</v>
      </c>
      <c r="F948">
        <v>20</v>
      </c>
    </row>
    <row r="951" spans="1:6" x14ac:dyDescent="0.15">
      <c r="A951" s="891" t="s">
        <v>3717</v>
      </c>
      <c r="B951" s="891" t="s">
        <v>3869</v>
      </c>
      <c r="C951" s="891"/>
      <c r="D951" s="891"/>
      <c r="E951" s="891"/>
      <c r="F951" s="891"/>
    </row>
    <row r="952" spans="1:6" x14ac:dyDescent="0.15">
      <c r="A952" s="889">
        <v>23</v>
      </c>
      <c r="B952" s="320" t="s">
        <v>3719</v>
      </c>
      <c r="C952" s="320" t="s">
        <v>3720</v>
      </c>
      <c r="D952" s="320" t="s">
        <v>3598</v>
      </c>
      <c r="E952" s="320" t="s">
        <v>3591</v>
      </c>
      <c r="F952" s="320" t="s">
        <v>3592</v>
      </c>
    </row>
    <row r="953" spans="1:6" x14ac:dyDescent="0.15">
      <c r="A953" s="3" t="s">
        <v>3870</v>
      </c>
      <c r="B953">
        <v>0</v>
      </c>
      <c r="C953" s="526">
        <v>1100</v>
      </c>
      <c r="D953" s="916">
        <v>10925.879875999251</v>
      </c>
      <c r="E953">
        <v>35</v>
      </c>
      <c r="F953">
        <v>30</v>
      </c>
    </row>
    <row r="954" spans="1:6" x14ac:dyDescent="0.15">
      <c r="A954" s="3"/>
      <c r="B954">
        <v>1101</v>
      </c>
      <c r="C954" s="526">
        <v>2400</v>
      </c>
      <c r="D954" s="916">
        <v>15033.777689958049</v>
      </c>
      <c r="E954">
        <v>35</v>
      </c>
      <c r="F954">
        <v>30</v>
      </c>
    </row>
    <row r="955" spans="1:6" x14ac:dyDescent="0.15">
      <c r="A955" s="3"/>
      <c r="B955">
        <v>2401</v>
      </c>
      <c r="C955" s="526">
        <v>3000</v>
      </c>
      <c r="D955" s="916">
        <v>18123.913110825615</v>
      </c>
      <c r="E955">
        <v>35</v>
      </c>
      <c r="F955">
        <v>30</v>
      </c>
    </row>
    <row r="956" spans="1:6" x14ac:dyDescent="0.15">
      <c r="A956" s="3"/>
      <c r="B956">
        <v>3001</v>
      </c>
      <c r="C956" s="526">
        <v>4300</v>
      </c>
      <c r="D956" s="916">
        <v>25327.233246383039</v>
      </c>
      <c r="E956">
        <v>35</v>
      </c>
      <c r="F956">
        <v>30</v>
      </c>
    </row>
    <row r="957" spans="1:6" x14ac:dyDescent="0.15">
      <c r="A957" s="3"/>
      <c r="B957">
        <v>4301</v>
      </c>
      <c r="C957" s="526">
        <v>5100</v>
      </c>
      <c r="D957" s="916">
        <v>27899.146705242172</v>
      </c>
      <c r="E957">
        <v>35</v>
      </c>
      <c r="F957">
        <v>30</v>
      </c>
    </row>
    <row r="958" spans="1:6" x14ac:dyDescent="0.15">
      <c r="A958" s="3"/>
      <c r="B958">
        <v>5101</v>
      </c>
      <c r="C958" s="526">
        <v>6100</v>
      </c>
      <c r="D958" s="916">
        <v>31920.470343344543</v>
      </c>
      <c r="E958">
        <v>35</v>
      </c>
      <c r="F958">
        <v>30</v>
      </c>
    </row>
    <row r="959" spans="1:6" x14ac:dyDescent="0.15">
      <c r="A959" s="3"/>
      <c r="B959">
        <v>6101</v>
      </c>
      <c r="C959" s="526">
        <v>8000</v>
      </c>
      <c r="D959" s="916">
        <v>40900.418617903975</v>
      </c>
      <c r="E959">
        <v>35</v>
      </c>
      <c r="F959">
        <v>30</v>
      </c>
    </row>
    <row r="960" spans="1:6" x14ac:dyDescent="0.15">
      <c r="A960" s="3"/>
      <c r="B960">
        <v>8001</v>
      </c>
      <c r="C960" s="526">
        <v>10000</v>
      </c>
      <c r="D960" s="916">
        <v>48707.45393314898</v>
      </c>
      <c r="E960">
        <v>35</v>
      </c>
      <c r="F960">
        <v>30</v>
      </c>
    </row>
    <row r="961" spans="1:6" x14ac:dyDescent="0.15">
      <c r="A961" s="3"/>
      <c r="B961">
        <v>10001</v>
      </c>
      <c r="C961" s="526">
        <v>30000</v>
      </c>
      <c r="D961" s="916">
        <v>109987.48232351081</v>
      </c>
      <c r="E961">
        <v>35</v>
      </c>
      <c r="F961">
        <v>30</v>
      </c>
    </row>
    <row r="962" spans="1:6" x14ac:dyDescent="0.15">
      <c r="A962" s="3"/>
      <c r="B962">
        <v>30001</v>
      </c>
      <c r="C962" s="526" t="s">
        <v>3599</v>
      </c>
      <c r="D962" s="916" t="s">
        <v>3599</v>
      </c>
      <c r="E962">
        <v>35</v>
      </c>
      <c r="F962">
        <v>30</v>
      </c>
    </row>
    <row r="965" spans="1:6" x14ac:dyDescent="0.15">
      <c r="A965" s="891" t="s">
        <v>3750</v>
      </c>
      <c r="B965" s="891" t="s">
        <v>3871</v>
      </c>
      <c r="C965" s="891"/>
      <c r="D965" s="891"/>
      <c r="E965" s="891"/>
      <c r="F965" s="891"/>
    </row>
    <row r="966" spans="1:6" x14ac:dyDescent="0.15">
      <c r="A966" s="889">
        <v>29</v>
      </c>
      <c r="B966" s="894" t="s">
        <v>3799</v>
      </c>
      <c r="C966" s="847" t="s">
        <v>3800</v>
      </c>
      <c r="D966" s="847" t="s">
        <v>3598</v>
      </c>
      <c r="E966" s="894" t="s">
        <v>3625</v>
      </c>
      <c r="F966" s="847" t="s">
        <v>3592</v>
      </c>
    </row>
    <row r="967" spans="1:6" x14ac:dyDescent="0.15">
      <c r="A967" s="3" t="s">
        <v>3872</v>
      </c>
      <c r="B967">
        <v>0</v>
      </c>
      <c r="C967">
        <v>0.5</v>
      </c>
      <c r="D967" s="890">
        <v>794.9454755408002</v>
      </c>
      <c r="E967">
        <v>45</v>
      </c>
      <c r="F967">
        <v>40</v>
      </c>
    </row>
    <row r="968" spans="1:6" x14ac:dyDescent="0.15">
      <c r="A968" s="3"/>
      <c r="B968">
        <v>0.51</v>
      </c>
      <c r="C968">
        <v>0.75</v>
      </c>
      <c r="D968" s="890">
        <v>991.0157787082735</v>
      </c>
      <c r="E968">
        <v>45</v>
      </c>
      <c r="F968">
        <v>40</v>
      </c>
    </row>
    <row r="969" spans="1:6" x14ac:dyDescent="0.15">
      <c r="A969" s="3"/>
      <c r="B969">
        <v>0.76</v>
      </c>
      <c r="C969">
        <v>1</v>
      </c>
      <c r="D969" s="890">
        <v>1081.191483762733</v>
      </c>
      <c r="E969">
        <v>45</v>
      </c>
      <c r="F969">
        <v>40</v>
      </c>
    </row>
    <row r="970" spans="1:6" x14ac:dyDescent="0.15">
      <c r="A970" s="3"/>
      <c r="B970">
        <v>1.1000000000000001</v>
      </c>
      <c r="C970">
        <v>1.5</v>
      </c>
      <c r="D970" s="890">
        <v>1490.1469751510231</v>
      </c>
      <c r="E970">
        <v>45</v>
      </c>
      <c r="F970">
        <v>40</v>
      </c>
    </row>
    <row r="971" spans="1:6" x14ac:dyDescent="0.15">
      <c r="A971" s="3"/>
      <c r="B971">
        <v>1.6</v>
      </c>
      <c r="C971">
        <v>2</v>
      </c>
      <c r="D971" s="890">
        <v>2569.9605577918605</v>
      </c>
      <c r="E971">
        <v>45</v>
      </c>
      <c r="F971">
        <v>40</v>
      </c>
    </row>
    <row r="972" spans="1:6" x14ac:dyDescent="0.15">
      <c r="A972" s="3"/>
      <c r="B972">
        <v>2.1</v>
      </c>
      <c r="C972">
        <v>3</v>
      </c>
      <c r="D972" s="890">
        <v>5553.9467950946264</v>
      </c>
      <c r="E972">
        <v>45</v>
      </c>
      <c r="F972">
        <v>40</v>
      </c>
    </row>
    <row r="973" spans="1:6" x14ac:dyDescent="0.15">
      <c r="A973" s="3"/>
      <c r="B973">
        <v>3.1</v>
      </c>
      <c r="C973">
        <v>4</v>
      </c>
      <c r="D973" s="890">
        <v>10441.320103481086</v>
      </c>
      <c r="E973">
        <v>45</v>
      </c>
      <c r="F973">
        <v>40</v>
      </c>
    </row>
    <row r="974" spans="1:6" x14ac:dyDescent="0.15">
      <c r="A974" s="3"/>
      <c r="B974">
        <v>4.0999999999999996</v>
      </c>
      <c r="C974">
        <v>6</v>
      </c>
      <c r="D974" s="890">
        <v>10818.749085797044</v>
      </c>
      <c r="E974">
        <v>45</v>
      </c>
      <c r="F974">
        <v>40</v>
      </c>
    </row>
    <row r="975" spans="1:6" x14ac:dyDescent="0.15">
      <c r="A975" s="3"/>
      <c r="B975">
        <v>6.1</v>
      </c>
      <c r="C975">
        <v>8</v>
      </c>
      <c r="D975" s="890">
        <v>11983.743204968245</v>
      </c>
      <c r="E975">
        <v>45</v>
      </c>
      <c r="F975">
        <v>40</v>
      </c>
    </row>
    <row r="976" spans="1:6" x14ac:dyDescent="0.15">
      <c r="A976" s="3"/>
      <c r="B976">
        <v>8.1</v>
      </c>
      <c r="C976" t="s">
        <v>3599</v>
      </c>
      <c r="D976" s="890" t="s">
        <v>3599</v>
      </c>
      <c r="E976">
        <v>45</v>
      </c>
      <c r="F976">
        <v>40</v>
      </c>
    </row>
    <row r="979" spans="1:6" x14ac:dyDescent="0.15">
      <c r="A979" s="891" t="s">
        <v>3594</v>
      </c>
      <c r="B979" s="891" t="s">
        <v>3873</v>
      </c>
      <c r="C979" s="891"/>
      <c r="D979" s="891"/>
      <c r="E979" s="891"/>
      <c r="F979" s="891"/>
    </row>
    <row r="980" spans="1:6" x14ac:dyDescent="0.15">
      <c r="A980" s="889">
        <v>30</v>
      </c>
      <c r="B980" s="320" t="s">
        <v>3846</v>
      </c>
      <c r="C980" s="320" t="s">
        <v>3847</v>
      </c>
      <c r="D980" s="847" t="s">
        <v>3598</v>
      </c>
      <c r="E980" s="320" t="s">
        <v>3591</v>
      </c>
      <c r="F980" s="320" t="s">
        <v>3592</v>
      </c>
    </row>
    <row r="981" spans="1:6" x14ac:dyDescent="0.15">
      <c r="A981" s="3" t="s">
        <v>3874</v>
      </c>
      <c r="B981">
        <v>0</v>
      </c>
      <c r="C981">
        <v>0.21</v>
      </c>
      <c r="D981" s="890">
        <v>1774.520225173663</v>
      </c>
      <c r="E981">
        <v>20</v>
      </c>
      <c r="F981">
        <v>15</v>
      </c>
    </row>
    <row r="982" spans="1:6" x14ac:dyDescent="0.15">
      <c r="A982" s="3"/>
      <c r="B982">
        <v>0.22</v>
      </c>
      <c r="C982">
        <v>0.5</v>
      </c>
      <c r="D982" s="890">
        <v>1894.3850274614583</v>
      </c>
      <c r="E982">
        <v>20</v>
      </c>
      <c r="F982">
        <v>15</v>
      </c>
    </row>
    <row r="983" spans="1:6" x14ac:dyDescent="0.15">
      <c r="A983" s="3"/>
      <c r="B983">
        <v>0.51</v>
      </c>
      <c r="C983">
        <v>0.8</v>
      </c>
      <c r="D983" s="890">
        <v>3294.9791846286298</v>
      </c>
      <c r="E983">
        <v>20</v>
      </c>
      <c r="F983">
        <v>15</v>
      </c>
    </row>
    <row r="984" spans="1:6" x14ac:dyDescent="0.15">
      <c r="A984" s="3"/>
      <c r="B984">
        <v>0.81</v>
      </c>
      <c r="C984">
        <v>1</v>
      </c>
      <c r="D984" s="890">
        <v>1657.2611794573418</v>
      </c>
      <c r="E984">
        <v>20</v>
      </c>
      <c r="F984">
        <v>15</v>
      </c>
    </row>
    <row r="985" spans="1:6" x14ac:dyDescent="0.15">
      <c r="A985" s="3"/>
      <c r="B985">
        <v>1.01</v>
      </c>
      <c r="C985">
        <v>2</v>
      </c>
      <c r="D985" s="890">
        <v>3251.9842011993123</v>
      </c>
      <c r="E985">
        <v>20</v>
      </c>
      <c r="F985">
        <v>15</v>
      </c>
    </row>
    <row r="986" spans="1:6" x14ac:dyDescent="0.15">
      <c r="A986" s="3"/>
      <c r="B986">
        <v>2.0099999999999998</v>
      </c>
      <c r="C986">
        <v>2.5</v>
      </c>
      <c r="D986" s="890">
        <v>2124.9944840368903</v>
      </c>
      <c r="E986">
        <v>20</v>
      </c>
      <c r="F986">
        <v>15</v>
      </c>
    </row>
    <row r="987" spans="1:6" x14ac:dyDescent="0.15">
      <c r="A987" s="3"/>
      <c r="B987">
        <v>2.5099999999999998</v>
      </c>
      <c r="C987">
        <v>3</v>
      </c>
      <c r="D987" s="890">
        <v>3251.9842011993123</v>
      </c>
      <c r="E987">
        <v>20</v>
      </c>
      <c r="F987">
        <v>15</v>
      </c>
    </row>
    <row r="988" spans="1:6" x14ac:dyDescent="0.15">
      <c r="A988" s="3"/>
      <c r="B988">
        <v>3.01</v>
      </c>
      <c r="C988">
        <v>3.17</v>
      </c>
      <c r="D988" s="890">
        <v>2406.4161937560611</v>
      </c>
      <c r="E988">
        <v>20</v>
      </c>
      <c r="F988">
        <v>15</v>
      </c>
    </row>
    <row r="989" spans="1:6" x14ac:dyDescent="0.15">
      <c r="A989" s="3"/>
      <c r="B989">
        <v>3.1799999999999997</v>
      </c>
      <c r="C989">
        <v>4</v>
      </c>
      <c r="D989" s="890">
        <v>3251.9842011993123</v>
      </c>
      <c r="E989">
        <v>20</v>
      </c>
      <c r="F989">
        <v>15</v>
      </c>
    </row>
    <row r="990" spans="1:6" x14ac:dyDescent="0.15">
      <c r="A990" s="3"/>
      <c r="B990">
        <v>4.01</v>
      </c>
      <c r="C990">
        <v>5</v>
      </c>
      <c r="D990" s="890">
        <v>2552.3385617585946</v>
      </c>
      <c r="E990">
        <v>20</v>
      </c>
      <c r="F990">
        <v>15</v>
      </c>
    </row>
    <row r="991" spans="1:6" x14ac:dyDescent="0.15">
      <c r="A991" s="3"/>
      <c r="B991">
        <v>5.01</v>
      </c>
      <c r="C991">
        <v>7</v>
      </c>
      <c r="D991" s="890">
        <v>3251.9842011993123</v>
      </c>
      <c r="E991">
        <v>20</v>
      </c>
      <c r="F991">
        <v>15</v>
      </c>
    </row>
    <row r="992" spans="1:6" x14ac:dyDescent="0.15">
      <c r="A992" s="3"/>
      <c r="B992">
        <v>7.01</v>
      </c>
      <c r="C992">
        <v>10</v>
      </c>
      <c r="D992" s="890">
        <v>2737.3472783332354</v>
      </c>
      <c r="E992">
        <v>20</v>
      </c>
      <c r="F992">
        <v>15</v>
      </c>
    </row>
    <row r="993" spans="1:6" x14ac:dyDescent="0.15">
      <c r="A993" s="3"/>
      <c r="B993">
        <v>10.01</v>
      </c>
      <c r="C993">
        <v>21</v>
      </c>
      <c r="D993" s="890">
        <v>3684.5397920639643</v>
      </c>
      <c r="E993">
        <v>20</v>
      </c>
      <c r="F993">
        <v>15</v>
      </c>
    </row>
    <row r="994" spans="1:6" x14ac:dyDescent="0.15">
      <c r="A994" s="3"/>
      <c r="B994">
        <v>21.01</v>
      </c>
      <c r="C994" t="s">
        <v>3599</v>
      </c>
      <c r="D994" s="890" t="s">
        <v>3599</v>
      </c>
      <c r="E994">
        <v>20</v>
      </c>
      <c r="F994">
        <v>15</v>
      </c>
    </row>
    <row r="997" spans="1:6" x14ac:dyDescent="0.15">
      <c r="A997" s="891" t="s">
        <v>3695</v>
      </c>
      <c r="B997" s="891" t="s">
        <v>3875</v>
      </c>
      <c r="C997" s="891"/>
      <c r="D997" s="891"/>
      <c r="E997" s="891"/>
      <c r="F997" s="891"/>
    </row>
    <row r="998" spans="1:6" x14ac:dyDescent="0.15">
      <c r="A998" s="889">
        <v>35</v>
      </c>
      <c r="B998" s="320" t="s">
        <v>3697</v>
      </c>
      <c r="C998" s="320" t="s">
        <v>3698</v>
      </c>
      <c r="D998" s="847" t="s">
        <v>3598</v>
      </c>
      <c r="E998" s="320" t="s">
        <v>3591</v>
      </c>
      <c r="F998" s="320" t="s">
        <v>3592</v>
      </c>
    </row>
    <row r="999" spans="1:6" x14ac:dyDescent="0.15">
      <c r="A999" s="3" t="s">
        <v>3876</v>
      </c>
      <c r="B999">
        <v>0</v>
      </c>
      <c r="C999">
        <v>1</v>
      </c>
      <c r="D999" s="890">
        <v>317.83100975609756</v>
      </c>
      <c r="E999">
        <v>25</v>
      </c>
      <c r="F999">
        <v>20</v>
      </c>
    </row>
    <row r="1000" spans="1:6" x14ac:dyDescent="0.15">
      <c r="A1000" s="3"/>
      <c r="B1000">
        <v>1.1000000000000001</v>
      </c>
      <c r="C1000">
        <v>2</v>
      </c>
      <c r="D1000" s="890">
        <v>468.17123628865829</v>
      </c>
      <c r="E1000">
        <v>25</v>
      </c>
      <c r="F1000">
        <v>20</v>
      </c>
    </row>
    <row r="1001" spans="1:6" x14ac:dyDescent="0.15">
      <c r="A1001" s="3"/>
      <c r="B1001">
        <v>2.1</v>
      </c>
      <c r="C1001">
        <v>3</v>
      </c>
      <c r="D1001" s="890">
        <v>761.47524388103591</v>
      </c>
      <c r="E1001">
        <v>25</v>
      </c>
      <c r="F1001">
        <v>20</v>
      </c>
    </row>
    <row r="1002" spans="1:6" x14ac:dyDescent="0.15">
      <c r="A1002" s="3"/>
      <c r="B1002">
        <v>3.1</v>
      </c>
      <c r="C1002">
        <v>4</v>
      </c>
      <c r="D1002" s="890">
        <v>1023.1879828009146</v>
      </c>
      <c r="E1002">
        <v>25</v>
      </c>
      <c r="F1002">
        <v>20</v>
      </c>
    </row>
    <row r="1003" spans="1:6" x14ac:dyDescent="0.15">
      <c r="A1003" s="3"/>
      <c r="B1003">
        <v>4.0999999999999996</v>
      </c>
      <c r="C1003">
        <v>6</v>
      </c>
      <c r="D1003" s="890">
        <v>1045.1288577751598</v>
      </c>
      <c r="E1003">
        <v>25</v>
      </c>
      <c r="F1003">
        <v>20</v>
      </c>
    </row>
    <row r="1004" spans="1:6" x14ac:dyDescent="0.15">
      <c r="A1004" s="3"/>
      <c r="B1004">
        <v>6.1</v>
      </c>
      <c r="C1004">
        <v>8</v>
      </c>
      <c r="D1004" s="890">
        <v>1499.216706700558</v>
      </c>
      <c r="E1004">
        <v>25</v>
      </c>
      <c r="F1004">
        <v>20</v>
      </c>
    </row>
    <row r="1005" spans="1:6" x14ac:dyDescent="0.15">
      <c r="A1005" s="3"/>
      <c r="B1005">
        <v>8.1</v>
      </c>
      <c r="C1005">
        <v>10</v>
      </c>
      <c r="D1005" s="890">
        <v>2730.5081374852439</v>
      </c>
      <c r="E1005">
        <v>25</v>
      </c>
      <c r="F1005">
        <v>20</v>
      </c>
    </row>
    <row r="1006" spans="1:6" x14ac:dyDescent="0.15">
      <c r="A1006" s="3"/>
      <c r="B1006">
        <v>10.1</v>
      </c>
      <c r="C1006">
        <v>12</v>
      </c>
      <c r="D1006" s="890">
        <v>3467.076863583452</v>
      </c>
      <c r="E1006">
        <v>25</v>
      </c>
      <c r="F1006">
        <v>20</v>
      </c>
    </row>
    <row r="1007" spans="1:6" x14ac:dyDescent="0.15">
      <c r="A1007" s="3"/>
      <c r="B1007">
        <v>12.1</v>
      </c>
      <c r="C1007" t="s">
        <v>3599</v>
      </c>
      <c r="D1007" s="890" t="s">
        <v>3599</v>
      </c>
      <c r="E1007">
        <v>25</v>
      </c>
      <c r="F1007">
        <v>20</v>
      </c>
    </row>
    <row r="1010" spans="1:6" x14ac:dyDescent="0.15">
      <c r="A1010" s="891" t="s">
        <v>3594</v>
      </c>
      <c r="B1010" s="891" t="s">
        <v>3877</v>
      </c>
      <c r="C1010" s="891"/>
      <c r="D1010" s="891"/>
      <c r="E1010" s="891"/>
      <c r="F1010" s="891"/>
    </row>
    <row r="1011" spans="1:6" x14ac:dyDescent="0.15">
      <c r="A1011" s="889">
        <v>30</v>
      </c>
      <c r="B1011" s="320" t="s">
        <v>3846</v>
      </c>
      <c r="C1011" s="320" t="s">
        <v>3847</v>
      </c>
      <c r="D1011" s="847" t="s">
        <v>3598</v>
      </c>
      <c r="E1011" s="320" t="s">
        <v>3591</v>
      </c>
      <c r="F1011" s="320" t="s">
        <v>3592</v>
      </c>
    </row>
    <row r="1012" spans="1:6" x14ac:dyDescent="0.15">
      <c r="A1012" s="3" t="s">
        <v>3878</v>
      </c>
      <c r="B1012">
        <v>0</v>
      </c>
      <c r="C1012">
        <v>1</v>
      </c>
      <c r="D1012" s="890">
        <v>3680.6311572067534</v>
      </c>
      <c r="E1012">
        <v>20</v>
      </c>
      <c r="F1012">
        <v>17</v>
      </c>
    </row>
    <row r="1013" spans="1:6" x14ac:dyDescent="0.15">
      <c r="A1013" s="3"/>
      <c r="B1013">
        <v>1.01</v>
      </c>
      <c r="C1013">
        <v>2</v>
      </c>
      <c r="D1013" s="890">
        <v>3680.6311572067534</v>
      </c>
      <c r="E1013">
        <v>20</v>
      </c>
      <c r="F1013">
        <v>17</v>
      </c>
    </row>
    <row r="1014" spans="1:6" x14ac:dyDescent="0.15">
      <c r="A1014" s="3"/>
      <c r="B1014">
        <v>2.0099999999999998</v>
      </c>
      <c r="C1014">
        <v>4</v>
      </c>
      <c r="D1014" s="890">
        <v>3680.6311572067534</v>
      </c>
      <c r="E1014">
        <v>20</v>
      </c>
      <c r="F1014">
        <v>17</v>
      </c>
    </row>
    <row r="1015" spans="1:6" x14ac:dyDescent="0.15">
      <c r="A1015" s="3"/>
      <c r="B1015">
        <v>4.01</v>
      </c>
      <c r="C1015">
        <v>5</v>
      </c>
      <c r="D1015" s="890">
        <v>3680.6311572067534</v>
      </c>
      <c r="E1015">
        <v>20</v>
      </c>
      <c r="F1015">
        <v>17</v>
      </c>
    </row>
    <row r="1016" spans="1:6" x14ac:dyDescent="0.15">
      <c r="A1016" s="3"/>
      <c r="B1016">
        <v>5.01</v>
      </c>
      <c r="C1016">
        <v>7</v>
      </c>
      <c r="D1016" s="890">
        <v>3680.6311572067534</v>
      </c>
      <c r="E1016">
        <v>20</v>
      </c>
      <c r="F1016">
        <v>17</v>
      </c>
    </row>
    <row r="1017" spans="1:6" x14ac:dyDescent="0.15">
      <c r="A1017" s="3"/>
      <c r="B1017">
        <v>7.01</v>
      </c>
      <c r="C1017">
        <v>11</v>
      </c>
      <c r="D1017" s="890">
        <v>3680.6311572067534</v>
      </c>
      <c r="E1017">
        <v>20</v>
      </c>
      <c r="F1017">
        <v>17</v>
      </c>
    </row>
    <row r="1018" spans="1:6" x14ac:dyDescent="0.15">
      <c r="A1018" s="3"/>
      <c r="B1018">
        <v>11.01</v>
      </c>
      <c r="C1018">
        <v>14</v>
      </c>
      <c r="D1018" s="890">
        <v>4695.5733417958018</v>
      </c>
      <c r="E1018">
        <v>20</v>
      </c>
      <c r="F1018">
        <v>17</v>
      </c>
    </row>
    <row r="1019" spans="1:6" x14ac:dyDescent="0.15">
      <c r="A1019" s="3"/>
      <c r="B1019">
        <v>14.01</v>
      </c>
      <c r="C1019">
        <v>29</v>
      </c>
      <c r="D1019" s="890">
        <v>5001.7497389439741</v>
      </c>
      <c r="E1019">
        <v>20</v>
      </c>
      <c r="F1019">
        <v>17</v>
      </c>
    </row>
    <row r="1020" spans="1:6" x14ac:dyDescent="0.15">
      <c r="A1020" s="3"/>
      <c r="B1020">
        <v>29.01</v>
      </c>
      <c r="C1020">
        <v>35</v>
      </c>
      <c r="D1020" s="890">
        <v>5155.4893766609293</v>
      </c>
      <c r="E1020">
        <v>20</v>
      </c>
      <c r="F1020">
        <v>17</v>
      </c>
    </row>
    <row r="1021" spans="1:6" x14ac:dyDescent="0.15">
      <c r="A1021" s="3"/>
      <c r="B1021">
        <v>35.01</v>
      </c>
      <c r="C1021">
        <v>59</v>
      </c>
      <c r="D1021" s="890">
        <v>6859.1551118682983</v>
      </c>
      <c r="E1021">
        <v>20</v>
      </c>
      <c r="F1021">
        <v>17</v>
      </c>
    </row>
    <row r="1022" spans="1:6" x14ac:dyDescent="0.15">
      <c r="A1022" s="3"/>
      <c r="B1022">
        <v>59.01</v>
      </c>
      <c r="C1022">
        <v>98</v>
      </c>
      <c r="D1022" s="890">
        <v>7352.1766738116858</v>
      </c>
      <c r="E1022">
        <v>20</v>
      </c>
      <c r="F1022">
        <v>17</v>
      </c>
    </row>
    <row r="1023" spans="1:6" x14ac:dyDescent="0.15">
      <c r="A1023" s="3"/>
      <c r="B1023">
        <v>98.01</v>
      </c>
      <c r="C1023">
        <v>132</v>
      </c>
      <c r="D1023" s="890">
        <v>8019.603101716275</v>
      </c>
      <c r="E1023">
        <v>20</v>
      </c>
      <c r="F1023">
        <v>17</v>
      </c>
    </row>
    <row r="1024" spans="1:6" x14ac:dyDescent="0.15">
      <c r="A1024" s="3"/>
      <c r="B1024">
        <v>132.01</v>
      </c>
      <c r="C1024" t="s">
        <v>3599</v>
      </c>
      <c r="D1024" s="890" t="s">
        <v>3599</v>
      </c>
      <c r="E1024">
        <v>20</v>
      </c>
      <c r="F1024">
        <v>17</v>
      </c>
    </row>
    <row r="1027" spans="1:6" x14ac:dyDescent="0.15">
      <c r="A1027" s="891" t="s">
        <v>3695</v>
      </c>
      <c r="B1027" s="891" t="s">
        <v>3879</v>
      </c>
      <c r="C1027" s="891"/>
      <c r="D1027" s="891"/>
      <c r="E1027" s="891"/>
      <c r="F1027" s="891"/>
    </row>
    <row r="1028" spans="1:6" x14ac:dyDescent="0.15">
      <c r="A1028" s="889">
        <v>35</v>
      </c>
      <c r="B1028" s="320" t="s">
        <v>3697</v>
      </c>
      <c r="C1028" s="320" t="s">
        <v>3698</v>
      </c>
      <c r="D1028" s="847" t="s">
        <v>3598</v>
      </c>
      <c r="E1028" s="320" t="s">
        <v>3591</v>
      </c>
      <c r="F1028" s="320" t="s">
        <v>3592</v>
      </c>
    </row>
    <row r="1029" spans="1:6" x14ac:dyDescent="0.15">
      <c r="A1029" s="3" t="s">
        <v>3880</v>
      </c>
      <c r="B1029">
        <v>0</v>
      </c>
      <c r="C1029">
        <v>1</v>
      </c>
      <c r="D1029" s="890">
        <v>1207.272967032967</v>
      </c>
      <c r="E1029">
        <v>25</v>
      </c>
      <c r="F1029">
        <v>20</v>
      </c>
    </row>
    <row r="1030" spans="1:6" x14ac:dyDescent="0.15">
      <c r="A1030" s="3"/>
      <c r="B1030">
        <v>1.1000000000000001</v>
      </c>
      <c r="C1030">
        <v>1.5</v>
      </c>
      <c r="D1030" s="890">
        <v>1723.1306593406593</v>
      </c>
      <c r="E1030">
        <v>25</v>
      </c>
      <c r="F1030">
        <v>20</v>
      </c>
    </row>
    <row r="1031" spans="1:6" x14ac:dyDescent="0.15">
      <c r="A1031" s="3"/>
      <c r="B1031">
        <v>1.6</v>
      </c>
      <c r="C1031">
        <v>2</v>
      </c>
      <c r="D1031" s="890">
        <v>1414.6933333692275</v>
      </c>
      <c r="E1031">
        <v>25</v>
      </c>
      <c r="F1031">
        <v>20</v>
      </c>
    </row>
    <row r="1032" spans="1:6" x14ac:dyDescent="0.15">
      <c r="A1032" s="3"/>
      <c r="B1032">
        <v>2.1</v>
      </c>
      <c r="C1032">
        <v>3</v>
      </c>
      <c r="D1032" s="890">
        <v>2482.1433022573333</v>
      </c>
      <c r="E1032">
        <v>25</v>
      </c>
      <c r="F1032">
        <v>20</v>
      </c>
    </row>
    <row r="1033" spans="1:6" x14ac:dyDescent="0.15">
      <c r="A1033" s="3"/>
      <c r="B1033">
        <v>3.1</v>
      </c>
      <c r="C1033">
        <v>4</v>
      </c>
      <c r="D1033" s="890">
        <v>4004.9512980917061</v>
      </c>
      <c r="E1033">
        <v>25</v>
      </c>
      <c r="F1033">
        <v>20</v>
      </c>
    </row>
    <row r="1034" spans="1:6" x14ac:dyDescent="0.15">
      <c r="A1034" s="3"/>
      <c r="B1034">
        <v>4.0999999999999996</v>
      </c>
      <c r="C1034">
        <v>6</v>
      </c>
      <c r="D1034" s="890">
        <v>2714.3535021394746</v>
      </c>
      <c r="E1034">
        <v>25</v>
      </c>
      <c r="F1034">
        <v>20</v>
      </c>
    </row>
    <row r="1035" spans="1:6" x14ac:dyDescent="0.15">
      <c r="A1035" s="3"/>
      <c r="B1035">
        <v>6.1</v>
      </c>
      <c r="C1035">
        <v>8</v>
      </c>
      <c r="D1035" s="890">
        <v>4334.6072933153191</v>
      </c>
      <c r="E1035">
        <v>25</v>
      </c>
      <c r="F1035">
        <v>20</v>
      </c>
    </row>
    <row r="1036" spans="1:6" x14ac:dyDescent="0.15">
      <c r="A1036" s="3"/>
      <c r="B1036">
        <v>8.1</v>
      </c>
      <c r="C1036">
        <v>10</v>
      </c>
      <c r="D1036" s="890">
        <v>5587.5543049125572</v>
      </c>
      <c r="E1036">
        <v>25</v>
      </c>
      <c r="F1036">
        <v>20</v>
      </c>
    </row>
    <row r="1037" spans="1:6" x14ac:dyDescent="0.15">
      <c r="A1037" s="3"/>
      <c r="B1037">
        <v>10.1</v>
      </c>
      <c r="C1037">
        <v>12</v>
      </c>
      <c r="D1037" s="890">
        <v>7631.5667775126039</v>
      </c>
      <c r="E1037">
        <v>25</v>
      </c>
      <c r="F1037">
        <v>20</v>
      </c>
    </row>
    <row r="1038" spans="1:6" x14ac:dyDescent="0.15">
      <c r="A1038" s="3"/>
      <c r="B1038">
        <v>12.1</v>
      </c>
      <c r="C1038">
        <v>14</v>
      </c>
      <c r="D1038" s="890">
        <v>24748.502523442836</v>
      </c>
      <c r="E1038">
        <v>25</v>
      </c>
      <c r="F1038">
        <v>20</v>
      </c>
    </row>
    <row r="1039" spans="1:6" x14ac:dyDescent="0.15">
      <c r="A1039" s="3"/>
      <c r="B1039">
        <v>14.1</v>
      </c>
      <c r="C1039">
        <v>16</v>
      </c>
      <c r="D1039" s="890">
        <v>28530.258869128291</v>
      </c>
      <c r="E1039">
        <v>25</v>
      </c>
      <c r="F1039">
        <v>20</v>
      </c>
    </row>
    <row r="1040" spans="1:6" x14ac:dyDescent="0.15">
      <c r="A1040" s="3"/>
      <c r="B1040">
        <v>16.100000000000001</v>
      </c>
      <c r="C1040">
        <v>20</v>
      </c>
      <c r="D1040" s="890">
        <v>46615.65881913164</v>
      </c>
      <c r="E1040">
        <v>25</v>
      </c>
      <c r="F1040">
        <v>20</v>
      </c>
    </row>
    <row r="1041" spans="1:6" x14ac:dyDescent="0.15">
      <c r="A1041" s="3"/>
      <c r="B1041">
        <v>20.100000000000001</v>
      </c>
      <c r="C1041">
        <v>24</v>
      </c>
      <c r="D1041" s="890">
        <v>65149.016724246409</v>
      </c>
      <c r="E1041">
        <v>25</v>
      </c>
      <c r="F1041">
        <v>20</v>
      </c>
    </row>
    <row r="1042" spans="1:6" x14ac:dyDescent="0.15">
      <c r="A1042" s="3"/>
      <c r="B1042">
        <v>24.1</v>
      </c>
      <c r="C1042">
        <v>30</v>
      </c>
      <c r="D1042" s="890">
        <v>80302.681490252042</v>
      </c>
      <c r="E1042">
        <v>25</v>
      </c>
      <c r="F1042">
        <v>20</v>
      </c>
    </row>
    <row r="1043" spans="1:6" x14ac:dyDescent="0.15">
      <c r="A1043" s="3"/>
      <c r="B1043">
        <v>30.1</v>
      </c>
      <c r="C1043">
        <v>48</v>
      </c>
      <c r="D1043" s="890">
        <v>220985.84305316926</v>
      </c>
      <c r="E1043">
        <v>25</v>
      </c>
      <c r="F1043">
        <v>20</v>
      </c>
    </row>
    <row r="1044" spans="1:6" x14ac:dyDescent="0.15">
      <c r="A1044" s="3"/>
      <c r="B1044">
        <v>48.1</v>
      </c>
      <c r="C1044" t="s">
        <v>3599</v>
      </c>
      <c r="D1044" s="890" t="s">
        <v>3599</v>
      </c>
      <c r="E1044">
        <v>25</v>
      </c>
      <c r="F1044">
        <v>20</v>
      </c>
    </row>
    <row r="1047" spans="1:6" x14ac:dyDescent="0.15">
      <c r="A1047" s="891" t="s">
        <v>3881</v>
      </c>
      <c r="B1047" s="891" t="s">
        <v>3882</v>
      </c>
      <c r="C1047" s="891"/>
      <c r="D1047" s="891"/>
      <c r="E1047" s="891"/>
      <c r="F1047" s="891"/>
    </row>
    <row r="1048" spans="1:6" x14ac:dyDescent="0.15">
      <c r="A1048" s="889">
        <v>21</v>
      </c>
      <c r="B1048" s="320" t="s">
        <v>3697</v>
      </c>
      <c r="C1048" s="320" t="s">
        <v>3698</v>
      </c>
      <c r="D1048" s="847" t="s">
        <v>3715</v>
      </c>
      <c r="E1048" s="320" t="s">
        <v>3591</v>
      </c>
      <c r="F1048" s="320" t="s">
        <v>3592</v>
      </c>
    </row>
    <row r="1049" spans="1:6" x14ac:dyDescent="0.15">
      <c r="A1049" s="3" t="s">
        <v>3883</v>
      </c>
      <c r="B1049">
        <v>0</v>
      </c>
      <c r="C1049">
        <v>0.5</v>
      </c>
      <c r="D1049" s="890">
        <v>23</v>
      </c>
      <c r="E1049">
        <v>45</v>
      </c>
      <c r="F1049">
        <v>40</v>
      </c>
    </row>
    <row r="1050" spans="1:6" x14ac:dyDescent="0.15">
      <c r="A1050" s="3"/>
      <c r="B1050">
        <v>0.6</v>
      </c>
      <c r="C1050">
        <v>0.75</v>
      </c>
      <c r="D1050" s="890">
        <v>29.5</v>
      </c>
      <c r="E1050">
        <v>45</v>
      </c>
      <c r="F1050">
        <v>40</v>
      </c>
    </row>
    <row r="1051" spans="1:6" x14ac:dyDescent="0.15">
      <c r="A1051" s="3"/>
      <c r="B1051">
        <v>0.76</v>
      </c>
      <c r="C1051">
        <v>1</v>
      </c>
      <c r="D1051" s="890">
        <v>37.5</v>
      </c>
      <c r="E1051">
        <v>45</v>
      </c>
      <c r="F1051">
        <v>40</v>
      </c>
    </row>
    <row r="1052" spans="1:6" x14ac:dyDescent="0.15">
      <c r="A1052" s="3"/>
      <c r="B1052">
        <v>1.1000000000000001</v>
      </c>
      <c r="C1052">
        <v>1.25</v>
      </c>
      <c r="D1052" s="890">
        <v>45</v>
      </c>
      <c r="E1052">
        <v>45</v>
      </c>
      <c r="F1052">
        <v>40</v>
      </c>
    </row>
    <row r="1053" spans="1:6" x14ac:dyDescent="0.15">
      <c r="A1053" s="3"/>
      <c r="B1053">
        <v>1.26</v>
      </c>
      <c r="C1053">
        <v>1.5</v>
      </c>
      <c r="D1053" s="890">
        <v>57</v>
      </c>
      <c r="E1053">
        <v>45</v>
      </c>
      <c r="F1053">
        <v>40</v>
      </c>
    </row>
    <row r="1054" spans="1:6" x14ac:dyDescent="0.15">
      <c r="A1054" s="3"/>
      <c r="B1054">
        <v>1.6</v>
      </c>
      <c r="C1054">
        <v>2</v>
      </c>
      <c r="D1054" s="890">
        <v>82.5</v>
      </c>
      <c r="E1054">
        <v>45</v>
      </c>
      <c r="F1054">
        <v>40</v>
      </c>
    </row>
    <row r="1055" spans="1:6" x14ac:dyDescent="0.15">
      <c r="A1055" s="3"/>
      <c r="B1055">
        <v>2.1</v>
      </c>
      <c r="C1055">
        <v>2.5</v>
      </c>
      <c r="D1055" s="890">
        <v>153</v>
      </c>
      <c r="E1055">
        <v>45</v>
      </c>
      <c r="F1055">
        <v>40</v>
      </c>
    </row>
    <row r="1056" spans="1:6" x14ac:dyDescent="0.15">
      <c r="A1056" s="3"/>
      <c r="B1056">
        <v>2.6</v>
      </c>
      <c r="C1056">
        <v>3</v>
      </c>
      <c r="D1056" s="890">
        <v>190</v>
      </c>
      <c r="E1056">
        <v>45</v>
      </c>
      <c r="F1056">
        <v>40</v>
      </c>
    </row>
    <row r="1057" spans="1:6" x14ac:dyDescent="0.15">
      <c r="A1057" s="3"/>
      <c r="B1057">
        <v>3.1</v>
      </c>
      <c r="C1057">
        <v>4</v>
      </c>
      <c r="D1057" s="890">
        <v>231</v>
      </c>
      <c r="E1057">
        <v>45</v>
      </c>
      <c r="F1057">
        <v>40</v>
      </c>
    </row>
    <row r="1058" spans="1:6" x14ac:dyDescent="0.15">
      <c r="A1058" s="3"/>
      <c r="B1058">
        <v>4.0999999999999996</v>
      </c>
      <c r="C1058">
        <v>6</v>
      </c>
      <c r="D1058" s="890">
        <v>325</v>
      </c>
      <c r="E1058">
        <v>45</v>
      </c>
      <c r="F1058">
        <v>40</v>
      </c>
    </row>
    <row r="1059" spans="1:6" x14ac:dyDescent="0.15">
      <c r="A1059" s="3"/>
      <c r="B1059">
        <v>6.1</v>
      </c>
      <c r="C1059">
        <v>8</v>
      </c>
      <c r="D1059" s="890">
        <v>475</v>
      </c>
      <c r="E1059">
        <v>45</v>
      </c>
      <c r="F1059">
        <v>40</v>
      </c>
    </row>
    <row r="1060" spans="1:6" x14ac:dyDescent="0.15">
      <c r="A1060" s="3"/>
      <c r="B1060">
        <v>8.1</v>
      </c>
      <c r="C1060">
        <v>10</v>
      </c>
      <c r="D1060" s="890">
        <v>565</v>
      </c>
      <c r="E1060">
        <v>45</v>
      </c>
      <c r="F1060">
        <v>40</v>
      </c>
    </row>
    <row r="1061" spans="1:6" x14ac:dyDescent="0.15">
      <c r="A1061" s="3"/>
      <c r="B1061">
        <v>10.1</v>
      </c>
      <c r="C1061">
        <v>12</v>
      </c>
      <c r="D1061" s="890">
        <v>725</v>
      </c>
      <c r="E1061">
        <v>45</v>
      </c>
      <c r="F1061">
        <v>40</v>
      </c>
    </row>
    <row r="1062" spans="1:6" x14ac:dyDescent="0.15">
      <c r="A1062" s="3"/>
      <c r="B1062">
        <v>12.1</v>
      </c>
      <c r="C1062">
        <v>16</v>
      </c>
      <c r="D1062" s="890">
        <v>328.39642490634219</v>
      </c>
      <c r="E1062">
        <v>45</v>
      </c>
      <c r="F1062">
        <v>40</v>
      </c>
    </row>
    <row r="1063" spans="1:6" x14ac:dyDescent="0.15">
      <c r="A1063" s="3"/>
      <c r="B1063">
        <v>16.100000000000001</v>
      </c>
      <c r="C1063">
        <v>24</v>
      </c>
      <c r="D1063" s="890">
        <v>574.9220707070707</v>
      </c>
      <c r="E1063">
        <v>45</v>
      </c>
      <c r="F1063">
        <v>40</v>
      </c>
    </row>
    <row r="1064" spans="1:6" x14ac:dyDescent="0.15">
      <c r="A1064" s="3"/>
      <c r="B1064">
        <v>24.1</v>
      </c>
      <c r="C1064">
        <v>36</v>
      </c>
      <c r="D1064" s="890">
        <v>1302.2010248742749</v>
      </c>
      <c r="E1064">
        <v>45</v>
      </c>
      <c r="F1064">
        <v>40</v>
      </c>
    </row>
    <row r="1065" spans="1:6" x14ac:dyDescent="0.15">
      <c r="A1065" s="3"/>
      <c r="B1065">
        <v>36.1</v>
      </c>
      <c r="C1065">
        <v>48</v>
      </c>
      <c r="D1065" s="890">
        <v>2074.2913701060911</v>
      </c>
      <c r="E1065">
        <v>45</v>
      </c>
      <c r="F1065">
        <v>40</v>
      </c>
    </row>
    <row r="1066" spans="1:6" x14ac:dyDescent="0.15">
      <c r="A1066" s="3"/>
      <c r="B1066">
        <v>48.1</v>
      </c>
      <c r="C1066" t="s">
        <v>3599</v>
      </c>
      <c r="D1066" s="890" t="s">
        <v>3599</v>
      </c>
      <c r="E1066">
        <v>45</v>
      </c>
      <c r="F1066">
        <v>40</v>
      </c>
    </row>
    <row r="1069" spans="1:6" x14ac:dyDescent="0.15">
      <c r="A1069" s="891" t="s">
        <v>3717</v>
      </c>
      <c r="B1069" s="891" t="s">
        <v>3884</v>
      </c>
      <c r="C1069" s="891"/>
      <c r="D1069" s="891"/>
      <c r="E1069" s="891"/>
      <c r="F1069" s="891"/>
    </row>
    <row r="1070" spans="1:6" x14ac:dyDescent="0.15">
      <c r="A1070" s="889">
        <v>23</v>
      </c>
      <c r="B1070" s="320" t="s">
        <v>3719</v>
      </c>
      <c r="C1070" s="320" t="s">
        <v>3720</v>
      </c>
      <c r="D1070" s="320" t="s">
        <v>3598</v>
      </c>
      <c r="E1070" s="320" t="s">
        <v>3591</v>
      </c>
      <c r="F1070" s="320" t="s">
        <v>3592</v>
      </c>
    </row>
    <row r="1071" spans="1:6" x14ac:dyDescent="0.15">
      <c r="A1071" s="3" t="s">
        <v>3885</v>
      </c>
      <c r="B1071">
        <v>0</v>
      </c>
      <c r="C1071" s="526">
        <v>180</v>
      </c>
      <c r="D1071" s="916">
        <v>34393.230182367304</v>
      </c>
      <c r="E1071">
        <v>35</v>
      </c>
      <c r="F1071">
        <v>30</v>
      </c>
    </row>
    <row r="1072" spans="1:6" x14ac:dyDescent="0.15">
      <c r="A1072" s="3"/>
      <c r="B1072">
        <v>181</v>
      </c>
      <c r="C1072" s="526">
        <v>1400</v>
      </c>
      <c r="D1072" s="916">
        <v>53241.5665617294</v>
      </c>
      <c r="E1072">
        <v>35</v>
      </c>
      <c r="F1072">
        <v>30</v>
      </c>
    </row>
    <row r="1073" spans="1:6" x14ac:dyDescent="0.15">
      <c r="A1073" s="3"/>
      <c r="B1073">
        <v>1401</v>
      </c>
      <c r="C1073" s="526">
        <v>2000</v>
      </c>
      <c r="D1073" s="916">
        <v>101905.52971576227</v>
      </c>
      <c r="E1073">
        <v>35</v>
      </c>
      <c r="F1073">
        <v>30</v>
      </c>
    </row>
    <row r="1074" spans="1:6" x14ac:dyDescent="0.15">
      <c r="A1074" s="3"/>
      <c r="B1074">
        <v>2001</v>
      </c>
      <c r="C1074" s="526">
        <v>6800</v>
      </c>
      <c r="D1074" s="916">
        <v>142962.6122184649</v>
      </c>
      <c r="E1074">
        <v>35</v>
      </c>
      <c r="F1074">
        <v>30</v>
      </c>
    </row>
    <row r="1075" spans="1:6" x14ac:dyDescent="0.15">
      <c r="A1075" s="3"/>
      <c r="B1075">
        <v>17001</v>
      </c>
      <c r="C1075" s="526">
        <v>27100</v>
      </c>
      <c r="D1075" s="916">
        <v>327532.25806451618</v>
      </c>
      <c r="E1075">
        <v>35</v>
      </c>
      <c r="F1075">
        <v>30</v>
      </c>
    </row>
    <row r="1076" spans="1:6" x14ac:dyDescent="0.15">
      <c r="A1076" s="3"/>
      <c r="B1076">
        <v>27101</v>
      </c>
      <c r="C1076" s="526" t="s">
        <v>3599</v>
      </c>
      <c r="D1076" s="916" t="s">
        <v>3599</v>
      </c>
    </row>
    <row r="1079" spans="1:6" x14ac:dyDescent="0.15">
      <c r="A1079" s="891" t="s">
        <v>3717</v>
      </c>
      <c r="B1079" s="891" t="s">
        <v>3886</v>
      </c>
      <c r="C1079" s="891"/>
      <c r="D1079" s="891"/>
      <c r="E1079" s="891"/>
      <c r="F1079" s="891"/>
    </row>
    <row r="1080" spans="1:6" x14ac:dyDescent="0.15">
      <c r="A1080" s="889">
        <v>23</v>
      </c>
      <c r="B1080" s="320" t="s">
        <v>3719</v>
      </c>
      <c r="C1080" s="320" t="s">
        <v>3720</v>
      </c>
      <c r="D1080" s="320" t="s">
        <v>3598</v>
      </c>
      <c r="E1080" s="320" t="s">
        <v>3591</v>
      </c>
      <c r="F1080" s="320" t="s">
        <v>3592</v>
      </c>
    </row>
    <row r="1081" spans="1:6" x14ac:dyDescent="0.15">
      <c r="A1081" s="3" t="s">
        <v>3887</v>
      </c>
      <c r="B1081">
        <v>0</v>
      </c>
      <c r="C1081">
        <v>1000</v>
      </c>
      <c r="D1081" s="890">
        <v>10213.815000000001</v>
      </c>
      <c r="E1081">
        <v>35</v>
      </c>
      <c r="F1081">
        <v>30</v>
      </c>
    </row>
    <row r="1082" spans="1:6" x14ac:dyDescent="0.15">
      <c r="A1082" s="3"/>
      <c r="B1082">
        <v>1001</v>
      </c>
      <c r="C1082">
        <v>10000</v>
      </c>
      <c r="D1082" s="890">
        <v>27077.073040752352</v>
      </c>
      <c r="E1082">
        <v>35</v>
      </c>
      <c r="F1082">
        <v>30</v>
      </c>
    </row>
    <row r="1083" spans="1:6" x14ac:dyDescent="0.15">
      <c r="A1083" s="3"/>
      <c r="B1083">
        <v>10001</v>
      </c>
      <c r="C1083">
        <v>14500</v>
      </c>
      <c r="D1083" s="890">
        <v>59666.630094043889</v>
      </c>
      <c r="E1083">
        <v>35</v>
      </c>
      <c r="F1083">
        <v>30</v>
      </c>
    </row>
    <row r="1084" spans="1:6" x14ac:dyDescent="0.15">
      <c r="A1084" s="3"/>
      <c r="B1084">
        <v>14501</v>
      </c>
      <c r="C1084">
        <v>20000</v>
      </c>
      <c r="D1084" s="890">
        <v>32998.400849056605</v>
      </c>
      <c r="E1084">
        <v>35</v>
      </c>
      <c r="F1084">
        <v>30</v>
      </c>
    </row>
    <row r="1085" spans="1:6" x14ac:dyDescent="0.15">
      <c r="A1085" s="3"/>
      <c r="B1085">
        <v>20001</v>
      </c>
      <c r="C1085">
        <v>35000</v>
      </c>
      <c r="D1085" s="890">
        <v>47169.235135135132</v>
      </c>
      <c r="E1085">
        <v>35</v>
      </c>
      <c r="F1085">
        <v>30</v>
      </c>
    </row>
    <row r="1086" spans="1:6" x14ac:dyDescent="0.15">
      <c r="A1086" s="3"/>
      <c r="B1086">
        <v>35001</v>
      </c>
      <c r="C1086">
        <v>44800</v>
      </c>
      <c r="D1086" s="890">
        <v>78522.972972972973</v>
      </c>
      <c r="E1086">
        <v>35</v>
      </c>
      <c r="F1086">
        <v>30</v>
      </c>
    </row>
    <row r="1087" spans="1:6" x14ac:dyDescent="0.15">
      <c r="A1087" s="3"/>
      <c r="B1087">
        <v>44801</v>
      </c>
      <c r="C1087">
        <v>50000</v>
      </c>
      <c r="D1087" s="890">
        <v>63507.314594594587</v>
      </c>
      <c r="E1087">
        <v>35</v>
      </c>
      <c r="F1087">
        <v>30</v>
      </c>
    </row>
    <row r="1088" spans="1:6" x14ac:dyDescent="0.15">
      <c r="A1088" s="3"/>
      <c r="B1088">
        <v>50001</v>
      </c>
      <c r="C1088">
        <v>134100</v>
      </c>
      <c r="D1088" s="890">
        <v>120656.91891891892</v>
      </c>
      <c r="E1088">
        <v>35</v>
      </c>
      <c r="F1088">
        <v>30</v>
      </c>
    </row>
    <row r="1089" spans="1:6" x14ac:dyDescent="0.15">
      <c r="A1089" s="3"/>
      <c r="B1089">
        <v>134101</v>
      </c>
      <c r="C1089">
        <v>289000</v>
      </c>
      <c r="D1089" s="890">
        <v>178208.27027027027</v>
      </c>
      <c r="E1089">
        <v>35</v>
      </c>
      <c r="F1089">
        <v>30</v>
      </c>
    </row>
    <row r="1090" spans="1:6" x14ac:dyDescent="0.15">
      <c r="A1090" s="3"/>
      <c r="B1090">
        <v>289001</v>
      </c>
      <c r="C1090" t="s">
        <v>3599</v>
      </c>
      <c r="D1090" s="890" t="s">
        <v>3599</v>
      </c>
      <c r="E1090">
        <v>35</v>
      </c>
      <c r="F1090">
        <v>30</v>
      </c>
    </row>
    <row r="1093" spans="1:6" x14ac:dyDescent="0.15">
      <c r="A1093" s="891" t="s">
        <v>3888</v>
      </c>
      <c r="B1093" s="891" t="s">
        <v>3889</v>
      </c>
      <c r="C1093" s="891"/>
      <c r="D1093" s="891"/>
      <c r="E1093" s="891"/>
      <c r="F1093" s="891"/>
    </row>
    <row r="1094" spans="1:6" x14ac:dyDescent="0.15">
      <c r="A1094" s="889">
        <v>25</v>
      </c>
      <c r="B1094" s="320" t="s">
        <v>3697</v>
      </c>
      <c r="C1094" s="320" t="s">
        <v>3698</v>
      </c>
      <c r="D1094" s="847" t="s">
        <v>3715</v>
      </c>
      <c r="E1094" s="320" t="s">
        <v>3591</v>
      </c>
      <c r="F1094" s="320" t="s">
        <v>3592</v>
      </c>
    </row>
    <row r="1095" spans="1:6" x14ac:dyDescent="0.15">
      <c r="A1095" s="3" t="s">
        <v>3890</v>
      </c>
      <c r="B1095">
        <v>0</v>
      </c>
      <c r="C1095">
        <v>0.5</v>
      </c>
      <c r="D1095" s="890">
        <v>13.896100000000001</v>
      </c>
      <c r="E1095">
        <v>35</v>
      </c>
      <c r="F1095">
        <v>33</v>
      </c>
    </row>
    <row r="1096" spans="1:6" x14ac:dyDescent="0.15">
      <c r="A1096" s="3"/>
      <c r="B1096">
        <v>0.6</v>
      </c>
      <c r="C1096">
        <v>1</v>
      </c>
      <c r="D1096" s="890">
        <v>18.130499999999998</v>
      </c>
      <c r="E1096">
        <v>35</v>
      </c>
      <c r="F1096">
        <v>33</v>
      </c>
    </row>
    <row r="1097" spans="1:6" x14ac:dyDescent="0.15">
      <c r="A1097" s="3"/>
      <c r="B1097">
        <v>1.1000000000000001</v>
      </c>
      <c r="C1097">
        <v>1.5</v>
      </c>
      <c r="D1097" s="890">
        <v>23.482500000000002</v>
      </c>
      <c r="E1097">
        <v>35</v>
      </c>
      <c r="F1097">
        <v>33</v>
      </c>
    </row>
    <row r="1098" spans="1:6" x14ac:dyDescent="0.15">
      <c r="A1098" s="3"/>
      <c r="B1098">
        <v>1.6</v>
      </c>
      <c r="C1098">
        <v>2</v>
      </c>
      <c r="D1098" s="890">
        <v>31.328500000000002</v>
      </c>
      <c r="E1098">
        <v>35</v>
      </c>
      <c r="F1098">
        <v>33</v>
      </c>
    </row>
    <row r="1099" spans="1:6" x14ac:dyDescent="0.15">
      <c r="A1099" s="3"/>
      <c r="B1099">
        <v>2.1</v>
      </c>
      <c r="C1099">
        <v>2.5</v>
      </c>
      <c r="D1099" s="890">
        <v>43.287999999999997</v>
      </c>
      <c r="E1099">
        <v>35</v>
      </c>
      <c r="F1099">
        <v>33</v>
      </c>
    </row>
    <row r="1100" spans="1:6" x14ac:dyDescent="0.15">
      <c r="A1100" s="3"/>
      <c r="B1100">
        <v>2.6</v>
      </c>
      <c r="C1100">
        <v>3</v>
      </c>
      <c r="D1100" s="890">
        <v>49.111499999999999</v>
      </c>
      <c r="E1100">
        <v>35</v>
      </c>
      <c r="F1100">
        <v>33</v>
      </c>
    </row>
    <row r="1101" spans="1:6" x14ac:dyDescent="0.15">
      <c r="A1101" s="3"/>
      <c r="B1101">
        <v>3.1</v>
      </c>
      <c r="C1101">
        <v>4</v>
      </c>
      <c r="D1101" s="890">
        <v>64.635000000000005</v>
      </c>
      <c r="E1101">
        <v>35</v>
      </c>
      <c r="F1101">
        <v>33</v>
      </c>
    </row>
    <row r="1102" spans="1:6" x14ac:dyDescent="0.15">
      <c r="A1102" s="3"/>
      <c r="B1102">
        <v>4.0999999999999996</v>
      </c>
      <c r="C1102">
        <v>6</v>
      </c>
      <c r="D1102" s="890">
        <v>91.93</v>
      </c>
      <c r="E1102">
        <v>35</v>
      </c>
      <c r="F1102">
        <v>33</v>
      </c>
    </row>
    <row r="1103" spans="1:6" x14ac:dyDescent="0.15">
      <c r="A1103" s="3"/>
      <c r="B1103">
        <v>6.1</v>
      </c>
      <c r="C1103">
        <v>8</v>
      </c>
      <c r="D1103" s="890">
        <v>172.095</v>
      </c>
      <c r="E1103">
        <v>35</v>
      </c>
      <c r="F1103">
        <v>33</v>
      </c>
    </row>
    <row r="1104" spans="1:6" x14ac:dyDescent="0.15">
      <c r="A1104" s="3"/>
      <c r="B1104">
        <v>8.1</v>
      </c>
      <c r="C1104">
        <v>10</v>
      </c>
      <c r="D1104" s="890">
        <v>213.54999999999998</v>
      </c>
      <c r="E1104">
        <v>35</v>
      </c>
      <c r="F1104">
        <v>33</v>
      </c>
    </row>
    <row r="1105" spans="1:6" x14ac:dyDescent="0.15">
      <c r="A1105" s="3"/>
      <c r="B1105">
        <v>10.1</v>
      </c>
      <c r="C1105">
        <v>12</v>
      </c>
      <c r="D1105" s="890">
        <v>270.05</v>
      </c>
      <c r="E1105">
        <v>35</v>
      </c>
      <c r="F1105">
        <v>33</v>
      </c>
    </row>
    <row r="1106" spans="1:6" x14ac:dyDescent="0.15">
      <c r="A1106" s="3"/>
      <c r="B1106">
        <v>12.1</v>
      </c>
      <c r="C1106">
        <v>14</v>
      </c>
      <c r="D1106" s="890">
        <v>305.43</v>
      </c>
      <c r="E1106">
        <v>35</v>
      </c>
      <c r="F1106">
        <v>33</v>
      </c>
    </row>
    <row r="1107" spans="1:6" x14ac:dyDescent="0.15">
      <c r="A1107" s="3"/>
      <c r="B1107">
        <v>14.1</v>
      </c>
      <c r="C1107">
        <v>16</v>
      </c>
      <c r="D1107" s="890">
        <v>396.85</v>
      </c>
      <c r="E1107">
        <v>35</v>
      </c>
      <c r="F1107">
        <v>33</v>
      </c>
    </row>
    <row r="1108" spans="1:6" x14ac:dyDescent="0.15">
      <c r="A1108" s="3"/>
      <c r="B1108">
        <v>16.100000000000001</v>
      </c>
      <c r="C1108">
        <v>18</v>
      </c>
      <c r="D1108" s="890">
        <v>419.98</v>
      </c>
      <c r="E1108">
        <v>35</v>
      </c>
      <c r="F1108">
        <v>33</v>
      </c>
    </row>
    <row r="1109" spans="1:6" x14ac:dyDescent="0.15">
      <c r="A1109" s="3"/>
      <c r="B1109">
        <v>18.100000000000001</v>
      </c>
      <c r="C1109">
        <v>20</v>
      </c>
      <c r="D1109" s="890">
        <v>486.21000000000004</v>
      </c>
      <c r="E1109">
        <v>35</v>
      </c>
      <c r="F1109">
        <v>33</v>
      </c>
    </row>
    <row r="1110" spans="1:6" x14ac:dyDescent="0.15">
      <c r="A1110" s="3"/>
      <c r="B1110">
        <v>20.100000000000001</v>
      </c>
      <c r="C1110">
        <v>24</v>
      </c>
      <c r="D1110" s="890">
        <v>592.07000000000005</v>
      </c>
      <c r="E1110">
        <v>35</v>
      </c>
      <c r="F1110">
        <v>33</v>
      </c>
    </row>
    <row r="1111" spans="1:6" x14ac:dyDescent="0.15">
      <c r="A1111" s="3"/>
      <c r="B1111">
        <v>24.1</v>
      </c>
      <c r="C1111">
        <v>36</v>
      </c>
      <c r="D1111" s="890">
        <v>263.86210075918711</v>
      </c>
      <c r="E1111">
        <v>35</v>
      </c>
      <c r="F1111">
        <v>33</v>
      </c>
    </row>
    <row r="1112" spans="1:6" x14ac:dyDescent="0.15">
      <c r="A1112" s="3"/>
      <c r="B1112">
        <v>36.1</v>
      </c>
      <c r="C1112">
        <v>48</v>
      </c>
      <c r="D1112" s="890">
        <v>363.17883258666518</v>
      </c>
      <c r="E1112">
        <v>35</v>
      </c>
      <c r="F1112">
        <v>33</v>
      </c>
    </row>
    <row r="1113" spans="1:6" x14ac:dyDescent="0.15">
      <c r="A1113" s="3"/>
      <c r="B1113">
        <v>48.1</v>
      </c>
      <c r="C1113" t="s">
        <v>3599</v>
      </c>
      <c r="D1113" s="890" t="s">
        <v>3599</v>
      </c>
      <c r="E1113">
        <v>35</v>
      </c>
      <c r="F1113">
        <v>33</v>
      </c>
    </row>
    <row r="1116" spans="1:6" x14ac:dyDescent="0.15">
      <c r="A1116" s="892" t="s">
        <v>3891</v>
      </c>
      <c r="B1116" s="892" t="s">
        <v>3892</v>
      </c>
      <c r="C1116" s="892"/>
      <c r="D1116" s="892"/>
      <c r="E1116" s="892"/>
      <c r="F1116" s="892"/>
    </row>
    <row r="1117" spans="1:6" x14ac:dyDescent="0.15">
      <c r="A1117" s="47">
        <v>4</v>
      </c>
      <c r="B1117" t="s">
        <v>1850</v>
      </c>
      <c r="D1117" t="s">
        <v>3608</v>
      </c>
      <c r="E1117" t="s">
        <v>3591</v>
      </c>
      <c r="F1117" t="s">
        <v>3592</v>
      </c>
    </row>
    <row r="1118" spans="1:6" x14ac:dyDescent="0.15">
      <c r="A1118" s="3" t="s">
        <v>3893</v>
      </c>
      <c r="B1118">
        <v>0</v>
      </c>
      <c r="C1118">
        <v>0</v>
      </c>
      <c r="D1118" s="893">
        <v>1475</v>
      </c>
      <c r="E1118" t="s">
        <v>3604</v>
      </c>
      <c r="F1118" t="s">
        <v>3604</v>
      </c>
    </row>
    <row r="1121" spans="1:6" x14ac:dyDescent="0.15">
      <c r="A1121" s="892" t="s">
        <v>3894</v>
      </c>
      <c r="B1121" s="892" t="s">
        <v>3895</v>
      </c>
      <c r="C1121" s="892"/>
      <c r="D1121" s="892"/>
      <c r="E1121" s="892"/>
      <c r="F1121" s="892"/>
    </row>
    <row r="1122" spans="1:6" x14ac:dyDescent="0.15">
      <c r="A1122" s="889">
        <v>40</v>
      </c>
      <c r="B1122" s="320" t="s">
        <v>3896</v>
      </c>
      <c r="C1122" s="320" t="s">
        <v>3897</v>
      </c>
      <c r="D1122" s="847" t="s">
        <v>3898</v>
      </c>
      <c r="E1122" s="320" t="s">
        <v>3591</v>
      </c>
      <c r="F1122" s="320" t="s">
        <v>3592</v>
      </c>
    </row>
    <row r="1123" spans="1:6" x14ac:dyDescent="0.15">
      <c r="A1123" s="3" t="s">
        <v>3899</v>
      </c>
      <c r="B1123">
        <v>0</v>
      </c>
      <c r="C1123">
        <v>30</v>
      </c>
      <c r="D1123" s="893">
        <v>660</v>
      </c>
    </row>
    <row r="1124" spans="1:6" x14ac:dyDescent="0.15">
      <c r="A1124" s="3"/>
      <c r="B1124">
        <v>31</v>
      </c>
      <c r="C1124">
        <v>50</v>
      </c>
      <c r="D1124" s="893">
        <v>482</v>
      </c>
    </row>
    <row r="1125" spans="1:6" x14ac:dyDescent="0.15">
      <c r="A1125" s="3"/>
      <c r="B1125">
        <v>51</v>
      </c>
      <c r="C1125">
        <v>60</v>
      </c>
      <c r="D1125" s="893">
        <v>525</v>
      </c>
    </row>
    <row r="1126" spans="1:6" x14ac:dyDescent="0.15">
      <c r="A1126" s="3"/>
      <c r="B1126">
        <v>61</v>
      </c>
      <c r="C1126">
        <v>75</v>
      </c>
      <c r="D1126" s="893">
        <v>477.33333333333331</v>
      </c>
    </row>
    <row r="1127" spans="1:6" x14ac:dyDescent="0.15">
      <c r="A1127" s="3"/>
      <c r="B1127">
        <v>76</v>
      </c>
      <c r="C1127">
        <v>100</v>
      </c>
      <c r="D1127" s="893">
        <v>412</v>
      </c>
    </row>
    <row r="1128" spans="1:6" x14ac:dyDescent="0.15">
      <c r="A1128" s="3"/>
      <c r="B1128">
        <v>101</v>
      </c>
      <c r="C1128">
        <v>125</v>
      </c>
      <c r="D1128" s="893">
        <v>304</v>
      </c>
    </row>
    <row r="1129" spans="1:6" x14ac:dyDescent="0.15">
      <c r="A1129" s="3"/>
      <c r="B1129">
        <v>126</v>
      </c>
      <c r="C1129">
        <v>150</v>
      </c>
      <c r="D1129" s="893">
        <v>356.66666666666669</v>
      </c>
    </row>
    <row r="1130" spans="1:6" x14ac:dyDescent="0.15">
      <c r="A1130" s="3"/>
      <c r="B1130">
        <v>151</v>
      </c>
      <c r="C1130">
        <v>175</v>
      </c>
      <c r="D1130" s="893">
        <v>262.85714285714283</v>
      </c>
    </row>
    <row r="1131" spans="1:6" x14ac:dyDescent="0.15">
      <c r="A1131" s="3"/>
      <c r="B1131">
        <v>176</v>
      </c>
      <c r="C1131">
        <v>200</v>
      </c>
      <c r="D1131" s="893">
        <v>357.5</v>
      </c>
    </row>
    <row r="1132" spans="1:6" x14ac:dyDescent="0.15">
      <c r="A1132" s="3"/>
      <c r="B1132">
        <v>201</v>
      </c>
      <c r="C1132">
        <v>250</v>
      </c>
      <c r="D1132" s="893">
        <v>240</v>
      </c>
    </row>
    <row r="1133" spans="1:6" x14ac:dyDescent="0.15">
      <c r="A1133" s="3"/>
      <c r="B1133">
        <v>251</v>
      </c>
      <c r="C1133">
        <v>275</v>
      </c>
      <c r="D1133" s="893">
        <v>301.81818181818181</v>
      </c>
    </row>
    <row r="1134" spans="1:6" x14ac:dyDescent="0.15">
      <c r="A1134" s="3"/>
      <c r="B1134">
        <v>276</v>
      </c>
      <c r="C1134">
        <v>300</v>
      </c>
      <c r="D1134" s="893">
        <v>221.66666666666666</v>
      </c>
    </row>
    <row r="1135" spans="1:6" x14ac:dyDescent="0.15">
      <c r="A1135" s="3"/>
      <c r="B1135">
        <v>301</v>
      </c>
      <c r="C1135">
        <v>350</v>
      </c>
      <c r="D1135" s="893">
        <v>230</v>
      </c>
    </row>
    <row r="1136" spans="1:6" x14ac:dyDescent="0.15">
      <c r="A1136" s="3"/>
      <c r="B1136">
        <v>351</v>
      </c>
      <c r="C1136">
        <v>400</v>
      </c>
      <c r="D1136" s="893">
        <v>237.5</v>
      </c>
    </row>
    <row r="1137" spans="1:6" x14ac:dyDescent="0.15">
      <c r="A1137" s="3"/>
      <c r="B1137">
        <v>401</v>
      </c>
      <c r="C1137">
        <v>500</v>
      </c>
      <c r="D1137" s="893">
        <v>214</v>
      </c>
    </row>
    <row r="1138" spans="1:6" x14ac:dyDescent="0.15">
      <c r="A1138" s="3"/>
      <c r="B1138">
        <v>501</v>
      </c>
      <c r="C1138">
        <v>600</v>
      </c>
      <c r="D1138" s="893">
        <v>250</v>
      </c>
    </row>
    <row r="1139" spans="1:6" x14ac:dyDescent="0.15">
      <c r="A1139" s="3"/>
      <c r="B1139">
        <v>601</v>
      </c>
      <c r="C1139">
        <v>650</v>
      </c>
      <c r="D1139" s="893">
        <v>346.92307692307691</v>
      </c>
    </row>
    <row r="1140" spans="1:6" x14ac:dyDescent="0.15">
      <c r="A1140" s="3"/>
      <c r="B1140">
        <v>651</v>
      </c>
      <c r="C1140">
        <v>750</v>
      </c>
      <c r="D1140" s="893">
        <v>281.33333333333331</v>
      </c>
    </row>
    <row r="1141" spans="1:6" x14ac:dyDescent="0.15">
      <c r="A1141" s="3"/>
      <c r="B1141">
        <v>751</v>
      </c>
      <c r="C1141">
        <v>800</v>
      </c>
      <c r="D1141" s="893">
        <v>260</v>
      </c>
    </row>
    <row r="1142" spans="1:6" x14ac:dyDescent="0.15">
      <c r="A1142" s="3"/>
      <c r="B1142">
        <v>801</v>
      </c>
      <c r="C1142">
        <v>900</v>
      </c>
      <c r="D1142" s="893">
        <v>287.22222222222223</v>
      </c>
    </row>
    <row r="1143" spans="1:6" x14ac:dyDescent="0.15">
      <c r="A1143" s="3"/>
      <c r="B1143">
        <v>901</v>
      </c>
      <c r="C1143">
        <v>1000</v>
      </c>
      <c r="D1143" s="893">
        <v>243</v>
      </c>
    </row>
    <row r="1146" spans="1:6" x14ac:dyDescent="0.15">
      <c r="A1146" s="891" t="s">
        <v>3589</v>
      </c>
      <c r="B1146" s="891" t="s">
        <v>3900</v>
      </c>
      <c r="C1146" s="891"/>
      <c r="D1146" s="891"/>
      <c r="E1146" s="891"/>
      <c r="F1146" s="891"/>
    </row>
    <row r="1147" spans="1:6" x14ac:dyDescent="0.15">
      <c r="A1147" s="889">
        <v>43</v>
      </c>
      <c r="B1147" s="320"/>
      <c r="C1147" s="320"/>
      <c r="D1147" s="847" t="s">
        <v>3598</v>
      </c>
      <c r="E1147" s="320" t="s">
        <v>3591</v>
      </c>
      <c r="F1147" s="320" t="s">
        <v>3592</v>
      </c>
    </row>
    <row r="1148" spans="1:6" x14ac:dyDescent="0.15">
      <c r="A1148" s="3" t="s">
        <v>3901</v>
      </c>
      <c r="B1148">
        <v>0</v>
      </c>
      <c r="C1148">
        <v>0</v>
      </c>
      <c r="D1148" s="890">
        <v>1300.8978726158491</v>
      </c>
      <c r="E1148">
        <v>15</v>
      </c>
      <c r="F1148">
        <v>14</v>
      </c>
    </row>
    <row r="1151" spans="1:6" x14ac:dyDescent="0.15">
      <c r="A1151" s="891" t="s">
        <v>3589</v>
      </c>
      <c r="B1151" s="891" t="s">
        <v>3902</v>
      </c>
      <c r="C1151" s="891"/>
      <c r="D1151" s="891"/>
      <c r="E1151" s="891"/>
      <c r="F1151" s="891"/>
    </row>
    <row r="1152" spans="1:6" x14ac:dyDescent="0.15">
      <c r="A1152" s="889">
        <v>43</v>
      </c>
      <c r="B1152" s="320"/>
      <c r="C1152" s="320"/>
      <c r="D1152" s="847" t="s">
        <v>3598</v>
      </c>
      <c r="E1152" s="320" t="s">
        <v>3591</v>
      </c>
      <c r="F1152" s="320" t="s">
        <v>3592</v>
      </c>
    </row>
    <row r="1153" spans="1:6" x14ac:dyDescent="0.15">
      <c r="A1153" s="3" t="s">
        <v>3903</v>
      </c>
      <c r="B1153">
        <v>0</v>
      </c>
      <c r="C1153">
        <v>0</v>
      </c>
      <c r="D1153" s="890">
        <v>794.75852923757691</v>
      </c>
      <c r="E1153">
        <v>15</v>
      </c>
      <c r="F1153">
        <v>14</v>
      </c>
    </row>
    <row r="1156" spans="1:6" x14ac:dyDescent="0.15">
      <c r="A1156" s="891" t="s">
        <v>3589</v>
      </c>
      <c r="B1156" s="891" t="s">
        <v>3904</v>
      </c>
      <c r="C1156" s="891"/>
      <c r="D1156" s="891"/>
      <c r="E1156" s="891"/>
      <c r="F1156" s="891"/>
    </row>
    <row r="1157" spans="1:6" x14ac:dyDescent="0.15">
      <c r="A1157" s="889">
        <v>43</v>
      </c>
      <c r="B1157" s="847"/>
      <c r="C1157" s="320"/>
      <c r="D1157" s="847" t="s">
        <v>3598</v>
      </c>
      <c r="E1157" s="320" t="s">
        <v>3591</v>
      </c>
      <c r="F1157" s="320" t="s">
        <v>3592</v>
      </c>
    </row>
    <row r="1158" spans="1:6" x14ac:dyDescent="0.15">
      <c r="A1158" s="3" t="s">
        <v>3905</v>
      </c>
      <c r="B1158">
        <v>0</v>
      </c>
      <c r="C1158">
        <v>0</v>
      </c>
      <c r="D1158" s="890">
        <v>6183.7045937122821</v>
      </c>
      <c r="E1158">
        <v>15</v>
      </c>
      <c r="F1158">
        <v>14</v>
      </c>
    </row>
    <row r="1161" spans="1:6" x14ac:dyDescent="0.15">
      <c r="A1161" s="891" t="s">
        <v>3784</v>
      </c>
      <c r="B1161" s="891" t="s">
        <v>3906</v>
      </c>
      <c r="C1161" s="891"/>
      <c r="D1161" s="891"/>
      <c r="E1161" s="891"/>
      <c r="F1161" s="891"/>
    </row>
    <row r="1162" spans="1:6" x14ac:dyDescent="0.15">
      <c r="A1162" s="889">
        <v>42</v>
      </c>
      <c r="B1162" s="320"/>
      <c r="C1162" s="320"/>
      <c r="D1162" s="847" t="s">
        <v>3598</v>
      </c>
      <c r="E1162" s="320" t="s">
        <v>3591</v>
      </c>
      <c r="F1162" s="320" t="s">
        <v>3592</v>
      </c>
    </row>
    <row r="1163" spans="1:6" x14ac:dyDescent="0.15">
      <c r="A1163" s="3" t="s">
        <v>3907</v>
      </c>
      <c r="B1163">
        <v>0</v>
      </c>
      <c r="C1163">
        <v>0</v>
      </c>
      <c r="D1163" s="890">
        <v>877.495</v>
      </c>
      <c r="E1163">
        <v>10</v>
      </c>
      <c r="F1163">
        <v>8</v>
      </c>
    </row>
    <row r="1166" spans="1:6" x14ac:dyDescent="0.15">
      <c r="A1166" s="891" t="s">
        <v>3589</v>
      </c>
      <c r="B1166" s="891" t="s">
        <v>3908</v>
      </c>
      <c r="C1166" s="891"/>
      <c r="D1166" s="891"/>
      <c r="E1166" s="891"/>
      <c r="F1166" s="891"/>
    </row>
    <row r="1167" spans="1:6" x14ac:dyDescent="0.15">
      <c r="A1167" s="889">
        <v>43</v>
      </c>
      <c r="B1167" s="320" t="s">
        <v>3697</v>
      </c>
      <c r="C1167" s="320" t="s">
        <v>3698</v>
      </c>
      <c r="D1167" s="847" t="s">
        <v>3598</v>
      </c>
      <c r="E1167" s="320" t="s">
        <v>3591</v>
      </c>
      <c r="F1167" s="320" t="s">
        <v>3592</v>
      </c>
    </row>
    <row r="1168" spans="1:6" x14ac:dyDescent="0.15">
      <c r="A1168" s="3" t="s">
        <v>3909</v>
      </c>
      <c r="B1168">
        <v>0</v>
      </c>
      <c r="C1168">
        <v>1</v>
      </c>
      <c r="D1168" s="890">
        <v>2193.0706249999998</v>
      </c>
      <c r="E1168">
        <v>15</v>
      </c>
      <c r="F1168">
        <v>14</v>
      </c>
    </row>
    <row r="1169" spans="1:6" x14ac:dyDescent="0.15">
      <c r="A1169" s="3"/>
      <c r="B1169">
        <v>1.1000000000000001</v>
      </c>
      <c r="C1169">
        <v>2</v>
      </c>
      <c r="D1169" s="890">
        <v>2310.6700136986301</v>
      </c>
      <c r="E1169">
        <v>15</v>
      </c>
      <c r="F1169">
        <v>14</v>
      </c>
    </row>
    <row r="1170" spans="1:6" x14ac:dyDescent="0.15">
      <c r="A1170" s="3"/>
      <c r="B1170">
        <v>2.1</v>
      </c>
      <c r="C1170">
        <v>3</v>
      </c>
      <c r="D1170" s="890">
        <v>2401.0457718446605</v>
      </c>
      <c r="E1170">
        <v>15</v>
      </c>
      <c r="F1170">
        <v>14</v>
      </c>
    </row>
    <row r="1171" spans="1:6" x14ac:dyDescent="0.15">
      <c r="A1171" s="3"/>
      <c r="B1171">
        <v>3.1</v>
      </c>
      <c r="C1171">
        <v>4</v>
      </c>
      <c r="D1171" s="890">
        <v>2419.8302129032259</v>
      </c>
      <c r="E1171">
        <v>15</v>
      </c>
      <c r="F1171">
        <v>14</v>
      </c>
    </row>
    <row r="1172" spans="1:6" x14ac:dyDescent="0.15">
      <c r="A1172" s="3"/>
      <c r="B1172">
        <v>4.0999999999999996</v>
      </c>
      <c r="C1172">
        <v>6</v>
      </c>
      <c r="D1172" s="890">
        <v>3590.5771888888885</v>
      </c>
      <c r="E1172">
        <v>15</v>
      </c>
      <c r="F1172">
        <v>14</v>
      </c>
    </row>
    <row r="1173" spans="1:6" x14ac:dyDescent="0.15">
      <c r="A1173" s="3"/>
      <c r="B1173">
        <v>6.1</v>
      </c>
      <c r="C1173">
        <v>8</v>
      </c>
      <c r="D1173" s="890">
        <v>3965.3893275862065</v>
      </c>
      <c r="E1173">
        <v>15</v>
      </c>
      <c r="F1173">
        <v>14</v>
      </c>
    </row>
    <row r="1174" spans="1:6" x14ac:dyDescent="0.15">
      <c r="A1174" s="3"/>
      <c r="B1174">
        <v>8.1</v>
      </c>
      <c r="C1174">
        <v>10</v>
      </c>
      <c r="D1174" s="890">
        <v>4011.5260729927013</v>
      </c>
      <c r="E1174">
        <v>15</v>
      </c>
      <c r="F1174">
        <v>14</v>
      </c>
    </row>
    <row r="1175" spans="1:6" x14ac:dyDescent="0.15">
      <c r="A1175" s="3"/>
      <c r="B1175">
        <v>10.1</v>
      </c>
      <c r="C1175">
        <v>12</v>
      </c>
      <c r="D1175" s="890">
        <v>4677.219503649635</v>
      </c>
      <c r="E1175">
        <v>15</v>
      </c>
      <c r="F1175">
        <v>14</v>
      </c>
    </row>
    <row r="1176" spans="1:6" x14ac:dyDescent="0.15">
      <c r="A1176" s="3"/>
      <c r="B1176">
        <v>12.1</v>
      </c>
      <c r="C1176">
        <v>14</v>
      </c>
      <c r="D1176" s="890">
        <v>5013.5698686131391</v>
      </c>
      <c r="E1176">
        <v>15</v>
      </c>
      <c r="F1176">
        <v>14</v>
      </c>
    </row>
    <row r="1177" spans="1:6" x14ac:dyDescent="0.15">
      <c r="A1177" s="3"/>
      <c r="B1177">
        <v>14.1</v>
      </c>
      <c r="C1177">
        <v>16</v>
      </c>
      <c r="D1177" s="890">
        <v>5181.7450510948911</v>
      </c>
      <c r="E1177">
        <v>15</v>
      </c>
      <c r="F1177">
        <v>14</v>
      </c>
    </row>
    <row r="1178" spans="1:6" x14ac:dyDescent="0.15">
      <c r="A1178" s="3"/>
      <c r="B1178">
        <v>16.100000000000001</v>
      </c>
      <c r="C1178">
        <v>18</v>
      </c>
      <c r="D1178" s="890">
        <v>5924.5187737226279</v>
      </c>
      <c r="E1178">
        <v>15</v>
      </c>
      <c r="F1178">
        <v>14</v>
      </c>
    </row>
    <row r="1179" spans="1:6" x14ac:dyDescent="0.15">
      <c r="A1179" s="3"/>
      <c r="B1179">
        <v>18.100000000000001</v>
      </c>
      <c r="C1179">
        <v>20</v>
      </c>
      <c r="D1179" s="890">
        <v>6330.9421313868606</v>
      </c>
      <c r="E1179">
        <v>15</v>
      </c>
      <c r="F1179">
        <v>14</v>
      </c>
    </row>
    <row r="1180" spans="1:6" x14ac:dyDescent="0.15">
      <c r="A1180" s="3"/>
      <c r="B1180">
        <v>20.100000000000001</v>
      </c>
      <c r="C1180">
        <v>24</v>
      </c>
      <c r="D1180" s="890">
        <v>9988.7523503649645</v>
      </c>
      <c r="E1180">
        <v>15</v>
      </c>
      <c r="F1180">
        <v>14</v>
      </c>
    </row>
    <row r="1181" spans="1:6" x14ac:dyDescent="0.15">
      <c r="A1181" s="3"/>
      <c r="B1181">
        <v>24.1</v>
      </c>
      <c r="C1181">
        <v>30</v>
      </c>
      <c r="D1181" s="890">
        <v>11109.920233576642</v>
      </c>
      <c r="E1181">
        <v>15</v>
      </c>
      <c r="F1181">
        <v>14</v>
      </c>
    </row>
    <row r="1182" spans="1:6" x14ac:dyDescent="0.15">
      <c r="A1182" s="3"/>
      <c r="B1182">
        <v>30.1</v>
      </c>
      <c r="C1182">
        <v>36</v>
      </c>
      <c r="D1182" s="890">
        <v>12511.380087591242</v>
      </c>
      <c r="E1182">
        <v>15</v>
      </c>
      <c r="F1182">
        <v>14</v>
      </c>
    </row>
    <row r="1183" spans="1:6" x14ac:dyDescent="0.15">
      <c r="A1183" s="3"/>
      <c r="B1183">
        <v>36.1</v>
      </c>
      <c r="C1183">
        <v>42</v>
      </c>
      <c r="D1183" s="890">
        <v>13492.40198540146</v>
      </c>
      <c r="E1183">
        <v>15</v>
      </c>
      <c r="F1183">
        <v>14</v>
      </c>
    </row>
    <row r="1184" spans="1:6" x14ac:dyDescent="0.15">
      <c r="A1184" s="3"/>
      <c r="B1184">
        <v>42.1</v>
      </c>
      <c r="C1184">
        <v>48</v>
      </c>
      <c r="D1184" s="890">
        <v>15594.591766423357</v>
      </c>
      <c r="E1184">
        <v>15</v>
      </c>
      <c r="F1184">
        <v>14</v>
      </c>
    </row>
    <row r="1185" spans="1:6" x14ac:dyDescent="0.15">
      <c r="A1185" s="3"/>
      <c r="B1185">
        <v>48.1</v>
      </c>
      <c r="C1185" t="s">
        <v>3599</v>
      </c>
      <c r="D1185" s="890" t="s">
        <v>3599</v>
      </c>
      <c r="E1185">
        <v>15</v>
      </c>
      <c r="F1185">
        <v>14</v>
      </c>
    </row>
    <row r="1188" spans="1:6" x14ac:dyDescent="0.15">
      <c r="A1188" s="917" t="s">
        <v>3601</v>
      </c>
      <c r="B1188" s="892" t="s">
        <v>3910</v>
      </c>
      <c r="C1188" s="918"/>
      <c r="D1188" s="919"/>
      <c r="E1188" s="918"/>
      <c r="F1188" s="918"/>
    </row>
    <row r="1189" spans="1:6" x14ac:dyDescent="0.15">
      <c r="A1189" s="889">
        <v>3</v>
      </c>
      <c r="B1189" s="320" t="s">
        <v>3911</v>
      </c>
      <c r="C1189" s="320" t="s">
        <v>3912</v>
      </c>
      <c r="D1189" s="320" t="s">
        <v>3598</v>
      </c>
      <c r="E1189" s="320" t="s">
        <v>3591</v>
      </c>
      <c r="F1189" s="320" t="s">
        <v>3592</v>
      </c>
    </row>
    <row r="1190" spans="1:6" x14ac:dyDescent="0.15">
      <c r="A1190" s="3" t="s">
        <v>3913</v>
      </c>
      <c r="B1190">
        <v>0</v>
      </c>
      <c r="C1190">
        <v>500</v>
      </c>
      <c r="D1190" s="893">
        <v>181.38524604341987</v>
      </c>
      <c r="E1190">
        <v>40</v>
      </c>
      <c r="F1190">
        <v>37</v>
      </c>
    </row>
    <row r="1191" spans="1:6" x14ac:dyDescent="0.15">
      <c r="A1191" s="3"/>
      <c r="B1191">
        <v>500.1</v>
      </c>
      <c r="C1191">
        <v>1000</v>
      </c>
      <c r="D1191" s="893">
        <v>152.59181452329247</v>
      </c>
      <c r="E1191">
        <v>40</v>
      </c>
      <c r="F1191">
        <v>37</v>
      </c>
    </row>
    <row r="1192" spans="1:6" x14ac:dyDescent="0.15">
      <c r="A1192" s="3"/>
      <c r="B1192">
        <v>1000.1</v>
      </c>
      <c r="C1192">
        <v>2000</v>
      </c>
      <c r="D1192" s="893">
        <v>134.80205030118768</v>
      </c>
      <c r="E1192">
        <v>40</v>
      </c>
      <c r="F1192">
        <v>37</v>
      </c>
    </row>
    <row r="1193" spans="1:6" x14ac:dyDescent="0.15">
      <c r="A1193" s="3"/>
      <c r="B1193">
        <v>2000.1</v>
      </c>
      <c r="C1193">
        <v>3000</v>
      </c>
      <c r="D1193" s="893">
        <v>127.23811561623944</v>
      </c>
      <c r="E1193">
        <v>40</v>
      </c>
      <c r="F1193">
        <v>37</v>
      </c>
    </row>
    <row r="1194" spans="1:6" x14ac:dyDescent="0.15">
      <c r="A1194" s="3"/>
      <c r="B1194">
        <v>3000.1</v>
      </c>
      <c r="C1194">
        <v>4000</v>
      </c>
      <c r="D1194" s="893">
        <v>119.65198435204586</v>
      </c>
      <c r="E1194">
        <v>40</v>
      </c>
      <c r="F1194">
        <v>37</v>
      </c>
    </row>
    <row r="1195" spans="1:6" x14ac:dyDescent="0.15">
      <c r="A1195" s="3"/>
      <c r="B1195">
        <v>4000.1</v>
      </c>
      <c r="C1195">
        <v>5000</v>
      </c>
      <c r="D1195" s="893">
        <v>114.29481081705296</v>
      </c>
      <c r="E1195">
        <v>40</v>
      </c>
      <c r="F1195">
        <v>37</v>
      </c>
    </row>
    <row r="1196" spans="1:6" x14ac:dyDescent="0.15">
      <c r="A1196" s="3"/>
      <c r="B1196">
        <v>5000.1000000000004</v>
      </c>
      <c r="C1196">
        <v>7500</v>
      </c>
      <c r="D1196" s="893">
        <v>107.59283026135358</v>
      </c>
      <c r="E1196">
        <v>40</v>
      </c>
      <c r="F1196">
        <v>37</v>
      </c>
    </row>
    <row r="1197" spans="1:6" x14ac:dyDescent="0.15">
      <c r="A1197" s="3"/>
      <c r="B1197">
        <v>7500.1</v>
      </c>
      <c r="C1197">
        <v>8000</v>
      </c>
      <c r="D1197" s="893">
        <v>106.71475413024437</v>
      </c>
      <c r="E1197">
        <v>40</v>
      </c>
      <c r="F1197">
        <v>37</v>
      </c>
    </row>
    <row r="1198" spans="1:6" x14ac:dyDescent="0.15">
      <c r="A1198" s="3"/>
      <c r="B1198">
        <v>8000.1</v>
      </c>
      <c r="C1198">
        <v>10000</v>
      </c>
      <c r="D1198" s="893">
        <v>102.07668261986309</v>
      </c>
      <c r="E1198">
        <v>40</v>
      </c>
      <c r="F1198">
        <v>37</v>
      </c>
    </row>
    <row r="1199" spans="1:6" x14ac:dyDescent="0.15">
      <c r="A1199" s="3"/>
      <c r="B1199">
        <v>10000.1</v>
      </c>
      <c r="C1199">
        <v>12000</v>
      </c>
      <c r="D1199" s="893">
        <v>102.10697569089804</v>
      </c>
      <c r="E1199">
        <v>40</v>
      </c>
      <c r="F1199">
        <v>37</v>
      </c>
    </row>
    <row r="1200" spans="1:6" x14ac:dyDescent="0.15">
      <c r="A1200" s="3"/>
      <c r="B1200">
        <v>12000.1</v>
      </c>
      <c r="C1200">
        <v>15000</v>
      </c>
      <c r="D1200" s="893">
        <v>97.487260194733452</v>
      </c>
      <c r="E1200">
        <v>40</v>
      </c>
      <c r="F1200">
        <v>37</v>
      </c>
    </row>
    <row r="1201" spans="1:6" x14ac:dyDescent="0.15">
      <c r="A1201" s="3"/>
      <c r="B1201">
        <v>15000.1</v>
      </c>
      <c r="C1201">
        <v>18000</v>
      </c>
      <c r="D1201" s="893">
        <v>97.108122653342377</v>
      </c>
      <c r="E1201">
        <v>40</v>
      </c>
      <c r="F1201">
        <v>37</v>
      </c>
    </row>
    <row r="1202" spans="1:6" x14ac:dyDescent="0.15">
      <c r="A1202" s="3"/>
      <c r="B1202">
        <v>18000.099999999999</v>
      </c>
      <c r="C1202">
        <v>20000</v>
      </c>
      <c r="D1202" s="893">
        <v>93.246542829484653</v>
      </c>
      <c r="E1202">
        <v>40</v>
      </c>
      <c r="F1202">
        <v>37</v>
      </c>
    </row>
    <row r="1203" spans="1:6" x14ac:dyDescent="0.15">
      <c r="A1203" s="3"/>
      <c r="B1203">
        <v>20000.099999999999</v>
      </c>
      <c r="C1203">
        <v>24000</v>
      </c>
      <c r="D1203" s="893">
        <v>94.708080048348506</v>
      </c>
      <c r="E1203">
        <v>40</v>
      </c>
      <c r="F1203">
        <v>37</v>
      </c>
    </row>
    <row r="1204" spans="1:6" x14ac:dyDescent="0.15">
      <c r="A1204" s="3"/>
      <c r="B1204">
        <v>24000.1</v>
      </c>
      <c r="C1204">
        <v>25000</v>
      </c>
      <c r="D1204" s="893">
        <v>92.553828193295317</v>
      </c>
      <c r="E1204">
        <v>40</v>
      </c>
      <c r="F1204">
        <v>37</v>
      </c>
    </row>
    <row r="1205" spans="1:6" x14ac:dyDescent="0.15">
      <c r="A1205" s="3"/>
      <c r="B1205">
        <v>25000.1</v>
      </c>
      <c r="C1205">
        <v>30000</v>
      </c>
      <c r="D1205" s="893">
        <v>90.338307129170701</v>
      </c>
      <c r="E1205">
        <v>40</v>
      </c>
      <c r="F1205">
        <v>37</v>
      </c>
    </row>
    <row r="1206" spans="1:6" x14ac:dyDescent="0.15">
      <c r="A1206" s="3"/>
      <c r="B1206">
        <v>30000.1</v>
      </c>
      <c r="C1206">
        <v>36000</v>
      </c>
      <c r="D1206" s="893">
        <v>90.041447180993472</v>
      </c>
      <c r="E1206">
        <v>40</v>
      </c>
      <c r="F1206">
        <v>37</v>
      </c>
    </row>
    <row r="1207" spans="1:6" x14ac:dyDescent="0.15">
      <c r="A1207" s="3"/>
      <c r="B1207">
        <v>36000.1</v>
      </c>
      <c r="C1207">
        <v>42000</v>
      </c>
      <c r="D1207" s="893">
        <v>88.914423506689516</v>
      </c>
      <c r="E1207">
        <v>40</v>
      </c>
      <c r="F1207">
        <v>37</v>
      </c>
    </row>
    <row r="1208" spans="1:6" x14ac:dyDescent="0.15">
      <c r="A1208" s="3"/>
      <c r="B1208">
        <v>42000.1</v>
      </c>
      <c r="C1208">
        <v>48000</v>
      </c>
      <c r="D1208" s="893">
        <v>88.479467175528967</v>
      </c>
      <c r="E1208">
        <v>40</v>
      </c>
      <c r="F1208">
        <v>37</v>
      </c>
    </row>
    <row r="1209" spans="1:6" x14ac:dyDescent="0.15">
      <c r="A1209" s="3"/>
      <c r="B1209">
        <v>48000.1</v>
      </c>
      <c r="C1209">
        <v>50000</v>
      </c>
      <c r="D1209" s="893">
        <v>85.89116831075917</v>
      </c>
      <c r="E1209">
        <v>40</v>
      </c>
      <c r="F1209">
        <v>37</v>
      </c>
    </row>
    <row r="1210" spans="1:6" x14ac:dyDescent="0.15">
      <c r="A1210" s="3"/>
      <c r="B1210">
        <v>50000.1</v>
      </c>
      <c r="C1210">
        <v>54000</v>
      </c>
      <c r="D1210" s="893">
        <v>86.097491763353631</v>
      </c>
      <c r="E1210">
        <v>40</v>
      </c>
      <c r="F1210">
        <v>37</v>
      </c>
    </row>
    <row r="1211" spans="1:6" x14ac:dyDescent="0.15">
      <c r="A1211" s="3"/>
      <c r="B1211">
        <v>54000.1</v>
      </c>
      <c r="C1211">
        <v>60000</v>
      </c>
      <c r="D1211" s="893">
        <v>85.905352939687944</v>
      </c>
      <c r="E1211">
        <v>40</v>
      </c>
      <c r="F1211">
        <v>37</v>
      </c>
    </row>
    <row r="1212" spans="1:6" x14ac:dyDescent="0.15">
      <c r="A1212" s="3"/>
      <c r="B1212">
        <v>60000.1</v>
      </c>
      <c r="C1212">
        <v>100000</v>
      </c>
      <c r="D1212" s="893">
        <v>82.041080305591748</v>
      </c>
      <c r="E1212">
        <v>40</v>
      </c>
      <c r="F1212">
        <v>37</v>
      </c>
    </row>
    <row r="1213" spans="1:6" x14ac:dyDescent="0.15">
      <c r="A1213" s="3"/>
      <c r="B1213">
        <v>100000.1</v>
      </c>
      <c r="C1213">
        <v>200000</v>
      </c>
      <c r="D1213" s="893">
        <v>79.117503222271026</v>
      </c>
      <c r="E1213">
        <v>40</v>
      </c>
      <c r="F1213">
        <v>37</v>
      </c>
    </row>
    <row r="1214" spans="1:6" x14ac:dyDescent="0.15">
      <c r="A1214" s="3"/>
      <c r="B1214">
        <v>200000.1</v>
      </c>
      <c r="C1214" t="s">
        <v>3599</v>
      </c>
      <c r="D1214" s="890"/>
    </row>
    <row r="1217" spans="1:6" x14ac:dyDescent="0.15">
      <c r="A1217" s="917" t="s">
        <v>3601</v>
      </c>
      <c r="B1217" s="892" t="s">
        <v>3914</v>
      </c>
      <c r="C1217" s="918"/>
      <c r="D1217" s="919"/>
      <c r="E1217" s="918"/>
      <c r="F1217" s="918"/>
    </row>
    <row r="1218" spans="1:6" x14ac:dyDescent="0.15">
      <c r="A1218" s="889">
        <v>3</v>
      </c>
      <c r="B1218" s="320" t="s">
        <v>3911</v>
      </c>
      <c r="C1218" s="320" t="s">
        <v>3912</v>
      </c>
      <c r="D1218" s="320" t="s">
        <v>3598</v>
      </c>
      <c r="E1218" s="320" t="s">
        <v>3591</v>
      </c>
      <c r="F1218" s="320" t="s">
        <v>3592</v>
      </c>
    </row>
    <row r="1219" spans="1:6" x14ac:dyDescent="0.15">
      <c r="A1219" s="3" t="s">
        <v>3915</v>
      </c>
      <c r="B1219">
        <v>0</v>
      </c>
      <c r="C1219">
        <v>500</v>
      </c>
      <c r="D1219" s="893">
        <v>96.812325106916731</v>
      </c>
      <c r="E1219">
        <v>40</v>
      </c>
      <c r="F1219">
        <v>37</v>
      </c>
    </row>
    <row r="1220" spans="1:6" x14ac:dyDescent="0.15">
      <c r="A1220" s="3"/>
      <c r="B1220">
        <v>500.1</v>
      </c>
      <c r="C1220">
        <v>1000</v>
      </c>
      <c r="D1220" s="893">
        <v>85.695132889157776</v>
      </c>
      <c r="E1220">
        <v>40</v>
      </c>
      <c r="F1220">
        <v>37</v>
      </c>
    </row>
    <row r="1221" spans="1:6" x14ac:dyDescent="0.15">
      <c r="A1221" s="3"/>
      <c r="B1221">
        <v>1000.1</v>
      </c>
      <c r="C1221">
        <v>2000</v>
      </c>
      <c r="D1221" s="893">
        <v>79.902726370939661</v>
      </c>
      <c r="E1221">
        <v>40</v>
      </c>
      <c r="F1221">
        <v>37</v>
      </c>
    </row>
    <row r="1222" spans="1:6" x14ac:dyDescent="0.15">
      <c r="A1222" s="3"/>
      <c r="B1222">
        <v>2000.1</v>
      </c>
      <c r="C1222">
        <v>3000</v>
      </c>
      <c r="D1222" s="893">
        <v>77.562022463174657</v>
      </c>
      <c r="E1222">
        <v>40</v>
      </c>
      <c r="F1222">
        <v>37</v>
      </c>
    </row>
    <row r="1223" spans="1:6" x14ac:dyDescent="0.15">
      <c r="A1223" s="3"/>
      <c r="B1223">
        <v>3000.1</v>
      </c>
      <c r="C1223">
        <v>4000</v>
      </c>
      <c r="D1223" s="893">
        <v>73.888442053430978</v>
      </c>
      <c r="E1223">
        <v>40</v>
      </c>
      <c r="F1223">
        <v>37</v>
      </c>
    </row>
    <row r="1224" spans="1:6" x14ac:dyDescent="0.15">
      <c r="A1224" s="3"/>
      <c r="B1224">
        <v>4000.1</v>
      </c>
      <c r="C1224">
        <v>5000</v>
      </c>
      <c r="D1224" s="893">
        <v>71.210649833158655</v>
      </c>
      <c r="E1224">
        <v>40</v>
      </c>
      <c r="F1224">
        <v>37</v>
      </c>
    </row>
    <row r="1225" spans="1:6" x14ac:dyDescent="0.15">
      <c r="A1225" s="3"/>
      <c r="B1225">
        <v>5000.1000000000004</v>
      </c>
      <c r="C1225">
        <v>7500</v>
      </c>
      <c r="D1225" s="893">
        <v>68.754095256191349</v>
      </c>
      <c r="E1225">
        <v>40</v>
      </c>
      <c r="F1225">
        <v>37</v>
      </c>
    </row>
    <row r="1226" spans="1:6" x14ac:dyDescent="0.15">
      <c r="A1226" s="3"/>
      <c r="B1226">
        <v>7500.1</v>
      </c>
      <c r="C1226">
        <v>8000</v>
      </c>
      <c r="D1226" s="893">
        <v>68.342791320755438</v>
      </c>
      <c r="E1226">
        <v>40</v>
      </c>
      <c r="F1226">
        <v>37</v>
      </c>
    </row>
    <row r="1227" spans="1:6" x14ac:dyDescent="0.15">
      <c r="A1227" s="3"/>
      <c r="B1227">
        <v>8000.1</v>
      </c>
      <c r="C1227">
        <v>10000</v>
      </c>
      <c r="D1227" s="893">
        <v>65.677166848285296</v>
      </c>
      <c r="E1227">
        <v>40</v>
      </c>
      <c r="F1227">
        <v>37</v>
      </c>
    </row>
    <row r="1228" spans="1:6" x14ac:dyDescent="0.15">
      <c r="A1228" s="3"/>
      <c r="B1228">
        <v>10000.1</v>
      </c>
      <c r="C1228">
        <v>12000</v>
      </c>
      <c r="D1228" s="893">
        <v>66.225667162447152</v>
      </c>
      <c r="E1228">
        <v>40</v>
      </c>
      <c r="F1228">
        <v>37</v>
      </c>
    </row>
    <row r="1229" spans="1:6" x14ac:dyDescent="0.15">
      <c r="A1229" s="3"/>
      <c r="B1229">
        <v>12000.1</v>
      </c>
      <c r="C1229">
        <v>15000</v>
      </c>
      <c r="D1229" s="893">
        <v>63.962022393975595</v>
      </c>
      <c r="E1229">
        <v>40</v>
      </c>
      <c r="F1229">
        <v>37</v>
      </c>
    </row>
    <row r="1230" spans="1:6" x14ac:dyDescent="0.15">
      <c r="A1230" s="3"/>
      <c r="B1230">
        <v>15000.1</v>
      </c>
      <c r="C1230">
        <v>18000</v>
      </c>
      <c r="D1230" s="893">
        <v>63.774970360904831</v>
      </c>
      <c r="E1230">
        <v>40</v>
      </c>
      <c r="F1230">
        <v>37</v>
      </c>
    </row>
    <row r="1231" spans="1:6" x14ac:dyDescent="0.15">
      <c r="A1231" s="3"/>
      <c r="B1231">
        <v>18000.099999999999</v>
      </c>
      <c r="C1231">
        <v>20000</v>
      </c>
      <c r="D1231" s="893">
        <v>61.506399713827875</v>
      </c>
      <c r="E1231">
        <v>40</v>
      </c>
      <c r="F1231">
        <v>37</v>
      </c>
    </row>
    <row r="1232" spans="1:6" x14ac:dyDescent="0.15">
      <c r="A1232" s="3"/>
      <c r="B1232">
        <v>20000.099999999999</v>
      </c>
      <c r="C1232">
        <v>24000</v>
      </c>
      <c r="D1232" s="893">
        <v>62.533501422015092</v>
      </c>
      <c r="E1232">
        <v>40</v>
      </c>
      <c r="F1232">
        <v>37</v>
      </c>
    </row>
    <row r="1233" spans="1:6" x14ac:dyDescent="0.15">
      <c r="A1233" s="3"/>
      <c r="B1233">
        <v>24000.1</v>
      </c>
      <c r="C1233">
        <v>25000</v>
      </c>
      <c r="D1233" s="893">
        <v>61.704060174752492</v>
      </c>
      <c r="E1233">
        <v>40</v>
      </c>
      <c r="F1233">
        <v>37</v>
      </c>
    </row>
    <row r="1234" spans="1:6" x14ac:dyDescent="0.15">
      <c r="A1234" s="3"/>
      <c r="B1234">
        <v>25000.1</v>
      </c>
      <c r="C1234">
        <v>30000</v>
      </c>
      <c r="D1234" s="893">
        <v>60.168928848565692</v>
      </c>
      <c r="E1234">
        <v>40</v>
      </c>
      <c r="F1234">
        <v>37</v>
      </c>
    </row>
    <row r="1235" spans="1:6" x14ac:dyDescent="0.15">
      <c r="A1235" s="3"/>
      <c r="B1235">
        <v>30000.1</v>
      </c>
      <c r="C1235">
        <v>36000</v>
      </c>
      <c r="D1235" s="893">
        <v>60.263829094701443</v>
      </c>
      <c r="E1235">
        <v>40</v>
      </c>
      <c r="F1235">
        <v>37</v>
      </c>
    </row>
    <row r="1236" spans="1:6" x14ac:dyDescent="0.15">
      <c r="A1236" s="3"/>
      <c r="B1236">
        <v>36000.1</v>
      </c>
      <c r="C1236">
        <v>42000</v>
      </c>
      <c r="D1236" s="893">
        <v>59.739422513108003</v>
      </c>
      <c r="E1236">
        <v>40</v>
      </c>
      <c r="F1236">
        <v>37</v>
      </c>
    </row>
    <row r="1237" spans="1:6" x14ac:dyDescent="0.15">
      <c r="A1237" s="3"/>
      <c r="B1237">
        <v>42000.1</v>
      </c>
      <c r="C1237">
        <v>48000</v>
      </c>
      <c r="D1237" s="893">
        <v>59.54501465752233</v>
      </c>
      <c r="E1237">
        <v>40</v>
      </c>
      <c r="F1237">
        <v>37</v>
      </c>
    </row>
    <row r="1238" spans="1:6" x14ac:dyDescent="0.15">
      <c r="A1238" s="3"/>
      <c r="B1238">
        <v>48000.1</v>
      </c>
      <c r="C1238">
        <v>50000</v>
      </c>
      <c r="D1238" s="893">
        <v>58.026379657538449</v>
      </c>
      <c r="E1238">
        <v>40</v>
      </c>
      <c r="F1238">
        <v>37</v>
      </c>
    </row>
    <row r="1239" spans="1:6" x14ac:dyDescent="0.15">
      <c r="A1239" s="3"/>
      <c r="B1239">
        <v>50000.1</v>
      </c>
      <c r="C1239">
        <v>54000</v>
      </c>
      <c r="D1239" s="893">
        <v>58.038523930206111</v>
      </c>
      <c r="E1239">
        <v>40</v>
      </c>
      <c r="F1239">
        <v>37</v>
      </c>
    </row>
    <row r="1240" spans="1:6" x14ac:dyDescent="0.15">
      <c r="A1240" s="3"/>
      <c r="B1240">
        <v>54000.1</v>
      </c>
      <c r="C1240">
        <v>60000</v>
      </c>
      <c r="D1240" s="893">
        <v>58.21329937756736</v>
      </c>
      <c r="E1240">
        <v>40</v>
      </c>
      <c r="F1240">
        <v>37</v>
      </c>
    </row>
    <row r="1241" spans="1:6" x14ac:dyDescent="0.15">
      <c r="A1241" s="3"/>
      <c r="B1241">
        <v>60000.1</v>
      </c>
      <c r="C1241">
        <v>100000</v>
      </c>
      <c r="D1241" s="893">
        <v>56.179268642501221</v>
      </c>
      <c r="E1241">
        <v>40</v>
      </c>
      <c r="F1241">
        <v>37</v>
      </c>
    </row>
    <row r="1242" spans="1:6" x14ac:dyDescent="0.15">
      <c r="A1242" s="3"/>
      <c r="B1242">
        <v>100000.1</v>
      </c>
      <c r="C1242">
        <v>200000</v>
      </c>
      <c r="D1242" s="893">
        <v>54.640406783156237</v>
      </c>
      <c r="E1242">
        <v>40</v>
      </c>
      <c r="F1242">
        <v>37</v>
      </c>
    </row>
    <row r="1243" spans="1:6" x14ac:dyDescent="0.15">
      <c r="A1243" s="3"/>
      <c r="B1243">
        <v>200000.1</v>
      </c>
      <c r="C1243" t="s">
        <v>3599</v>
      </c>
      <c r="D1243" s="890"/>
    </row>
    <row r="1246" spans="1:6" x14ac:dyDescent="0.15">
      <c r="A1246" s="917" t="s">
        <v>3601</v>
      </c>
      <c r="B1246" s="892" t="s">
        <v>3916</v>
      </c>
      <c r="C1246" s="918"/>
      <c r="D1246" s="919"/>
      <c r="E1246" s="918"/>
      <c r="F1246" s="918"/>
    </row>
    <row r="1247" spans="1:6" x14ac:dyDescent="0.15">
      <c r="A1247" s="889">
        <v>3</v>
      </c>
      <c r="B1247" s="320" t="s">
        <v>3911</v>
      </c>
      <c r="C1247" s="320" t="s">
        <v>3912</v>
      </c>
      <c r="D1247" s="320" t="s">
        <v>3598</v>
      </c>
      <c r="E1247" s="320" t="s">
        <v>3591</v>
      </c>
      <c r="F1247" s="320" t="s">
        <v>3592</v>
      </c>
    </row>
    <row r="1248" spans="1:6" x14ac:dyDescent="0.15">
      <c r="A1248" s="3" t="s">
        <v>3917</v>
      </c>
      <c r="B1248">
        <v>0</v>
      </c>
      <c r="C1248">
        <v>500</v>
      </c>
      <c r="D1248" s="893">
        <v>116.34576395640443</v>
      </c>
      <c r="E1248">
        <v>40</v>
      </c>
      <c r="F1248">
        <v>37</v>
      </c>
    </row>
    <row r="1249" spans="1:6" x14ac:dyDescent="0.15">
      <c r="A1249" s="3"/>
      <c r="B1249">
        <v>500.1</v>
      </c>
      <c r="C1249">
        <v>1000</v>
      </c>
      <c r="D1249" s="893">
        <v>103.19344629810541</v>
      </c>
      <c r="E1249">
        <v>40</v>
      </c>
      <c r="F1249">
        <v>37</v>
      </c>
    </row>
    <row r="1250" spans="1:6" x14ac:dyDescent="0.15">
      <c r="A1250" s="3"/>
      <c r="B1250">
        <v>1000.1</v>
      </c>
      <c r="C1250">
        <v>2000</v>
      </c>
      <c r="D1250" s="893">
        <v>96.04871059453717</v>
      </c>
      <c r="E1250">
        <v>40</v>
      </c>
      <c r="F1250">
        <v>37</v>
      </c>
    </row>
    <row r="1251" spans="1:6" x14ac:dyDescent="0.15">
      <c r="A1251" s="3"/>
      <c r="B1251">
        <v>2000.1</v>
      </c>
      <c r="C1251">
        <v>3000</v>
      </c>
      <c r="D1251" s="893">
        <v>93.135677984524762</v>
      </c>
      <c r="E1251">
        <v>40</v>
      </c>
      <c r="F1251">
        <v>37</v>
      </c>
    </row>
    <row r="1252" spans="1:6" x14ac:dyDescent="0.15">
      <c r="A1252" s="3"/>
      <c r="B1252">
        <v>3000.1</v>
      </c>
      <c r="C1252">
        <v>4000</v>
      </c>
      <c r="D1252" s="893">
        <v>88.775181990128956</v>
      </c>
      <c r="E1252">
        <v>40</v>
      </c>
      <c r="F1252">
        <v>37</v>
      </c>
    </row>
    <row r="1253" spans="1:6" x14ac:dyDescent="0.15">
      <c r="A1253" s="3"/>
      <c r="B1253">
        <v>4000.1</v>
      </c>
      <c r="C1253">
        <v>5000</v>
      </c>
      <c r="D1253" s="893">
        <v>85.653754800953607</v>
      </c>
      <c r="E1253">
        <v>40</v>
      </c>
      <c r="F1253">
        <v>37</v>
      </c>
    </row>
    <row r="1254" spans="1:6" x14ac:dyDescent="0.15">
      <c r="A1254" s="3"/>
      <c r="B1254">
        <v>5000.1000000000004</v>
      </c>
      <c r="C1254">
        <v>7500</v>
      </c>
      <c r="D1254" s="893">
        <v>82.125208477775175</v>
      </c>
      <c r="E1254">
        <v>40</v>
      </c>
      <c r="F1254">
        <v>37</v>
      </c>
    </row>
    <row r="1255" spans="1:6" x14ac:dyDescent="0.15">
      <c r="A1255" s="3"/>
      <c r="B1255">
        <v>7500.1</v>
      </c>
      <c r="C1255">
        <v>8000</v>
      </c>
      <c r="D1255" s="893">
        <v>81.663115865254738</v>
      </c>
      <c r="E1255">
        <v>40</v>
      </c>
      <c r="F1255">
        <v>37</v>
      </c>
    </row>
    <row r="1256" spans="1:6" x14ac:dyDescent="0.15">
      <c r="A1256" s="3"/>
      <c r="B1256">
        <v>8000.1</v>
      </c>
      <c r="C1256">
        <v>10000</v>
      </c>
      <c r="D1256" s="893">
        <v>78.673266907766262</v>
      </c>
      <c r="E1256">
        <v>40</v>
      </c>
      <c r="F1256">
        <v>37</v>
      </c>
    </row>
    <row r="1257" spans="1:6" x14ac:dyDescent="0.15">
      <c r="A1257" s="3"/>
      <c r="B1257">
        <v>10000.1</v>
      </c>
      <c r="C1257">
        <v>12000</v>
      </c>
      <c r="D1257" s="893">
        <v>79.134249580788165</v>
      </c>
      <c r="E1257">
        <v>40</v>
      </c>
      <c r="F1257">
        <v>37</v>
      </c>
    </row>
    <row r="1258" spans="1:6" x14ac:dyDescent="0.15">
      <c r="A1258" s="3"/>
      <c r="B1258">
        <v>12000.1</v>
      </c>
      <c r="C1258">
        <v>15000</v>
      </c>
      <c r="D1258" s="893">
        <v>76.416119325190365</v>
      </c>
      <c r="E1258">
        <v>40</v>
      </c>
      <c r="F1258">
        <v>37</v>
      </c>
    </row>
    <row r="1259" spans="1:6" x14ac:dyDescent="0.15">
      <c r="A1259" s="3"/>
      <c r="B1259">
        <v>15000.1</v>
      </c>
      <c r="C1259">
        <v>18000</v>
      </c>
      <c r="D1259" s="893">
        <v>76.116806928585163</v>
      </c>
      <c r="E1259">
        <v>40</v>
      </c>
      <c r="F1259">
        <v>37</v>
      </c>
    </row>
    <row r="1260" spans="1:6" x14ac:dyDescent="0.15">
      <c r="A1260" s="3"/>
      <c r="B1260">
        <v>18000.099999999999</v>
      </c>
      <c r="C1260">
        <v>20000</v>
      </c>
      <c r="D1260" s="893">
        <v>73.601730882546249</v>
      </c>
      <c r="E1260">
        <v>40</v>
      </c>
      <c r="F1260">
        <v>37</v>
      </c>
    </row>
    <row r="1261" spans="1:6" x14ac:dyDescent="0.15">
      <c r="A1261" s="3"/>
      <c r="B1261">
        <v>20000.099999999999</v>
      </c>
      <c r="C1261">
        <v>24000</v>
      </c>
      <c r="D1261" s="893">
        <v>74.675352562661516</v>
      </c>
      <c r="E1261">
        <v>40</v>
      </c>
      <c r="F1261">
        <v>37</v>
      </c>
    </row>
    <row r="1262" spans="1:6" x14ac:dyDescent="0.15">
      <c r="A1262" s="3"/>
      <c r="B1262">
        <v>24000.1</v>
      </c>
      <c r="C1262">
        <v>25000</v>
      </c>
      <c r="D1262" s="893">
        <v>73.708182823794161</v>
      </c>
      <c r="E1262">
        <v>40</v>
      </c>
      <c r="F1262">
        <v>37</v>
      </c>
    </row>
    <row r="1263" spans="1:6" x14ac:dyDescent="0.15">
      <c r="A1263" s="3"/>
      <c r="B1263">
        <v>25000.1</v>
      </c>
      <c r="C1263">
        <v>30000</v>
      </c>
      <c r="D1263" s="893">
        <v>71.971198866715682</v>
      </c>
      <c r="E1263">
        <v>40</v>
      </c>
      <c r="F1263">
        <v>37</v>
      </c>
    </row>
    <row r="1264" spans="1:6" x14ac:dyDescent="0.15">
      <c r="A1264" s="3"/>
      <c r="B1264">
        <v>30000.1</v>
      </c>
      <c r="C1264">
        <v>36000</v>
      </c>
      <c r="D1264" s="893">
        <v>72.021397991373973</v>
      </c>
      <c r="E1264">
        <v>40</v>
      </c>
      <c r="F1264">
        <v>37</v>
      </c>
    </row>
    <row r="1265" spans="1:6" x14ac:dyDescent="0.15">
      <c r="A1265" s="3"/>
      <c r="B1265">
        <v>36000.1</v>
      </c>
      <c r="C1265">
        <v>42000</v>
      </c>
      <c r="D1265" s="893">
        <v>71.434644688721548</v>
      </c>
      <c r="E1265">
        <v>40</v>
      </c>
      <c r="F1265">
        <v>37</v>
      </c>
    </row>
    <row r="1266" spans="1:6" x14ac:dyDescent="0.15">
      <c r="A1266" s="3"/>
      <c r="B1266">
        <v>42000.1</v>
      </c>
      <c r="C1266">
        <v>48000</v>
      </c>
      <c r="D1266" s="893">
        <v>71.222326845008411</v>
      </c>
      <c r="E1266">
        <v>40</v>
      </c>
      <c r="F1266">
        <v>37</v>
      </c>
    </row>
    <row r="1267" spans="1:6" x14ac:dyDescent="0.15">
      <c r="A1267" s="3"/>
      <c r="B1267">
        <v>48000.1</v>
      </c>
      <c r="C1267">
        <v>50000</v>
      </c>
      <c r="D1267" s="893">
        <v>69.463600800159014</v>
      </c>
      <c r="E1267">
        <v>40</v>
      </c>
      <c r="F1267">
        <v>37</v>
      </c>
    </row>
    <row r="1268" spans="1:6" x14ac:dyDescent="0.15">
      <c r="A1268" s="3"/>
      <c r="B1268">
        <v>50000.1</v>
      </c>
      <c r="C1268">
        <v>54000</v>
      </c>
      <c r="D1268" s="893">
        <v>69.496533272752387</v>
      </c>
      <c r="E1268">
        <v>40</v>
      </c>
      <c r="F1268">
        <v>37</v>
      </c>
    </row>
    <row r="1269" spans="1:6" x14ac:dyDescent="0.15">
      <c r="A1269" s="3"/>
      <c r="B1269">
        <v>54000.1</v>
      </c>
      <c r="C1269">
        <v>60000</v>
      </c>
      <c r="D1269" s="893">
        <v>69.632777066852483</v>
      </c>
      <c r="E1269">
        <v>40</v>
      </c>
      <c r="F1269">
        <v>37</v>
      </c>
    </row>
    <row r="1270" spans="1:6" x14ac:dyDescent="0.15">
      <c r="A1270" s="3"/>
      <c r="B1270">
        <v>60000.1</v>
      </c>
      <c r="C1270">
        <v>100000</v>
      </c>
      <c r="D1270" s="893">
        <v>67.290512754671852</v>
      </c>
      <c r="E1270">
        <v>40</v>
      </c>
      <c r="F1270">
        <v>37</v>
      </c>
    </row>
    <row r="1271" spans="1:6" x14ac:dyDescent="0.15">
      <c r="A1271" s="3"/>
      <c r="B1271">
        <v>100000.1</v>
      </c>
      <c r="C1271">
        <v>200000</v>
      </c>
      <c r="D1271" s="893">
        <v>65.539760978220841</v>
      </c>
      <c r="E1271">
        <v>40</v>
      </c>
      <c r="F1271">
        <v>37</v>
      </c>
    </row>
    <row r="1272" spans="1:6" x14ac:dyDescent="0.15">
      <c r="A1272" s="3"/>
      <c r="B1272">
        <v>200000.1</v>
      </c>
      <c r="C1272" t="s">
        <v>3599</v>
      </c>
      <c r="D1272" s="890"/>
    </row>
    <row r="1275" spans="1:6" x14ac:dyDescent="0.15">
      <c r="A1275" s="917" t="s">
        <v>3601</v>
      </c>
      <c r="B1275" s="892" t="s">
        <v>2118</v>
      </c>
      <c r="C1275" s="918"/>
      <c r="D1275" s="919"/>
      <c r="E1275" s="918"/>
      <c r="F1275" s="918"/>
    </row>
    <row r="1276" spans="1:6" x14ac:dyDescent="0.15">
      <c r="A1276" s="889">
        <v>3</v>
      </c>
      <c r="B1276" s="320" t="s">
        <v>3911</v>
      </c>
      <c r="C1276" s="320" t="s">
        <v>3912</v>
      </c>
      <c r="D1276" s="320" t="s">
        <v>3598</v>
      </c>
      <c r="E1276" s="320" t="s">
        <v>3591</v>
      </c>
      <c r="F1276" s="320" t="s">
        <v>3592</v>
      </c>
    </row>
    <row r="1277" spans="1:6" x14ac:dyDescent="0.15">
      <c r="A1277" s="3" t="s">
        <v>3918</v>
      </c>
      <c r="B1277">
        <v>0</v>
      </c>
      <c r="C1277">
        <v>500</v>
      </c>
      <c r="D1277" s="893">
        <v>50.742289444355997</v>
      </c>
      <c r="E1277">
        <v>25</v>
      </c>
      <c r="F1277">
        <v>20</v>
      </c>
    </row>
    <row r="1278" spans="1:6" x14ac:dyDescent="0.15">
      <c r="A1278" s="3"/>
      <c r="B1278">
        <v>500.1</v>
      </c>
      <c r="C1278" t="s">
        <v>3599</v>
      </c>
      <c r="D1278" s="893" t="s">
        <v>3599</v>
      </c>
    </row>
    <row r="1281" spans="1:6" x14ac:dyDescent="0.15">
      <c r="A1281" s="917" t="s">
        <v>3919</v>
      </c>
      <c r="B1281" s="892" t="s">
        <v>2085</v>
      </c>
      <c r="C1281" s="918"/>
      <c r="D1281" s="919"/>
      <c r="E1281" s="918"/>
      <c r="F1281" s="918"/>
    </row>
    <row r="1282" spans="1:6" x14ac:dyDescent="0.15">
      <c r="A1282" s="889">
        <v>34</v>
      </c>
      <c r="B1282" s="320" t="s">
        <v>3920</v>
      </c>
      <c r="C1282" s="320" t="s">
        <v>1991</v>
      </c>
      <c r="D1282" s="320" t="s">
        <v>3598</v>
      </c>
      <c r="E1282" s="320" t="s">
        <v>3591</v>
      </c>
      <c r="F1282" s="320" t="s">
        <v>3592</v>
      </c>
    </row>
    <row r="1283" spans="1:6" x14ac:dyDescent="0.15">
      <c r="A1283" s="3" t="s">
        <v>3921</v>
      </c>
      <c r="B1283">
        <v>0</v>
      </c>
      <c r="C1283">
        <v>3.33</v>
      </c>
      <c r="D1283" s="893">
        <v>9610</v>
      </c>
      <c r="E1283">
        <v>25</v>
      </c>
      <c r="F1283">
        <v>20</v>
      </c>
    </row>
    <row r="1284" spans="1:6" x14ac:dyDescent="0.15">
      <c r="B1284">
        <v>3.34</v>
      </c>
      <c r="C1284">
        <v>66.66</v>
      </c>
      <c r="D1284" s="893">
        <v>262200</v>
      </c>
      <c r="E1284">
        <v>25</v>
      </c>
      <c r="F1284">
        <v>20</v>
      </c>
    </row>
    <row r="1285" spans="1:6" x14ac:dyDescent="0.15">
      <c r="B1285">
        <v>66.67</v>
      </c>
      <c r="C1285">
        <v>113.32</v>
      </c>
      <c r="D1285" s="893">
        <v>509000</v>
      </c>
      <c r="E1285">
        <v>25</v>
      </c>
      <c r="F1285">
        <v>20</v>
      </c>
    </row>
    <row r="1286" spans="1:6" x14ac:dyDescent="0.15">
      <c r="B1286">
        <v>113.33</v>
      </c>
      <c r="C1286" t="s">
        <v>3599</v>
      </c>
      <c r="D1286" s="893" t="s">
        <v>3599</v>
      </c>
      <c r="E1286">
        <v>25</v>
      </c>
      <c r="F1286">
        <v>20</v>
      </c>
    </row>
    <row r="1289" spans="1:6" x14ac:dyDescent="0.15">
      <c r="A1289" s="917" t="s">
        <v>3724</v>
      </c>
      <c r="B1289" s="892" t="s">
        <v>3922</v>
      </c>
      <c r="C1289" s="918"/>
      <c r="D1289" s="919"/>
      <c r="E1289" s="918"/>
      <c r="F1289" s="918"/>
    </row>
    <row r="1290" spans="1:6" x14ac:dyDescent="0.15">
      <c r="A1290" s="889">
        <v>22</v>
      </c>
      <c r="B1290" s="320" t="s">
        <v>3923</v>
      </c>
      <c r="C1290" s="320" t="s">
        <v>1999</v>
      </c>
      <c r="D1290" s="320" t="s">
        <v>3598</v>
      </c>
      <c r="E1290" s="320" t="s">
        <v>3591</v>
      </c>
      <c r="F1290" s="320" t="s">
        <v>3592</v>
      </c>
    </row>
    <row r="1291" spans="1:6" x14ac:dyDescent="0.15">
      <c r="A1291" s="3" t="s">
        <v>3924</v>
      </c>
      <c r="B1291">
        <v>0</v>
      </c>
      <c r="C1291">
        <v>41</v>
      </c>
      <c r="D1291" s="893">
        <v>20050</v>
      </c>
      <c r="E1291">
        <v>25</v>
      </c>
      <c r="F1291">
        <v>20</v>
      </c>
    </row>
    <row r="1292" spans="1:6" x14ac:dyDescent="0.15">
      <c r="B1292">
        <v>41.1</v>
      </c>
      <c r="C1292">
        <v>103</v>
      </c>
      <c r="D1292" s="893">
        <v>53000</v>
      </c>
      <c r="E1292">
        <v>25</v>
      </c>
      <c r="F1292">
        <v>20</v>
      </c>
    </row>
    <row r="1293" spans="1:6" x14ac:dyDescent="0.15">
      <c r="B1293">
        <v>103.1</v>
      </c>
      <c r="C1293">
        <v>461</v>
      </c>
      <c r="D1293" s="893">
        <v>80828.800000000003</v>
      </c>
      <c r="E1293">
        <v>25</v>
      </c>
      <c r="F1293">
        <v>20</v>
      </c>
    </row>
    <row r="1294" spans="1:6" x14ac:dyDescent="0.15">
      <c r="B1294">
        <v>461.1</v>
      </c>
      <c r="C1294">
        <v>820</v>
      </c>
      <c r="D1294" s="893">
        <v>186250</v>
      </c>
      <c r="E1294">
        <v>25</v>
      </c>
      <c r="F1294">
        <v>20</v>
      </c>
    </row>
    <row r="1295" spans="1:6" x14ac:dyDescent="0.15">
      <c r="B1295">
        <v>820.1</v>
      </c>
      <c r="C1295">
        <v>1010</v>
      </c>
      <c r="D1295" s="893">
        <v>240870</v>
      </c>
      <c r="E1295">
        <v>25</v>
      </c>
      <c r="F1295">
        <v>20</v>
      </c>
    </row>
    <row r="1296" spans="1:6" x14ac:dyDescent="0.15">
      <c r="B1296">
        <v>1010.1</v>
      </c>
      <c r="C1296">
        <v>1432</v>
      </c>
      <c r="D1296" s="893">
        <v>335385</v>
      </c>
      <c r="E1296">
        <v>25</v>
      </c>
      <c r="F1296">
        <v>20</v>
      </c>
    </row>
    <row r="1297" spans="1:6" x14ac:dyDescent="0.15">
      <c r="B1297">
        <v>1432.1</v>
      </c>
      <c r="C1297">
        <v>2273</v>
      </c>
      <c r="D1297" s="893">
        <v>422280</v>
      </c>
      <c r="E1297">
        <v>25</v>
      </c>
      <c r="F1297">
        <v>20</v>
      </c>
    </row>
    <row r="1298" spans="1:6" x14ac:dyDescent="0.15">
      <c r="B1298">
        <v>2273.1</v>
      </c>
      <c r="C1298">
        <v>3071</v>
      </c>
      <c r="D1298" s="893">
        <v>602965</v>
      </c>
      <c r="E1298">
        <v>25</v>
      </c>
      <c r="F1298">
        <v>20</v>
      </c>
    </row>
    <row r="1299" spans="1:6" x14ac:dyDescent="0.15">
      <c r="B1299">
        <v>3071.1</v>
      </c>
      <c r="C1299">
        <v>6148</v>
      </c>
      <c r="D1299" s="893">
        <v>1026523</v>
      </c>
      <c r="E1299">
        <v>25</v>
      </c>
      <c r="F1299">
        <v>20</v>
      </c>
    </row>
    <row r="1300" spans="1:6" x14ac:dyDescent="0.15">
      <c r="B1300">
        <v>6148.1</v>
      </c>
      <c r="C1300" t="s">
        <v>3599</v>
      </c>
      <c r="D1300" s="893" t="s">
        <v>3599</v>
      </c>
      <c r="E1300">
        <v>25</v>
      </c>
      <c r="F1300">
        <v>20</v>
      </c>
    </row>
    <row r="1303" spans="1:6" x14ac:dyDescent="0.15">
      <c r="A1303" s="917" t="s">
        <v>3724</v>
      </c>
      <c r="B1303" s="892" t="s">
        <v>2741</v>
      </c>
      <c r="C1303" s="918"/>
      <c r="D1303" s="919"/>
      <c r="E1303" s="918"/>
      <c r="F1303" s="918"/>
    </row>
    <row r="1304" spans="1:6" x14ac:dyDescent="0.15">
      <c r="A1304" s="889">
        <v>22</v>
      </c>
      <c r="B1304" s="320" t="s">
        <v>3923</v>
      </c>
      <c r="C1304" s="320" t="s">
        <v>1999</v>
      </c>
      <c r="D1304" s="320" t="s">
        <v>3598</v>
      </c>
      <c r="E1304" s="320" t="s">
        <v>3591</v>
      </c>
      <c r="F1304" s="320" t="s">
        <v>3592</v>
      </c>
    </row>
    <row r="1305" spans="1:6" x14ac:dyDescent="0.15">
      <c r="A1305" s="3" t="s">
        <v>3925</v>
      </c>
      <c r="B1305">
        <v>0</v>
      </c>
      <c r="C1305">
        <v>80</v>
      </c>
      <c r="D1305" s="893">
        <v>28108.899999999998</v>
      </c>
      <c r="E1305">
        <v>25</v>
      </c>
      <c r="F1305">
        <v>20</v>
      </c>
    </row>
    <row r="1306" spans="1:6" x14ac:dyDescent="0.15">
      <c r="B1306">
        <v>80.099999999999994</v>
      </c>
      <c r="C1306">
        <v>163</v>
      </c>
      <c r="D1306" s="893">
        <v>36915</v>
      </c>
      <c r="E1306">
        <v>25</v>
      </c>
      <c r="F1306">
        <v>20</v>
      </c>
    </row>
    <row r="1307" spans="1:6" x14ac:dyDescent="0.15">
      <c r="B1307">
        <v>163.1</v>
      </c>
      <c r="C1307">
        <v>544</v>
      </c>
      <c r="D1307" s="893">
        <v>88087.5</v>
      </c>
      <c r="E1307">
        <v>25</v>
      </c>
      <c r="F1307">
        <v>20</v>
      </c>
    </row>
    <row r="1308" spans="1:6" x14ac:dyDescent="0.15">
      <c r="B1308">
        <v>544.1</v>
      </c>
      <c r="C1308">
        <v>1088</v>
      </c>
      <c r="D1308" s="893">
        <v>159500</v>
      </c>
      <c r="E1308">
        <v>25</v>
      </c>
      <c r="F1308">
        <v>20</v>
      </c>
    </row>
    <row r="1309" spans="1:6" x14ac:dyDescent="0.15">
      <c r="B1309">
        <v>1088.0999999999999</v>
      </c>
      <c r="C1309">
        <v>3264</v>
      </c>
      <c r="D1309" s="893">
        <v>370185</v>
      </c>
      <c r="E1309">
        <v>25</v>
      </c>
      <c r="F1309">
        <v>20</v>
      </c>
    </row>
    <row r="1310" spans="1:6" x14ac:dyDescent="0.15">
      <c r="B1310">
        <v>3264.1</v>
      </c>
      <c r="C1310">
        <v>5032</v>
      </c>
      <c r="D1310" s="893">
        <v>612623</v>
      </c>
      <c r="E1310">
        <v>25</v>
      </c>
      <c r="F1310">
        <v>20</v>
      </c>
    </row>
    <row r="1311" spans="1:6" x14ac:dyDescent="0.15">
      <c r="B1311">
        <v>5032.1000000000004</v>
      </c>
      <c r="C1311" t="s">
        <v>3599</v>
      </c>
      <c r="D1311" s="893" t="s">
        <v>3599</v>
      </c>
      <c r="E1311">
        <v>25</v>
      </c>
      <c r="F1311">
        <v>20</v>
      </c>
    </row>
    <row r="1314" spans="1:6" x14ac:dyDescent="0.15">
      <c r="A1314" s="917" t="s">
        <v>3724</v>
      </c>
      <c r="B1314" s="892" t="s">
        <v>856</v>
      </c>
      <c r="C1314" s="918"/>
      <c r="D1314" s="919"/>
      <c r="E1314" s="918"/>
      <c r="F1314" s="918"/>
    </row>
    <row r="1315" spans="1:6" x14ac:dyDescent="0.15">
      <c r="A1315" s="889">
        <v>22</v>
      </c>
      <c r="B1315" s="320" t="s">
        <v>3923</v>
      </c>
      <c r="C1315" s="320" t="s">
        <v>1999</v>
      </c>
      <c r="D1315" s="320" t="s">
        <v>3598</v>
      </c>
      <c r="E1315" s="320" t="s">
        <v>3591</v>
      </c>
      <c r="F1315" s="320" t="s">
        <v>3592</v>
      </c>
    </row>
    <row r="1316" spans="1:6" x14ac:dyDescent="0.15">
      <c r="A1316" s="3" t="s">
        <v>3926</v>
      </c>
      <c r="B1316">
        <v>0</v>
      </c>
      <c r="C1316">
        <v>80</v>
      </c>
      <c r="D1316" s="893">
        <v>28108.899999999998</v>
      </c>
      <c r="E1316">
        <v>25</v>
      </c>
      <c r="F1316">
        <v>20</v>
      </c>
    </row>
    <row r="1317" spans="1:6" x14ac:dyDescent="0.15">
      <c r="B1317">
        <v>80.099999999999994</v>
      </c>
      <c r="C1317">
        <v>163</v>
      </c>
      <c r="D1317" s="893">
        <v>36915</v>
      </c>
      <c r="E1317">
        <v>25</v>
      </c>
      <c r="F1317">
        <v>20</v>
      </c>
    </row>
    <row r="1318" spans="1:6" x14ac:dyDescent="0.15">
      <c r="B1318">
        <v>163.1</v>
      </c>
      <c r="C1318">
        <v>544</v>
      </c>
      <c r="D1318" s="893">
        <v>88087.5</v>
      </c>
      <c r="E1318">
        <v>25</v>
      </c>
      <c r="F1318">
        <v>20</v>
      </c>
    </row>
    <row r="1319" spans="1:6" x14ac:dyDescent="0.15">
      <c r="B1319">
        <v>544.1</v>
      </c>
      <c r="C1319">
        <v>1088</v>
      </c>
      <c r="D1319" s="893">
        <v>159500</v>
      </c>
      <c r="E1319">
        <v>25</v>
      </c>
      <c r="F1319">
        <v>20</v>
      </c>
    </row>
    <row r="1320" spans="1:6" x14ac:dyDescent="0.15">
      <c r="B1320">
        <v>1088.0999999999999</v>
      </c>
      <c r="C1320">
        <v>3264</v>
      </c>
      <c r="D1320" s="893">
        <v>370185</v>
      </c>
      <c r="E1320">
        <v>25</v>
      </c>
      <c r="F1320">
        <v>20</v>
      </c>
    </row>
    <row r="1321" spans="1:6" x14ac:dyDescent="0.15">
      <c r="B1321">
        <v>3264.1</v>
      </c>
      <c r="C1321">
        <v>5032</v>
      </c>
      <c r="D1321" s="893">
        <v>612623</v>
      </c>
      <c r="E1321">
        <v>25</v>
      </c>
      <c r="F1321">
        <v>20</v>
      </c>
    </row>
    <row r="1322" spans="1:6" x14ac:dyDescent="0.15">
      <c r="B1322">
        <v>5032.1000000000004</v>
      </c>
      <c r="C1322" t="s">
        <v>3599</v>
      </c>
      <c r="D1322" s="893" t="s">
        <v>3599</v>
      </c>
      <c r="E1322">
        <v>25</v>
      </c>
      <c r="F1322">
        <v>20</v>
      </c>
    </row>
    <row r="1325" spans="1:6" x14ac:dyDescent="0.15">
      <c r="A1325" s="917" t="s">
        <v>3919</v>
      </c>
      <c r="B1325" s="892" t="s">
        <v>855</v>
      </c>
      <c r="C1325" s="918"/>
      <c r="D1325" s="919"/>
      <c r="E1325" s="918"/>
      <c r="F1325" s="918"/>
    </row>
    <row r="1326" spans="1:6" x14ac:dyDescent="0.15">
      <c r="A1326" s="889">
        <v>34</v>
      </c>
      <c r="B1326" s="320" t="s">
        <v>3920</v>
      </c>
      <c r="C1326" s="320" t="s">
        <v>1991</v>
      </c>
      <c r="D1326" s="320" t="s">
        <v>3598</v>
      </c>
      <c r="E1326" s="320" t="s">
        <v>3591</v>
      </c>
      <c r="F1326" s="320" t="s">
        <v>3592</v>
      </c>
    </row>
    <row r="1327" spans="1:6" x14ac:dyDescent="0.15">
      <c r="A1327" s="3" t="s">
        <v>3928</v>
      </c>
      <c r="B1327" s="526">
        <v>0</v>
      </c>
      <c r="C1327">
        <v>0.5</v>
      </c>
      <c r="D1327" s="890">
        <v>3300</v>
      </c>
      <c r="E1327">
        <v>25</v>
      </c>
      <c r="F1327">
        <v>20</v>
      </c>
    </row>
    <row r="1328" spans="1:6" x14ac:dyDescent="0.15">
      <c r="A1328" s="3"/>
      <c r="B1328" s="526">
        <v>0.51</v>
      </c>
      <c r="C1328">
        <v>0.75</v>
      </c>
      <c r="D1328" s="890">
        <v>3500</v>
      </c>
      <c r="E1328">
        <v>25</v>
      </c>
      <c r="F1328">
        <v>20</v>
      </c>
    </row>
    <row r="1329" spans="1:6" x14ac:dyDescent="0.15">
      <c r="A1329" s="3"/>
      <c r="B1329" s="526">
        <v>0.76</v>
      </c>
      <c r="C1329">
        <v>1</v>
      </c>
      <c r="D1329" s="890">
        <v>3862.5</v>
      </c>
      <c r="E1329">
        <v>25</v>
      </c>
      <c r="F1329">
        <v>20</v>
      </c>
    </row>
    <row r="1330" spans="1:6" x14ac:dyDescent="0.15">
      <c r="A1330" s="3"/>
      <c r="B1330" s="526">
        <v>1.01</v>
      </c>
      <c r="C1330">
        <v>1.5</v>
      </c>
      <c r="D1330" s="890">
        <v>3862.5</v>
      </c>
      <c r="E1330">
        <v>25</v>
      </c>
      <c r="F1330">
        <v>20</v>
      </c>
    </row>
    <row r="1331" spans="1:6" x14ac:dyDescent="0.15">
      <c r="A1331" s="3"/>
      <c r="B1331" s="526">
        <v>1.51</v>
      </c>
      <c r="C1331">
        <v>2</v>
      </c>
      <c r="D1331" s="890">
        <v>4150</v>
      </c>
      <c r="E1331">
        <v>25</v>
      </c>
      <c r="F1331">
        <v>20</v>
      </c>
    </row>
    <row r="1332" spans="1:6" x14ac:dyDescent="0.15">
      <c r="A1332" s="3"/>
      <c r="B1332" s="526">
        <v>2.0099999999999998</v>
      </c>
      <c r="C1332">
        <v>2.5</v>
      </c>
      <c r="D1332" s="890">
        <v>5550</v>
      </c>
      <c r="E1332">
        <v>25</v>
      </c>
      <c r="F1332">
        <v>20</v>
      </c>
    </row>
    <row r="1333" spans="1:6" x14ac:dyDescent="0.15">
      <c r="A1333" s="3"/>
      <c r="B1333" s="526">
        <v>2.5099999999999998</v>
      </c>
      <c r="C1333">
        <v>3</v>
      </c>
      <c r="D1333" s="890">
        <v>6300</v>
      </c>
      <c r="E1333">
        <v>25</v>
      </c>
      <c r="F1333">
        <v>20</v>
      </c>
    </row>
    <row r="1334" spans="1:6" x14ac:dyDescent="0.15">
      <c r="A1334" s="3"/>
      <c r="B1334" s="526">
        <v>3.01</v>
      </c>
      <c r="C1334">
        <v>3.5</v>
      </c>
      <c r="D1334" s="890">
        <v>5250</v>
      </c>
      <c r="E1334">
        <v>25</v>
      </c>
      <c r="F1334">
        <v>20</v>
      </c>
    </row>
    <row r="1335" spans="1:6" x14ac:dyDescent="0.15">
      <c r="A1335" s="3"/>
      <c r="B1335" s="526">
        <v>3.51</v>
      </c>
      <c r="C1335">
        <v>4</v>
      </c>
      <c r="D1335" s="890">
        <v>5750</v>
      </c>
      <c r="E1335">
        <v>25</v>
      </c>
      <c r="F1335">
        <v>20</v>
      </c>
    </row>
    <row r="1336" spans="1:6" x14ac:dyDescent="0.15">
      <c r="A1336" s="3"/>
      <c r="B1336" s="526">
        <v>4.01</v>
      </c>
      <c r="C1336">
        <v>5</v>
      </c>
      <c r="D1336" s="890">
        <v>6762.5</v>
      </c>
      <c r="E1336">
        <v>25</v>
      </c>
      <c r="F1336">
        <v>20</v>
      </c>
    </row>
    <row r="1337" spans="1:6" x14ac:dyDescent="0.15">
      <c r="A1337" s="3"/>
      <c r="B1337" s="526">
        <v>5.01</v>
      </c>
      <c r="C1337">
        <v>7.5</v>
      </c>
      <c r="D1337" s="890">
        <v>11350</v>
      </c>
      <c r="E1337">
        <v>25</v>
      </c>
      <c r="F1337">
        <v>20</v>
      </c>
    </row>
    <row r="1338" spans="1:6" x14ac:dyDescent="0.15">
      <c r="A1338" s="3"/>
      <c r="B1338" s="526">
        <v>7.51</v>
      </c>
      <c r="C1338">
        <v>10</v>
      </c>
      <c r="D1338" s="890">
        <v>13700</v>
      </c>
      <c r="E1338">
        <v>25</v>
      </c>
      <c r="F1338">
        <v>20</v>
      </c>
    </row>
    <row r="1339" spans="1:6" x14ac:dyDescent="0.15">
      <c r="A1339" s="3" t="s">
        <v>3927</v>
      </c>
      <c r="B1339" s="526">
        <v>10.01</v>
      </c>
      <c r="C1339">
        <v>12</v>
      </c>
      <c r="D1339" s="890">
        <v>19700</v>
      </c>
      <c r="E1339">
        <v>25</v>
      </c>
      <c r="F1339">
        <v>20</v>
      </c>
    </row>
    <row r="1340" spans="1:6" x14ac:dyDescent="0.15">
      <c r="A1340" s="3"/>
      <c r="B1340" s="526">
        <v>12.01</v>
      </c>
      <c r="C1340">
        <v>15</v>
      </c>
      <c r="D1340" s="890">
        <v>21900</v>
      </c>
      <c r="E1340">
        <v>25</v>
      </c>
      <c r="F1340">
        <v>20</v>
      </c>
    </row>
    <row r="1341" spans="1:6" x14ac:dyDescent="0.15">
      <c r="B1341" s="526">
        <v>15.01</v>
      </c>
      <c r="C1341">
        <v>20</v>
      </c>
      <c r="D1341" s="890">
        <v>24100</v>
      </c>
      <c r="E1341">
        <v>25</v>
      </c>
      <c r="F1341">
        <v>20</v>
      </c>
    </row>
    <row r="1342" spans="1:6" x14ac:dyDescent="0.15">
      <c r="B1342" s="526">
        <v>20.010000000000002</v>
      </c>
      <c r="C1342">
        <v>25</v>
      </c>
      <c r="D1342" s="890">
        <v>32400</v>
      </c>
      <c r="E1342">
        <v>25</v>
      </c>
      <c r="F1342">
        <v>20</v>
      </c>
    </row>
    <row r="1343" spans="1:6" x14ac:dyDescent="0.15">
      <c r="B1343" s="526">
        <v>25.01</v>
      </c>
      <c r="C1343">
        <v>30</v>
      </c>
      <c r="D1343" s="890">
        <v>37400</v>
      </c>
      <c r="E1343">
        <v>25</v>
      </c>
      <c r="F1343">
        <v>20</v>
      </c>
    </row>
    <row r="1344" spans="1:6" x14ac:dyDescent="0.15">
      <c r="B1344" s="526">
        <v>30.01</v>
      </c>
      <c r="C1344">
        <v>40</v>
      </c>
      <c r="D1344" s="890">
        <v>50000</v>
      </c>
      <c r="E1344">
        <v>25</v>
      </c>
      <c r="F1344">
        <v>20</v>
      </c>
    </row>
    <row r="1345" spans="1:6" x14ac:dyDescent="0.15">
      <c r="B1345" s="526">
        <v>40.01</v>
      </c>
      <c r="C1345">
        <v>50</v>
      </c>
      <c r="D1345" s="890">
        <v>59500</v>
      </c>
      <c r="E1345">
        <v>25</v>
      </c>
      <c r="F1345">
        <v>20</v>
      </c>
    </row>
    <row r="1346" spans="1:6" x14ac:dyDescent="0.15">
      <c r="B1346" s="526">
        <v>50.01</v>
      </c>
      <c r="C1346" t="s">
        <v>3599</v>
      </c>
      <c r="D1346" s="890" t="s">
        <v>3599</v>
      </c>
    </row>
    <row r="1349" spans="1:6" x14ac:dyDescent="0.15">
      <c r="A1349" s="917" t="s">
        <v>3724</v>
      </c>
      <c r="B1349" s="892" t="s">
        <v>13</v>
      </c>
      <c r="C1349" s="918"/>
      <c r="D1349" s="919"/>
      <c r="E1349" s="918"/>
      <c r="F1349" s="918"/>
    </row>
    <row r="1350" spans="1:6" x14ac:dyDescent="0.15">
      <c r="A1350" s="889">
        <v>22</v>
      </c>
      <c r="B1350" s="320" t="s">
        <v>3923</v>
      </c>
      <c r="C1350" s="320" t="s">
        <v>1999</v>
      </c>
      <c r="D1350" s="320" t="s">
        <v>3598</v>
      </c>
      <c r="E1350" s="320" t="s">
        <v>3591</v>
      </c>
      <c r="F1350" s="320" t="s">
        <v>3592</v>
      </c>
    </row>
    <row r="1351" spans="1:6" x14ac:dyDescent="0.15">
      <c r="A1351" s="3" t="s">
        <v>3929</v>
      </c>
      <c r="B1351">
        <v>0</v>
      </c>
      <c r="C1351">
        <v>109</v>
      </c>
      <c r="D1351" s="893">
        <v>38340</v>
      </c>
      <c r="E1351">
        <v>25</v>
      </c>
      <c r="F1351">
        <v>20</v>
      </c>
    </row>
    <row r="1352" spans="1:6" x14ac:dyDescent="0.15">
      <c r="B1352">
        <v>109.1</v>
      </c>
      <c r="C1352">
        <v>235</v>
      </c>
      <c r="D1352" s="893">
        <v>51502.500000000007</v>
      </c>
      <c r="E1352">
        <v>25</v>
      </c>
      <c r="F1352">
        <v>20</v>
      </c>
    </row>
    <row r="1353" spans="1:6" x14ac:dyDescent="0.15">
      <c r="B1353">
        <v>235.1</v>
      </c>
      <c r="C1353">
        <v>940</v>
      </c>
      <c r="D1353" s="893">
        <v>145625</v>
      </c>
      <c r="E1353">
        <v>25</v>
      </c>
      <c r="F1353">
        <v>20</v>
      </c>
    </row>
    <row r="1354" spans="1:6" x14ac:dyDescent="0.15">
      <c r="B1354">
        <v>940.1</v>
      </c>
      <c r="C1354">
        <v>1600</v>
      </c>
      <c r="D1354" s="893">
        <v>224928</v>
      </c>
      <c r="E1354">
        <v>25</v>
      </c>
      <c r="F1354">
        <v>20</v>
      </c>
    </row>
    <row r="1355" spans="1:6" x14ac:dyDescent="0.15">
      <c r="B1355">
        <v>1600.1</v>
      </c>
      <c r="C1355">
        <v>2480</v>
      </c>
      <c r="D1355" s="893">
        <v>318753</v>
      </c>
      <c r="E1355">
        <v>25</v>
      </c>
      <c r="F1355">
        <v>20</v>
      </c>
    </row>
    <row r="1356" spans="1:6" x14ac:dyDescent="0.15">
      <c r="B1356">
        <v>2480.1</v>
      </c>
      <c r="C1356">
        <v>3350</v>
      </c>
      <c r="D1356" s="893">
        <v>430315</v>
      </c>
      <c r="E1356">
        <v>25</v>
      </c>
      <c r="F1356">
        <v>20</v>
      </c>
    </row>
    <row r="1357" spans="1:6" x14ac:dyDescent="0.15">
      <c r="B1357">
        <v>3350.1</v>
      </c>
      <c r="C1357" t="s">
        <v>3599</v>
      </c>
      <c r="D1357" s="893" t="s">
        <v>3599</v>
      </c>
      <c r="E1357">
        <v>25</v>
      </c>
      <c r="F1357">
        <v>20</v>
      </c>
    </row>
    <row r="1360" spans="1:6" x14ac:dyDescent="0.15">
      <c r="A1360" s="917" t="s">
        <v>3724</v>
      </c>
      <c r="B1360" s="892" t="s">
        <v>12</v>
      </c>
      <c r="C1360" s="918"/>
      <c r="D1360" s="919"/>
      <c r="E1360" s="918"/>
      <c r="F1360" s="918"/>
    </row>
    <row r="1361" spans="1:6" x14ac:dyDescent="0.15">
      <c r="A1361" s="889">
        <v>22</v>
      </c>
      <c r="B1361" s="320" t="s">
        <v>3923</v>
      </c>
      <c r="C1361" s="320" t="s">
        <v>1999</v>
      </c>
      <c r="D1361" s="320" t="s">
        <v>3598</v>
      </c>
      <c r="E1361" s="320" t="s">
        <v>3591</v>
      </c>
      <c r="F1361" s="320" t="s">
        <v>3592</v>
      </c>
    </row>
    <row r="1362" spans="1:6" x14ac:dyDescent="0.15">
      <c r="A1362" s="3" t="s">
        <v>3930</v>
      </c>
      <c r="B1362">
        <v>0</v>
      </c>
      <c r="C1362">
        <v>109</v>
      </c>
      <c r="D1362" s="893">
        <v>38340</v>
      </c>
      <c r="E1362">
        <v>25</v>
      </c>
      <c r="F1362">
        <v>20</v>
      </c>
    </row>
    <row r="1363" spans="1:6" x14ac:dyDescent="0.15">
      <c r="B1363">
        <v>109.1</v>
      </c>
      <c r="C1363">
        <v>235</v>
      </c>
      <c r="D1363" s="893">
        <v>51502.500000000007</v>
      </c>
      <c r="E1363">
        <v>25</v>
      </c>
      <c r="F1363">
        <v>20</v>
      </c>
    </row>
    <row r="1364" spans="1:6" x14ac:dyDescent="0.15">
      <c r="B1364">
        <v>235.1</v>
      </c>
      <c r="C1364">
        <v>940</v>
      </c>
      <c r="D1364" s="893">
        <v>145625</v>
      </c>
      <c r="E1364">
        <v>25</v>
      </c>
      <c r="F1364">
        <v>20</v>
      </c>
    </row>
    <row r="1365" spans="1:6" x14ac:dyDescent="0.15">
      <c r="B1365">
        <v>940.1</v>
      </c>
      <c r="C1365">
        <v>1600</v>
      </c>
      <c r="D1365" s="893">
        <v>224928</v>
      </c>
      <c r="E1365">
        <v>25</v>
      </c>
      <c r="F1365">
        <v>20</v>
      </c>
    </row>
    <row r="1366" spans="1:6" x14ac:dyDescent="0.15">
      <c r="B1366">
        <v>1600.1</v>
      </c>
      <c r="C1366">
        <v>2480</v>
      </c>
      <c r="D1366" s="893">
        <v>318753</v>
      </c>
      <c r="E1366">
        <v>25</v>
      </c>
      <c r="F1366">
        <v>20</v>
      </c>
    </row>
    <row r="1367" spans="1:6" x14ac:dyDescent="0.15">
      <c r="B1367">
        <v>2480.1</v>
      </c>
      <c r="C1367">
        <v>3350</v>
      </c>
      <c r="D1367" s="893">
        <v>430315</v>
      </c>
      <c r="E1367">
        <v>25</v>
      </c>
      <c r="F1367">
        <v>20</v>
      </c>
    </row>
    <row r="1368" spans="1:6" x14ac:dyDescent="0.15">
      <c r="B1368">
        <v>3350.1</v>
      </c>
      <c r="C1368" t="s">
        <v>3599</v>
      </c>
      <c r="D1368" s="893" t="s">
        <v>3599</v>
      </c>
      <c r="E1368">
        <v>25</v>
      </c>
      <c r="F1368">
        <v>20</v>
      </c>
    </row>
    <row r="1371" spans="1:6" x14ac:dyDescent="0.15">
      <c r="A1371" s="3"/>
      <c r="B1371" s="913" t="s">
        <v>3931</v>
      </c>
      <c r="C1371" s="3" t="s">
        <v>3932</v>
      </c>
      <c r="D1371" s="920">
        <v>6.4790285359180011</v>
      </c>
      <c r="E1371" s="643" t="s">
        <v>180</v>
      </c>
    </row>
    <row r="1374" spans="1:6" x14ac:dyDescent="0.15">
      <c r="A1374" s="3"/>
      <c r="B1374" s="913" t="s">
        <v>3933</v>
      </c>
      <c r="C1374" s="3" t="s">
        <v>3934</v>
      </c>
      <c r="D1374" s="920">
        <v>8.235301147941651E-2</v>
      </c>
      <c r="E1374" s="643" t="s">
        <v>180</v>
      </c>
    </row>
    <row r="1377" spans="1:5" x14ac:dyDescent="0.15">
      <c r="A1377" s="3"/>
      <c r="B1377" s="913" t="s">
        <v>3935</v>
      </c>
      <c r="C1377" s="3" t="s">
        <v>3936</v>
      </c>
      <c r="D1377" s="921">
        <v>3.8295007720020586</v>
      </c>
      <c r="E1377" s="643" t="s">
        <v>2743</v>
      </c>
    </row>
    <row r="1380" spans="1:5" x14ac:dyDescent="0.15">
      <c r="A1380" s="3"/>
      <c r="B1380" s="913" t="s">
        <v>3937</v>
      </c>
      <c r="C1380" s="3" t="s">
        <v>3938</v>
      </c>
      <c r="D1380" s="921">
        <v>0.11001750924784216</v>
      </c>
      <c r="E1380" s="526" t="s">
        <v>46</v>
      </c>
    </row>
    <row r="1383" spans="1:5" x14ac:dyDescent="0.15">
      <c r="A1383" s="3"/>
      <c r="B1383" s="913" t="s">
        <v>3939</v>
      </c>
      <c r="C1383" s="3" t="s">
        <v>3940</v>
      </c>
      <c r="D1383" s="921">
        <v>0.57856140350877194</v>
      </c>
      <c r="E1383" s="643" t="s">
        <v>2740</v>
      </c>
    </row>
    <row r="1386" spans="1:5" x14ac:dyDescent="0.15">
      <c r="A1386" s="47">
        <v>5</v>
      </c>
      <c r="B1386" s="913" t="s">
        <v>3941</v>
      </c>
      <c r="C1386" s="3" t="s">
        <v>3942</v>
      </c>
      <c r="D1386" s="85">
        <v>363.40616685535008</v>
      </c>
      <c r="E1386" s="72" t="s">
        <v>2174</v>
      </c>
    </row>
    <row r="1389" spans="1:5" x14ac:dyDescent="0.15">
      <c r="A1389" s="3"/>
      <c r="B1389" s="913" t="s">
        <v>3943</v>
      </c>
      <c r="C1389" s="3" t="s">
        <v>3945</v>
      </c>
      <c r="D1389" s="85">
        <v>3392.2096819686953</v>
      </c>
      <c r="E1389" s="72" t="s">
        <v>3944</v>
      </c>
    </row>
    <row r="1392" spans="1:5" x14ac:dyDescent="0.15">
      <c r="A1392" s="3"/>
      <c r="B1392" s="913" t="s">
        <v>3946</v>
      </c>
      <c r="C1392" s="3" t="s">
        <v>3948</v>
      </c>
      <c r="D1392" s="85">
        <v>0.28268414016405796</v>
      </c>
      <c r="E1392" s="72" t="s">
        <v>3947</v>
      </c>
    </row>
    <row r="1395" spans="1:5" x14ac:dyDescent="0.15">
      <c r="A1395" s="922"/>
      <c r="B1395" s="896" t="s">
        <v>3949</v>
      </c>
      <c r="C1395" s="897"/>
    </row>
    <row r="1396" spans="1:5" x14ac:dyDescent="0.15">
      <c r="A1396" s="782"/>
      <c r="B1396" s="894" t="s">
        <v>3950</v>
      </c>
      <c r="C1396" s="847" t="s">
        <v>3951</v>
      </c>
    </row>
    <row r="1397" spans="1:5" x14ac:dyDescent="0.15">
      <c r="A1397" s="3" t="s">
        <v>3952</v>
      </c>
      <c r="B1397">
        <v>0</v>
      </c>
      <c r="C1397" s="890">
        <v>953.90523240122491</v>
      </c>
    </row>
    <row r="1398" spans="1:5" x14ac:dyDescent="0.15">
      <c r="A1398" s="3"/>
      <c r="B1398">
        <v>20000</v>
      </c>
      <c r="C1398" s="890">
        <v>4769.5261620061247</v>
      </c>
    </row>
    <row r="1399" spans="1:5" x14ac:dyDescent="0.15">
      <c r="A1399" s="3"/>
      <c r="B1399">
        <v>50000</v>
      </c>
      <c r="C1399" s="890">
        <v>9857.0207348126569</v>
      </c>
    </row>
    <row r="1402" spans="1:5" x14ac:dyDescent="0.15">
      <c r="A1402" s="3"/>
      <c r="B1402" s="913" t="s">
        <v>3953</v>
      </c>
      <c r="C1402" s="3" t="s">
        <v>3954</v>
      </c>
      <c r="D1402" s="85">
        <v>14784.380530580231</v>
      </c>
      <c r="E1402" s="72" t="s">
        <v>2174</v>
      </c>
    </row>
    <row r="1405" spans="1:5" x14ac:dyDescent="0.15">
      <c r="A1405" s="3"/>
      <c r="B1405" s="913" t="s">
        <v>3955</v>
      </c>
      <c r="C1405" s="3" t="s">
        <v>3956</v>
      </c>
      <c r="D1405" s="85">
        <v>3392.2096819686953</v>
      </c>
      <c r="E1405" s="72" t="s">
        <v>3944</v>
      </c>
    </row>
    <row r="1408" spans="1:5" x14ac:dyDescent="0.15">
      <c r="A1408" s="3"/>
      <c r="B1408" s="913" t="s">
        <v>3957</v>
      </c>
      <c r="C1408" s="3" t="s">
        <v>3958</v>
      </c>
      <c r="D1408" s="85">
        <v>0.56536828032811592</v>
      </c>
      <c r="E1408" s="72" t="s">
        <v>3947</v>
      </c>
    </row>
    <row r="1411" spans="1:7" x14ac:dyDescent="0.15">
      <c r="A1411" s="3"/>
      <c r="B1411" s="913" t="s">
        <v>3959</v>
      </c>
      <c r="C1411" s="3" t="s">
        <v>3960</v>
      </c>
      <c r="D1411" s="920">
        <v>0.14857538964026834</v>
      </c>
      <c r="E1411" s="643" t="s">
        <v>180</v>
      </c>
    </row>
    <row r="1414" spans="1:7" x14ac:dyDescent="0.15">
      <c r="A1414" s="917" t="s">
        <v>3891</v>
      </c>
      <c r="B1414" s="892" t="s">
        <v>3961</v>
      </c>
      <c r="C1414" s="918"/>
      <c r="D1414" s="923"/>
      <c r="E1414" s="918" t="s">
        <v>3962</v>
      </c>
      <c r="F1414" s="918"/>
      <c r="G1414" s="918"/>
    </row>
    <row r="1415" spans="1:7" x14ac:dyDescent="0.15">
      <c r="A1415" s="889">
        <v>4</v>
      </c>
      <c r="B1415" s="320" t="s">
        <v>3963</v>
      </c>
      <c r="C1415" s="320" t="s">
        <v>3964</v>
      </c>
      <c r="D1415" s="320" t="s">
        <v>3965</v>
      </c>
      <c r="E1415" s="320" t="s">
        <v>3966</v>
      </c>
      <c r="F1415" s="924" t="s">
        <v>3967</v>
      </c>
      <c r="G1415" s="924" t="s">
        <v>3968</v>
      </c>
    </row>
    <row r="1416" spans="1:7" x14ac:dyDescent="0.15">
      <c r="A1416" s="3" t="s">
        <v>3969</v>
      </c>
      <c r="B1416">
        <v>0</v>
      </c>
      <c r="C1416">
        <v>0.03</v>
      </c>
      <c r="D1416">
        <v>1</v>
      </c>
      <c r="E1416" s="925">
        <v>34.161577540106947</v>
      </c>
      <c r="F1416" s="925">
        <v>50.648663101604278</v>
      </c>
      <c r="G1416" s="925">
        <v>32.90061497326203</v>
      </c>
    </row>
    <row r="1417" spans="1:7" x14ac:dyDescent="0.15">
      <c r="A1417" s="3"/>
      <c r="B1417">
        <v>3.1E-2</v>
      </c>
      <c r="C1417">
        <v>0.124</v>
      </c>
      <c r="D1417">
        <v>1</v>
      </c>
      <c r="E1417" s="925">
        <v>34.161577540106947</v>
      </c>
      <c r="F1417" s="925">
        <v>50.648663101604278</v>
      </c>
      <c r="G1417" s="925">
        <v>32.90061497326203</v>
      </c>
    </row>
    <row r="1418" spans="1:7" x14ac:dyDescent="0.15">
      <c r="A1418" s="3"/>
      <c r="B1418">
        <v>0.1241</v>
      </c>
      <c r="C1418">
        <v>0.30499999999999999</v>
      </c>
      <c r="D1418">
        <v>1.2</v>
      </c>
      <c r="E1418" s="925">
        <v>34.161577540106947</v>
      </c>
      <c r="F1418" s="925">
        <v>50.648663101604278</v>
      </c>
      <c r="G1418" s="925">
        <v>32.90061497326203</v>
      </c>
    </row>
    <row r="1419" spans="1:7" x14ac:dyDescent="0.15">
      <c r="A1419" s="3"/>
      <c r="B1419">
        <v>0.30509999999999998</v>
      </c>
      <c r="C1419">
        <v>0.74</v>
      </c>
      <c r="D1419">
        <v>1.2</v>
      </c>
      <c r="E1419" s="925">
        <v>34.161577540106947</v>
      </c>
      <c r="F1419" s="925">
        <v>50.648663101604278</v>
      </c>
      <c r="G1419" s="925">
        <v>32.90061497326203</v>
      </c>
    </row>
    <row r="1420" spans="1:7" x14ac:dyDescent="0.15">
      <c r="A1420" s="3"/>
      <c r="B1420">
        <v>0.74099999999999999</v>
      </c>
      <c r="C1420">
        <v>2.1520000000000001</v>
      </c>
      <c r="D1420">
        <v>1.6</v>
      </c>
      <c r="E1420" s="925">
        <v>36.431310160427806</v>
      </c>
      <c r="F1420" s="925">
        <v>57.930721925133689</v>
      </c>
      <c r="G1420" s="925">
        <v>32.90061497326203</v>
      </c>
    </row>
    <row r="1421" spans="1:7" x14ac:dyDescent="0.15">
      <c r="A1421" s="3"/>
      <c r="B1421">
        <v>2.1520999999999999</v>
      </c>
      <c r="C1421">
        <v>7.3650000000000002</v>
      </c>
      <c r="D1421">
        <v>2.8</v>
      </c>
      <c r="E1421" s="925">
        <v>38.459358288770055</v>
      </c>
      <c r="F1421" s="925">
        <v>64.529759358288771</v>
      </c>
      <c r="G1421" s="925">
        <v>42.483930481283423</v>
      </c>
    </row>
    <row r="1422" spans="1:7" x14ac:dyDescent="0.15">
      <c r="A1422" s="3"/>
      <c r="B1422">
        <v>7.3651</v>
      </c>
      <c r="C1422">
        <v>22.614000000000001</v>
      </c>
      <c r="D1422">
        <v>3.8</v>
      </c>
      <c r="E1422" s="925">
        <v>40.151149732620318</v>
      </c>
      <c r="F1422" s="925">
        <v>75.300481283422457</v>
      </c>
      <c r="G1422" s="925">
        <v>42.483930481283423</v>
      </c>
    </row>
    <row r="1423" spans="1:7" x14ac:dyDescent="0.15">
      <c r="A1423" s="3"/>
      <c r="B1423">
        <v>22.614100000000001</v>
      </c>
      <c r="C1423">
        <v>75.069999999999993</v>
      </c>
      <c r="D1423">
        <v>7.8</v>
      </c>
      <c r="E1423" s="925">
        <v>46.928823529411758</v>
      </c>
      <c r="F1423" s="925">
        <v>80.449411764705886</v>
      </c>
      <c r="G1423" s="925">
        <v>42.483930481283423</v>
      </c>
    </row>
    <row r="1426" spans="1:5" ht="20" x14ac:dyDescent="0.2">
      <c r="A1426" s="926"/>
      <c r="B1426" s="927" t="s">
        <v>3970</v>
      </c>
      <c r="C1426" s="928"/>
      <c r="D1426" s="928"/>
    </row>
    <row r="1427" spans="1:5" x14ac:dyDescent="0.15">
      <c r="A1427" s="922" t="s">
        <v>3971</v>
      </c>
      <c r="B1427" s="896" t="s">
        <v>3970</v>
      </c>
      <c r="C1427" s="897"/>
      <c r="D1427" s="897"/>
    </row>
    <row r="1428" spans="1:5" x14ac:dyDescent="0.15">
      <c r="A1428" s="889">
        <v>5</v>
      </c>
      <c r="B1428" s="929" t="s">
        <v>3972</v>
      </c>
      <c r="C1428" s="320" t="s">
        <v>3973</v>
      </c>
      <c r="D1428" s="782" t="s">
        <v>3974</v>
      </c>
    </row>
    <row r="1429" spans="1:5" x14ac:dyDescent="0.15">
      <c r="A1429" s="3" t="s">
        <v>3983</v>
      </c>
      <c r="B1429">
        <v>0</v>
      </c>
      <c r="C1429" t="s">
        <v>3975</v>
      </c>
      <c r="D1429" s="890">
        <v>21165.713250209614</v>
      </c>
    </row>
    <row r="1430" spans="1:5" x14ac:dyDescent="0.15">
      <c r="A1430" s="3"/>
      <c r="B1430">
        <v>3.1E-2</v>
      </c>
      <c r="C1430" t="s">
        <v>3976</v>
      </c>
      <c r="D1430" s="890">
        <v>20660.02273280502</v>
      </c>
    </row>
    <row r="1431" spans="1:5" x14ac:dyDescent="0.15">
      <c r="A1431" s="3"/>
      <c r="B1431">
        <v>0.1241</v>
      </c>
      <c r="C1431" t="s">
        <v>3977</v>
      </c>
      <c r="D1431" s="890">
        <v>16458.498827329597</v>
      </c>
    </row>
    <row r="1432" spans="1:5" x14ac:dyDescent="0.15">
      <c r="A1432" s="3"/>
      <c r="B1432">
        <v>0.30509999999999998</v>
      </c>
      <c r="C1432" t="s">
        <v>3978</v>
      </c>
      <c r="D1432" s="890">
        <v>19327.219360846331</v>
      </c>
    </row>
    <row r="1433" spans="1:5" x14ac:dyDescent="0.15">
      <c r="A1433" s="3"/>
      <c r="B1433">
        <v>0.74099999999999999</v>
      </c>
      <c r="C1433" t="s">
        <v>3979</v>
      </c>
      <c r="D1433" s="890">
        <v>31219.845835377939</v>
      </c>
    </row>
    <row r="1434" spans="1:5" x14ac:dyDescent="0.15">
      <c r="A1434" s="3"/>
      <c r="B1434">
        <v>2.1520999999999999</v>
      </c>
      <c r="C1434" t="s">
        <v>3980</v>
      </c>
      <c r="D1434" s="890">
        <v>68950.849699201353</v>
      </c>
    </row>
    <row r="1435" spans="1:5" x14ac:dyDescent="0.15">
      <c r="A1435" s="3"/>
      <c r="B1435">
        <v>7.3651</v>
      </c>
      <c r="C1435" t="s">
        <v>3981</v>
      </c>
      <c r="D1435" s="890">
        <v>129311.24247230604</v>
      </c>
    </row>
    <row r="1436" spans="1:5" x14ac:dyDescent="0.15">
      <c r="A1436" s="3"/>
      <c r="B1436">
        <v>22.614100000000001</v>
      </c>
      <c r="C1436" t="s">
        <v>3982</v>
      </c>
      <c r="D1436" s="890">
        <v>262816.68000200921</v>
      </c>
    </row>
    <row r="1439" spans="1:5" x14ac:dyDescent="0.15">
      <c r="A1439" s="3"/>
      <c r="B1439" s="913" t="s">
        <v>3984</v>
      </c>
      <c r="C1439" s="3" t="s">
        <v>3985</v>
      </c>
      <c r="D1439" s="85">
        <v>3.8110010007302626</v>
      </c>
      <c r="E1439" s="72" t="s">
        <v>2743</v>
      </c>
    </row>
    <row r="1442" spans="1:5" x14ac:dyDescent="0.15">
      <c r="A1442" s="3"/>
      <c r="B1442" s="913" t="s">
        <v>3986</v>
      </c>
      <c r="C1442" s="3" t="s">
        <v>3987</v>
      </c>
      <c r="D1442" s="85">
        <v>3392.2096819686953</v>
      </c>
      <c r="E1442" s="72" t="s">
        <v>3944</v>
      </c>
    </row>
    <row r="1445" spans="1:5" x14ac:dyDescent="0.15">
      <c r="A1445" s="3"/>
      <c r="B1445" s="913" t="s">
        <v>3988</v>
      </c>
      <c r="C1445" s="3" t="s">
        <v>3990</v>
      </c>
      <c r="D1445" s="930">
        <v>1.0469782969039184E-3</v>
      </c>
      <c r="E1445" s="72" t="s">
        <v>3989</v>
      </c>
    </row>
    <row r="1448" spans="1:5" x14ac:dyDescent="0.15">
      <c r="A1448" s="922"/>
      <c r="B1448" s="896" t="s">
        <v>3991</v>
      </c>
      <c r="C1448" s="897"/>
    </row>
    <row r="1449" spans="1:5" x14ac:dyDescent="0.15">
      <c r="A1449" s="782"/>
      <c r="B1449" s="320" t="s">
        <v>3992</v>
      </c>
      <c r="C1449" s="320" t="s">
        <v>3993</v>
      </c>
    </row>
    <row r="1450" spans="1:5" x14ac:dyDescent="0.15">
      <c r="A1450" s="3" t="s">
        <v>3994</v>
      </c>
      <c r="B1450">
        <v>0</v>
      </c>
      <c r="C1450" s="890">
        <v>3769.1218688541057</v>
      </c>
    </row>
    <row r="1451" spans="1:5" x14ac:dyDescent="0.15">
      <c r="A1451" s="3"/>
      <c r="B1451">
        <v>1.0009999999999999</v>
      </c>
      <c r="C1451" s="890">
        <v>15599.976623868382</v>
      </c>
    </row>
    <row r="1454" spans="1:5" x14ac:dyDescent="0.15">
      <c r="A1454" s="3" t="s">
        <v>3996</v>
      </c>
      <c r="B1454" s="526" t="s">
        <v>3995</v>
      </c>
      <c r="C1454" s="890">
        <v>30467.068439904022</v>
      </c>
      <c r="D1454" s="890">
        <v>29100</v>
      </c>
      <c r="E1454" s="526">
        <v>2020</v>
      </c>
    </row>
    <row r="1457" spans="1:5" x14ac:dyDescent="0.15">
      <c r="A1457" s="3"/>
      <c r="B1457" s="913" t="s">
        <v>3997</v>
      </c>
      <c r="C1457" s="3" t="s">
        <v>3998</v>
      </c>
      <c r="D1457" s="85">
        <v>110.0374190046018</v>
      </c>
      <c r="E1457" s="72" t="s">
        <v>2174</v>
      </c>
    </row>
    <row r="1460" spans="1:5" x14ac:dyDescent="0.15">
      <c r="A1460" s="3"/>
      <c r="B1460" s="913" t="s">
        <v>3999</v>
      </c>
      <c r="C1460" s="3" t="s">
        <v>4000</v>
      </c>
      <c r="D1460" s="85">
        <v>0.21197894053360555</v>
      </c>
      <c r="E1460" s="72" t="s">
        <v>3947</v>
      </c>
    </row>
    <row r="1463" spans="1:5" x14ac:dyDescent="0.15">
      <c r="A1463" s="931"/>
      <c r="B1463" s="302" t="s">
        <v>4001</v>
      </c>
      <c r="C1463" s="932"/>
    </row>
    <row r="1464" spans="1:5" x14ac:dyDescent="0.15">
      <c r="A1464" s="922" t="s">
        <v>3971</v>
      </c>
      <c r="B1464" s="896" t="s">
        <v>4002</v>
      </c>
      <c r="C1464" s="897"/>
    </row>
    <row r="1465" spans="1:5" x14ac:dyDescent="0.15">
      <c r="A1465" s="889">
        <v>5</v>
      </c>
      <c r="B1465" s="320" t="s">
        <v>4003</v>
      </c>
      <c r="C1465" s="320" t="s">
        <v>3993</v>
      </c>
    </row>
    <row r="1466" spans="1:5" x14ac:dyDescent="0.15">
      <c r="A1466" s="3" t="s">
        <v>4004</v>
      </c>
      <c r="B1466">
        <v>0</v>
      </c>
      <c r="C1466" s="890">
        <v>2408.0500828790123</v>
      </c>
    </row>
    <row r="1467" spans="1:5" x14ac:dyDescent="0.15">
      <c r="A1467" s="3"/>
      <c r="B1467">
        <v>100000.1</v>
      </c>
      <c r="C1467" s="890">
        <v>3036.2370610213629</v>
      </c>
    </row>
    <row r="1468" spans="1:5" x14ac:dyDescent="0.15">
      <c r="A1468" s="3"/>
      <c r="B1468">
        <v>1000000.1</v>
      </c>
      <c r="C1468" s="890">
        <v>5548.9849735907674</v>
      </c>
    </row>
    <row r="1471" spans="1:5" ht="20" x14ac:dyDescent="0.2">
      <c r="A1471" s="926"/>
      <c r="B1471" s="927" t="s">
        <v>4005</v>
      </c>
      <c r="C1471" s="928"/>
    </row>
    <row r="1472" spans="1:5" x14ac:dyDescent="0.15">
      <c r="A1472" s="922" t="s">
        <v>3891</v>
      </c>
      <c r="B1472" s="896" t="s">
        <v>4006</v>
      </c>
      <c r="C1472" s="897"/>
    </row>
    <row r="1473" spans="1:3" x14ac:dyDescent="0.15">
      <c r="A1473" s="933">
        <v>4</v>
      </c>
      <c r="B1473" s="934" t="s">
        <v>4007</v>
      </c>
      <c r="C1473" s="935"/>
    </row>
    <row r="1474" spans="1:3" x14ac:dyDescent="0.15">
      <c r="A1474" s="3"/>
      <c r="B1474" t="s">
        <v>4008</v>
      </c>
      <c r="C1474" s="526" t="s">
        <v>4009</v>
      </c>
    </row>
    <row r="1475" spans="1:3" x14ac:dyDescent="0.15">
      <c r="A1475" s="3" t="s">
        <v>4010</v>
      </c>
      <c r="B1475" t="s">
        <v>4011</v>
      </c>
      <c r="C1475" s="916">
        <v>15793.535539996074</v>
      </c>
    </row>
    <row r="1476" spans="1:3" x14ac:dyDescent="0.15">
      <c r="A1476" s="3"/>
      <c r="B1476" s="526" t="s">
        <v>4012</v>
      </c>
      <c r="C1476" s="916">
        <v>15793.535539996074</v>
      </c>
    </row>
    <row r="1477" spans="1:3" x14ac:dyDescent="0.15">
      <c r="A1477" s="3"/>
      <c r="B1477" s="526" t="s">
        <v>4013</v>
      </c>
      <c r="C1477" s="916">
        <v>15793.535539996074</v>
      </c>
    </row>
    <row r="1478" spans="1:3" x14ac:dyDescent="0.15">
      <c r="A1478" s="3"/>
      <c r="B1478" s="526" t="s">
        <v>4014</v>
      </c>
      <c r="C1478" s="916">
        <v>15793.535539996074</v>
      </c>
    </row>
    <row r="1479" spans="1:3" x14ac:dyDescent="0.15">
      <c r="A1479" s="3"/>
      <c r="B1479" s="526" t="s">
        <v>4015</v>
      </c>
      <c r="C1479" s="916">
        <v>15793.535539996074</v>
      </c>
    </row>
    <row r="1480" spans="1:3" x14ac:dyDescent="0.15">
      <c r="A1480" s="3"/>
      <c r="B1480" s="526" t="s">
        <v>4016</v>
      </c>
      <c r="C1480" s="916">
        <v>15793.535539996074</v>
      </c>
    </row>
    <row r="1481" spans="1:3" x14ac:dyDescent="0.15">
      <c r="A1481" s="3"/>
      <c r="B1481" s="526" t="s">
        <v>4017</v>
      </c>
      <c r="C1481" s="916">
        <v>15793.535539996074</v>
      </c>
    </row>
    <row r="1482" spans="1:3" x14ac:dyDescent="0.15">
      <c r="A1482" s="3"/>
      <c r="B1482" s="526" t="s">
        <v>2843</v>
      </c>
      <c r="C1482" s="916">
        <v>15793.535539996074</v>
      </c>
    </row>
    <row r="1483" spans="1:3" x14ac:dyDescent="0.15">
      <c r="A1483" s="3"/>
      <c r="B1483" s="526" t="s">
        <v>4018</v>
      </c>
      <c r="C1483" s="916">
        <v>15793.535539996074</v>
      </c>
    </row>
    <row r="1484" spans="1:3" x14ac:dyDescent="0.15">
      <c r="A1484" s="3"/>
      <c r="B1484" s="526" t="s">
        <v>4019</v>
      </c>
      <c r="C1484" s="916">
        <v>615.39008342245984</v>
      </c>
    </row>
    <row r="1485" spans="1:3" x14ac:dyDescent="0.15">
      <c r="A1485" s="3"/>
      <c r="B1485" t="s">
        <v>4020</v>
      </c>
      <c r="C1485" s="916">
        <v>1217.0660847213492</v>
      </c>
    </row>
    <row r="1486" spans="1:3" x14ac:dyDescent="0.15">
      <c r="A1486" s="3"/>
      <c r="B1486" t="s">
        <v>4021</v>
      </c>
      <c r="C1486" s="916">
        <v>1217.0660847213492</v>
      </c>
    </row>
    <row r="1487" spans="1:3" x14ac:dyDescent="0.15">
      <c r="A1487" s="3"/>
      <c r="B1487" s="526" t="s">
        <v>4022</v>
      </c>
      <c r="C1487" s="916">
        <v>860.39920013666426</v>
      </c>
    </row>
    <row r="1488" spans="1:3" x14ac:dyDescent="0.15">
      <c r="A1488" s="3"/>
      <c r="B1488" t="s">
        <v>4023</v>
      </c>
      <c r="C1488" s="916">
        <v>58859.382028416068</v>
      </c>
    </row>
    <row r="1489" spans="1:3" x14ac:dyDescent="0.15">
      <c r="A1489" s="3"/>
      <c r="B1489" t="s">
        <v>4024</v>
      </c>
      <c r="C1489" s="916">
        <v>58859.382028416068</v>
      </c>
    </row>
    <row r="1490" spans="1:3" x14ac:dyDescent="0.15">
      <c r="A1490" s="3"/>
      <c r="B1490" t="s">
        <v>4025</v>
      </c>
      <c r="C1490" s="916">
        <v>2709.1797841536459</v>
      </c>
    </row>
    <row r="1491" spans="1:3" x14ac:dyDescent="0.15">
      <c r="A1491" s="3"/>
      <c r="B1491" t="s">
        <v>4026</v>
      </c>
      <c r="C1491" s="916">
        <v>2709.1797841536459</v>
      </c>
    </row>
    <row r="1492" spans="1:3" x14ac:dyDescent="0.15">
      <c r="A1492" s="3"/>
      <c r="B1492" t="s">
        <v>4027</v>
      </c>
      <c r="C1492" s="916">
        <v>0</v>
      </c>
    </row>
    <row r="1493" spans="1:3" x14ac:dyDescent="0.15">
      <c r="A1493" s="3"/>
      <c r="B1493" t="s">
        <v>4028</v>
      </c>
      <c r="C1493" s="916">
        <v>24372.554078613746</v>
      </c>
    </row>
    <row r="1494" spans="1:3" x14ac:dyDescent="0.15">
      <c r="A1494" s="3"/>
      <c r="B1494" t="s">
        <v>4029</v>
      </c>
      <c r="C1494" s="916">
        <v>615.39008342245984</v>
      </c>
    </row>
    <row r="1495" spans="1:3" x14ac:dyDescent="0.15">
      <c r="A1495" s="3"/>
      <c r="B1495" s="526" t="s">
        <v>4030</v>
      </c>
      <c r="C1495" s="916">
        <v>16444.957306241584</v>
      </c>
    </row>
    <row r="1496" spans="1:3" x14ac:dyDescent="0.15">
      <c r="A1496" s="3"/>
      <c r="B1496" s="526" t="s">
        <v>4031</v>
      </c>
      <c r="C1496" s="916">
        <v>16444.957306241584</v>
      </c>
    </row>
    <row r="1497" spans="1:3" x14ac:dyDescent="0.15">
      <c r="A1497" s="3"/>
      <c r="B1497" s="526" t="s">
        <v>4032</v>
      </c>
      <c r="C1497" s="916">
        <v>14998.238656107189</v>
      </c>
    </row>
    <row r="1498" spans="1:3" x14ac:dyDescent="0.15">
      <c r="A1498" s="3"/>
      <c r="B1498" t="s">
        <v>4033</v>
      </c>
      <c r="C1498" s="916">
        <v>2499.8674794593167</v>
      </c>
    </row>
    <row r="1499" spans="1:3" x14ac:dyDescent="0.15">
      <c r="A1499" s="3"/>
      <c r="B1499" t="s">
        <v>4034</v>
      </c>
      <c r="C1499" s="916">
        <v>32140.792422095365</v>
      </c>
    </row>
    <row r="1500" spans="1:3" x14ac:dyDescent="0.15">
      <c r="A1500" s="3"/>
      <c r="B1500" t="s">
        <v>4035</v>
      </c>
      <c r="C1500" s="916">
        <v>5513.4302822925574</v>
      </c>
    </row>
    <row r="1501" spans="1:3" x14ac:dyDescent="0.15">
      <c r="A1501" s="3"/>
      <c r="B1501" s="526" t="s">
        <v>4036</v>
      </c>
      <c r="C1501" s="916">
        <v>134602.19700079926</v>
      </c>
    </row>
    <row r="1502" spans="1:3" x14ac:dyDescent="0.15">
      <c r="A1502" s="3"/>
      <c r="B1502" s="526" t="s">
        <v>4037</v>
      </c>
      <c r="C1502" s="916">
        <v>113958.93551980422</v>
      </c>
    </row>
    <row r="1503" spans="1:3" x14ac:dyDescent="0.15">
      <c r="A1503" s="936"/>
      <c r="B1503" s="934" t="s">
        <v>4038</v>
      </c>
      <c r="C1503" s="935"/>
    </row>
    <row r="1504" spans="1:3" x14ac:dyDescent="0.15">
      <c r="A1504" s="3" t="s">
        <v>4039</v>
      </c>
      <c r="B1504" t="s">
        <v>4011</v>
      </c>
      <c r="C1504" s="916">
        <v>70415.236495493649</v>
      </c>
    </row>
    <row r="1505" spans="1:3" x14ac:dyDescent="0.15">
      <c r="A1505" s="3"/>
      <c r="B1505" s="526" t="s">
        <v>4012</v>
      </c>
      <c r="C1505" s="916">
        <v>70415.236495493649</v>
      </c>
    </row>
    <row r="1506" spans="1:3" x14ac:dyDescent="0.15">
      <c r="A1506" s="3"/>
      <c r="B1506" s="526" t="s">
        <v>4013</v>
      </c>
      <c r="C1506" s="916">
        <v>70415.236495493649</v>
      </c>
    </row>
    <row r="1507" spans="1:3" x14ac:dyDescent="0.15">
      <c r="A1507" s="3"/>
      <c r="B1507" s="526" t="s">
        <v>4014</v>
      </c>
      <c r="C1507" s="916">
        <v>70415.236495493649</v>
      </c>
    </row>
    <row r="1508" spans="1:3" x14ac:dyDescent="0.15">
      <c r="A1508" s="3"/>
      <c r="B1508" s="526" t="s">
        <v>4015</v>
      </c>
      <c r="C1508" s="916">
        <v>70415.236495493649</v>
      </c>
    </row>
    <row r="1509" spans="1:3" x14ac:dyDescent="0.15">
      <c r="A1509" s="3"/>
      <c r="B1509" s="526" t="s">
        <v>4016</v>
      </c>
      <c r="C1509" s="916">
        <v>70415.236495493649</v>
      </c>
    </row>
    <row r="1510" spans="1:3" x14ac:dyDescent="0.15">
      <c r="A1510" s="3"/>
      <c r="B1510" s="526" t="s">
        <v>4017</v>
      </c>
      <c r="C1510" s="916">
        <v>70415.236495493649</v>
      </c>
    </row>
    <row r="1511" spans="1:3" x14ac:dyDescent="0.15">
      <c r="A1511" s="3"/>
      <c r="B1511" s="526" t="s">
        <v>2843</v>
      </c>
      <c r="C1511" s="916">
        <v>70415.236495493649</v>
      </c>
    </row>
    <row r="1512" spans="1:3" x14ac:dyDescent="0.15">
      <c r="A1512" s="3"/>
      <c r="B1512" s="526" t="s">
        <v>4018</v>
      </c>
      <c r="C1512" s="916">
        <v>70415.236495493649</v>
      </c>
    </row>
    <row r="1513" spans="1:3" x14ac:dyDescent="0.15">
      <c r="A1513" s="3"/>
      <c r="B1513" s="526" t="s">
        <v>4019</v>
      </c>
      <c r="C1513" s="916">
        <v>615.39008342245984</v>
      </c>
    </row>
    <row r="1514" spans="1:3" x14ac:dyDescent="0.15">
      <c r="A1514" s="3"/>
      <c r="B1514" t="s">
        <v>4020</v>
      </c>
      <c r="C1514" s="916">
        <v>66652.775724390434</v>
      </c>
    </row>
    <row r="1515" spans="1:3" x14ac:dyDescent="0.15">
      <c r="A1515" s="3"/>
      <c r="B1515" t="s">
        <v>4021</v>
      </c>
      <c r="C1515" s="916">
        <v>66652.775724390434</v>
      </c>
    </row>
    <row r="1516" spans="1:3" x14ac:dyDescent="0.15">
      <c r="A1516" s="3"/>
      <c r="B1516" s="526" t="s">
        <v>4022</v>
      </c>
      <c r="C1516" s="916">
        <v>67436.081031866575</v>
      </c>
    </row>
    <row r="1517" spans="1:3" x14ac:dyDescent="0.15">
      <c r="A1517" s="3"/>
      <c r="B1517" t="s">
        <v>4023</v>
      </c>
      <c r="C1517" s="916">
        <v>106012.42499444949</v>
      </c>
    </row>
    <row r="1518" spans="1:3" x14ac:dyDescent="0.15">
      <c r="A1518" s="3"/>
      <c r="B1518" t="s">
        <v>4024</v>
      </c>
      <c r="C1518" s="916">
        <v>106012.42499444949</v>
      </c>
    </row>
    <row r="1519" spans="1:3" x14ac:dyDescent="0.15">
      <c r="A1519" s="3"/>
      <c r="B1519" t="s">
        <v>4025</v>
      </c>
      <c r="C1519" s="916">
        <v>87277.850879096295</v>
      </c>
    </row>
    <row r="1520" spans="1:3" x14ac:dyDescent="0.15">
      <c r="A1520" s="3"/>
      <c r="B1520" t="s">
        <v>4026</v>
      </c>
      <c r="C1520" s="916">
        <v>87277.850879096295</v>
      </c>
    </row>
    <row r="1521" spans="1:3" x14ac:dyDescent="0.15">
      <c r="A1521" s="3"/>
      <c r="B1521" t="s">
        <v>4027</v>
      </c>
      <c r="C1521" s="916">
        <v>20136.618090557393</v>
      </c>
    </row>
    <row r="1522" spans="1:3" x14ac:dyDescent="0.15">
      <c r="A1522" s="3"/>
      <c r="B1522" t="s">
        <v>4028</v>
      </c>
      <c r="C1522" s="916">
        <v>62551.098535576341</v>
      </c>
    </row>
    <row r="1523" spans="1:3" x14ac:dyDescent="0.15">
      <c r="A1523" s="3"/>
      <c r="B1523" t="s">
        <v>4029</v>
      </c>
      <c r="C1523" s="916">
        <v>615.39008342245984</v>
      </c>
    </row>
    <row r="1524" spans="1:3" x14ac:dyDescent="0.15">
      <c r="A1524" s="3"/>
      <c r="B1524" s="526" t="s">
        <v>4030</v>
      </c>
      <c r="C1524" s="916">
        <v>36426.901995363005</v>
      </c>
    </row>
    <row r="1525" spans="1:3" x14ac:dyDescent="0.15">
      <c r="A1525" s="3"/>
      <c r="B1525" s="526" t="s">
        <v>4031</v>
      </c>
      <c r="C1525" s="916">
        <v>36426.901995363005</v>
      </c>
    </row>
    <row r="1526" spans="1:3" x14ac:dyDescent="0.15">
      <c r="A1526" s="3"/>
      <c r="B1526" s="526" t="s">
        <v>4032</v>
      </c>
      <c r="C1526" s="916">
        <v>33992.302523002589</v>
      </c>
    </row>
    <row r="1527" spans="1:3" x14ac:dyDescent="0.15">
      <c r="A1527" s="3"/>
      <c r="B1527" t="s">
        <v>4033</v>
      </c>
      <c r="C1527" s="916">
        <v>3749.8012191889752</v>
      </c>
    </row>
    <row r="1528" spans="1:3" x14ac:dyDescent="0.15">
      <c r="A1528" s="3"/>
      <c r="B1528" t="s">
        <v>4034</v>
      </c>
      <c r="C1528" s="916">
        <v>48543.555387689659</v>
      </c>
    </row>
    <row r="1529" spans="1:3" x14ac:dyDescent="0.15">
      <c r="A1529" s="3"/>
      <c r="B1529" t="s">
        <v>4035</v>
      </c>
      <c r="C1529" s="916">
        <v>189167.22449229649</v>
      </c>
    </row>
    <row r="1530" spans="1:3" x14ac:dyDescent="0.15">
      <c r="A1530" s="3"/>
      <c r="B1530" s="526" t="s">
        <v>4036</v>
      </c>
      <c r="C1530" s="916">
        <v>216124.0034000657</v>
      </c>
    </row>
    <row r="1531" spans="1:3" x14ac:dyDescent="0.15">
      <c r="A1531" s="3"/>
      <c r="B1531" s="526" t="s">
        <v>4037</v>
      </c>
      <c r="C1531" s="916">
        <v>134570.11249132303</v>
      </c>
    </row>
    <row r="1532" spans="1:3" x14ac:dyDescent="0.15">
      <c r="A1532" s="936"/>
      <c r="B1532" s="934" t="s">
        <v>4040</v>
      </c>
      <c r="C1532" s="935"/>
    </row>
    <row r="1533" spans="1:3" x14ac:dyDescent="0.15">
      <c r="A1533" s="3" t="s">
        <v>4041</v>
      </c>
      <c r="B1533" t="s">
        <v>4011</v>
      </c>
      <c r="C1533" s="916">
        <v>70415.236495493649</v>
      </c>
    </row>
    <row r="1534" spans="1:3" x14ac:dyDescent="0.15">
      <c r="A1534" s="3"/>
      <c r="B1534" s="526" t="s">
        <v>4012</v>
      </c>
      <c r="C1534" s="916">
        <v>70415.236495493649</v>
      </c>
    </row>
    <row r="1535" spans="1:3" x14ac:dyDescent="0.15">
      <c r="A1535" s="3"/>
      <c r="B1535" s="526" t="s">
        <v>4013</v>
      </c>
      <c r="C1535" s="916">
        <v>70415.236495493649</v>
      </c>
    </row>
    <row r="1536" spans="1:3" x14ac:dyDescent="0.15">
      <c r="A1536" s="3"/>
      <c r="B1536" s="526" t="s">
        <v>4014</v>
      </c>
      <c r="C1536" s="916">
        <v>70415.236495493649</v>
      </c>
    </row>
    <row r="1537" spans="1:3" x14ac:dyDescent="0.15">
      <c r="A1537" s="3"/>
      <c r="B1537" s="526" t="s">
        <v>4015</v>
      </c>
      <c r="C1537" s="916">
        <v>70415.236495493649</v>
      </c>
    </row>
    <row r="1538" spans="1:3" x14ac:dyDescent="0.15">
      <c r="A1538" s="3"/>
      <c r="B1538" s="526" t="s">
        <v>4016</v>
      </c>
      <c r="C1538" s="916">
        <v>70415.236495493649</v>
      </c>
    </row>
    <row r="1539" spans="1:3" x14ac:dyDescent="0.15">
      <c r="A1539" s="3"/>
      <c r="B1539" s="526" t="s">
        <v>4017</v>
      </c>
      <c r="C1539" s="916">
        <v>70415.236495493649</v>
      </c>
    </row>
    <row r="1540" spans="1:3" x14ac:dyDescent="0.15">
      <c r="A1540" s="3"/>
      <c r="B1540" s="526" t="s">
        <v>2843</v>
      </c>
      <c r="C1540" s="916">
        <v>70415.236495493649</v>
      </c>
    </row>
    <row r="1541" spans="1:3" x14ac:dyDescent="0.15">
      <c r="A1541" s="3"/>
      <c r="B1541" s="526" t="s">
        <v>4018</v>
      </c>
      <c r="C1541" s="916">
        <v>70415.236495493649</v>
      </c>
    </row>
    <row r="1542" spans="1:3" x14ac:dyDescent="0.15">
      <c r="A1542" s="3"/>
      <c r="B1542" s="526" t="s">
        <v>4019</v>
      </c>
      <c r="C1542" s="916">
        <v>615.39008342245984</v>
      </c>
    </row>
    <row r="1543" spans="1:3" x14ac:dyDescent="0.15">
      <c r="A1543" s="3"/>
      <c r="B1543" t="s">
        <v>4020</v>
      </c>
      <c r="C1543" s="916">
        <v>138633.82081554571</v>
      </c>
    </row>
    <row r="1544" spans="1:3" x14ac:dyDescent="0.15">
      <c r="A1544" s="3"/>
      <c r="B1544" t="s">
        <v>4021</v>
      </c>
      <c r="C1544" s="916">
        <v>138633.82081554571</v>
      </c>
    </row>
    <row r="1545" spans="1:3" x14ac:dyDescent="0.15">
      <c r="A1545" s="3"/>
      <c r="B1545" s="526" t="s">
        <v>4022</v>
      </c>
      <c r="C1545" s="916">
        <v>142217.78903377001</v>
      </c>
    </row>
    <row r="1546" spans="1:3" x14ac:dyDescent="0.15">
      <c r="A1546" s="3"/>
      <c r="B1546" t="s">
        <v>4023</v>
      </c>
      <c r="C1546" s="916">
        <v>218629.75925053674</v>
      </c>
    </row>
    <row r="1547" spans="1:3" x14ac:dyDescent="0.15">
      <c r="A1547" s="3"/>
      <c r="B1547" t="s">
        <v>4024</v>
      </c>
      <c r="C1547" s="916">
        <v>218629.75925053674</v>
      </c>
    </row>
    <row r="1548" spans="1:3" x14ac:dyDescent="0.15">
      <c r="A1548" s="3"/>
      <c r="B1548" t="s">
        <v>4025</v>
      </c>
      <c r="C1548" s="916">
        <v>160637.62679028435</v>
      </c>
    </row>
    <row r="1549" spans="1:3" x14ac:dyDescent="0.15">
      <c r="A1549" s="3"/>
      <c r="B1549" t="s">
        <v>4026</v>
      </c>
      <c r="C1549" s="916">
        <v>160637.62679028435</v>
      </c>
    </row>
    <row r="1550" spans="1:3" x14ac:dyDescent="0.15">
      <c r="A1550" s="3"/>
      <c r="B1550" t="s">
        <v>4027</v>
      </c>
      <c r="C1550" s="916">
        <v>39431.052611067469</v>
      </c>
    </row>
    <row r="1551" spans="1:3" x14ac:dyDescent="0.15">
      <c r="A1551" s="3"/>
      <c r="B1551" t="s">
        <v>4028</v>
      </c>
      <c r="C1551" s="916">
        <v>114612.79624085034</v>
      </c>
    </row>
    <row r="1552" spans="1:3" x14ac:dyDescent="0.15">
      <c r="A1552" s="3"/>
      <c r="B1552" t="s">
        <v>4029</v>
      </c>
      <c r="C1552" s="916">
        <v>615.39008342245984</v>
      </c>
    </row>
    <row r="1553" spans="1:3" x14ac:dyDescent="0.15">
      <c r="A1553" s="3"/>
      <c r="B1553" s="526" t="s">
        <v>4030</v>
      </c>
      <c r="C1553" s="916">
        <v>68723.781450000242</v>
      </c>
    </row>
    <row r="1554" spans="1:3" x14ac:dyDescent="0.15">
      <c r="A1554" s="3"/>
      <c r="B1554" s="526" t="s">
        <v>4031</v>
      </c>
      <c r="C1554" s="916">
        <v>68723.781450000242</v>
      </c>
    </row>
    <row r="1555" spans="1:3" x14ac:dyDescent="0.15">
      <c r="A1555" s="3"/>
      <c r="B1555" s="526" t="s">
        <v>4032</v>
      </c>
      <c r="C1555" s="916">
        <v>66289.181977639833</v>
      </c>
    </row>
    <row r="1556" spans="1:3" x14ac:dyDescent="0.15">
      <c r="A1556" s="3"/>
      <c r="B1556" t="s">
        <v>4033</v>
      </c>
      <c r="C1556" s="916">
        <v>4999.7349589186333</v>
      </c>
    </row>
    <row r="1557" spans="1:3" x14ac:dyDescent="0.15">
      <c r="A1557" s="3"/>
      <c r="B1557" t="s">
        <v>4034</v>
      </c>
      <c r="C1557" s="916">
        <v>48543.555387689659</v>
      </c>
    </row>
    <row r="1558" spans="1:3" x14ac:dyDescent="0.15">
      <c r="A1558" s="3"/>
      <c r="B1558" t="s">
        <v>4035</v>
      </c>
      <c r="C1558" s="916">
        <v>222516.75400470028</v>
      </c>
    </row>
    <row r="1559" spans="1:3" x14ac:dyDescent="0.15">
      <c r="A1559" s="3"/>
      <c r="B1559" s="526" t="s">
        <v>4036</v>
      </c>
      <c r="C1559" s="916">
        <v>354406.6446382748</v>
      </c>
    </row>
    <row r="1560" spans="1:3" x14ac:dyDescent="0.15">
      <c r="A1560" s="3"/>
      <c r="B1560" s="526" t="s">
        <v>4037</v>
      </c>
      <c r="C1560" s="916">
        <v>245287.83478699805</v>
      </c>
    </row>
    <row r="1563" spans="1:3" ht="20" x14ac:dyDescent="0.2">
      <c r="A1563" s="926"/>
      <c r="B1563" s="927" t="s">
        <v>4005</v>
      </c>
      <c r="C1563" s="928"/>
    </row>
    <row r="1564" spans="1:3" x14ac:dyDescent="0.15">
      <c r="A1564" s="922" t="s">
        <v>3891</v>
      </c>
      <c r="B1564" s="896" t="s">
        <v>4006</v>
      </c>
      <c r="C1564" s="897"/>
    </row>
    <row r="1565" spans="1:3" x14ac:dyDescent="0.15">
      <c r="A1565" s="933">
        <v>4</v>
      </c>
      <c r="B1565" s="934" t="s">
        <v>4007</v>
      </c>
      <c r="C1565" s="935"/>
    </row>
    <row r="1566" spans="1:3" x14ac:dyDescent="0.15">
      <c r="A1566" s="3"/>
      <c r="B1566" t="s">
        <v>4008</v>
      </c>
      <c r="C1566" s="526" t="s">
        <v>4009</v>
      </c>
    </row>
    <row r="1567" spans="1:3" x14ac:dyDescent="0.15">
      <c r="A1567" s="3" t="s">
        <v>4010</v>
      </c>
      <c r="B1567" t="s">
        <v>4011</v>
      </c>
      <c r="C1567" s="916">
        <v>15793.535539996074</v>
      </c>
    </row>
    <row r="1568" spans="1:3" x14ac:dyDescent="0.15">
      <c r="A1568" s="3"/>
      <c r="B1568" s="526" t="s">
        <v>4012</v>
      </c>
      <c r="C1568" s="916">
        <v>15793.535539996074</v>
      </c>
    </row>
    <row r="1569" spans="1:3" x14ac:dyDescent="0.15">
      <c r="A1569" s="3"/>
      <c r="B1569" s="526" t="s">
        <v>4013</v>
      </c>
      <c r="C1569" s="916">
        <v>15793.535539996074</v>
      </c>
    </row>
    <row r="1570" spans="1:3" x14ac:dyDescent="0.15">
      <c r="A1570" s="3"/>
      <c r="B1570" s="526" t="s">
        <v>4014</v>
      </c>
      <c r="C1570" s="916">
        <v>15793.535539996074</v>
      </c>
    </row>
    <row r="1571" spans="1:3" x14ac:dyDescent="0.15">
      <c r="A1571" s="3"/>
      <c r="B1571" s="526" t="s">
        <v>4015</v>
      </c>
      <c r="C1571" s="916">
        <v>15793.535539996074</v>
      </c>
    </row>
    <row r="1572" spans="1:3" x14ac:dyDescent="0.15">
      <c r="A1572" s="3"/>
      <c r="B1572" s="526" t="s">
        <v>4016</v>
      </c>
      <c r="C1572" s="916">
        <v>15793.535539996074</v>
      </c>
    </row>
    <row r="1573" spans="1:3" x14ac:dyDescent="0.15">
      <c r="A1573" s="3"/>
      <c r="B1573" s="526" t="s">
        <v>4017</v>
      </c>
      <c r="C1573" s="916">
        <v>15793.535539996074</v>
      </c>
    </row>
    <row r="1574" spans="1:3" x14ac:dyDescent="0.15">
      <c r="A1574" s="3"/>
      <c r="B1574" s="526" t="s">
        <v>2843</v>
      </c>
      <c r="C1574" s="916">
        <v>15793.535539996074</v>
      </c>
    </row>
    <row r="1575" spans="1:3" x14ac:dyDescent="0.15">
      <c r="A1575" s="3"/>
      <c r="B1575" s="526" t="s">
        <v>4018</v>
      </c>
      <c r="C1575" s="916">
        <v>15793.535539996074</v>
      </c>
    </row>
    <row r="1576" spans="1:3" x14ac:dyDescent="0.15">
      <c r="A1576" s="3"/>
      <c r="B1576" s="526" t="s">
        <v>4019</v>
      </c>
      <c r="C1576" s="916">
        <v>615.39008342245984</v>
      </c>
    </row>
    <row r="1577" spans="1:3" x14ac:dyDescent="0.15">
      <c r="A1577" s="3"/>
      <c r="B1577" t="s">
        <v>4020</v>
      </c>
      <c r="C1577" s="916">
        <v>1217.0660847213492</v>
      </c>
    </row>
    <row r="1578" spans="1:3" x14ac:dyDescent="0.15">
      <c r="A1578" s="3"/>
      <c r="B1578" t="s">
        <v>4021</v>
      </c>
      <c r="C1578" s="916">
        <v>1217.0660847213492</v>
      </c>
    </row>
    <row r="1579" spans="1:3" x14ac:dyDescent="0.15">
      <c r="A1579" s="3"/>
      <c r="B1579" s="526" t="s">
        <v>4022</v>
      </c>
      <c r="C1579" s="916">
        <v>860.39920013666426</v>
      </c>
    </row>
    <row r="1580" spans="1:3" x14ac:dyDescent="0.15">
      <c r="A1580" s="3"/>
      <c r="B1580" t="s">
        <v>4023</v>
      </c>
      <c r="C1580" s="916">
        <v>58859.382028416068</v>
      </c>
    </row>
    <row r="1581" spans="1:3" x14ac:dyDescent="0.15">
      <c r="A1581" s="3"/>
      <c r="B1581" t="s">
        <v>4024</v>
      </c>
      <c r="C1581" s="916">
        <v>58859.382028416068</v>
      </c>
    </row>
    <row r="1582" spans="1:3" x14ac:dyDescent="0.15">
      <c r="A1582" s="3"/>
      <c r="B1582" t="s">
        <v>4025</v>
      </c>
      <c r="C1582" s="916">
        <v>2709.1797841536459</v>
      </c>
    </row>
    <row r="1583" spans="1:3" x14ac:dyDescent="0.15">
      <c r="A1583" s="3"/>
      <c r="B1583" t="s">
        <v>4026</v>
      </c>
      <c r="C1583" s="916">
        <v>2709.1797841536459</v>
      </c>
    </row>
    <row r="1584" spans="1:3" x14ac:dyDescent="0.15">
      <c r="A1584" s="3"/>
      <c r="B1584" t="s">
        <v>4027</v>
      </c>
      <c r="C1584" s="916">
        <v>0</v>
      </c>
    </row>
    <row r="1585" spans="1:3" x14ac:dyDescent="0.15">
      <c r="A1585" s="3"/>
      <c r="B1585" t="s">
        <v>4028</v>
      </c>
      <c r="C1585" s="916">
        <v>24372.554078613746</v>
      </c>
    </row>
    <row r="1586" spans="1:3" x14ac:dyDescent="0.15">
      <c r="A1586" s="3"/>
      <c r="B1586" t="s">
        <v>4029</v>
      </c>
      <c r="C1586" s="916">
        <v>615.39008342245984</v>
      </c>
    </row>
    <row r="1587" spans="1:3" x14ac:dyDescent="0.15">
      <c r="A1587" s="3"/>
      <c r="B1587" s="526" t="s">
        <v>4030</v>
      </c>
      <c r="C1587" s="916">
        <v>16444.957306241584</v>
      </c>
    </row>
    <row r="1588" spans="1:3" x14ac:dyDescent="0.15">
      <c r="A1588" s="3"/>
      <c r="B1588" s="526" t="s">
        <v>4031</v>
      </c>
      <c r="C1588" s="916">
        <v>16444.957306241584</v>
      </c>
    </row>
    <row r="1589" spans="1:3" x14ac:dyDescent="0.15">
      <c r="A1589" s="3"/>
      <c r="B1589" s="526" t="s">
        <v>4032</v>
      </c>
      <c r="C1589" s="916">
        <v>14998.238656107189</v>
      </c>
    </row>
    <row r="1590" spans="1:3" x14ac:dyDescent="0.15">
      <c r="A1590" s="3"/>
      <c r="B1590" t="s">
        <v>4033</v>
      </c>
      <c r="C1590" s="916">
        <v>2499.8674794593167</v>
      </c>
    </row>
    <row r="1591" spans="1:3" x14ac:dyDescent="0.15">
      <c r="A1591" s="3"/>
      <c r="B1591" t="s">
        <v>4034</v>
      </c>
      <c r="C1591" s="916">
        <v>32140.792422095365</v>
      </c>
    </row>
    <row r="1592" spans="1:3" x14ac:dyDescent="0.15">
      <c r="A1592" s="3"/>
      <c r="B1592" t="s">
        <v>4035</v>
      </c>
      <c r="C1592" s="916">
        <v>5513.4302822925574</v>
      </c>
    </row>
    <row r="1593" spans="1:3" x14ac:dyDescent="0.15">
      <c r="A1593" s="3"/>
      <c r="B1593" s="526" t="s">
        <v>4036</v>
      </c>
      <c r="C1593" s="916">
        <v>134602.19700079926</v>
      </c>
    </row>
    <row r="1594" spans="1:3" x14ac:dyDescent="0.15">
      <c r="A1594" s="3"/>
      <c r="B1594" s="526" t="s">
        <v>4037</v>
      </c>
      <c r="C1594" s="916">
        <v>113958.93551980422</v>
      </c>
    </row>
    <row r="1595" spans="1:3" x14ac:dyDescent="0.15">
      <c r="A1595" s="936"/>
      <c r="B1595" s="934" t="s">
        <v>4038</v>
      </c>
      <c r="C1595" s="935"/>
    </row>
    <row r="1596" spans="1:3" x14ac:dyDescent="0.15">
      <c r="A1596" s="3" t="s">
        <v>4042</v>
      </c>
      <c r="B1596" t="s">
        <v>4011</v>
      </c>
      <c r="C1596" s="916">
        <v>70415.236495493649</v>
      </c>
    </row>
    <row r="1597" spans="1:3" x14ac:dyDescent="0.15">
      <c r="A1597" s="3"/>
      <c r="B1597" s="526" t="s">
        <v>4012</v>
      </c>
      <c r="C1597" s="916">
        <v>70415.236495493649</v>
      </c>
    </row>
    <row r="1598" spans="1:3" x14ac:dyDescent="0.15">
      <c r="A1598" s="3"/>
      <c r="B1598" s="526" t="s">
        <v>4013</v>
      </c>
      <c r="C1598" s="916">
        <v>70415.236495493649</v>
      </c>
    </row>
    <row r="1599" spans="1:3" x14ac:dyDescent="0.15">
      <c r="A1599" s="3"/>
      <c r="B1599" s="526" t="s">
        <v>4014</v>
      </c>
      <c r="C1599" s="916">
        <v>70415.236495493649</v>
      </c>
    </row>
    <row r="1600" spans="1:3" x14ac:dyDescent="0.15">
      <c r="A1600" s="3"/>
      <c r="B1600" s="526" t="s">
        <v>4015</v>
      </c>
      <c r="C1600" s="916">
        <v>70415.236495493649</v>
      </c>
    </row>
    <row r="1601" spans="1:3" x14ac:dyDescent="0.15">
      <c r="A1601" s="3"/>
      <c r="B1601" s="526" t="s">
        <v>4016</v>
      </c>
      <c r="C1601" s="916">
        <v>70415.236495493649</v>
      </c>
    </row>
    <row r="1602" spans="1:3" x14ac:dyDescent="0.15">
      <c r="A1602" s="3"/>
      <c r="B1602" s="526" t="s">
        <v>4017</v>
      </c>
      <c r="C1602" s="916">
        <v>70415.236495493649</v>
      </c>
    </row>
    <row r="1603" spans="1:3" x14ac:dyDescent="0.15">
      <c r="A1603" s="3"/>
      <c r="B1603" s="526" t="s">
        <v>2843</v>
      </c>
      <c r="C1603" s="916">
        <v>70415.236495493649</v>
      </c>
    </row>
    <row r="1604" spans="1:3" x14ac:dyDescent="0.15">
      <c r="A1604" s="3"/>
      <c r="B1604" s="526" t="s">
        <v>4018</v>
      </c>
      <c r="C1604" s="916">
        <v>70415.236495493649</v>
      </c>
    </row>
    <row r="1605" spans="1:3" x14ac:dyDescent="0.15">
      <c r="A1605" s="3"/>
      <c r="B1605" s="526" t="s">
        <v>4019</v>
      </c>
      <c r="C1605" s="916">
        <v>615.39008342245984</v>
      </c>
    </row>
    <row r="1606" spans="1:3" x14ac:dyDescent="0.15">
      <c r="A1606" s="3"/>
      <c r="B1606" t="s">
        <v>4020</v>
      </c>
      <c r="C1606" s="916">
        <v>66652.775724390434</v>
      </c>
    </row>
    <row r="1607" spans="1:3" x14ac:dyDescent="0.15">
      <c r="A1607" s="3"/>
      <c r="B1607" t="s">
        <v>4021</v>
      </c>
      <c r="C1607" s="916">
        <v>66652.775724390434</v>
      </c>
    </row>
    <row r="1608" spans="1:3" x14ac:dyDescent="0.15">
      <c r="A1608" s="3"/>
      <c r="B1608" s="526" t="s">
        <v>4022</v>
      </c>
      <c r="C1608" s="916">
        <v>67436.081031866575</v>
      </c>
    </row>
    <row r="1609" spans="1:3" x14ac:dyDescent="0.15">
      <c r="A1609" s="3"/>
      <c r="B1609" t="s">
        <v>4023</v>
      </c>
      <c r="C1609" s="916">
        <v>106012.42499444949</v>
      </c>
    </row>
    <row r="1610" spans="1:3" x14ac:dyDescent="0.15">
      <c r="A1610" s="3"/>
      <c r="B1610" t="s">
        <v>4024</v>
      </c>
      <c r="C1610" s="916">
        <v>106012.42499444949</v>
      </c>
    </row>
    <row r="1611" spans="1:3" x14ac:dyDescent="0.15">
      <c r="A1611" s="3"/>
      <c r="B1611" t="s">
        <v>4025</v>
      </c>
      <c r="C1611" s="916">
        <v>87277.850879096295</v>
      </c>
    </row>
    <row r="1612" spans="1:3" x14ac:dyDescent="0.15">
      <c r="A1612" s="3"/>
      <c r="B1612" t="s">
        <v>4026</v>
      </c>
      <c r="C1612" s="916">
        <v>87277.850879096295</v>
      </c>
    </row>
    <row r="1613" spans="1:3" x14ac:dyDescent="0.15">
      <c r="A1613" s="3"/>
      <c r="B1613" t="s">
        <v>4027</v>
      </c>
      <c r="C1613" s="916">
        <v>20136.618090557393</v>
      </c>
    </row>
    <row r="1614" spans="1:3" x14ac:dyDescent="0.15">
      <c r="A1614" s="3"/>
      <c r="B1614" t="s">
        <v>4028</v>
      </c>
      <c r="C1614" s="916">
        <v>62551.098535576341</v>
      </c>
    </row>
    <row r="1615" spans="1:3" x14ac:dyDescent="0.15">
      <c r="A1615" s="3"/>
      <c r="B1615" t="s">
        <v>4029</v>
      </c>
      <c r="C1615" s="916">
        <v>615.39008342245984</v>
      </c>
    </row>
    <row r="1616" spans="1:3" x14ac:dyDescent="0.15">
      <c r="A1616" s="3"/>
      <c r="B1616" s="526" t="s">
        <v>4030</v>
      </c>
      <c r="C1616" s="916">
        <v>36426.901995363005</v>
      </c>
    </row>
    <row r="1617" spans="1:3" x14ac:dyDescent="0.15">
      <c r="A1617" s="3"/>
      <c r="B1617" s="526" t="s">
        <v>4031</v>
      </c>
      <c r="C1617" s="916">
        <v>36426.901995363005</v>
      </c>
    </row>
    <row r="1618" spans="1:3" x14ac:dyDescent="0.15">
      <c r="A1618" s="3"/>
      <c r="B1618" s="526" t="s">
        <v>4032</v>
      </c>
      <c r="C1618" s="916">
        <v>33992.302523002589</v>
      </c>
    </row>
    <row r="1619" spans="1:3" x14ac:dyDescent="0.15">
      <c r="A1619" s="3"/>
      <c r="B1619" t="s">
        <v>4033</v>
      </c>
      <c r="C1619" s="916">
        <v>3749.8012191889752</v>
      </c>
    </row>
    <row r="1620" spans="1:3" x14ac:dyDescent="0.15">
      <c r="A1620" s="3"/>
      <c r="B1620" t="s">
        <v>4034</v>
      </c>
      <c r="C1620" s="916">
        <v>48543.555387689659</v>
      </c>
    </row>
    <row r="1621" spans="1:3" x14ac:dyDescent="0.15">
      <c r="A1621" s="3"/>
      <c r="B1621" t="s">
        <v>4035</v>
      </c>
      <c r="C1621" s="916">
        <v>189167.22449229649</v>
      </c>
    </row>
    <row r="1622" spans="1:3" x14ac:dyDescent="0.15">
      <c r="A1622" s="3"/>
      <c r="B1622" s="526" t="s">
        <v>4036</v>
      </c>
      <c r="C1622" s="916">
        <v>216124.0034000657</v>
      </c>
    </row>
    <row r="1623" spans="1:3" x14ac:dyDescent="0.15">
      <c r="A1623" s="3"/>
      <c r="B1623" s="526" t="s">
        <v>4037</v>
      </c>
      <c r="C1623" s="916">
        <v>134570.11249132303</v>
      </c>
    </row>
    <row r="1626" spans="1:3" ht="20" x14ac:dyDescent="0.2">
      <c r="A1626" s="926"/>
      <c r="B1626" s="927" t="s">
        <v>4005</v>
      </c>
      <c r="C1626" s="928"/>
    </row>
    <row r="1627" spans="1:3" x14ac:dyDescent="0.15">
      <c r="A1627" s="922" t="s">
        <v>3891</v>
      </c>
      <c r="B1627" s="896" t="s">
        <v>4006</v>
      </c>
      <c r="C1627" s="897"/>
    </row>
    <row r="1628" spans="1:3" x14ac:dyDescent="0.15">
      <c r="A1628" s="933">
        <v>4</v>
      </c>
      <c r="B1628" s="934" t="s">
        <v>4007</v>
      </c>
      <c r="C1628" s="935"/>
    </row>
    <row r="1629" spans="1:3" x14ac:dyDescent="0.15">
      <c r="A1629" s="3"/>
      <c r="B1629" t="s">
        <v>4008</v>
      </c>
      <c r="C1629" s="526" t="s">
        <v>4009</v>
      </c>
    </row>
    <row r="1630" spans="1:3" x14ac:dyDescent="0.15">
      <c r="A1630" s="3" t="s">
        <v>4043</v>
      </c>
      <c r="B1630" t="s">
        <v>4011</v>
      </c>
      <c r="C1630" s="916">
        <v>15793.535539996074</v>
      </c>
    </row>
    <row r="1631" spans="1:3" x14ac:dyDescent="0.15">
      <c r="A1631" s="3"/>
      <c r="B1631" s="526" t="s">
        <v>4012</v>
      </c>
      <c r="C1631" s="916">
        <v>15793.535539996074</v>
      </c>
    </row>
    <row r="1632" spans="1:3" x14ac:dyDescent="0.15">
      <c r="A1632" s="3"/>
      <c r="B1632" s="526" t="s">
        <v>4013</v>
      </c>
      <c r="C1632" s="916">
        <v>15793.535539996074</v>
      </c>
    </row>
    <row r="1633" spans="1:3" x14ac:dyDescent="0.15">
      <c r="A1633" s="3"/>
      <c r="B1633" s="526" t="s">
        <v>4014</v>
      </c>
      <c r="C1633" s="916">
        <v>15793.535539996074</v>
      </c>
    </row>
    <row r="1634" spans="1:3" x14ac:dyDescent="0.15">
      <c r="A1634" s="3"/>
      <c r="B1634" s="526" t="s">
        <v>4015</v>
      </c>
      <c r="C1634" s="916">
        <v>15793.535539996074</v>
      </c>
    </row>
    <row r="1635" spans="1:3" x14ac:dyDescent="0.15">
      <c r="A1635" s="3"/>
      <c r="B1635" s="526" t="s">
        <v>4016</v>
      </c>
      <c r="C1635" s="916">
        <v>15793.535539996074</v>
      </c>
    </row>
    <row r="1636" spans="1:3" x14ac:dyDescent="0.15">
      <c r="A1636" s="3"/>
      <c r="B1636" s="526" t="s">
        <v>4017</v>
      </c>
      <c r="C1636" s="916">
        <v>15793.535539996074</v>
      </c>
    </row>
    <row r="1637" spans="1:3" x14ac:dyDescent="0.15">
      <c r="A1637" s="3"/>
      <c r="B1637" s="526" t="s">
        <v>2843</v>
      </c>
      <c r="C1637" s="916">
        <v>15793.535539996074</v>
      </c>
    </row>
    <row r="1638" spans="1:3" x14ac:dyDescent="0.15">
      <c r="A1638" s="3"/>
      <c r="B1638" s="526" t="s">
        <v>4018</v>
      </c>
      <c r="C1638" s="916">
        <v>15793.535539996074</v>
      </c>
    </row>
    <row r="1639" spans="1:3" x14ac:dyDescent="0.15">
      <c r="A1639" s="3"/>
      <c r="B1639" s="526" t="s">
        <v>4019</v>
      </c>
      <c r="C1639" s="916">
        <v>615.39008342245984</v>
      </c>
    </row>
    <row r="1640" spans="1:3" x14ac:dyDescent="0.15">
      <c r="A1640" s="3"/>
      <c r="B1640" t="s">
        <v>4020</v>
      </c>
      <c r="C1640" s="916">
        <v>1217.0660847213492</v>
      </c>
    </row>
    <row r="1641" spans="1:3" x14ac:dyDescent="0.15">
      <c r="A1641" s="3"/>
      <c r="B1641" t="s">
        <v>4021</v>
      </c>
      <c r="C1641" s="916">
        <v>1217.0660847213492</v>
      </c>
    </row>
    <row r="1642" spans="1:3" x14ac:dyDescent="0.15">
      <c r="A1642" s="3"/>
      <c r="B1642" s="526" t="s">
        <v>4022</v>
      </c>
      <c r="C1642" s="916">
        <v>860.39920013666426</v>
      </c>
    </row>
    <row r="1643" spans="1:3" x14ac:dyDescent="0.15">
      <c r="A1643" s="3"/>
      <c r="B1643" t="s">
        <v>4023</v>
      </c>
      <c r="C1643" s="916">
        <v>58859.382028416068</v>
      </c>
    </row>
    <row r="1644" spans="1:3" x14ac:dyDescent="0.15">
      <c r="A1644" s="3"/>
      <c r="B1644" t="s">
        <v>4024</v>
      </c>
      <c r="C1644" s="916">
        <v>58859.382028416068</v>
      </c>
    </row>
    <row r="1645" spans="1:3" x14ac:dyDescent="0.15">
      <c r="A1645" s="3"/>
      <c r="B1645" t="s">
        <v>4025</v>
      </c>
      <c r="C1645" s="916">
        <v>2709.1797841536459</v>
      </c>
    </row>
    <row r="1646" spans="1:3" x14ac:dyDescent="0.15">
      <c r="A1646" s="3"/>
      <c r="B1646" t="s">
        <v>4026</v>
      </c>
      <c r="C1646" s="916">
        <v>2709.1797841536459</v>
      </c>
    </row>
    <row r="1647" spans="1:3" x14ac:dyDescent="0.15">
      <c r="A1647" s="3"/>
      <c r="B1647" t="s">
        <v>4027</v>
      </c>
      <c r="C1647" s="916">
        <v>0</v>
      </c>
    </row>
    <row r="1648" spans="1:3" x14ac:dyDescent="0.15">
      <c r="A1648" s="3"/>
      <c r="B1648" t="s">
        <v>4028</v>
      </c>
      <c r="C1648" s="916">
        <v>24372.554078613746</v>
      </c>
    </row>
    <row r="1649" spans="1:5" x14ac:dyDescent="0.15">
      <c r="A1649" s="3"/>
      <c r="B1649" t="s">
        <v>4029</v>
      </c>
      <c r="C1649" s="916">
        <v>615.39008342245984</v>
      </c>
    </row>
    <row r="1650" spans="1:5" x14ac:dyDescent="0.15">
      <c r="A1650" s="3"/>
      <c r="B1650" s="526" t="s">
        <v>4030</v>
      </c>
      <c r="C1650" s="916">
        <v>16444.957306241584</v>
      </c>
    </row>
    <row r="1651" spans="1:5" x14ac:dyDescent="0.15">
      <c r="A1651" s="3"/>
      <c r="B1651" s="526" t="s">
        <v>4031</v>
      </c>
      <c r="C1651" s="916">
        <v>16444.957306241584</v>
      </c>
    </row>
    <row r="1652" spans="1:5" x14ac:dyDescent="0.15">
      <c r="A1652" s="3"/>
      <c r="B1652" s="526" t="s">
        <v>4032</v>
      </c>
      <c r="C1652" s="916">
        <v>14998.238656107189</v>
      </c>
    </row>
    <row r="1653" spans="1:5" x14ac:dyDescent="0.15">
      <c r="A1653" s="3"/>
      <c r="B1653" t="s">
        <v>4033</v>
      </c>
      <c r="C1653" s="916">
        <v>2499.8674794593167</v>
      </c>
    </row>
    <row r="1654" spans="1:5" x14ac:dyDescent="0.15">
      <c r="A1654" s="3"/>
      <c r="B1654" t="s">
        <v>4034</v>
      </c>
      <c r="C1654" s="916">
        <v>32140.792422095365</v>
      </c>
    </row>
    <row r="1655" spans="1:5" x14ac:dyDescent="0.15">
      <c r="A1655" s="3"/>
      <c r="B1655" t="s">
        <v>4035</v>
      </c>
      <c r="C1655" s="916">
        <v>5513.4302822925574</v>
      </c>
    </row>
    <row r="1656" spans="1:5" x14ac:dyDescent="0.15">
      <c r="A1656" s="3"/>
      <c r="B1656" s="526" t="s">
        <v>4036</v>
      </c>
      <c r="C1656" s="916">
        <v>134602.19700079926</v>
      </c>
    </row>
    <row r="1657" spans="1:5" x14ac:dyDescent="0.15">
      <c r="A1657" s="3"/>
      <c r="B1657" s="526" t="s">
        <v>4037</v>
      </c>
      <c r="C1657" s="916">
        <v>113958.93551980422</v>
      </c>
    </row>
    <row r="1660" spans="1:5" x14ac:dyDescent="0.15">
      <c r="A1660" s="3"/>
      <c r="B1660" s="913" t="s">
        <v>4044</v>
      </c>
      <c r="C1660" s="3" t="s">
        <v>4046</v>
      </c>
      <c r="D1660" s="85">
        <v>17.200849956393093</v>
      </c>
      <c r="E1660" s="72" t="s">
        <v>4045</v>
      </c>
    </row>
    <row r="1663" spans="1:5" x14ac:dyDescent="0.15">
      <c r="A1663" s="3"/>
      <c r="B1663" s="913" t="s">
        <v>4047</v>
      </c>
      <c r="C1663" s="3" t="s">
        <v>4048</v>
      </c>
      <c r="D1663" s="85">
        <v>18.819499575878012</v>
      </c>
      <c r="E1663" s="72" t="s">
        <v>4045</v>
      </c>
    </row>
    <row r="1666" spans="1:5" x14ac:dyDescent="0.15">
      <c r="A1666" s="3"/>
      <c r="B1666" s="913" t="s">
        <v>4049</v>
      </c>
      <c r="C1666" s="3" t="s">
        <v>4051</v>
      </c>
      <c r="D1666" s="85">
        <v>0.26599808746868864</v>
      </c>
      <c r="E1666" s="72" t="s">
        <v>4050</v>
      </c>
    </row>
    <row r="1669" spans="1:5" x14ac:dyDescent="0.15">
      <c r="A1669" s="3"/>
      <c r="B1669" s="913" t="s">
        <v>4052</v>
      </c>
      <c r="C1669" s="3" t="s">
        <v>4053</v>
      </c>
      <c r="D1669" s="85">
        <v>0.38318831991939695</v>
      </c>
      <c r="E1669" s="72" t="s">
        <v>4050</v>
      </c>
    </row>
    <row r="1672" spans="1:5" x14ac:dyDescent="0.15">
      <c r="A1672" s="3"/>
      <c r="B1672" s="913" t="s">
        <v>4054</v>
      </c>
      <c r="C1672" s="3" t="s">
        <v>4056</v>
      </c>
      <c r="D1672" s="85">
        <v>5.5573636935648949</v>
      </c>
      <c r="E1672" s="72" t="s">
        <v>4055</v>
      </c>
    </row>
    <row r="1675" spans="1:5" x14ac:dyDescent="0.15">
      <c r="A1675" s="3"/>
      <c r="B1675" s="913" t="s">
        <v>4057</v>
      </c>
      <c r="C1675" s="3" t="s">
        <v>4058</v>
      </c>
      <c r="D1675" s="85">
        <v>6.0105855870206728</v>
      </c>
      <c r="E1675" s="72" t="s">
        <v>4055</v>
      </c>
    </row>
    <row r="1678" spans="1:5" x14ac:dyDescent="0.15">
      <c r="A1678" s="3" t="s">
        <v>4060</v>
      </c>
      <c r="B1678" s="526" t="s">
        <v>4059</v>
      </c>
      <c r="C1678" s="890">
        <v>2722.1435719501874</v>
      </c>
      <c r="D1678" s="890">
        <v>2600</v>
      </c>
    </row>
    <row r="1681" spans="1:5" x14ac:dyDescent="0.15">
      <c r="A1681" s="922"/>
      <c r="B1681" s="896" t="s">
        <v>4061</v>
      </c>
      <c r="C1681" s="897"/>
    </row>
    <row r="1682" spans="1:5" x14ac:dyDescent="0.15">
      <c r="A1682" s="782"/>
      <c r="B1682" s="894" t="s">
        <v>3950</v>
      </c>
      <c r="C1682" s="847" t="s">
        <v>3951</v>
      </c>
    </row>
    <row r="1683" spans="1:5" x14ac:dyDescent="0.15">
      <c r="A1683" s="3" t="s">
        <v>4062</v>
      </c>
      <c r="B1683">
        <v>0</v>
      </c>
      <c r="C1683" s="890">
        <v>953.90523240122491</v>
      </c>
    </row>
    <row r="1684" spans="1:5" x14ac:dyDescent="0.15">
      <c r="A1684" s="3"/>
      <c r="B1684">
        <v>20000</v>
      </c>
      <c r="C1684" s="890">
        <v>4769.5261620061247</v>
      </c>
    </row>
    <row r="1685" spans="1:5" x14ac:dyDescent="0.15">
      <c r="A1685" s="3"/>
      <c r="B1685">
        <v>50000</v>
      </c>
      <c r="C1685" s="890">
        <v>9857.0207348126569</v>
      </c>
    </row>
    <row r="1688" spans="1:5" x14ac:dyDescent="0.15">
      <c r="A1688" s="3"/>
      <c r="B1688" s="913" t="s">
        <v>4063</v>
      </c>
      <c r="C1688" s="3" t="s">
        <v>4064</v>
      </c>
      <c r="D1688" s="85">
        <v>14784.380530580231</v>
      </c>
      <c r="E1688" s="72" t="s">
        <v>2174</v>
      </c>
    </row>
    <row r="1691" spans="1:5" x14ac:dyDescent="0.15">
      <c r="A1691" s="3"/>
      <c r="B1691" s="913" t="s">
        <v>4065</v>
      </c>
      <c r="C1691" s="3" t="s">
        <v>4066</v>
      </c>
      <c r="D1691" s="85">
        <v>3392.2096819686953</v>
      </c>
      <c r="E1691" s="72" t="s">
        <v>3944</v>
      </c>
    </row>
    <row r="1694" spans="1:5" x14ac:dyDescent="0.15">
      <c r="A1694" s="3"/>
      <c r="B1694" s="913" t="s">
        <v>4067</v>
      </c>
      <c r="C1694" s="3" t="s">
        <v>4068</v>
      </c>
      <c r="D1694" s="85">
        <v>0.56536828032811592</v>
      </c>
      <c r="E1694" s="72" t="s">
        <v>3947</v>
      </c>
    </row>
    <row r="1697" spans="1:4" x14ac:dyDescent="0.15">
      <c r="A1697" s="922"/>
      <c r="B1697" s="896" t="s">
        <v>4069</v>
      </c>
      <c r="C1697" s="897"/>
    </row>
    <row r="1698" spans="1:4" x14ac:dyDescent="0.15">
      <c r="A1698" s="782"/>
      <c r="B1698" s="894" t="s">
        <v>3992</v>
      </c>
      <c r="C1698" s="320" t="s">
        <v>3993</v>
      </c>
    </row>
    <row r="1699" spans="1:4" x14ac:dyDescent="0.15">
      <c r="A1699" s="3" t="s">
        <v>4070</v>
      </c>
      <c r="B1699">
        <v>0</v>
      </c>
      <c r="C1699" s="890">
        <v>0</v>
      </c>
    </row>
    <row r="1700" spans="1:4" x14ac:dyDescent="0.15">
      <c r="A1700" s="3"/>
      <c r="B1700">
        <v>1</v>
      </c>
      <c r="C1700" s="890">
        <v>1779.8631047366612</v>
      </c>
    </row>
    <row r="1701" spans="1:4" x14ac:dyDescent="0.15">
      <c r="A1701" s="3"/>
      <c r="B1701">
        <v>5</v>
      </c>
      <c r="C1701" s="890">
        <v>2722.1435719501874</v>
      </c>
    </row>
    <row r="1704" spans="1:4" x14ac:dyDescent="0.15">
      <c r="A1704" s="922"/>
      <c r="B1704" s="896" t="s">
        <v>4071</v>
      </c>
      <c r="C1704" s="897"/>
      <c r="D1704" s="897"/>
    </row>
    <row r="1705" spans="1:4" x14ac:dyDescent="0.15">
      <c r="A1705" s="782"/>
      <c r="B1705" s="894" t="s">
        <v>3972</v>
      </c>
      <c r="C1705" s="320" t="s">
        <v>3973</v>
      </c>
      <c r="D1705" s="937" t="s">
        <v>4072</v>
      </c>
    </row>
    <row r="1706" spans="1:4" x14ac:dyDescent="0.15">
      <c r="A1706" s="3" t="s">
        <v>4073</v>
      </c>
      <c r="B1706">
        <v>0</v>
      </c>
      <c r="C1706" s="890" t="s">
        <v>3975</v>
      </c>
      <c r="D1706" s="890">
        <v>2.6</v>
      </c>
    </row>
    <row r="1707" spans="1:4" x14ac:dyDescent="0.15">
      <c r="A1707" s="3"/>
      <c r="B1707">
        <v>3.1E-2</v>
      </c>
      <c r="C1707" s="890" t="s">
        <v>3976</v>
      </c>
      <c r="D1707" s="890">
        <v>2.2999999999999998</v>
      </c>
    </row>
    <row r="1708" spans="1:4" x14ac:dyDescent="0.15">
      <c r="A1708" s="3"/>
      <c r="B1708">
        <v>0.1241</v>
      </c>
      <c r="C1708" s="890" t="s">
        <v>3977</v>
      </c>
      <c r="D1708" s="890">
        <v>2.2000000000000002</v>
      </c>
    </row>
    <row r="1709" spans="1:4" x14ac:dyDescent="0.15">
      <c r="B1709">
        <v>0.30509999999999998</v>
      </c>
      <c r="C1709" t="s">
        <v>3978</v>
      </c>
      <c r="D1709">
        <v>1.8</v>
      </c>
    </row>
    <row r="1710" spans="1:4" x14ac:dyDescent="0.15">
      <c r="B1710">
        <v>0.74099999999999999</v>
      </c>
      <c r="C1710" t="s">
        <v>3979</v>
      </c>
      <c r="D1710">
        <v>1.6</v>
      </c>
    </row>
    <row r="1711" spans="1:4" x14ac:dyDescent="0.15">
      <c r="B1711">
        <v>2.1520999999999999</v>
      </c>
      <c r="C1711" t="s">
        <v>3980</v>
      </c>
      <c r="D1711">
        <v>1.5</v>
      </c>
    </row>
    <row r="1712" spans="1:4" x14ac:dyDescent="0.15">
      <c r="B1712">
        <v>7.3651</v>
      </c>
      <c r="C1712" t="s">
        <v>3981</v>
      </c>
      <c r="D1712">
        <v>1.5</v>
      </c>
    </row>
    <row r="1713" spans="2:4" x14ac:dyDescent="0.15">
      <c r="B1713">
        <v>22.614100000000001</v>
      </c>
      <c r="C1713" t="s">
        <v>3982</v>
      </c>
      <c r="D1713">
        <v>1.4</v>
      </c>
    </row>
  </sheetData>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x14ac:dyDescent="0.15"/>
  <cols>
    <col min="1" max="1" width="39.6640625" customWidth="1"/>
    <col min="2" max="2" width="28.6640625" customWidth="1"/>
    <col min="3" max="3" width="16.5" customWidth="1"/>
    <col min="4" max="4" width="22" customWidth="1"/>
    <col min="5" max="5" width="11.5" customWidth="1"/>
    <col min="6" max="7" width="11.6640625" customWidth="1"/>
  </cols>
  <sheetData>
    <row r="1" spans="1:8" x14ac:dyDescent="0.15">
      <c r="A1" s="1" t="s">
        <v>4074</v>
      </c>
    </row>
    <row r="2" spans="1:8" x14ac:dyDescent="0.15">
      <c r="A2" s="657" t="s">
        <v>4378</v>
      </c>
    </row>
    <row r="4" spans="1:8" x14ac:dyDescent="0.15">
      <c r="A4" s="1" t="s">
        <v>4075</v>
      </c>
      <c r="B4" s="526"/>
      <c r="C4" s="526"/>
      <c r="D4" s="526"/>
      <c r="E4" s="526"/>
    </row>
    <row r="5" spans="1:8" x14ac:dyDescent="0.15">
      <c r="A5" t="s">
        <v>4076</v>
      </c>
      <c r="B5" t="s">
        <v>4077</v>
      </c>
      <c r="C5" t="s">
        <v>4078</v>
      </c>
    </row>
    <row r="6" spans="1:8" x14ac:dyDescent="0.15">
      <c r="A6" s="947">
        <v>0</v>
      </c>
      <c r="B6" t="s">
        <v>4079</v>
      </c>
      <c r="C6" s="948">
        <v>0.09</v>
      </c>
    </row>
    <row r="7" spans="1:8" x14ac:dyDescent="0.15">
      <c r="A7" s="947">
        <v>250000</v>
      </c>
      <c r="B7" t="s">
        <v>4080</v>
      </c>
      <c r="C7" s="948">
        <v>0.08</v>
      </c>
    </row>
    <row r="8" spans="1:8" x14ac:dyDescent="0.15">
      <c r="A8" s="947">
        <v>500000</v>
      </c>
      <c r="B8" t="s">
        <v>4081</v>
      </c>
      <c r="C8" s="948">
        <v>7.0000000000000007E-2</v>
      </c>
    </row>
    <row r="9" spans="1:8" x14ac:dyDescent="0.15">
      <c r="A9" s="947">
        <v>1000000</v>
      </c>
      <c r="B9" t="s">
        <v>4082</v>
      </c>
      <c r="C9" s="948">
        <v>6.2E-2</v>
      </c>
    </row>
    <row r="10" spans="1:8" x14ac:dyDescent="0.15">
      <c r="A10" s="947">
        <v>5000000</v>
      </c>
      <c r="B10" t="s">
        <v>4083</v>
      </c>
      <c r="C10" s="948">
        <v>5.2999999999999999E-2</v>
      </c>
    </row>
    <row r="11" spans="1:8" x14ac:dyDescent="0.15">
      <c r="A11" s="947">
        <v>10000000</v>
      </c>
      <c r="B11" t="s">
        <v>4084</v>
      </c>
      <c r="C11" s="948">
        <v>4.9000000000000002E-2</v>
      </c>
    </row>
    <row r="12" spans="1:8" x14ac:dyDescent="0.15">
      <c r="A12" s="947">
        <v>50000000</v>
      </c>
      <c r="B12" t="s">
        <v>4085</v>
      </c>
      <c r="C12" s="948">
        <v>4.4999999999999998E-2</v>
      </c>
    </row>
    <row r="15" spans="1:8" x14ac:dyDescent="0.15">
      <c r="A15" s="1" t="s">
        <v>4086</v>
      </c>
      <c r="E15" s="376"/>
      <c r="F15" s="376"/>
      <c r="H15" s="6" t="s">
        <v>4380</v>
      </c>
    </row>
    <row r="16" spans="1:8" x14ac:dyDescent="0.15">
      <c r="A16" s="44" t="s">
        <v>4087</v>
      </c>
      <c r="B16" s="44" t="s">
        <v>4088</v>
      </c>
      <c r="C16" s="44" t="s">
        <v>4089</v>
      </c>
      <c r="D16" s="44" t="s">
        <v>4090</v>
      </c>
      <c r="E16" s="44" t="s">
        <v>4091</v>
      </c>
      <c r="F16" s="44" t="s">
        <v>4092</v>
      </c>
      <c r="G16" s="44" t="s">
        <v>4093</v>
      </c>
      <c r="H16" s="44"/>
    </row>
    <row r="17" spans="1:7" x14ac:dyDescent="0.15">
      <c r="A17">
        <v>0</v>
      </c>
      <c r="B17">
        <v>0.05</v>
      </c>
      <c r="C17" s="9">
        <v>15</v>
      </c>
      <c r="D17" s="9">
        <v>15</v>
      </c>
      <c r="E17">
        <v>1.25</v>
      </c>
      <c r="F17">
        <v>1.25</v>
      </c>
      <c r="G17">
        <v>1</v>
      </c>
    </row>
    <row r="18" spans="1:7" x14ac:dyDescent="0.15">
      <c r="A18">
        <v>5.0999999999999997E-2</v>
      </c>
      <c r="B18">
        <v>0.1</v>
      </c>
      <c r="C18" s="9">
        <v>15</v>
      </c>
      <c r="D18" s="9">
        <v>15</v>
      </c>
      <c r="E18">
        <v>1.25</v>
      </c>
      <c r="F18">
        <v>1.25</v>
      </c>
      <c r="G18">
        <v>1</v>
      </c>
    </row>
    <row r="19" spans="1:7" x14ac:dyDescent="0.15">
      <c r="A19">
        <v>0.10100000000000001</v>
      </c>
      <c r="B19">
        <v>0.2</v>
      </c>
      <c r="C19" s="9">
        <v>18</v>
      </c>
      <c r="D19" s="9">
        <v>18</v>
      </c>
      <c r="E19">
        <v>1.5</v>
      </c>
      <c r="F19">
        <v>1.5</v>
      </c>
      <c r="G19">
        <v>1</v>
      </c>
    </row>
    <row r="20" spans="1:7" x14ac:dyDescent="0.15">
      <c r="A20">
        <v>0.20100000000000001</v>
      </c>
      <c r="B20">
        <v>0.5</v>
      </c>
      <c r="C20" s="9">
        <v>25</v>
      </c>
      <c r="D20" s="9">
        <v>25</v>
      </c>
      <c r="E20">
        <v>2.0833333333333335</v>
      </c>
      <c r="F20">
        <v>2.0833333333333335</v>
      </c>
      <c r="G20">
        <v>3</v>
      </c>
    </row>
    <row r="21" spans="1:7" x14ac:dyDescent="0.15">
      <c r="A21">
        <v>0.501</v>
      </c>
      <c r="B21">
        <v>1</v>
      </c>
      <c r="C21" s="9">
        <v>32</v>
      </c>
      <c r="D21" s="9">
        <v>32</v>
      </c>
      <c r="E21">
        <v>2.6666666666666665</v>
      </c>
      <c r="F21">
        <v>2.6666666666666665</v>
      </c>
      <c r="G21">
        <v>5</v>
      </c>
    </row>
    <row r="22" spans="1:7" x14ac:dyDescent="0.15">
      <c r="A22">
        <v>1.0009999999999999</v>
      </c>
      <c r="B22">
        <v>2</v>
      </c>
      <c r="C22" s="9">
        <v>42</v>
      </c>
      <c r="D22" s="9">
        <v>42</v>
      </c>
      <c r="E22">
        <v>3.5</v>
      </c>
      <c r="F22">
        <v>3.5</v>
      </c>
      <c r="G22">
        <v>8</v>
      </c>
    </row>
    <row r="23" spans="1:7" x14ac:dyDescent="0.15">
      <c r="A23">
        <v>2.0009999999999999</v>
      </c>
      <c r="B23">
        <v>5</v>
      </c>
      <c r="C23" s="9">
        <v>92.95</v>
      </c>
      <c r="D23" s="9">
        <v>22</v>
      </c>
      <c r="E23">
        <v>7.7458333333333336</v>
      </c>
      <c r="F23">
        <v>1.8333333333333333</v>
      </c>
      <c r="G23">
        <v>20</v>
      </c>
    </row>
    <row r="26" spans="1:7" x14ac:dyDescent="0.15">
      <c r="A26" s="1" t="s">
        <v>4094</v>
      </c>
    </row>
    <row r="27" spans="1:7" x14ac:dyDescent="0.15">
      <c r="A27" s="2" t="s">
        <v>3631</v>
      </c>
      <c r="B27" s="2" t="s">
        <v>4095</v>
      </c>
      <c r="C27" s="2" t="s">
        <v>279</v>
      </c>
    </row>
    <row r="28" spans="1:7" ht="15" x14ac:dyDescent="0.2">
      <c r="A28" s="526" t="s">
        <v>3639</v>
      </c>
      <c r="B28" s="53">
        <v>50000</v>
      </c>
      <c r="C28" s="526" t="s">
        <v>264</v>
      </c>
      <c r="D28" s="949" t="s">
        <v>4096</v>
      </c>
      <c r="E28" s="949"/>
    </row>
    <row r="29" spans="1:7" ht="15" x14ac:dyDescent="0.2">
      <c r="A29" s="526" t="s">
        <v>4097</v>
      </c>
      <c r="B29" s="53">
        <v>50000</v>
      </c>
      <c r="C29" s="526" t="s">
        <v>264</v>
      </c>
      <c r="D29" s="949" t="s">
        <v>4098</v>
      </c>
      <c r="E29" s="949"/>
    </row>
    <row r="30" spans="1:7" ht="15" x14ac:dyDescent="0.2">
      <c r="A30" s="526" t="s">
        <v>3640</v>
      </c>
      <c r="B30" s="53">
        <v>0</v>
      </c>
      <c r="C30" s="526" t="s">
        <v>264</v>
      </c>
      <c r="D30" s="949" t="s">
        <v>4099</v>
      </c>
    </row>
    <row r="31" spans="1:7" ht="15" x14ac:dyDescent="0.2">
      <c r="A31" s="526" t="s">
        <v>3641</v>
      </c>
      <c r="B31" s="53">
        <v>2000</v>
      </c>
      <c r="C31" s="526" t="s">
        <v>264</v>
      </c>
      <c r="D31" s="949" t="s">
        <v>4100</v>
      </c>
    </row>
    <row r="32" spans="1:7" ht="15" x14ac:dyDescent="0.2">
      <c r="A32" s="526" t="s">
        <v>4101</v>
      </c>
      <c r="B32" s="53">
        <v>2000</v>
      </c>
      <c r="C32" s="526" t="s">
        <v>264</v>
      </c>
      <c r="D32" s="949" t="s">
        <v>4098</v>
      </c>
    </row>
    <row r="33" spans="1:4" ht="15" x14ac:dyDescent="0.2">
      <c r="A33" s="526" t="s">
        <v>3642</v>
      </c>
      <c r="B33" s="53">
        <v>0</v>
      </c>
      <c r="C33" s="526" t="s">
        <v>264</v>
      </c>
      <c r="D33" s="949" t="s">
        <v>4102</v>
      </c>
    </row>
    <row r="34" spans="1:4" ht="15" x14ac:dyDescent="0.2">
      <c r="A34" s="526" t="s">
        <v>3648</v>
      </c>
      <c r="B34" s="53">
        <v>2000</v>
      </c>
      <c r="C34" s="526" t="s">
        <v>264</v>
      </c>
      <c r="D34" s="949" t="s">
        <v>4103</v>
      </c>
    </row>
    <row r="35" spans="1:4" ht="15" x14ac:dyDescent="0.2">
      <c r="A35" s="526" t="s">
        <v>3649</v>
      </c>
      <c r="B35" s="53">
        <v>500</v>
      </c>
      <c r="C35" s="526" t="s">
        <v>264</v>
      </c>
      <c r="D35" s="949" t="s">
        <v>4104</v>
      </c>
    </row>
    <row r="36" spans="1:4" ht="15" x14ac:dyDescent="0.2">
      <c r="A36" s="526" t="s">
        <v>3650</v>
      </c>
      <c r="B36" s="53">
        <v>0</v>
      </c>
      <c r="C36" s="526" t="s">
        <v>264</v>
      </c>
      <c r="D36" s="949" t="s">
        <v>4105</v>
      </c>
    </row>
    <row r="37" spans="1:4" ht="15" x14ac:dyDescent="0.2">
      <c r="A37" s="526" t="s">
        <v>3651</v>
      </c>
      <c r="B37" s="53">
        <v>17710</v>
      </c>
      <c r="C37" s="526" t="s">
        <v>264</v>
      </c>
      <c r="D37" s="949" t="s">
        <v>4106</v>
      </c>
    </row>
    <row r="38" spans="1:4" ht="15" x14ac:dyDescent="0.2">
      <c r="A38" s="526" t="s">
        <v>3652</v>
      </c>
      <c r="B38" s="53">
        <v>1771</v>
      </c>
      <c r="C38" s="526" t="s">
        <v>264</v>
      </c>
      <c r="D38" s="949" t="s">
        <v>4107</v>
      </c>
    </row>
    <row r="39" spans="1:4" ht="15" x14ac:dyDescent="0.2">
      <c r="A39" s="526" t="s">
        <v>3653</v>
      </c>
      <c r="B39" s="53">
        <v>0</v>
      </c>
      <c r="C39" s="526" t="s">
        <v>264</v>
      </c>
      <c r="D39" s="949" t="s">
        <v>4108</v>
      </c>
    </row>
    <row r="40" spans="1:4" ht="15" x14ac:dyDescent="0.2">
      <c r="A40" s="526" t="s">
        <v>3654</v>
      </c>
      <c r="B40" s="53">
        <v>50000</v>
      </c>
      <c r="C40" s="526" t="s">
        <v>264</v>
      </c>
      <c r="D40" s="949" t="s">
        <v>4109</v>
      </c>
    </row>
    <row r="41" spans="1:4" ht="15" x14ac:dyDescent="0.2">
      <c r="A41" s="526" t="s">
        <v>4110</v>
      </c>
      <c r="B41" s="53">
        <v>50000</v>
      </c>
      <c r="C41" s="526" t="s">
        <v>264</v>
      </c>
      <c r="D41" s="949" t="s">
        <v>4098</v>
      </c>
    </row>
    <row r="42" spans="1:4" ht="15" x14ac:dyDescent="0.2">
      <c r="A42" s="526" t="s">
        <v>3655</v>
      </c>
      <c r="B42" s="53">
        <v>0</v>
      </c>
      <c r="C42" s="526" t="s">
        <v>264</v>
      </c>
      <c r="D42" s="949" t="s">
        <v>4111</v>
      </c>
    </row>
    <row r="43" spans="1:4" ht="15" x14ac:dyDescent="0.2">
      <c r="A43" s="526" t="s">
        <v>3656</v>
      </c>
      <c r="B43" s="562">
        <v>1</v>
      </c>
      <c r="C43" s="526" t="s">
        <v>2285</v>
      </c>
      <c r="D43" s="949" t="s">
        <v>4112</v>
      </c>
    </row>
    <row r="44" spans="1:4" ht="15" x14ac:dyDescent="0.2">
      <c r="A44" s="526" t="s">
        <v>3657</v>
      </c>
      <c r="B44" s="562">
        <v>0.5</v>
      </c>
      <c r="C44" s="526" t="s">
        <v>2285</v>
      </c>
      <c r="D44" s="949" t="s">
        <v>4113</v>
      </c>
    </row>
    <row r="45" spans="1:4" ht="15" x14ac:dyDescent="0.2">
      <c r="A45" s="526" t="s">
        <v>3658</v>
      </c>
      <c r="B45" s="53">
        <v>0</v>
      </c>
      <c r="C45" s="526" t="s">
        <v>2285</v>
      </c>
      <c r="D45" s="949" t="s">
        <v>4114</v>
      </c>
    </row>
    <row r="46" spans="1:4" ht="15" x14ac:dyDescent="0.2">
      <c r="A46" s="526" t="s">
        <v>3661</v>
      </c>
      <c r="B46" s="53">
        <v>44000</v>
      </c>
      <c r="C46" s="526" t="s">
        <v>264</v>
      </c>
      <c r="D46" s="949" t="s">
        <v>4115</v>
      </c>
    </row>
    <row r="47" spans="1:4" ht="15" x14ac:dyDescent="0.2">
      <c r="A47" s="526" t="s">
        <v>3662</v>
      </c>
      <c r="B47" s="53">
        <v>3621.75</v>
      </c>
      <c r="C47" s="526" t="s">
        <v>264</v>
      </c>
      <c r="D47" s="949" t="s">
        <v>4116</v>
      </c>
    </row>
    <row r="48" spans="1:4" ht="15" x14ac:dyDescent="0.2">
      <c r="A48" s="526" t="s">
        <v>3663</v>
      </c>
      <c r="B48" s="53">
        <v>0</v>
      </c>
      <c r="C48" s="526" t="s">
        <v>264</v>
      </c>
      <c r="D48" s="949"/>
    </row>
    <row r="49" spans="1:4" ht="15" x14ac:dyDescent="0.2">
      <c r="A49" s="526" t="s">
        <v>3664</v>
      </c>
      <c r="B49" s="53">
        <v>44000</v>
      </c>
      <c r="C49" s="526" t="s">
        <v>264</v>
      </c>
      <c r="D49" s="949" t="s">
        <v>4115</v>
      </c>
    </row>
    <row r="50" spans="1:4" ht="15" x14ac:dyDescent="0.2">
      <c r="A50" s="526" t="s">
        <v>4117</v>
      </c>
      <c r="B50" s="53">
        <v>44000</v>
      </c>
      <c r="C50" s="526" t="s">
        <v>264</v>
      </c>
      <c r="D50" s="949" t="s">
        <v>4098</v>
      </c>
    </row>
    <row r="51" spans="1:4" ht="15" x14ac:dyDescent="0.2">
      <c r="A51" s="526" t="s">
        <v>3665</v>
      </c>
      <c r="B51" s="53">
        <v>0</v>
      </c>
      <c r="C51" s="526" t="s">
        <v>264</v>
      </c>
      <c r="D51" s="949"/>
    </row>
    <row r="52" spans="1:4" ht="15" x14ac:dyDescent="0.2">
      <c r="A52" s="526" t="s">
        <v>3666</v>
      </c>
      <c r="B52" s="53">
        <v>19800</v>
      </c>
      <c r="C52" t="s">
        <v>264</v>
      </c>
      <c r="D52" s="949" t="s">
        <v>4118</v>
      </c>
    </row>
    <row r="53" spans="1:4" ht="15" x14ac:dyDescent="0.2">
      <c r="A53" s="526" t="s">
        <v>4119</v>
      </c>
      <c r="B53" s="53">
        <v>5445</v>
      </c>
      <c r="C53" t="s">
        <v>264</v>
      </c>
      <c r="D53" s="949" t="s">
        <v>4098</v>
      </c>
    </row>
    <row r="54" spans="1:4" ht="15" x14ac:dyDescent="0.2">
      <c r="A54" s="526" t="s">
        <v>3667</v>
      </c>
      <c r="B54" s="53">
        <v>0</v>
      </c>
      <c r="C54" t="s">
        <v>264</v>
      </c>
      <c r="D54" s="949" t="s">
        <v>4120</v>
      </c>
    </row>
    <row r="55" spans="1:4" ht="15" x14ac:dyDescent="0.2">
      <c r="A55" t="s">
        <v>3673</v>
      </c>
      <c r="B55" s="53">
        <v>27500</v>
      </c>
      <c r="C55" t="s">
        <v>264</v>
      </c>
      <c r="D55" s="949" t="s">
        <v>4121</v>
      </c>
    </row>
    <row r="56" spans="1:4" ht="15" x14ac:dyDescent="0.2">
      <c r="A56" t="s">
        <v>3674</v>
      </c>
      <c r="B56" s="53">
        <v>5000</v>
      </c>
      <c r="C56" t="s">
        <v>264</v>
      </c>
      <c r="D56" s="949" t="s">
        <v>4122</v>
      </c>
    </row>
    <row r="57" spans="1:4" ht="15" x14ac:dyDescent="0.2">
      <c r="A57" t="s">
        <v>3675</v>
      </c>
      <c r="B57" s="53">
        <v>0</v>
      </c>
      <c r="C57" t="s">
        <v>264</v>
      </c>
      <c r="D57" s="949" t="s">
        <v>4123</v>
      </c>
    </row>
    <row r="58" spans="1:4" ht="15" x14ac:dyDescent="0.2">
      <c r="A58" s="526" t="s">
        <v>3679</v>
      </c>
      <c r="B58" s="53">
        <v>25436.999999999996</v>
      </c>
      <c r="C58" t="s">
        <v>264</v>
      </c>
      <c r="D58" s="949" t="s">
        <v>4124</v>
      </c>
    </row>
    <row r="59" spans="1:4" ht="15" x14ac:dyDescent="0.2">
      <c r="A59" s="526" t="s">
        <v>3680</v>
      </c>
      <c r="B59" s="53">
        <v>5000</v>
      </c>
      <c r="C59" t="s">
        <v>264</v>
      </c>
      <c r="D59" s="949" t="s">
        <v>4125</v>
      </c>
    </row>
    <row r="60" spans="1:4" ht="15" x14ac:dyDescent="0.2">
      <c r="A60" s="526" t="s">
        <v>3681</v>
      </c>
      <c r="B60" s="53">
        <v>0</v>
      </c>
      <c r="C60" t="s">
        <v>264</v>
      </c>
      <c r="D60" s="949" t="s">
        <v>4126</v>
      </c>
    </row>
    <row r="61" spans="1:4" ht="15" x14ac:dyDescent="0.2">
      <c r="A61" s="526" t="s">
        <v>3682</v>
      </c>
      <c r="B61" s="53">
        <v>21317.039999999997</v>
      </c>
      <c r="C61" t="s">
        <v>264</v>
      </c>
      <c r="D61" s="949" t="s">
        <v>4127</v>
      </c>
    </row>
    <row r="62" spans="1:4" ht="15" x14ac:dyDescent="0.2">
      <c r="A62" s="526" t="s">
        <v>3683</v>
      </c>
      <c r="B62" s="53">
        <v>4000</v>
      </c>
      <c r="C62" t="s">
        <v>264</v>
      </c>
      <c r="D62" s="949" t="s">
        <v>4128</v>
      </c>
    </row>
    <row r="63" spans="1:4" ht="15" x14ac:dyDescent="0.2">
      <c r="A63" s="526" t="s">
        <v>3684</v>
      </c>
      <c r="B63" s="53">
        <v>0</v>
      </c>
      <c r="C63" t="s">
        <v>264</v>
      </c>
      <c r="D63" s="949"/>
    </row>
    <row r="64" spans="1:4" ht="15" x14ac:dyDescent="0.2">
      <c r="A64" t="s">
        <v>3685</v>
      </c>
      <c r="B64" s="53">
        <v>2000</v>
      </c>
      <c r="C64" t="s">
        <v>1132</v>
      </c>
      <c r="D64" s="949" t="s">
        <v>4129</v>
      </c>
    </row>
    <row r="65" spans="1:5" ht="15" x14ac:dyDescent="0.2">
      <c r="A65" t="s">
        <v>3686</v>
      </c>
      <c r="B65" s="53">
        <v>550</v>
      </c>
      <c r="C65" t="s">
        <v>1132</v>
      </c>
      <c r="D65" s="949" t="s">
        <v>4130</v>
      </c>
    </row>
    <row r="66" spans="1:5" ht="15" x14ac:dyDescent="0.2">
      <c r="A66" t="s">
        <v>3687</v>
      </c>
      <c r="B66" s="53">
        <v>0</v>
      </c>
      <c r="C66" t="s">
        <v>1132</v>
      </c>
      <c r="D66" s="949" t="s">
        <v>4131</v>
      </c>
    </row>
    <row r="67" spans="1:5" ht="15" x14ac:dyDescent="0.2">
      <c r="A67" s="526" t="s">
        <v>3688</v>
      </c>
      <c r="B67" s="53">
        <v>28427.723999999998</v>
      </c>
      <c r="C67" s="526" t="s">
        <v>264</v>
      </c>
      <c r="D67" s="949" t="s">
        <v>4132</v>
      </c>
    </row>
    <row r="68" spans="1:5" ht="15" x14ac:dyDescent="0.2">
      <c r="A68" s="526" t="s">
        <v>4133</v>
      </c>
      <c r="B68" s="53">
        <v>28427.723999999998</v>
      </c>
      <c r="C68" s="526" t="s">
        <v>264</v>
      </c>
      <c r="D68" s="949" t="s">
        <v>4098</v>
      </c>
    </row>
    <row r="69" spans="1:5" ht="15" x14ac:dyDescent="0.2">
      <c r="A69" s="526" t="s">
        <v>3689</v>
      </c>
      <c r="B69" s="53">
        <v>0</v>
      </c>
      <c r="C69" s="526" t="s">
        <v>264</v>
      </c>
      <c r="D69" s="949"/>
    </row>
    <row r="70" spans="1:5" ht="15" x14ac:dyDescent="0.2">
      <c r="A70" t="s">
        <v>3691</v>
      </c>
      <c r="B70" s="53">
        <v>2000</v>
      </c>
      <c r="C70" t="s">
        <v>1132</v>
      </c>
      <c r="D70" s="949" t="s">
        <v>4134</v>
      </c>
    </row>
    <row r="71" spans="1:5" ht="15" x14ac:dyDescent="0.2">
      <c r="A71" t="s">
        <v>3692</v>
      </c>
      <c r="B71" s="53">
        <v>500</v>
      </c>
      <c r="C71" t="s">
        <v>1132</v>
      </c>
      <c r="D71" s="949" t="s">
        <v>4135</v>
      </c>
    </row>
    <row r="72" spans="1:5" ht="15" x14ac:dyDescent="0.2">
      <c r="A72" t="s">
        <v>3693</v>
      </c>
      <c r="B72" s="53">
        <v>0</v>
      </c>
      <c r="C72" t="s">
        <v>1132</v>
      </c>
      <c r="D72" s="949" t="s">
        <v>4126</v>
      </c>
    </row>
    <row r="75" spans="1:5" x14ac:dyDescent="0.15">
      <c r="A75" s="1" t="s">
        <v>4136</v>
      </c>
      <c r="B75" s="526"/>
      <c r="C75" s="526"/>
      <c r="D75" s="526"/>
      <c r="E75" s="526"/>
    </row>
    <row r="76" spans="1:5" x14ac:dyDescent="0.15">
      <c r="A76" t="s">
        <v>4076</v>
      </c>
      <c r="B76" t="s">
        <v>4077</v>
      </c>
      <c r="C76" t="s">
        <v>1903</v>
      </c>
    </row>
    <row r="77" spans="1:5" x14ac:dyDescent="0.15">
      <c r="A77" s="947">
        <v>0</v>
      </c>
      <c r="B77" t="s">
        <v>4137</v>
      </c>
      <c r="C77" s="948">
        <v>0.1</v>
      </c>
    </row>
    <row r="78" spans="1:5" x14ac:dyDescent="0.15">
      <c r="A78" s="947">
        <v>100000</v>
      </c>
      <c r="B78" t="s">
        <v>4138</v>
      </c>
      <c r="C78" s="948">
        <v>0.09</v>
      </c>
    </row>
    <row r="79" spans="1:5" x14ac:dyDescent="0.15">
      <c r="A79" s="947">
        <v>250000</v>
      </c>
      <c r="B79" t="s">
        <v>4139</v>
      </c>
      <c r="C79" s="948">
        <v>0.06</v>
      </c>
    </row>
    <row r="80" spans="1:5" x14ac:dyDescent="0.15">
      <c r="A80" s="947">
        <v>1000000</v>
      </c>
      <c r="B80" t="s">
        <v>4082</v>
      </c>
      <c r="C80" s="948">
        <v>0.05</v>
      </c>
    </row>
    <row r="81" spans="1:5" x14ac:dyDescent="0.15">
      <c r="A81" s="947">
        <v>5000000</v>
      </c>
      <c r="B81" t="s">
        <v>4083</v>
      </c>
      <c r="C81" s="948">
        <v>0.04</v>
      </c>
    </row>
    <row r="82" spans="1:5" x14ac:dyDescent="0.15">
      <c r="A82" s="947">
        <v>10000000</v>
      </c>
      <c r="B82" t="s">
        <v>4140</v>
      </c>
      <c r="C82" s="948">
        <v>3.2000000000000001E-2</v>
      </c>
    </row>
    <row r="85" spans="1:5" x14ac:dyDescent="0.15">
      <c r="A85" s="1" t="s">
        <v>4141</v>
      </c>
      <c r="B85" s="526"/>
      <c r="C85" s="526"/>
      <c r="D85" s="526"/>
      <c r="E85" s="526"/>
    </row>
    <row r="86" spans="1:5" x14ac:dyDescent="0.15">
      <c r="A86" t="s">
        <v>4142</v>
      </c>
      <c r="B86" t="s">
        <v>4077</v>
      </c>
      <c r="C86" t="s">
        <v>4143</v>
      </c>
    </row>
    <row r="87" spans="1:5" x14ac:dyDescent="0.15">
      <c r="A87" s="947">
        <v>0</v>
      </c>
      <c r="B87" s="44" t="s">
        <v>4144</v>
      </c>
      <c r="C87" s="950">
        <v>6.7000000000000004E-2</v>
      </c>
      <c r="E87" s="950"/>
    </row>
    <row r="88" spans="1:5" x14ac:dyDescent="0.15">
      <c r="A88" s="947">
        <v>500000</v>
      </c>
      <c r="B88" s="44" t="s">
        <v>4145</v>
      </c>
      <c r="C88" s="950">
        <v>5.8000000000000003E-2</v>
      </c>
      <c r="E88" s="950"/>
    </row>
    <row r="89" spans="1:5" x14ac:dyDescent="0.15">
      <c r="A89" s="947">
        <v>3000000</v>
      </c>
      <c r="B89" s="44" t="s">
        <v>4146</v>
      </c>
      <c r="C89" s="950">
        <v>4.9000000000000002E-2</v>
      </c>
      <c r="E89" s="950"/>
    </row>
    <row r="90" spans="1:5" x14ac:dyDescent="0.15">
      <c r="A90" s="947">
        <v>15000000</v>
      </c>
      <c r="B90" s="44" t="s">
        <v>4147</v>
      </c>
      <c r="C90" s="950">
        <v>4.1000000000000002E-2</v>
      </c>
      <c r="E90" s="950"/>
    </row>
    <row r="91" spans="1:5" x14ac:dyDescent="0.15">
      <c r="A91" s="947">
        <v>50000000</v>
      </c>
      <c r="B91" s="44" t="s">
        <v>4148</v>
      </c>
      <c r="C91" s="950">
        <v>3.2000000000000001E-2</v>
      </c>
      <c r="E91" s="950"/>
    </row>
    <row r="92" spans="1:5" x14ac:dyDescent="0.15">
      <c r="A92" s="947">
        <v>100000000</v>
      </c>
      <c r="B92" s="44" t="s">
        <v>4149</v>
      </c>
      <c r="C92" s="950">
        <v>5.8000000000000003E-2</v>
      </c>
      <c r="E92" s="950"/>
    </row>
    <row r="95" spans="1:5" x14ac:dyDescent="0.15">
      <c r="A95" s="1" t="s">
        <v>4150</v>
      </c>
    </row>
    <row r="96" spans="1:5" x14ac:dyDescent="0.15">
      <c r="A96" s="1" t="s">
        <v>4151</v>
      </c>
      <c r="B96" s="1" t="s">
        <v>4152</v>
      </c>
    </row>
    <row r="97" spans="1:4" x14ac:dyDescent="0.15">
      <c r="A97">
        <v>0</v>
      </c>
      <c r="B97">
        <v>1.5</v>
      </c>
      <c r="C97" s="6" t="s">
        <v>4379</v>
      </c>
    </row>
    <row r="98" spans="1:4" x14ac:dyDescent="0.15">
      <c r="A98" s="721">
        <v>6.95</v>
      </c>
      <c r="B98">
        <v>2</v>
      </c>
      <c r="C98" s="53"/>
    </row>
    <row r="99" spans="1:4" x14ac:dyDescent="0.15">
      <c r="A99" s="721">
        <v>13.1</v>
      </c>
      <c r="B99">
        <v>2.5</v>
      </c>
      <c r="C99" s="53"/>
    </row>
    <row r="100" spans="1:4" x14ac:dyDescent="0.15">
      <c r="A100" s="721">
        <v>22.2</v>
      </c>
      <c r="B100">
        <v>3</v>
      </c>
      <c r="C100" s="53"/>
    </row>
    <row r="101" spans="1:4" x14ac:dyDescent="0.15">
      <c r="A101" s="721">
        <v>33</v>
      </c>
      <c r="B101">
        <v>4</v>
      </c>
      <c r="C101" s="53"/>
    </row>
    <row r="102" spans="1:4" x14ac:dyDescent="0.15">
      <c r="A102" s="721">
        <v>39.200000000000003</v>
      </c>
      <c r="B102">
        <v>6</v>
      </c>
      <c r="C102" s="53"/>
    </row>
    <row r="103" spans="1:4" x14ac:dyDescent="0.15">
      <c r="A103" s="721">
        <v>53.5</v>
      </c>
      <c r="B103">
        <v>8</v>
      </c>
      <c r="C103" s="53"/>
    </row>
    <row r="106" spans="1:4" x14ac:dyDescent="0.15">
      <c r="A106" t="s">
        <v>4153</v>
      </c>
      <c r="B106" s="3" t="s">
        <v>4154</v>
      </c>
      <c r="C106">
        <v>50</v>
      </c>
      <c r="D106" t="s">
        <v>2285</v>
      </c>
    </row>
    <row r="109" spans="1:4" x14ac:dyDescent="0.15">
      <c r="A109" t="s">
        <v>4155</v>
      </c>
      <c r="B109" s="3" t="s">
        <v>4156</v>
      </c>
      <c r="C109">
        <v>200</v>
      </c>
      <c r="D109" t="s">
        <v>2040</v>
      </c>
    </row>
    <row r="112" spans="1:4" x14ac:dyDescent="0.15">
      <c r="A112" t="s">
        <v>4157</v>
      </c>
      <c r="B112" s="3" t="s">
        <v>4158</v>
      </c>
      <c r="C112">
        <v>113.32</v>
      </c>
      <c r="D112" t="s">
        <v>2285</v>
      </c>
    </row>
    <row r="115" spans="1:4" x14ac:dyDescent="0.15">
      <c r="A115" t="s">
        <v>4159</v>
      </c>
      <c r="B115" s="3" t="s">
        <v>4160</v>
      </c>
      <c r="C115">
        <v>6148</v>
      </c>
      <c r="D115" t="s">
        <v>2040</v>
      </c>
    </row>
    <row r="118" spans="1:4" x14ac:dyDescent="0.15">
      <c r="A118" t="s">
        <v>4161</v>
      </c>
      <c r="B118" s="3" t="s">
        <v>4162</v>
      </c>
      <c r="C118">
        <v>14</v>
      </c>
      <c r="D118" t="s">
        <v>2845</v>
      </c>
    </row>
    <row r="121" spans="1:4" x14ac:dyDescent="0.15">
      <c r="A121" t="s">
        <v>4163</v>
      </c>
      <c r="B121" s="3" t="s">
        <v>4164</v>
      </c>
      <c r="C121">
        <v>1.5</v>
      </c>
      <c r="D121" t="s">
        <v>2845</v>
      </c>
    </row>
    <row r="124" spans="1:4" x14ac:dyDescent="0.15">
      <c r="A124" s="1" t="s">
        <v>4165</v>
      </c>
    </row>
    <row r="125" spans="1:4" x14ac:dyDescent="0.15">
      <c r="A125" t="s">
        <v>4166</v>
      </c>
      <c r="B125" t="s">
        <v>4167</v>
      </c>
      <c r="C125" t="s">
        <v>4168</v>
      </c>
      <c r="D125" t="s">
        <v>4169</v>
      </c>
    </row>
    <row r="126" spans="1:4" x14ac:dyDescent="0.15">
      <c r="A126" s="951">
        <v>0.02</v>
      </c>
      <c r="B126">
        <v>0.1704</v>
      </c>
      <c r="C126">
        <v>20.41</v>
      </c>
      <c r="D126">
        <v>1.0209999999999999</v>
      </c>
    </row>
    <row r="127" spans="1:4" x14ac:dyDescent="0.15">
      <c r="A127" s="951">
        <v>0.04</v>
      </c>
      <c r="B127">
        <v>0.34810000000000002</v>
      </c>
      <c r="C127">
        <v>41.71</v>
      </c>
      <c r="D127">
        <v>1.0429999999999999</v>
      </c>
    </row>
    <row r="128" spans="1:4" x14ac:dyDescent="0.15">
      <c r="A128" s="951">
        <v>0.06</v>
      </c>
      <c r="B128">
        <v>0.53320000000000001</v>
      </c>
      <c r="C128">
        <v>63.89</v>
      </c>
      <c r="D128">
        <v>1.0649999999999999</v>
      </c>
    </row>
    <row r="129" spans="1:4" x14ac:dyDescent="0.15">
      <c r="A129" s="951">
        <v>0.08</v>
      </c>
      <c r="B129">
        <v>0.72560000000000002</v>
      </c>
      <c r="C129">
        <v>86.95</v>
      </c>
      <c r="D129">
        <v>1.087</v>
      </c>
    </row>
    <row r="130" spans="1:4" x14ac:dyDescent="0.15">
      <c r="A130" s="951">
        <v>0.1</v>
      </c>
      <c r="B130">
        <v>0.9254</v>
      </c>
      <c r="C130">
        <v>110.9</v>
      </c>
      <c r="D130">
        <v>1.109</v>
      </c>
    </row>
    <row r="131" spans="1:4" x14ac:dyDescent="0.15">
      <c r="A131" s="951">
        <v>0.12</v>
      </c>
      <c r="B131">
        <v>1.133</v>
      </c>
      <c r="C131">
        <v>135.69999999999999</v>
      </c>
      <c r="D131">
        <v>1.131</v>
      </c>
    </row>
    <row r="132" spans="1:4" x14ac:dyDescent="0.15">
      <c r="A132" s="951">
        <v>0.14000000000000001</v>
      </c>
      <c r="B132">
        <v>1.347</v>
      </c>
      <c r="C132">
        <v>161.4</v>
      </c>
      <c r="D132">
        <v>1.153</v>
      </c>
    </row>
    <row r="133" spans="1:4" x14ac:dyDescent="0.15">
      <c r="A133" s="951">
        <v>0.16</v>
      </c>
      <c r="B133">
        <v>1.569</v>
      </c>
      <c r="C133">
        <v>188</v>
      </c>
      <c r="D133">
        <v>1.175</v>
      </c>
    </row>
    <row r="134" spans="1:4" x14ac:dyDescent="0.15">
      <c r="A134" s="951">
        <v>0.18</v>
      </c>
      <c r="B134">
        <v>1.798</v>
      </c>
      <c r="C134">
        <v>215.5</v>
      </c>
      <c r="D134">
        <v>1.1970000000000001</v>
      </c>
    </row>
    <row r="135" spans="1:4" x14ac:dyDescent="0.15">
      <c r="A135" s="951">
        <v>0.2</v>
      </c>
      <c r="B135">
        <v>2.0350000000000001</v>
      </c>
      <c r="C135">
        <v>243.8</v>
      </c>
      <c r="D135">
        <v>1.2190000000000001</v>
      </c>
    </row>
    <row r="136" spans="1:4" x14ac:dyDescent="0.15">
      <c r="A136" s="951">
        <v>0.22</v>
      </c>
      <c r="B136">
        <v>2.2789999999999999</v>
      </c>
      <c r="C136">
        <v>273</v>
      </c>
      <c r="D136">
        <v>1.2410000000000001</v>
      </c>
    </row>
    <row r="137" spans="1:4" x14ac:dyDescent="0.15">
      <c r="A137" s="951">
        <v>0.24</v>
      </c>
      <c r="B137">
        <v>2.5289999999999999</v>
      </c>
      <c r="C137">
        <v>303.10000000000002</v>
      </c>
      <c r="D137">
        <v>1.2629999999999999</v>
      </c>
    </row>
    <row r="138" spans="1:4" x14ac:dyDescent="0.15">
      <c r="A138" s="951">
        <v>0.25</v>
      </c>
      <c r="B138">
        <v>2.66</v>
      </c>
      <c r="C138">
        <v>318.7</v>
      </c>
      <c r="D138">
        <v>1.278</v>
      </c>
    </row>
    <row r="139" spans="1:4" x14ac:dyDescent="0.15">
      <c r="A139" s="951">
        <v>0.26</v>
      </c>
      <c r="B139">
        <v>2.7879999999999998</v>
      </c>
      <c r="C139">
        <v>334</v>
      </c>
      <c r="D139">
        <v>1.2849999999999999</v>
      </c>
    </row>
    <row r="140" spans="1:4" x14ac:dyDescent="0.15">
      <c r="A140" s="951">
        <v>0.28000000000000003</v>
      </c>
      <c r="B140">
        <v>3.0529999999999999</v>
      </c>
      <c r="C140">
        <v>365.8</v>
      </c>
      <c r="D140">
        <v>1.306</v>
      </c>
    </row>
    <row r="141" spans="1:4" x14ac:dyDescent="0.15">
      <c r="A141" s="951">
        <v>0.3</v>
      </c>
      <c r="B141">
        <v>3.3239999999999998</v>
      </c>
      <c r="C141">
        <v>398.4</v>
      </c>
      <c r="D141">
        <v>1.3280000000000001</v>
      </c>
    </row>
    <row r="142" spans="1:4" x14ac:dyDescent="0.15">
      <c r="A142" s="951">
        <v>0.32</v>
      </c>
      <c r="B142">
        <v>3.6019999999999999</v>
      </c>
      <c r="C142">
        <v>431.7</v>
      </c>
      <c r="D142">
        <v>1.349</v>
      </c>
    </row>
    <row r="143" spans="1:4" x14ac:dyDescent="0.15">
      <c r="A143" s="951">
        <v>0.34</v>
      </c>
      <c r="B143">
        <v>3.8860000000000001</v>
      </c>
      <c r="C143">
        <v>465.7</v>
      </c>
      <c r="D143">
        <v>1.37</v>
      </c>
    </row>
    <row r="144" spans="1:4" x14ac:dyDescent="0.15">
      <c r="A144" s="951">
        <v>0.36</v>
      </c>
      <c r="B144">
        <v>4.1760000000000002</v>
      </c>
      <c r="C144">
        <v>500.4</v>
      </c>
      <c r="D144">
        <v>1.39</v>
      </c>
    </row>
    <row r="145" spans="1:5" x14ac:dyDescent="0.15">
      <c r="A145" s="951">
        <v>0.38</v>
      </c>
      <c r="B145">
        <v>4.4720000000000004</v>
      </c>
      <c r="C145">
        <v>535.79999999999995</v>
      </c>
      <c r="D145">
        <v>1.41</v>
      </c>
    </row>
    <row r="146" spans="1:5" x14ac:dyDescent="0.15">
      <c r="A146" s="951">
        <v>0.4</v>
      </c>
      <c r="B146">
        <v>4.7729999999999997</v>
      </c>
      <c r="C146">
        <v>572</v>
      </c>
      <c r="D146">
        <v>1.34</v>
      </c>
    </row>
    <row r="147" spans="1:5" x14ac:dyDescent="0.15">
      <c r="A147" s="951">
        <v>0.42</v>
      </c>
      <c r="B147">
        <v>5.08</v>
      </c>
      <c r="C147">
        <v>608.70000000000005</v>
      </c>
      <c r="D147">
        <v>1.4490000000000001</v>
      </c>
    </row>
    <row r="148" spans="1:5" x14ac:dyDescent="0.15">
      <c r="A148" s="951">
        <v>0.44</v>
      </c>
      <c r="B148">
        <v>5.3920000000000003</v>
      </c>
      <c r="C148">
        <v>646.1</v>
      </c>
      <c r="D148">
        <v>1.468</v>
      </c>
    </row>
    <row r="149" spans="1:5" x14ac:dyDescent="0.15">
      <c r="A149" s="951">
        <v>0.46</v>
      </c>
      <c r="B149">
        <v>5.7089999999999996</v>
      </c>
      <c r="C149">
        <v>684.2</v>
      </c>
      <c r="D149">
        <v>1.4870000000000001</v>
      </c>
    </row>
    <row r="150" spans="1:5" x14ac:dyDescent="0.15">
      <c r="A150" s="951">
        <v>0.48</v>
      </c>
      <c r="B150">
        <v>6.0350000000000001</v>
      </c>
      <c r="C150">
        <v>723.1</v>
      </c>
      <c r="D150">
        <v>1.506</v>
      </c>
    </row>
    <row r="151" spans="1:5" x14ac:dyDescent="0.15">
      <c r="A151" s="951">
        <v>0.5</v>
      </c>
      <c r="B151">
        <v>6.3639999999999999</v>
      </c>
      <c r="C151">
        <v>762.7</v>
      </c>
      <c r="D151">
        <v>1.5249999999999999</v>
      </c>
    </row>
    <row r="154" spans="1:5" x14ac:dyDescent="0.15">
      <c r="A154" s="1" t="s">
        <v>4170</v>
      </c>
      <c r="B154" s="526"/>
      <c r="C154" s="526"/>
      <c r="D154" s="526"/>
      <c r="E154" s="526"/>
    </row>
    <row r="155" spans="1:5" x14ac:dyDescent="0.15">
      <c r="A155" t="s">
        <v>4171</v>
      </c>
      <c r="B155" t="s">
        <v>4077</v>
      </c>
      <c r="C155" t="s">
        <v>4172</v>
      </c>
      <c r="D155" t="s">
        <v>4173</v>
      </c>
      <c r="E155" t="s">
        <v>4174</v>
      </c>
    </row>
    <row r="156" spans="1:5" x14ac:dyDescent="0.15">
      <c r="A156" s="947">
        <v>0</v>
      </c>
      <c r="B156" t="s">
        <v>4137</v>
      </c>
      <c r="C156" s="947">
        <v>0</v>
      </c>
      <c r="D156" s="952">
        <v>2.5000000000000001E-2</v>
      </c>
      <c r="E156" s="947">
        <v>0</v>
      </c>
    </row>
    <row r="157" spans="1:5" x14ac:dyDescent="0.15">
      <c r="A157" s="947">
        <v>100000</v>
      </c>
      <c r="B157" t="s">
        <v>4175</v>
      </c>
      <c r="C157" s="947">
        <v>2500</v>
      </c>
      <c r="D157" s="952">
        <v>1.4999999999999999E-2</v>
      </c>
      <c r="E157" s="947">
        <v>100000</v>
      </c>
    </row>
    <row r="158" spans="1:5" x14ac:dyDescent="0.15">
      <c r="A158" s="947">
        <v>500000</v>
      </c>
      <c r="B158" t="s">
        <v>4176</v>
      </c>
      <c r="C158" s="947">
        <v>8500</v>
      </c>
      <c r="D158" s="952">
        <v>0.01</v>
      </c>
      <c r="E158" s="947">
        <v>500000</v>
      </c>
    </row>
    <row r="159" spans="1:5" x14ac:dyDescent="0.15">
      <c r="A159" s="947">
        <v>2500000</v>
      </c>
      <c r="B159" t="s">
        <v>4177</v>
      </c>
      <c r="C159" s="947">
        <v>28500</v>
      </c>
      <c r="D159" s="952">
        <v>7.4999999999999997E-3</v>
      </c>
      <c r="E159" s="947">
        <v>2500000</v>
      </c>
    </row>
    <row r="160" spans="1:5" x14ac:dyDescent="0.15">
      <c r="A160" s="947">
        <v>5000000</v>
      </c>
      <c r="B160" t="s">
        <v>4178</v>
      </c>
      <c r="C160" s="947">
        <v>47250</v>
      </c>
      <c r="D160" s="952">
        <v>7.0000000000000001E-3</v>
      </c>
      <c r="E160" s="947">
        <v>5000000</v>
      </c>
    </row>
    <row r="161" spans="1:5" x14ac:dyDescent="0.15">
      <c r="A161" s="947">
        <v>7500000</v>
      </c>
      <c r="B161" t="s">
        <v>4179</v>
      </c>
      <c r="C161" s="947">
        <v>64750</v>
      </c>
      <c r="D161" s="952">
        <v>6.0000000000000001E-3</v>
      </c>
      <c r="E161" s="947">
        <v>7500000</v>
      </c>
    </row>
    <row r="164" spans="1:5" x14ac:dyDescent="0.15">
      <c r="A164" s="1" t="s">
        <v>4180</v>
      </c>
      <c r="B164" s="526"/>
      <c r="C164" s="526"/>
      <c r="D164" s="526"/>
      <c r="E164" s="526"/>
    </row>
    <row r="165" spans="1:5" x14ac:dyDescent="0.15">
      <c r="A165" s="1" t="s">
        <v>4181</v>
      </c>
      <c r="B165" s="526"/>
      <c r="C165" s="526"/>
      <c r="D165" s="526"/>
      <c r="E165" s="526"/>
    </row>
    <row r="166" spans="1:5" x14ac:dyDescent="0.15">
      <c r="A166" t="s">
        <v>4182</v>
      </c>
      <c r="B166" t="s">
        <v>4152</v>
      </c>
      <c r="C166" s="526"/>
    </row>
    <row r="167" spans="1:5" x14ac:dyDescent="0.15">
      <c r="A167">
        <v>0</v>
      </c>
      <c r="B167">
        <v>0.5</v>
      </c>
    </row>
    <row r="168" spans="1:5" x14ac:dyDescent="0.15">
      <c r="A168">
        <v>2.1</v>
      </c>
      <c r="B168">
        <v>0.75</v>
      </c>
    </row>
    <row r="169" spans="1:5" x14ac:dyDescent="0.15">
      <c r="A169">
        <v>4.0999999999999996</v>
      </c>
      <c r="B169">
        <v>1</v>
      </c>
    </row>
    <row r="170" spans="1:5" x14ac:dyDescent="0.15">
      <c r="A170">
        <v>7.1</v>
      </c>
      <c r="B170">
        <v>1.5</v>
      </c>
    </row>
    <row r="171" spans="1:5" x14ac:dyDescent="0.15">
      <c r="A171">
        <v>21.1</v>
      </c>
      <c r="B171">
        <v>2</v>
      </c>
    </row>
    <row r="172" spans="1:5" x14ac:dyDescent="0.15">
      <c r="A172">
        <v>41.1</v>
      </c>
      <c r="B172">
        <v>2.5</v>
      </c>
    </row>
    <row r="173" spans="1:5" x14ac:dyDescent="0.15">
      <c r="A173">
        <v>66.099999999999994</v>
      </c>
      <c r="B173">
        <v>3</v>
      </c>
    </row>
    <row r="174" spans="1:5" x14ac:dyDescent="0.15">
      <c r="A174">
        <v>116.1</v>
      </c>
      <c r="B174">
        <v>4</v>
      </c>
    </row>
    <row r="175" spans="1:5" x14ac:dyDescent="0.15">
      <c r="A175">
        <v>238.1</v>
      </c>
      <c r="B175">
        <v>6</v>
      </c>
    </row>
    <row r="176" spans="1:5" x14ac:dyDescent="0.15">
      <c r="A176">
        <v>697.1</v>
      </c>
      <c r="B176">
        <v>8</v>
      </c>
    </row>
    <row r="177" spans="1:15" x14ac:dyDescent="0.15">
      <c r="A177">
        <v>1435.1</v>
      </c>
      <c r="B177">
        <v>10</v>
      </c>
    </row>
    <row r="178" spans="1:15" x14ac:dyDescent="0.15">
      <c r="A178">
        <v>2608.1</v>
      </c>
      <c r="B178">
        <v>12</v>
      </c>
    </row>
    <row r="179" spans="1:15" x14ac:dyDescent="0.15">
      <c r="A179">
        <v>4132.1000000000004</v>
      </c>
      <c r="B179">
        <v>14</v>
      </c>
    </row>
    <row r="180" spans="1:15" x14ac:dyDescent="0.15">
      <c r="A180">
        <v>5299.1</v>
      </c>
      <c r="B180">
        <v>16</v>
      </c>
    </row>
    <row r="181" spans="1:15" x14ac:dyDescent="0.15">
      <c r="A181">
        <v>7528.1</v>
      </c>
      <c r="B181">
        <v>18</v>
      </c>
    </row>
    <row r="182" spans="1:15" x14ac:dyDescent="0.15">
      <c r="A182">
        <v>10265.1</v>
      </c>
      <c r="B182">
        <v>20</v>
      </c>
    </row>
    <row r="183" spans="1:15" x14ac:dyDescent="0.15">
      <c r="A183">
        <v>13643.1</v>
      </c>
      <c r="B183">
        <v>24</v>
      </c>
    </row>
    <row r="184" spans="1:15" x14ac:dyDescent="0.15">
      <c r="A184">
        <v>22174.1</v>
      </c>
      <c r="B184">
        <v>30</v>
      </c>
    </row>
    <row r="185" spans="1:15" x14ac:dyDescent="0.15">
      <c r="A185">
        <v>50561.1</v>
      </c>
      <c r="B185">
        <v>36</v>
      </c>
    </row>
    <row r="186" spans="1:15" x14ac:dyDescent="0.15">
      <c r="A186">
        <v>81777.100000000006</v>
      </c>
      <c r="B186">
        <v>42</v>
      </c>
    </row>
    <row r="187" spans="1:15" x14ac:dyDescent="0.15">
      <c r="A187">
        <v>122025.1</v>
      </c>
      <c r="B187">
        <v>48</v>
      </c>
    </row>
    <row r="190" spans="1:15" x14ac:dyDescent="0.15">
      <c r="A190" s="1" t="s">
        <v>4183</v>
      </c>
      <c r="O190" s="526"/>
    </row>
    <row r="191" spans="1:15" x14ac:dyDescent="0.15">
      <c r="A191" t="s">
        <v>4184</v>
      </c>
      <c r="B191" t="s">
        <v>4185</v>
      </c>
      <c r="C191" t="s">
        <v>4091</v>
      </c>
      <c r="D191" t="s">
        <v>4092</v>
      </c>
      <c r="O191" s="526"/>
    </row>
    <row r="192" spans="1:15" x14ac:dyDescent="0.15">
      <c r="A192">
        <v>0</v>
      </c>
      <c r="B192">
        <v>350</v>
      </c>
      <c r="C192">
        <v>2.5</v>
      </c>
      <c r="D192">
        <v>2.5</v>
      </c>
      <c r="O192" s="526"/>
    </row>
    <row r="193" spans="1:15" x14ac:dyDescent="0.15">
      <c r="A193">
        <v>351</v>
      </c>
      <c r="B193">
        <v>1740</v>
      </c>
      <c r="C193">
        <v>3.75</v>
      </c>
      <c r="D193">
        <v>3.75</v>
      </c>
      <c r="O193" s="526"/>
    </row>
    <row r="194" spans="1:15" x14ac:dyDescent="0.15">
      <c r="A194">
        <v>1741</v>
      </c>
      <c r="B194">
        <v>7000</v>
      </c>
      <c r="C194">
        <v>5</v>
      </c>
      <c r="D194">
        <v>5</v>
      </c>
      <c r="O194" s="526"/>
    </row>
    <row r="195" spans="1:15" x14ac:dyDescent="0.15">
      <c r="A195">
        <v>7001</v>
      </c>
      <c r="B195">
        <v>35000</v>
      </c>
      <c r="C195" s="374">
        <v>7.083333333333333</v>
      </c>
      <c r="D195" s="374">
        <v>7.083333333333333</v>
      </c>
      <c r="O195" s="526"/>
    </row>
    <row r="198" spans="1:15" x14ac:dyDescent="0.15">
      <c r="A198" s="1" t="s">
        <v>4186</v>
      </c>
    </row>
    <row r="199" spans="1:15" x14ac:dyDescent="0.15">
      <c r="A199" t="s">
        <v>3752</v>
      </c>
      <c r="B199" t="s">
        <v>3753</v>
      </c>
      <c r="C199" t="s">
        <v>4187</v>
      </c>
    </row>
    <row r="200" spans="1:15" x14ac:dyDescent="0.15">
      <c r="A200">
        <v>0</v>
      </c>
      <c r="B200">
        <v>16</v>
      </c>
      <c r="C200">
        <v>8</v>
      </c>
    </row>
    <row r="201" spans="1:15" x14ac:dyDescent="0.15">
      <c r="A201">
        <v>16.100000000000001</v>
      </c>
      <c r="B201">
        <v>25</v>
      </c>
      <c r="C201">
        <v>10</v>
      </c>
    </row>
    <row r="202" spans="1:15" x14ac:dyDescent="0.15">
      <c r="A202">
        <v>25.1</v>
      </c>
      <c r="B202">
        <v>40</v>
      </c>
      <c r="C202">
        <v>11.5</v>
      </c>
    </row>
    <row r="203" spans="1:15" x14ac:dyDescent="0.15">
      <c r="A203">
        <v>40.1</v>
      </c>
      <c r="B203">
        <v>70</v>
      </c>
      <c r="C203">
        <v>12</v>
      </c>
    </row>
    <row r="206" spans="1:15" x14ac:dyDescent="0.15">
      <c r="A206" s="2" t="s">
        <v>4188</v>
      </c>
      <c r="B206" s="2" t="s">
        <v>4189</v>
      </c>
      <c r="C206" s="2" t="s">
        <v>4190</v>
      </c>
    </row>
    <row r="207" spans="1:15" x14ac:dyDescent="0.15">
      <c r="A207" s="526" t="s">
        <v>4191</v>
      </c>
      <c r="B207" s="953" t="s">
        <v>4192</v>
      </c>
      <c r="C207" s="526" t="s">
        <v>4193</v>
      </c>
    </row>
    <row r="208" spans="1:15" x14ac:dyDescent="0.15">
      <c r="A208" s="526" t="s">
        <v>4030</v>
      </c>
      <c r="B208" s="953" t="s">
        <v>4194</v>
      </c>
      <c r="C208" s="526" t="s">
        <v>4195</v>
      </c>
    </row>
    <row r="209" spans="1:3" x14ac:dyDescent="0.15">
      <c r="A209" s="526" t="s">
        <v>4029</v>
      </c>
      <c r="B209" s="953" t="s">
        <v>4194</v>
      </c>
      <c r="C209" s="526" t="s">
        <v>4195</v>
      </c>
    </row>
    <row r="210" spans="1:3" x14ac:dyDescent="0.15">
      <c r="A210" s="526" t="s">
        <v>4032</v>
      </c>
      <c r="B210" s="953" t="s">
        <v>4194</v>
      </c>
      <c r="C210" s="526" t="s">
        <v>4195</v>
      </c>
    </row>
    <row r="211" spans="1:3" x14ac:dyDescent="0.15">
      <c r="A211" s="526" t="s">
        <v>4031</v>
      </c>
      <c r="B211" s="953" t="s">
        <v>4194</v>
      </c>
      <c r="C211" s="526" t="s">
        <v>4195</v>
      </c>
    </row>
    <row r="212" spans="1:3" x14ac:dyDescent="0.15">
      <c r="A212" t="s">
        <v>4196</v>
      </c>
      <c r="B212" s="953" t="s">
        <v>4194</v>
      </c>
      <c r="C212" s="526" t="s">
        <v>4195</v>
      </c>
    </row>
    <row r="213" spans="1:3" x14ac:dyDescent="0.15">
      <c r="A213" s="526" t="s">
        <v>4037</v>
      </c>
      <c r="B213" s="953" t="s">
        <v>4197</v>
      </c>
      <c r="C213" s="526" t="s">
        <v>4198</v>
      </c>
    </row>
    <row r="214" spans="1:3" x14ac:dyDescent="0.15">
      <c r="A214" s="526" t="s">
        <v>4036</v>
      </c>
      <c r="B214" s="953" t="s">
        <v>4199</v>
      </c>
      <c r="C214" s="526" t="s">
        <v>4200</v>
      </c>
    </row>
    <row r="215" spans="1:3" x14ac:dyDescent="0.15">
      <c r="A215" s="526" t="s">
        <v>4201</v>
      </c>
      <c r="B215" s="953" t="s">
        <v>4202</v>
      </c>
      <c r="C215" s="526" t="s">
        <v>4203</v>
      </c>
    </row>
    <row r="216" spans="1:3" x14ac:dyDescent="0.15">
      <c r="A216" s="526" t="s">
        <v>4204</v>
      </c>
      <c r="B216" s="953" t="s">
        <v>4205</v>
      </c>
      <c r="C216" s="526" t="s">
        <v>4206</v>
      </c>
    </row>
    <row r="217" spans="1:3" x14ac:dyDescent="0.15">
      <c r="A217" s="526" t="s">
        <v>4207</v>
      </c>
      <c r="B217" s="953" t="s">
        <v>4208</v>
      </c>
      <c r="C217" s="526" t="s">
        <v>4209</v>
      </c>
    </row>
    <row r="218" spans="1:3" x14ac:dyDescent="0.15">
      <c r="A218" s="526" t="s">
        <v>4210</v>
      </c>
      <c r="B218" s="953" t="s">
        <v>4208</v>
      </c>
      <c r="C218" s="526" t="s">
        <v>4209</v>
      </c>
    </row>
    <row r="219" spans="1:3" x14ac:dyDescent="0.15">
      <c r="A219" s="526" t="s">
        <v>4211</v>
      </c>
      <c r="B219" t="s">
        <v>4212</v>
      </c>
      <c r="C219" s="526" t="s">
        <v>4211</v>
      </c>
    </row>
    <row r="220" spans="1:3" x14ac:dyDescent="0.15">
      <c r="A220" s="526" t="s">
        <v>4213</v>
      </c>
      <c r="B220" s="953" t="s">
        <v>4214</v>
      </c>
      <c r="C220" s="526" t="s">
        <v>4215</v>
      </c>
    </row>
    <row r="221" spans="1:3" x14ac:dyDescent="0.15">
      <c r="A221" s="526" t="s">
        <v>4035</v>
      </c>
      <c r="B221" s="953" t="s">
        <v>4214</v>
      </c>
      <c r="C221" s="526" t="s">
        <v>4215</v>
      </c>
    </row>
    <row r="222" spans="1:3" x14ac:dyDescent="0.15">
      <c r="A222" s="526" t="s">
        <v>4201</v>
      </c>
      <c r="B222" s="953" t="s">
        <v>4216</v>
      </c>
      <c r="C222" s="526" t="s">
        <v>4217</v>
      </c>
    </row>
    <row r="223" spans="1:3" x14ac:dyDescent="0.15">
      <c r="A223" s="526" t="s">
        <v>4218</v>
      </c>
      <c r="B223" s="953" t="s">
        <v>4219</v>
      </c>
      <c r="C223" s="526" t="s">
        <v>4220</v>
      </c>
    </row>
    <row r="224" spans="1:3" x14ac:dyDescent="0.15">
      <c r="A224" s="526" t="s">
        <v>4221</v>
      </c>
      <c r="B224" t="s">
        <v>4222</v>
      </c>
      <c r="C224" s="526" t="s">
        <v>4221</v>
      </c>
    </row>
    <row r="225" spans="1:3" x14ac:dyDescent="0.15">
      <c r="A225" s="526" t="s">
        <v>4011</v>
      </c>
      <c r="B225" t="s">
        <v>4223</v>
      </c>
      <c r="C225" s="526" t="s">
        <v>4224</v>
      </c>
    </row>
    <row r="226" spans="1:3" x14ac:dyDescent="0.15">
      <c r="A226" s="526" t="s">
        <v>4201</v>
      </c>
      <c r="B226" s="953" t="s">
        <v>4225</v>
      </c>
      <c r="C226" s="526" t="s">
        <v>4226</v>
      </c>
    </row>
    <row r="227" spans="1:3" x14ac:dyDescent="0.15">
      <c r="A227" s="526" t="s">
        <v>2843</v>
      </c>
      <c r="B227" s="953" t="s">
        <v>4227</v>
      </c>
      <c r="C227" s="526" t="s">
        <v>4228</v>
      </c>
    </row>
    <row r="228" spans="1:3" x14ac:dyDescent="0.15">
      <c r="A228" s="526" t="s">
        <v>4018</v>
      </c>
      <c r="B228" s="953" t="s">
        <v>4227</v>
      </c>
      <c r="C228" s="526" t="s">
        <v>4228</v>
      </c>
    </row>
    <row r="229" spans="1:3" x14ac:dyDescent="0.15">
      <c r="A229" s="526" t="s">
        <v>4017</v>
      </c>
      <c r="B229" s="953" t="s">
        <v>4227</v>
      </c>
      <c r="C229" s="526" t="s">
        <v>4228</v>
      </c>
    </row>
    <row r="230" spans="1:3" x14ac:dyDescent="0.15">
      <c r="A230" s="526" t="s">
        <v>4229</v>
      </c>
      <c r="B230" s="953" t="s">
        <v>4227</v>
      </c>
      <c r="C230" s="526" t="s">
        <v>4228</v>
      </c>
    </row>
    <row r="231" spans="1:3" x14ac:dyDescent="0.15">
      <c r="A231" s="526" t="s">
        <v>4230</v>
      </c>
      <c r="B231" s="953" t="s">
        <v>4227</v>
      </c>
      <c r="C231" s="526" t="s">
        <v>4228</v>
      </c>
    </row>
    <row r="232" spans="1:3" x14ac:dyDescent="0.15">
      <c r="A232" s="526" t="s">
        <v>4231</v>
      </c>
      <c r="B232" s="953" t="s">
        <v>4232</v>
      </c>
      <c r="C232" s="526" t="s">
        <v>4233</v>
      </c>
    </row>
    <row r="233" spans="1:3" x14ac:dyDescent="0.15">
      <c r="A233" s="526" t="s">
        <v>4234</v>
      </c>
      <c r="B233" s="953" t="s">
        <v>4235</v>
      </c>
      <c r="C233" s="526" t="s">
        <v>4236</v>
      </c>
    </row>
    <row r="234" spans="1:3" x14ac:dyDescent="0.15">
      <c r="A234" s="526" t="s">
        <v>4022</v>
      </c>
      <c r="B234" s="953" t="s">
        <v>4235</v>
      </c>
      <c r="C234" s="526" t="s">
        <v>4236</v>
      </c>
    </row>
    <row r="235" spans="1:3" x14ac:dyDescent="0.15">
      <c r="A235" s="526" t="s">
        <v>4201</v>
      </c>
      <c r="B235" s="953" t="s">
        <v>4237</v>
      </c>
      <c r="C235" s="526" t="s">
        <v>4238</v>
      </c>
    </row>
    <row r="236" spans="1:3" x14ac:dyDescent="0.15">
      <c r="A236" s="526" t="s">
        <v>4239</v>
      </c>
      <c r="B236" s="953" t="s">
        <v>4240</v>
      </c>
      <c r="C236" s="526" t="s">
        <v>4241</v>
      </c>
    </row>
    <row r="237" spans="1:3" x14ac:dyDescent="0.15">
      <c r="A237" s="526" t="s">
        <v>4201</v>
      </c>
      <c r="B237" s="953" t="s">
        <v>4242</v>
      </c>
      <c r="C237" s="526" t="s">
        <v>4243</v>
      </c>
    </row>
    <row r="238" spans="1:3" x14ac:dyDescent="0.15">
      <c r="A238" s="526" t="s">
        <v>4244</v>
      </c>
      <c r="B238" s="953" t="s">
        <v>4245</v>
      </c>
      <c r="C238" s="526" t="s">
        <v>4244</v>
      </c>
    </row>
    <row r="239" spans="1:3" x14ac:dyDescent="0.15">
      <c r="A239" s="526" t="s">
        <v>4246</v>
      </c>
      <c r="B239" s="953" t="s">
        <v>4247</v>
      </c>
      <c r="C239" s="526" t="s">
        <v>4248</v>
      </c>
    </row>
    <row r="240" spans="1:3" x14ac:dyDescent="0.15">
      <c r="A240" s="526" t="s">
        <v>4019</v>
      </c>
      <c r="B240" s="953" t="s">
        <v>4249</v>
      </c>
      <c r="C240" s="526" t="s">
        <v>4250</v>
      </c>
    </row>
    <row r="241" spans="1:5" x14ac:dyDescent="0.15">
      <c r="A241" s="526" t="s">
        <v>4201</v>
      </c>
      <c r="B241" s="953" t="s">
        <v>4251</v>
      </c>
      <c r="C241" s="526" t="s">
        <v>4252</v>
      </c>
    </row>
    <row r="242" spans="1:5" x14ac:dyDescent="0.15">
      <c r="A242" s="526" t="s">
        <v>4201</v>
      </c>
      <c r="B242" s="953" t="s">
        <v>4253</v>
      </c>
      <c r="C242" s="526" t="s">
        <v>4254</v>
      </c>
    </row>
    <row r="243" spans="1:5" x14ac:dyDescent="0.15">
      <c r="A243" s="526" t="s">
        <v>4027</v>
      </c>
      <c r="B243" s="953" t="s">
        <v>4255</v>
      </c>
      <c r="C243" s="526" t="s">
        <v>4256</v>
      </c>
    </row>
    <row r="244" spans="1:5" x14ac:dyDescent="0.15">
      <c r="A244" s="526" t="s">
        <v>4257</v>
      </c>
      <c r="B244" s="953" t="s">
        <v>4258</v>
      </c>
      <c r="C244" s="526" t="s">
        <v>4259</v>
      </c>
    </row>
    <row r="245" spans="1:5" x14ac:dyDescent="0.15">
      <c r="A245" s="526" t="s">
        <v>4201</v>
      </c>
      <c r="B245" s="953" t="s">
        <v>4260</v>
      </c>
      <c r="C245" s="526" t="s">
        <v>4261</v>
      </c>
    </row>
    <row r="248" spans="1:5" x14ac:dyDescent="0.15">
      <c r="A248" s="1" t="s">
        <v>4262</v>
      </c>
      <c r="B248" s="526"/>
      <c r="C248" s="526"/>
      <c r="D248" s="526"/>
      <c r="E248" s="526"/>
    </row>
    <row r="249" spans="1:5" ht="14" x14ac:dyDescent="0.15">
      <c r="A249" t="s">
        <v>4263</v>
      </c>
      <c r="B249" s="938" t="s">
        <v>4264</v>
      </c>
      <c r="C249" s="6" t="s">
        <v>4265</v>
      </c>
    </row>
    <row r="250" spans="1:5" x14ac:dyDescent="0.15">
      <c r="A250" s="8" t="s">
        <v>4266</v>
      </c>
      <c r="B250" s="8" t="s">
        <v>4267</v>
      </c>
      <c r="C250" s="8" t="s">
        <v>4268</v>
      </c>
    </row>
    <row r="251" spans="1:5" x14ac:dyDescent="0.15">
      <c r="A251" s="954">
        <v>0</v>
      </c>
      <c r="B251" s="955">
        <v>347.63563037472028</v>
      </c>
      <c r="C251" s="954">
        <v>2</v>
      </c>
    </row>
    <row r="252" spans="1:5" x14ac:dyDescent="0.15">
      <c r="A252" s="954">
        <v>2.1</v>
      </c>
      <c r="B252" s="955">
        <v>681.91181843044774</v>
      </c>
      <c r="C252" s="954">
        <v>3</v>
      </c>
    </row>
    <row r="253" spans="1:5" x14ac:dyDescent="0.15">
      <c r="A253" s="954">
        <v>3.1</v>
      </c>
      <c r="B253" s="955">
        <v>1260.0087440508869</v>
      </c>
      <c r="C253" s="954">
        <v>4</v>
      </c>
    </row>
    <row r="254" spans="1:5" x14ac:dyDescent="0.15">
      <c r="A254" s="954">
        <v>4.0999999999999996</v>
      </c>
      <c r="B254" s="955">
        <v>2835.0196741144964</v>
      </c>
      <c r="C254" s="954">
        <v>6</v>
      </c>
    </row>
    <row r="255" spans="1:5" x14ac:dyDescent="0.15">
      <c r="A255" s="954">
        <v>6.1</v>
      </c>
      <c r="B255" s="955">
        <v>4990.7439767005962</v>
      </c>
      <c r="C255" s="954">
        <v>8</v>
      </c>
    </row>
    <row r="256" spans="1:5" x14ac:dyDescent="0.15">
      <c r="A256" s="954">
        <v>8.1</v>
      </c>
      <c r="B256" s="955">
        <v>7813.4106239126322</v>
      </c>
      <c r="C256" s="954">
        <v>10</v>
      </c>
    </row>
    <row r="257" spans="1:5" x14ac:dyDescent="0.15">
      <c r="A257" s="954">
        <v>10.1</v>
      </c>
      <c r="B257" s="955">
        <v>11192.326806056015</v>
      </c>
      <c r="C257" s="954">
        <v>12</v>
      </c>
    </row>
    <row r="258" spans="1:5" x14ac:dyDescent="0.15">
      <c r="A258" s="954">
        <v>12.1</v>
      </c>
      <c r="B258" s="955">
        <v>15314.284822868764</v>
      </c>
      <c r="C258" s="954">
        <v>14</v>
      </c>
    </row>
    <row r="259" spans="1:5" x14ac:dyDescent="0.15">
      <c r="A259" s="954">
        <v>14.1</v>
      </c>
      <c r="B259" s="955">
        <v>20002.331197216343</v>
      </c>
      <c r="C259" s="954">
        <v>16</v>
      </c>
    </row>
    <row r="260" spans="1:5" x14ac:dyDescent="0.15">
      <c r="A260" s="954">
        <v>16.100000000000001</v>
      </c>
      <c r="B260" s="955">
        <v>25315.450421476933</v>
      </c>
      <c r="C260" s="954">
        <v>18</v>
      </c>
    </row>
    <row r="261" spans="1:5" x14ac:dyDescent="0.15">
      <c r="A261" s="954">
        <v>18.100000000000001</v>
      </c>
      <c r="B261" s="955">
        <v>31130.717767160371</v>
      </c>
      <c r="C261" s="954">
        <v>20</v>
      </c>
    </row>
    <row r="262" spans="1:5" x14ac:dyDescent="0.15">
      <c r="A262" s="954">
        <v>20.100000000000001</v>
      </c>
      <c r="B262" s="955">
        <v>45064.326572600447</v>
      </c>
      <c r="C262" s="954">
        <v>24</v>
      </c>
    </row>
    <row r="263" spans="1:5" x14ac:dyDescent="0.15">
      <c r="A263" s="954">
        <v>24.1</v>
      </c>
      <c r="B263" s="955">
        <v>61050.596681665913</v>
      </c>
      <c r="C263" s="954">
        <v>28</v>
      </c>
    </row>
    <row r="264" spans="1:5" x14ac:dyDescent="0.15">
      <c r="A264" s="954">
        <v>28.1</v>
      </c>
      <c r="B264" s="955">
        <v>70505.385478216151</v>
      </c>
      <c r="C264" s="954">
        <v>30</v>
      </c>
    </row>
    <row r="265" spans="1:5" x14ac:dyDescent="0.15">
      <c r="A265" s="954">
        <v>30.1</v>
      </c>
      <c r="B265" s="955">
        <v>124768.59941751491</v>
      </c>
      <c r="C265" s="954">
        <v>40</v>
      </c>
    </row>
    <row r="266" spans="1:5" x14ac:dyDescent="0.15">
      <c r="A266" s="954">
        <v>40.1</v>
      </c>
      <c r="B266" s="955">
        <v>137828.56340581886</v>
      </c>
      <c r="C266" s="954">
        <v>42</v>
      </c>
    </row>
    <row r="267" spans="1:5" x14ac:dyDescent="0.15">
      <c r="A267" s="954">
        <v>42.1</v>
      </c>
      <c r="B267" s="955">
        <v>180257.30629040179</v>
      </c>
      <c r="C267" s="954">
        <v>48</v>
      </c>
    </row>
    <row r="270" spans="1:5" x14ac:dyDescent="0.15">
      <c r="A270" s="1" t="s">
        <v>4269</v>
      </c>
      <c r="B270" s="526"/>
      <c r="C270" s="526"/>
      <c r="D270" s="526"/>
      <c r="E270" s="526"/>
    </row>
    <row r="271" spans="1:5" x14ac:dyDescent="0.15">
      <c r="A271" s="526" t="s">
        <v>4270</v>
      </c>
    </row>
    <row r="272" spans="1:5" x14ac:dyDescent="0.15">
      <c r="A272" t="s">
        <v>4271</v>
      </c>
    </row>
    <row r="273" spans="1:3" x14ac:dyDescent="0.15">
      <c r="A273" s="44" t="s">
        <v>1354</v>
      </c>
      <c r="B273" s="44" t="s">
        <v>4272</v>
      </c>
      <c r="C273" s="44" t="s">
        <v>4273</v>
      </c>
    </row>
    <row r="274" spans="1:3" x14ac:dyDescent="0.15">
      <c r="A274" s="44" t="s">
        <v>2845</v>
      </c>
      <c r="B274" s="44" t="s">
        <v>2845</v>
      </c>
      <c r="C274" s="44" t="s">
        <v>2845</v>
      </c>
    </row>
    <row r="275" spans="1:3" x14ac:dyDescent="0.15">
      <c r="A275">
        <v>1.5</v>
      </c>
      <c r="B275">
        <v>3</v>
      </c>
      <c r="C275">
        <v>6</v>
      </c>
    </row>
    <row r="276" spans="1:3" x14ac:dyDescent="0.15">
      <c r="A276">
        <v>2</v>
      </c>
      <c r="B276">
        <v>3.5</v>
      </c>
      <c r="C276">
        <v>7.5</v>
      </c>
    </row>
    <row r="277" spans="1:3" x14ac:dyDescent="0.15">
      <c r="A277">
        <v>2.5</v>
      </c>
      <c r="B277">
        <v>4</v>
      </c>
      <c r="C277">
        <v>9</v>
      </c>
    </row>
    <row r="278" spans="1:3" x14ac:dyDescent="0.15">
      <c r="A278">
        <v>3</v>
      </c>
      <c r="B278">
        <v>4</v>
      </c>
      <c r="C278">
        <v>10</v>
      </c>
    </row>
    <row r="279" spans="1:3" x14ac:dyDescent="0.15">
      <c r="A279">
        <v>3.5</v>
      </c>
      <c r="B279">
        <v>4.5</v>
      </c>
      <c r="C279">
        <v>10</v>
      </c>
    </row>
    <row r="280" spans="1:3" x14ac:dyDescent="0.15">
      <c r="A280">
        <v>4</v>
      </c>
      <c r="B280">
        <v>4.5</v>
      </c>
      <c r="C280">
        <v>12</v>
      </c>
    </row>
    <row r="281" spans="1:3" x14ac:dyDescent="0.15">
      <c r="A281">
        <v>4.5</v>
      </c>
      <c r="B281">
        <v>4.5</v>
      </c>
      <c r="C281">
        <v>15</v>
      </c>
    </row>
    <row r="282" spans="1:3" x14ac:dyDescent="0.15">
      <c r="A282">
        <v>5</v>
      </c>
      <c r="B282">
        <v>4.5</v>
      </c>
      <c r="C282">
        <v>15</v>
      </c>
    </row>
    <row r="283" spans="1:3" x14ac:dyDescent="0.15">
      <c r="A283">
        <v>5.5</v>
      </c>
      <c r="B283">
        <v>4.5</v>
      </c>
      <c r="C283">
        <v>15</v>
      </c>
    </row>
    <row r="284" spans="1:3" x14ac:dyDescent="0.15">
      <c r="A284">
        <v>6</v>
      </c>
      <c r="B284">
        <v>4.5</v>
      </c>
      <c r="C284">
        <v>18</v>
      </c>
    </row>
    <row r="285" spans="1:3" x14ac:dyDescent="0.15">
      <c r="A285">
        <v>6.5</v>
      </c>
      <c r="B285">
        <v>5.5</v>
      </c>
      <c r="C285">
        <v>18</v>
      </c>
    </row>
    <row r="286" spans="1:3" x14ac:dyDescent="0.15">
      <c r="A286">
        <v>7</v>
      </c>
      <c r="B286">
        <v>5.5</v>
      </c>
      <c r="C286">
        <v>18</v>
      </c>
    </row>
    <row r="287" spans="1:3" x14ac:dyDescent="0.15">
      <c r="A287">
        <v>7.5</v>
      </c>
      <c r="B287">
        <v>6</v>
      </c>
      <c r="C287">
        <v>18</v>
      </c>
    </row>
    <row r="288" spans="1:3" x14ac:dyDescent="0.15">
      <c r="A288">
        <v>8</v>
      </c>
      <c r="B288">
        <v>6</v>
      </c>
      <c r="C288">
        <v>20</v>
      </c>
    </row>
    <row r="289" spans="1:3" x14ac:dyDescent="0.15">
      <c r="A289">
        <v>8.5</v>
      </c>
      <c r="B289">
        <v>6</v>
      </c>
      <c r="C289">
        <v>20</v>
      </c>
    </row>
    <row r="290" spans="1:3" x14ac:dyDescent="0.15">
      <c r="A290">
        <v>9</v>
      </c>
      <c r="B290">
        <v>6</v>
      </c>
      <c r="C290">
        <v>20</v>
      </c>
    </row>
    <row r="291" spans="1:3" x14ac:dyDescent="0.15">
      <c r="A291">
        <v>9.5</v>
      </c>
      <c r="B291">
        <v>6</v>
      </c>
      <c r="C291">
        <v>20</v>
      </c>
    </row>
    <row r="292" spans="1:3" x14ac:dyDescent="0.15">
      <c r="A292">
        <v>10</v>
      </c>
      <c r="B292">
        <v>6</v>
      </c>
      <c r="C292">
        <v>24</v>
      </c>
    </row>
    <row r="293" spans="1:3" x14ac:dyDescent="0.15">
      <c r="A293">
        <v>10.5</v>
      </c>
      <c r="B293">
        <v>6</v>
      </c>
      <c r="C293">
        <v>24</v>
      </c>
    </row>
    <row r="294" spans="1:3" x14ac:dyDescent="0.15">
      <c r="A294">
        <v>11</v>
      </c>
      <c r="B294">
        <v>6</v>
      </c>
      <c r="C294">
        <v>24</v>
      </c>
    </row>
    <row r="295" spans="1:3" x14ac:dyDescent="0.15">
      <c r="A295">
        <v>11.5</v>
      </c>
      <c r="B295">
        <v>6</v>
      </c>
      <c r="C295">
        <v>24</v>
      </c>
    </row>
    <row r="296" spans="1:3" x14ac:dyDescent="0.15">
      <c r="A296">
        <v>12</v>
      </c>
      <c r="B296">
        <v>6</v>
      </c>
      <c r="C296">
        <v>24</v>
      </c>
    </row>
    <row r="297" spans="1:3" x14ac:dyDescent="0.15">
      <c r="A297">
        <v>14</v>
      </c>
      <c r="B297">
        <v>6</v>
      </c>
      <c r="C297">
        <v>24</v>
      </c>
    </row>
  </sheetData>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x14ac:dyDescent="0.15"/>
  <cols>
    <col min="1" max="1" width="18.83203125" customWidth="1"/>
    <col min="2" max="2" width="18" customWidth="1"/>
    <col min="3" max="3" width="19.33203125" customWidth="1"/>
    <col min="4" max="4" width="10.83203125" customWidth="1"/>
  </cols>
  <sheetData>
    <row r="1" spans="1:7" x14ac:dyDescent="0.15">
      <c r="A1" s="1" t="s">
        <v>2966</v>
      </c>
    </row>
    <row r="2" spans="1:7" x14ac:dyDescent="0.15">
      <c r="A2" s="657" t="s">
        <v>2967</v>
      </c>
    </row>
    <row r="3" spans="1:7" x14ac:dyDescent="0.15">
      <c r="A3" s="657"/>
    </row>
    <row r="4" spans="1:7" x14ac:dyDescent="0.15">
      <c r="A4" s="92" t="s">
        <v>3024</v>
      </c>
    </row>
    <row r="5" spans="1:7" x14ac:dyDescent="0.15">
      <c r="A5" s="61" t="s">
        <v>3025</v>
      </c>
    </row>
    <row r="6" spans="1:7" x14ac:dyDescent="0.15">
      <c r="A6" s="61" t="s">
        <v>3026</v>
      </c>
    </row>
    <row r="7" spans="1:7" ht="15" x14ac:dyDescent="0.2">
      <c r="A7" s="2" t="s">
        <v>3027</v>
      </c>
      <c r="B7" s="2" t="s">
        <v>3028</v>
      </c>
      <c r="C7" s="729" t="s">
        <v>3029</v>
      </c>
      <c r="D7" s="729" t="s">
        <v>3030</v>
      </c>
      <c r="E7" s="729" t="s">
        <v>3031</v>
      </c>
      <c r="F7" s="729" t="s">
        <v>3032</v>
      </c>
      <c r="G7" s="729" t="s">
        <v>3033</v>
      </c>
    </row>
    <row r="8" spans="1:7" ht="16" x14ac:dyDescent="0.2">
      <c r="A8" s="526" t="s">
        <v>3034</v>
      </c>
      <c r="B8" s="526" t="s">
        <v>3035</v>
      </c>
      <c r="C8" s="526">
        <v>-6.0880000000000001</v>
      </c>
      <c r="D8" s="526">
        <v>4471</v>
      </c>
      <c r="E8" s="526"/>
      <c r="F8" s="526">
        <v>1.7059999999999999E-2</v>
      </c>
      <c r="G8" s="526"/>
    </row>
    <row r="9" spans="1:7" ht="16" x14ac:dyDescent="0.2">
      <c r="A9" s="526" t="s">
        <v>3036</v>
      </c>
      <c r="B9" s="526" t="s">
        <v>3037</v>
      </c>
      <c r="C9" s="526">
        <v>356.30900000000003</v>
      </c>
      <c r="D9" s="526">
        <v>-21834.400000000001</v>
      </c>
      <c r="E9" s="526">
        <v>-126.834</v>
      </c>
      <c r="F9" s="526">
        <v>6.0920000000000002E-2</v>
      </c>
      <c r="G9" s="526">
        <v>1685915</v>
      </c>
    </row>
    <row r="10" spans="1:7" ht="16" x14ac:dyDescent="0.2">
      <c r="A10" s="526" t="s">
        <v>3038</v>
      </c>
      <c r="B10" s="526" t="s">
        <v>3039</v>
      </c>
      <c r="C10">
        <v>107.887</v>
      </c>
      <c r="D10">
        <v>-5151.8</v>
      </c>
      <c r="E10">
        <v>-38.926000000000002</v>
      </c>
      <c r="F10">
        <v>3.2528000000000001E-2</v>
      </c>
      <c r="G10">
        <v>563713.9</v>
      </c>
    </row>
    <row r="11" spans="1:7" x14ac:dyDescent="0.15">
      <c r="A11" s="526"/>
      <c r="B11" s="526"/>
    </row>
    <row r="12" spans="1:7" x14ac:dyDescent="0.15">
      <c r="A12" s="3" t="s">
        <v>2895</v>
      </c>
    </row>
    <row r="13" spans="1:7" x14ac:dyDescent="0.15">
      <c r="A13" s="662" t="s">
        <v>2896</v>
      </c>
    </row>
    <row r="14" spans="1:7" x14ac:dyDescent="0.15">
      <c r="A14" s="662" t="s">
        <v>2893</v>
      </c>
    </row>
    <row r="15" spans="1:7" x14ac:dyDescent="0.15">
      <c r="A15" s="662"/>
    </row>
    <row r="16" spans="1:7" x14ac:dyDescent="0.15">
      <c r="A16" s="3" t="s">
        <v>2897</v>
      </c>
    </row>
    <row r="17" spans="1:1" x14ac:dyDescent="0.15">
      <c r="A17" s="662" t="s">
        <v>2894</v>
      </c>
    </row>
    <row r="18" spans="1:1" x14ac:dyDescent="0.15">
      <c r="A18" s="662" t="s">
        <v>2898</v>
      </c>
    </row>
    <row r="19" spans="1:1" x14ac:dyDescent="0.15">
      <c r="A19" s="662"/>
    </row>
    <row r="20" spans="1:1" x14ac:dyDescent="0.15">
      <c r="A20" s="3" t="s">
        <v>2899</v>
      </c>
    </row>
    <row r="21" spans="1:1" x14ac:dyDescent="0.15">
      <c r="A21" s="662" t="s">
        <v>2317</v>
      </c>
    </row>
    <row r="22" spans="1:1" x14ac:dyDescent="0.15">
      <c r="A22" s="662" t="s">
        <v>2318</v>
      </c>
    </row>
    <row r="23" spans="1:1" x14ac:dyDescent="0.15">
      <c r="A23" s="662" t="s">
        <v>2319</v>
      </c>
    </row>
    <row r="24" spans="1:1" x14ac:dyDescent="0.15">
      <c r="A24" s="662"/>
    </row>
    <row r="25" spans="1:1" x14ac:dyDescent="0.15">
      <c r="A25" s="3" t="s">
        <v>2900</v>
      </c>
    </row>
    <row r="26" spans="1:1" x14ac:dyDescent="0.15">
      <c r="A26" s="662" t="s">
        <v>719</v>
      </c>
    </row>
    <row r="27" spans="1:1" x14ac:dyDescent="0.15">
      <c r="A27" s="662" t="s">
        <v>2901</v>
      </c>
    </row>
    <row r="28" spans="1:1" x14ac:dyDescent="0.15">
      <c r="A28" s="662" t="s">
        <v>1302</v>
      </c>
    </row>
    <row r="29" spans="1:1" x14ac:dyDescent="0.15">
      <c r="A29" s="662"/>
    </row>
    <row r="30" spans="1:1" x14ac:dyDescent="0.15">
      <c r="A30" s="3" t="s">
        <v>2902</v>
      </c>
    </row>
    <row r="31" spans="1:1" x14ac:dyDescent="0.15">
      <c r="A31" s="662" t="s">
        <v>2903</v>
      </c>
    </row>
    <row r="32" spans="1:1" x14ac:dyDescent="0.15">
      <c r="A32" s="662" t="s">
        <v>2904</v>
      </c>
    </row>
    <row r="33" spans="1:4" x14ac:dyDescent="0.15">
      <c r="A33" s="662"/>
    </row>
    <row r="34" spans="1:4" x14ac:dyDescent="0.15">
      <c r="A34" s="2" t="s">
        <v>1037</v>
      </c>
      <c r="B34" s="5"/>
      <c r="D34" s="4"/>
    </row>
    <row r="35" spans="1:4" x14ac:dyDescent="0.15">
      <c r="A35" s="3" t="s">
        <v>3506</v>
      </c>
      <c r="B35" s="5"/>
      <c r="D35" s="4"/>
    </row>
    <row r="36" spans="1:4" x14ac:dyDescent="0.15">
      <c r="A36" s="662" t="str">
        <f>IF(regen_type=2,"","brine mixing tanks")</f>
        <v/>
      </c>
      <c r="B36" s="5"/>
      <c r="D36" s="4"/>
    </row>
    <row r="37" spans="1:4" x14ac:dyDescent="0.15">
      <c r="A37" s="662" t="str">
        <f>IF(regen_type=2,"","salt saturator")</f>
        <v/>
      </c>
      <c r="B37" s="5"/>
      <c r="D37" s="4"/>
    </row>
    <row r="38" spans="1:4" x14ac:dyDescent="0.15">
      <c r="A38" s="3" t="s">
        <v>3507</v>
      </c>
      <c r="B38" s="5"/>
      <c r="D38" s="4"/>
    </row>
    <row r="39" spans="1:4" x14ac:dyDescent="0.15">
      <c r="A39" s="662" t="s">
        <v>1822</v>
      </c>
      <c r="B39" s="5"/>
      <c r="D39" s="4"/>
    </row>
    <row r="40" spans="1:4" x14ac:dyDescent="0.15">
      <c r="A40" s="662" t="s">
        <v>923</v>
      </c>
      <c r="B40" s="5"/>
      <c r="D40" s="4"/>
    </row>
    <row r="41" spans="1:4" x14ac:dyDescent="0.15">
      <c r="A41" s="662" t="s">
        <v>1823</v>
      </c>
      <c r="B41" s="5"/>
      <c r="D41" s="4"/>
    </row>
    <row r="42" spans="1:4" x14ac:dyDescent="0.15">
      <c r="A42" s="662" t="s">
        <v>1545</v>
      </c>
      <c r="B42" s="5"/>
      <c r="D42" s="4"/>
    </row>
    <row r="43" spans="1:4" x14ac:dyDescent="0.15">
      <c r="A43" s="3" t="s">
        <v>3508</v>
      </c>
      <c r="B43" s="5"/>
      <c r="D43" s="4"/>
    </row>
    <row r="44" spans="1:4" x14ac:dyDescent="0.15">
      <c r="A44" s="662" t="str">
        <f>IF(res_s2_opt&gt;2,"","holding tank")</f>
        <v/>
      </c>
      <c r="B44" s="5"/>
      <c r="D44" s="4"/>
    </row>
    <row r="45" spans="1:4" x14ac:dyDescent="0.15">
      <c r="A45" s="662" t="str">
        <f>IF(res_s2_opt&gt;2,"","no holding tank")</f>
        <v/>
      </c>
      <c r="B45" s="5"/>
      <c r="D45" s="4"/>
    </row>
    <row r="46" spans="1:4" x14ac:dyDescent="0.15">
      <c r="A46" s="3" t="s">
        <v>3505</v>
      </c>
      <c r="B46" s="3" t="s">
        <v>3511</v>
      </c>
      <c r="D46" s="4"/>
    </row>
    <row r="47" spans="1:4" x14ac:dyDescent="0.15">
      <c r="A47" s="863" t="s">
        <v>3530</v>
      </c>
      <c r="B47" s="864">
        <v>1</v>
      </c>
      <c r="D47" s="4"/>
    </row>
    <row r="48" spans="1:4" x14ac:dyDescent="0.15">
      <c r="A48" s="863" t="s">
        <v>3531</v>
      </c>
      <c r="B48" s="864">
        <v>6</v>
      </c>
      <c r="D48" s="4"/>
    </row>
    <row r="49" spans="1:4" x14ac:dyDescent="0.15">
      <c r="A49" s="863" t="s">
        <v>3501</v>
      </c>
      <c r="B49" s="864">
        <v>2</v>
      </c>
      <c r="D49" s="4"/>
    </row>
    <row r="50" spans="1:4" x14ac:dyDescent="0.15">
      <c r="A50" s="863" t="s">
        <v>3502</v>
      </c>
      <c r="B50" s="864">
        <v>3</v>
      </c>
      <c r="D50" s="4"/>
    </row>
    <row r="51" spans="1:4" x14ac:dyDescent="0.15">
      <c r="A51" s="863" t="s">
        <v>3503</v>
      </c>
      <c r="B51" s="863">
        <v>4</v>
      </c>
      <c r="D51" s="4"/>
    </row>
    <row r="52" spans="1:4" x14ac:dyDescent="0.15">
      <c r="A52" s="863" t="s">
        <v>3504</v>
      </c>
      <c r="B52" s="863">
        <v>5</v>
      </c>
      <c r="D52" s="4"/>
    </row>
    <row r="53" spans="1:4" x14ac:dyDescent="0.15">
      <c r="A53" s="3" t="s">
        <v>3509</v>
      </c>
      <c r="B53" s="5"/>
      <c r="D53" s="4"/>
    </row>
    <row r="54" spans="1:4" x14ac:dyDescent="0.15">
      <c r="A54" s="733" t="str">
        <f>IF(AND(res_s1_opt=2,res_s2_opt&lt;&gt;3),"",IF(res_s2_opt=4,"","non-hazardous"))</f>
        <v/>
      </c>
      <c r="B54" s="5"/>
      <c r="D54" s="4"/>
    </row>
    <row r="55" spans="1:4" x14ac:dyDescent="0.15">
      <c r="A55" s="733" t="str">
        <f>IF(AND(res_s1_opt=2,res_s2_opt&lt;&gt;3),"","hazardous")</f>
        <v>hazardous</v>
      </c>
      <c r="B55" s="5"/>
      <c r="D55" s="4"/>
    </row>
    <row r="56" spans="1:4" x14ac:dyDescent="0.15">
      <c r="A56" s="733" t="str">
        <f>IF(AND(res_s1_opt=2,res_s2_opt&lt;&gt;3),"",IF(res_s2_opt=4,"","radioactive"))</f>
        <v/>
      </c>
      <c r="B56" s="5"/>
      <c r="D56" s="4"/>
    </row>
    <row r="57" spans="1:4" x14ac:dyDescent="0.15">
      <c r="A57" s="733" t="str">
        <f>IF(AND(res_s1_opt=2,res_s2_opt&lt;&gt;3),"","radioactive hazardous")</f>
        <v>radioactive hazardous</v>
      </c>
      <c r="B57" s="5"/>
      <c r="D57" s="4"/>
    </row>
    <row r="58" spans="1:4" x14ac:dyDescent="0.15">
      <c r="A58" s="3" t="s">
        <v>3111</v>
      </c>
    </row>
    <row r="59" spans="1:4" x14ac:dyDescent="0.15">
      <c r="A59" s="733" t="str">
        <f>VLOOKUP(tech_name,TDB_link_table_cl,2,FALSE)</f>
        <v>https://tdb.epa.gov/tdb/treatmentprocess?treatmentProcessId=263654386</v>
      </c>
    </row>
    <row r="60" spans="1:4" x14ac:dyDescent="0.15">
      <c r="A60" s="3" t="s">
        <v>3183</v>
      </c>
    </row>
    <row r="61" spans="1:4" x14ac:dyDescent="0.15">
      <c r="A61" s="662" t="s">
        <v>2903</v>
      </c>
    </row>
    <row r="62" spans="1:4" x14ac:dyDescent="0.15">
      <c r="A62" s="662" t="s">
        <v>2904</v>
      </c>
    </row>
    <row r="63" spans="1:4" x14ac:dyDescent="0.15">
      <c r="A63" s="662"/>
    </row>
    <row r="64" spans="1:4" x14ac:dyDescent="0.15">
      <c r="A64" s="3" t="s">
        <v>3204</v>
      </c>
      <c r="B64" s="3" t="s">
        <v>3209</v>
      </c>
    </row>
    <row r="65" spans="1:4" x14ac:dyDescent="0.15">
      <c r="A65" s="662">
        <v>1</v>
      </c>
      <c r="B65" s="774" t="s">
        <v>3206</v>
      </c>
    </row>
    <row r="66" spans="1:4" x14ac:dyDescent="0.15">
      <c r="A66" s="662">
        <v>2</v>
      </c>
      <c r="B66" s="774" t="s">
        <v>3534</v>
      </c>
    </row>
    <row r="67" spans="1:4" x14ac:dyDescent="0.15">
      <c r="A67" s="662">
        <v>3</v>
      </c>
      <c r="B67" s="774" t="s">
        <v>3535</v>
      </c>
    </row>
    <row r="68" spans="1:4" x14ac:dyDescent="0.15">
      <c r="A68" s="662">
        <v>4</v>
      </c>
      <c r="B68" s="774" t="s">
        <v>3205</v>
      </c>
    </row>
    <row r="69" spans="1:4" x14ac:dyDescent="0.15">
      <c r="A69" s="662">
        <v>5</v>
      </c>
      <c r="B69" s="774" t="s">
        <v>3537</v>
      </c>
    </row>
    <row r="70" spans="1:4" x14ac:dyDescent="0.15">
      <c r="A70" s="662">
        <v>6</v>
      </c>
      <c r="B70" s="774" t="s">
        <v>3536</v>
      </c>
    </row>
    <row r="71" spans="1:4" x14ac:dyDescent="0.15">
      <c r="A71" s="662">
        <v>7</v>
      </c>
      <c r="B71" s="774" t="s">
        <v>3208</v>
      </c>
    </row>
    <row r="73" spans="1:4" x14ac:dyDescent="0.15">
      <c r="A73" s="467" t="s">
        <v>862</v>
      </c>
      <c r="B73" s="205"/>
      <c r="C73" s="205"/>
      <c r="D73" s="4"/>
    </row>
    <row r="74" spans="1:4" x14ac:dyDescent="0.15">
      <c r="A74" s="205"/>
      <c r="B74" s="205" t="s">
        <v>863</v>
      </c>
      <c r="C74" s="205" t="s">
        <v>864</v>
      </c>
      <c r="D74" s="4"/>
    </row>
    <row r="75" spans="1:4" x14ac:dyDescent="0.15">
      <c r="A75" s="340" t="s">
        <v>865</v>
      </c>
      <c r="B75" s="205">
        <v>0</v>
      </c>
      <c r="C75" s="468">
        <v>0</v>
      </c>
      <c r="D75" s="4"/>
    </row>
    <row r="76" spans="1:4" x14ac:dyDescent="0.15">
      <c r="A76" s="205"/>
      <c r="B76" s="205">
        <v>3</v>
      </c>
      <c r="C76" s="468">
        <v>0.05</v>
      </c>
      <c r="D76" s="4"/>
    </row>
    <row r="77" spans="1:4" x14ac:dyDescent="0.15">
      <c r="A77" s="205"/>
      <c r="B77" s="205">
        <v>5</v>
      </c>
      <c r="C77" s="469">
        <v>0.125</v>
      </c>
      <c r="D77" s="4"/>
    </row>
    <row r="78" spans="1:4" x14ac:dyDescent="0.15">
      <c r="A78" s="205"/>
      <c r="B78" s="205">
        <v>7</v>
      </c>
      <c r="C78" s="468">
        <v>0.2</v>
      </c>
      <c r="D78" s="4"/>
    </row>
    <row r="79" spans="1:4" x14ac:dyDescent="0.15">
      <c r="A79" s="205"/>
      <c r="B79" s="205">
        <v>9</v>
      </c>
      <c r="C79" s="468">
        <v>0.3</v>
      </c>
      <c r="D79" s="4"/>
    </row>
    <row r="80" spans="1:4" x14ac:dyDescent="0.15">
      <c r="B80" s="5"/>
      <c r="D80" s="4"/>
    </row>
    <row r="81" spans="1:5" x14ac:dyDescent="0.15">
      <c r="A81" s="467" t="s">
        <v>869</v>
      </c>
      <c r="B81" s="205"/>
      <c r="C81" s="205"/>
      <c r="D81" s="205"/>
      <c r="E81" s="205"/>
    </row>
    <row r="82" spans="1:5" x14ac:dyDescent="0.15">
      <c r="A82" s="205"/>
      <c r="B82" s="205" t="s">
        <v>870</v>
      </c>
      <c r="C82" s="205" t="s">
        <v>871</v>
      </c>
      <c r="D82" s="205" t="s">
        <v>872</v>
      </c>
      <c r="E82" s="462" t="s">
        <v>3510</v>
      </c>
    </row>
    <row r="83" spans="1:5" x14ac:dyDescent="0.15">
      <c r="A83" s="340" t="s">
        <v>873</v>
      </c>
      <c r="B83" s="205">
        <v>0</v>
      </c>
      <c r="C83" s="205">
        <v>0.05</v>
      </c>
      <c r="D83" s="205">
        <v>16</v>
      </c>
      <c r="E83" s="205"/>
    </row>
    <row r="84" spans="1:5" x14ac:dyDescent="0.15">
      <c r="A84" s="205"/>
      <c r="B84" s="205">
        <v>5.0999999999999997E-2</v>
      </c>
      <c r="C84" s="205">
        <v>0.1</v>
      </c>
      <c r="D84" s="205">
        <v>16</v>
      </c>
      <c r="E84" s="205"/>
    </row>
    <row r="85" spans="1:5" x14ac:dyDescent="0.15">
      <c r="A85" s="205"/>
      <c r="B85" s="205">
        <v>0.10100000000000001</v>
      </c>
      <c r="C85" s="205">
        <v>0.2</v>
      </c>
      <c r="D85" s="205">
        <v>16</v>
      </c>
      <c r="E85" s="205"/>
    </row>
    <row r="86" spans="1:5" x14ac:dyDescent="0.15">
      <c r="A86" s="205"/>
      <c r="B86" s="205">
        <v>0.20100000000000001</v>
      </c>
      <c r="C86" s="205">
        <v>0.5</v>
      </c>
      <c r="D86" s="205">
        <v>24</v>
      </c>
      <c r="E86" s="205"/>
    </row>
    <row r="87" spans="1:5" x14ac:dyDescent="0.15">
      <c r="A87" s="205"/>
      <c r="B87" s="205">
        <v>0.501</v>
      </c>
      <c r="C87" s="205">
        <v>1</v>
      </c>
      <c r="D87" s="205">
        <v>24</v>
      </c>
      <c r="E87" s="205"/>
    </row>
    <row r="88" spans="1:5" x14ac:dyDescent="0.15">
      <c r="A88" s="205"/>
      <c r="B88" s="205">
        <v>1.0009999999999999</v>
      </c>
      <c r="C88" s="205">
        <v>2</v>
      </c>
      <c r="D88" s="205">
        <v>24</v>
      </c>
      <c r="E88" s="205"/>
    </row>
    <row r="89" spans="1:5" x14ac:dyDescent="0.15">
      <c r="A89" s="205"/>
      <c r="B89" s="205">
        <v>2.0009999999999999</v>
      </c>
      <c r="C89" s="205">
        <v>5</v>
      </c>
      <c r="D89" s="205">
        <v>24</v>
      </c>
      <c r="E89" s="205"/>
    </row>
    <row r="91" spans="1:5" x14ac:dyDescent="0.15">
      <c r="A91" s="1" t="s">
        <v>3523</v>
      </c>
    </row>
    <row r="92" spans="1:5" x14ac:dyDescent="0.15">
      <c r="A92" s="208" t="s">
        <v>3521</v>
      </c>
      <c r="B92" s="1" t="s">
        <v>3522</v>
      </c>
    </row>
    <row r="93" spans="1:5" x14ac:dyDescent="0.15">
      <c r="A93">
        <v>1995</v>
      </c>
      <c r="B93">
        <v>152.4</v>
      </c>
    </row>
    <row r="94" spans="1:5" x14ac:dyDescent="0.15">
      <c r="A94">
        <v>1996</v>
      </c>
      <c r="B94">
        <v>156.9</v>
      </c>
    </row>
    <row r="95" spans="1:5" x14ac:dyDescent="0.15">
      <c r="A95">
        <v>1997</v>
      </c>
      <c r="B95">
        <v>160.5</v>
      </c>
    </row>
    <row r="96" spans="1:5" x14ac:dyDescent="0.15">
      <c r="A96">
        <v>1998</v>
      </c>
      <c r="B96">
        <v>163</v>
      </c>
    </row>
    <row r="97" spans="1:2" x14ac:dyDescent="0.15">
      <c r="A97">
        <v>1999</v>
      </c>
      <c r="B97">
        <v>166.6</v>
      </c>
    </row>
    <row r="98" spans="1:2" x14ac:dyDescent="0.15">
      <c r="A98">
        <v>2000</v>
      </c>
      <c r="B98">
        <v>172.2</v>
      </c>
    </row>
    <row r="99" spans="1:2" x14ac:dyDescent="0.15">
      <c r="A99">
        <v>2001</v>
      </c>
      <c r="B99">
        <v>177.1</v>
      </c>
    </row>
    <row r="100" spans="1:2" x14ac:dyDescent="0.15">
      <c r="A100">
        <v>2002</v>
      </c>
      <c r="B100">
        <v>179.9</v>
      </c>
    </row>
    <row r="101" spans="1:2" x14ac:dyDescent="0.15">
      <c r="A101">
        <v>2003</v>
      </c>
      <c r="B101">
        <v>184</v>
      </c>
    </row>
    <row r="102" spans="1:2" x14ac:dyDescent="0.15">
      <c r="A102">
        <v>2004</v>
      </c>
      <c r="B102">
        <v>188.9</v>
      </c>
    </row>
    <row r="103" spans="1:2" x14ac:dyDescent="0.15">
      <c r="A103">
        <v>2005</v>
      </c>
      <c r="B103">
        <v>195.3</v>
      </c>
    </row>
    <row r="104" spans="1:2" x14ac:dyDescent="0.15">
      <c r="A104">
        <v>2006</v>
      </c>
      <c r="B104">
        <v>201.6</v>
      </c>
    </row>
    <row r="105" spans="1:2" x14ac:dyDescent="0.15">
      <c r="A105">
        <v>2007</v>
      </c>
      <c r="B105">
        <v>207.34200000000001</v>
      </c>
    </row>
    <row r="106" spans="1:2" x14ac:dyDescent="0.15">
      <c r="A106">
        <v>2008</v>
      </c>
      <c r="B106">
        <v>215.303</v>
      </c>
    </row>
    <row r="107" spans="1:2" x14ac:dyDescent="0.15">
      <c r="A107">
        <v>2009</v>
      </c>
      <c r="B107">
        <v>214.53700000000001</v>
      </c>
    </row>
    <row r="108" spans="1:2" x14ac:dyDescent="0.15">
      <c r="A108">
        <v>2010</v>
      </c>
      <c r="B108">
        <v>218.05600000000001</v>
      </c>
    </row>
    <row r="109" spans="1:2" x14ac:dyDescent="0.15">
      <c r="A109">
        <v>2011</v>
      </c>
      <c r="B109">
        <v>224.93899999999999</v>
      </c>
    </row>
    <row r="110" spans="1:2" x14ac:dyDescent="0.15">
      <c r="A110">
        <v>2012</v>
      </c>
      <c r="B110">
        <v>229.59399999999999</v>
      </c>
    </row>
    <row r="111" spans="1:2" x14ac:dyDescent="0.15">
      <c r="A111">
        <v>2013</v>
      </c>
      <c r="B111">
        <v>232.95699999999999</v>
      </c>
    </row>
    <row r="112" spans="1:2" x14ac:dyDescent="0.15">
      <c r="A112">
        <v>2014</v>
      </c>
      <c r="B112">
        <v>236.73599999999999</v>
      </c>
    </row>
    <row r="113" spans="1:2" x14ac:dyDescent="0.15">
      <c r="A113">
        <v>2015</v>
      </c>
      <c r="B113">
        <v>237.017</v>
      </c>
    </row>
    <row r="114" spans="1:2" x14ac:dyDescent="0.15">
      <c r="A114">
        <v>2016</v>
      </c>
      <c r="B114">
        <v>240.00700000000001</v>
      </c>
    </row>
    <row r="115" spans="1:2" x14ac:dyDescent="0.15">
      <c r="A115">
        <v>2017</v>
      </c>
      <c r="B115">
        <v>245.12</v>
      </c>
    </row>
    <row r="116" spans="1:2" x14ac:dyDescent="0.15">
      <c r="A116">
        <v>2018</v>
      </c>
      <c r="B116">
        <v>251.107</v>
      </c>
    </row>
    <row r="117" spans="1:2" x14ac:dyDescent="0.15">
      <c r="A117">
        <v>2019</v>
      </c>
      <c r="B117">
        <v>255.65700000000001</v>
      </c>
    </row>
    <row r="118" spans="1:2" x14ac:dyDescent="0.15">
      <c r="A118">
        <v>2020</v>
      </c>
      <c r="B118">
        <v>258.81099999999998</v>
      </c>
    </row>
    <row r="119" spans="1:2" x14ac:dyDescent="0.15">
      <c r="A119">
        <v>2021</v>
      </c>
      <c r="B119">
        <v>258.81099999999998</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24</vt:i4>
      </vt:variant>
      <vt:variant>
        <vt:lpstr>Named Ranges</vt:lpstr>
      </vt:variant>
      <vt:variant>
        <vt:i4>1425</vt:i4>
      </vt:variant>
    </vt:vector>
  </HeadingPairs>
  <TitlesOfParts>
    <vt:vector size="1449" baseType="lpstr">
      <vt:lpstr>Title Page</vt:lpstr>
      <vt:lpstr>Index</vt:lpstr>
      <vt:lpstr>INPUT</vt:lpstr>
      <vt:lpstr>OUTPUT</vt:lpstr>
      <vt:lpstr>Critical Design Assumptions</vt:lpstr>
      <vt:lpstr>O&amp;M Assumptions</vt:lpstr>
      <vt:lpstr>Indirect Assumptions</vt:lpstr>
      <vt:lpstr>Vessel Constraints</vt:lpstr>
      <vt:lpstr>Backwash and Bed Life</vt:lpstr>
      <vt:lpstr>pH Adjust</vt:lpstr>
      <vt:lpstr>Pumps Pipe Structure</vt:lpstr>
      <vt:lpstr>Instrumentation and Control</vt:lpstr>
      <vt:lpstr>Residuals Management</vt:lpstr>
      <vt:lpstr>O&amp;M</vt:lpstr>
      <vt:lpstr>HVAC</vt:lpstr>
      <vt:lpstr>Indirect</vt:lpstr>
      <vt:lpstr>PFAS Reference</vt:lpstr>
      <vt:lpstr>Standard Inputs</vt:lpstr>
      <vt:lpstr>AutoSize</vt:lpstr>
      <vt:lpstr>Cost Equations</vt:lpstr>
      <vt:lpstr>Cost Coefficients</vt:lpstr>
      <vt:lpstr>Cost Data</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2026-02-18T02:54:07Z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