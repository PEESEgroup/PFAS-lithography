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-destruction/Code/Chapter 2/Test code/data for figures/"/>
    </mc:Choice>
  </mc:AlternateContent>
  <xr:revisionPtr revIDLastSave="469" documentId="8_{4B7BFD48-DA00-A04B-B7C6-106DBB45BD97}" xr6:coauthVersionLast="47" xr6:coauthVersionMax="47" xr10:uidLastSave="{A6BB337C-2A48-484E-B1E9-787A11953F91}"/>
  <bookViews>
    <workbookView xWindow="30240" yWindow="500" windowWidth="38400" windowHeight="21100" activeTab="2" xr2:uid="{0D61C62B-F9C4-E64A-9FC6-C897366F8DFB}"/>
  </bookViews>
  <sheets>
    <sheet name="Upper left" sheetId="1" r:id="rId1"/>
    <sheet name="Upper Middle" sheetId="2" r:id="rId2"/>
    <sheet name="Upper right" sheetId="3" r:id="rId3"/>
    <sheet name="Down side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3" l="1"/>
  <c r="C142" i="1"/>
  <c r="D142" i="1"/>
  <c r="E142" i="1"/>
  <c r="F142" i="1"/>
  <c r="G142" i="1"/>
  <c r="B142" i="1"/>
  <c r="AA95" i="3"/>
  <c r="AB95" i="3"/>
  <c r="AC95" i="3"/>
  <c r="AD95" i="3"/>
  <c r="AE95" i="3"/>
  <c r="Z95" i="3"/>
  <c r="AE94" i="3"/>
  <c r="W94" i="3"/>
  <c r="O94" i="3"/>
  <c r="J42" i="2"/>
  <c r="K42" i="2"/>
  <c r="L42" i="2"/>
  <c r="M42" i="2"/>
  <c r="N42" i="2"/>
  <c r="I42" i="2"/>
  <c r="J46" i="2"/>
  <c r="K46" i="2"/>
  <c r="L46" i="2"/>
  <c r="M46" i="2"/>
  <c r="N46" i="2"/>
  <c r="I46" i="2"/>
  <c r="J23" i="2"/>
  <c r="K23" i="2"/>
  <c r="L23" i="2"/>
  <c r="M23" i="2"/>
  <c r="N23" i="2"/>
  <c r="I23" i="2"/>
  <c r="H34" i="4"/>
  <c r="H35" i="4"/>
  <c r="H36" i="4"/>
  <c r="H33" i="4"/>
  <c r="L30" i="4"/>
  <c r="L29" i="4"/>
  <c r="L28" i="4"/>
  <c r="L27" i="4"/>
  <c r="L25" i="4"/>
  <c r="L24" i="4"/>
  <c r="L23" i="4"/>
  <c r="L22" i="4"/>
  <c r="L20" i="4"/>
  <c r="L19" i="4"/>
  <c r="L18" i="4"/>
  <c r="L17" i="4"/>
  <c r="L15" i="4"/>
  <c r="L14" i="4"/>
  <c r="L13" i="4"/>
  <c r="L12" i="4"/>
  <c r="L10" i="4"/>
  <c r="L9" i="4"/>
  <c r="L8" i="4"/>
  <c r="L7" i="4"/>
  <c r="L5" i="4"/>
  <c r="L4" i="4"/>
  <c r="L3" i="4"/>
  <c r="L2" i="4"/>
  <c r="I11" i="4"/>
  <c r="I10" i="4"/>
  <c r="I9" i="4"/>
  <c r="I8" i="4"/>
  <c r="I7" i="4"/>
  <c r="I6" i="4"/>
  <c r="B11" i="4"/>
  <c r="B10" i="4"/>
  <c r="B9" i="4"/>
  <c r="B8" i="4"/>
  <c r="B7" i="4"/>
  <c r="B6" i="4"/>
  <c r="E30" i="4"/>
  <c r="E29" i="4"/>
  <c r="E28" i="4"/>
  <c r="E27" i="4"/>
  <c r="E25" i="4"/>
  <c r="E24" i="4"/>
  <c r="E23" i="4"/>
  <c r="E22" i="4"/>
  <c r="E20" i="4"/>
  <c r="E19" i="4"/>
  <c r="E18" i="4"/>
  <c r="E17" i="4"/>
  <c r="E15" i="4"/>
  <c r="E14" i="4"/>
  <c r="E13" i="4"/>
  <c r="E12" i="4"/>
  <c r="E10" i="4"/>
  <c r="E9" i="4"/>
  <c r="E8" i="4"/>
  <c r="E7" i="4"/>
  <c r="E5" i="4"/>
  <c r="E4" i="4"/>
  <c r="E3" i="4"/>
  <c r="E2" i="4"/>
  <c r="X24" i="3"/>
  <c r="X25" i="3"/>
  <c r="X72" i="3" s="1"/>
  <c r="X26" i="3"/>
  <c r="X73" i="3" s="1"/>
  <c r="X27" i="3"/>
  <c r="X28" i="3"/>
  <c r="X75" i="3" s="1"/>
  <c r="X29" i="3"/>
  <c r="X76" i="3" s="1"/>
  <c r="X30" i="3"/>
  <c r="X31" i="3"/>
  <c r="X78" i="3" s="1"/>
  <c r="X32" i="3"/>
  <c r="X79" i="3" s="1"/>
  <c r="X33" i="3"/>
  <c r="X80" i="3" s="1"/>
  <c r="X34" i="3"/>
  <c r="X35" i="3"/>
  <c r="X36" i="3"/>
  <c r="X83" i="3" s="1"/>
  <c r="X37" i="3"/>
  <c r="X38" i="3"/>
  <c r="X85" i="3" s="1"/>
  <c r="X39" i="3"/>
  <c r="X40" i="3"/>
  <c r="X87" i="3" s="1"/>
  <c r="X41" i="3"/>
  <c r="X88" i="3" s="1"/>
  <c r="X42" i="3"/>
  <c r="X89" i="3" s="1"/>
  <c r="X43" i="3"/>
  <c r="X90" i="3" s="1"/>
  <c r="X44" i="3"/>
  <c r="X45" i="3"/>
  <c r="X46" i="3"/>
  <c r="X84" i="3"/>
  <c r="X86" i="3"/>
  <c r="X4" i="3"/>
  <c r="X5" i="3"/>
  <c r="X6" i="3"/>
  <c r="X53" i="3" s="1"/>
  <c r="X7" i="3"/>
  <c r="X54" i="3" s="1"/>
  <c r="X8" i="3"/>
  <c r="X9" i="3"/>
  <c r="X10" i="3"/>
  <c r="X57" i="3" s="1"/>
  <c r="X11" i="3"/>
  <c r="X58" i="3" s="1"/>
  <c r="X12" i="3"/>
  <c r="X59" i="3" s="1"/>
  <c r="X13" i="3"/>
  <c r="X60" i="3" s="1"/>
  <c r="X14" i="3"/>
  <c r="X61" i="3" s="1"/>
  <c r="X15" i="3"/>
  <c r="X16" i="3"/>
  <c r="X17" i="3"/>
  <c r="X18" i="3"/>
  <c r="X65" i="3" s="1"/>
  <c r="X19" i="3"/>
  <c r="X20" i="3"/>
  <c r="X67" i="3" s="1"/>
  <c r="X21" i="3"/>
  <c r="X68" i="3" s="1"/>
  <c r="X22" i="3"/>
  <c r="X69" i="3" s="1"/>
  <c r="X23" i="3"/>
  <c r="X3" i="3"/>
  <c r="X50" i="3" s="1"/>
  <c r="P3" i="3"/>
  <c r="P50" i="3" s="1"/>
  <c r="I82" i="3"/>
  <c r="I83" i="3"/>
  <c r="I84" i="3"/>
  <c r="I85" i="3"/>
  <c r="I86" i="3"/>
  <c r="I87" i="3"/>
  <c r="I88" i="3"/>
  <c r="I89" i="3"/>
  <c r="I90" i="3"/>
  <c r="I91" i="3"/>
  <c r="I92" i="3"/>
  <c r="I93" i="3"/>
  <c r="I51" i="3"/>
  <c r="X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50" i="3"/>
  <c r="K4" i="1"/>
  <c r="K50" i="1" s="1"/>
  <c r="L4" i="1"/>
  <c r="K5" i="1"/>
  <c r="L5" i="1"/>
  <c r="L51" i="1" s="1"/>
  <c r="K6" i="1"/>
  <c r="K52" i="1" s="1"/>
  <c r="L6" i="1"/>
  <c r="L52" i="1" s="1"/>
  <c r="K7" i="1"/>
  <c r="K53" i="1" s="1"/>
  <c r="L7" i="1"/>
  <c r="L53" i="1" s="1"/>
  <c r="K8" i="1"/>
  <c r="K54" i="1" s="1"/>
  <c r="L8" i="1"/>
  <c r="L54" i="1" s="1"/>
  <c r="K9" i="1"/>
  <c r="K55" i="1" s="1"/>
  <c r="L9" i="1"/>
  <c r="K10" i="1"/>
  <c r="K56" i="1" s="1"/>
  <c r="L10" i="1"/>
  <c r="L56" i="1" s="1"/>
  <c r="K11" i="1"/>
  <c r="K57" i="1" s="1"/>
  <c r="L11" i="1"/>
  <c r="L57" i="1" s="1"/>
  <c r="K12" i="1"/>
  <c r="K58" i="1" s="1"/>
  <c r="L12" i="1"/>
  <c r="L58" i="1" s="1"/>
  <c r="K13" i="1"/>
  <c r="K59" i="1" s="1"/>
  <c r="L13" i="1"/>
  <c r="L59" i="1" s="1"/>
  <c r="K14" i="1"/>
  <c r="K60" i="1" s="1"/>
  <c r="L14" i="1"/>
  <c r="K15" i="1"/>
  <c r="K61" i="1" s="1"/>
  <c r="L15" i="1"/>
  <c r="L61" i="1" s="1"/>
  <c r="K16" i="1"/>
  <c r="K62" i="1" s="1"/>
  <c r="L16" i="1"/>
  <c r="L62" i="1" s="1"/>
  <c r="K17" i="1"/>
  <c r="K63" i="1" s="1"/>
  <c r="L17" i="1"/>
  <c r="L63" i="1" s="1"/>
  <c r="K18" i="1"/>
  <c r="K64" i="1" s="1"/>
  <c r="L18" i="1"/>
  <c r="L64" i="1" s="1"/>
  <c r="K19" i="1"/>
  <c r="K65" i="1" s="1"/>
  <c r="L19" i="1"/>
  <c r="L65" i="1" s="1"/>
  <c r="K20" i="1"/>
  <c r="K66" i="1" s="1"/>
  <c r="L20" i="1"/>
  <c r="L66" i="1" s="1"/>
  <c r="K21" i="1"/>
  <c r="K67" i="1" s="1"/>
  <c r="L21" i="1"/>
  <c r="L67" i="1" s="1"/>
  <c r="K22" i="1"/>
  <c r="K68" i="1" s="1"/>
  <c r="L22" i="1"/>
  <c r="L68" i="1" s="1"/>
  <c r="K23" i="1"/>
  <c r="K69" i="1" s="1"/>
  <c r="L23" i="1"/>
  <c r="L69" i="1" s="1"/>
  <c r="K24" i="1"/>
  <c r="K70" i="1" s="1"/>
  <c r="L24" i="1"/>
  <c r="L70" i="1" s="1"/>
  <c r="K25" i="1"/>
  <c r="K71" i="1" s="1"/>
  <c r="L25" i="1"/>
  <c r="L71" i="1" s="1"/>
  <c r="K26" i="1"/>
  <c r="K72" i="1" s="1"/>
  <c r="L26" i="1"/>
  <c r="L72" i="1" s="1"/>
  <c r="K27" i="1"/>
  <c r="K73" i="1" s="1"/>
  <c r="L27" i="1"/>
  <c r="L73" i="1" s="1"/>
  <c r="K28" i="1"/>
  <c r="K74" i="1" s="1"/>
  <c r="L28" i="1"/>
  <c r="L74" i="1" s="1"/>
  <c r="K29" i="1"/>
  <c r="K75" i="1" s="1"/>
  <c r="L29" i="1"/>
  <c r="K30" i="1"/>
  <c r="K76" i="1" s="1"/>
  <c r="L30" i="1"/>
  <c r="L76" i="1" s="1"/>
  <c r="K31" i="1"/>
  <c r="K77" i="1" s="1"/>
  <c r="L31" i="1"/>
  <c r="L77" i="1" s="1"/>
  <c r="K32" i="1"/>
  <c r="K78" i="1" s="1"/>
  <c r="L32" i="1"/>
  <c r="L78" i="1" s="1"/>
  <c r="K33" i="1"/>
  <c r="K79" i="1" s="1"/>
  <c r="L33" i="1"/>
  <c r="L79" i="1" s="1"/>
  <c r="K34" i="1"/>
  <c r="K80" i="1" s="1"/>
  <c r="L34" i="1"/>
  <c r="L80" i="1" s="1"/>
  <c r="K35" i="1"/>
  <c r="K81" i="1" s="1"/>
  <c r="L35" i="1"/>
  <c r="L81" i="1" s="1"/>
  <c r="K36" i="1"/>
  <c r="K82" i="1" s="1"/>
  <c r="L36" i="1"/>
  <c r="L82" i="1" s="1"/>
  <c r="K37" i="1"/>
  <c r="K83" i="1" s="1"/>
  <c r="L37" i="1"/>
  <c r="L83" i="1" s="1"/>
  <c r="K38" i="1"/>
  <c r="K84" i="1" s="1"/>
  <c r="L38" i="1"/>
  <c r="L84" i="1" s="1"/>
  <c r="K39" i="1"/>
  <c r="K85" i="1" s="1"/>
  <c r="L39" i="1"/>
  <c r="L85" i="1" s="1"/>
  <c r="K40" i="1"/>
  <c r="K86" i="1" s="1"/>
  <c r="L40" i="1"/>
  <c r="L86" i="1" s="1"/>
  <c r="K41" i="1"/>
  <c r="K87" i="1" s="1"/>
  <c r="L41" i="1"/>
  <c r="L87" i="1" s="1"/>
  <c r="K42" i="1"/>
  <c r="K88" i="1" s="1"/>
  <c r="L42" i="1"/>
  <c r="L88" i="1" s="1"/>
  <c r="K43" i="1"/>
  <c r="K89" i="1" s="1"/>
  <c r="L43" i="1"/>
  <c r="L89" i="1" s="1"/>
  <c r="K44" i="1"/>
  <c r="K90" i="1" s="1"/>
  <c r="L44" i="1"/>
  <c r="L90" i="1" s="1"/>
  <c r="K45" i="1"/>
  <c r="K91" i="1" s="1"/>
  <c r="L45" i="1"/>
  <c r="L91" i="1" s="1"/>
  <c r="K46" i="1"/>
  <c r="K92" i="1" s="1"/>
  <c r="L46" i="1"/>
  <c r="L92" i="1" s="1"/>
  <c r="L3" i="1"/>
  <c r="L49" i="1" s="1"/>
  <c r="K3" i="1"/>
  <c r="K49" i="1" s="1"/>
  <c r="H90" i="1"/>
  <c r="O90" i="1"/>
  <c r="V90" i="1"/>
  <c r="AC90" i="1"/>
  <c r="AJ90" i="1"/>
  <c r="H91" i="1"/>
  <c r="O91" i="1"/>
  <c r="V91" i="1"/>
  <c r="AC91" i="1"/>
  <c r="AJ91" i="1"/>
  <c r="H92" i="1"/>
  <c r="O92" i="1"/>
  <c r="V92" i="1"/>
  <c r="AC92" i="1"/>
  <c r="AJ92" i="1"/>
  <c r="H88" i="1"/>
  <c r="O88" i="1"/>
  <c r="V88" i="1"/>
  <c r="AC88" i="1"/>
  <c r="AJ88" i="1"/>
  <c r="H89" i="1"/>
  <c r="O89" i="1"/>
  <c r="V89" i="1"/>
  <c r="AC89" i="1"/>
  <c r="AJ89" i="1"/>
  <c r="H50" i="1"/>
  <c r="L50" i="1"/>
  <c r="O50" i="1"/>
  <c r="V50" i="1"/>
  <c r="AC50" i="1"/>
  <c r="AJ50" i="1"/>
  <c r="H51" i="1"/>
  <c r="K51" i="1"/>
  <c r="O51" i="1"/>
  <c r="V51" i="1"/>
  <c r="AC51" i="1"/>
  <c r="AJ51" i="1"/>
  <c r="H52" i="1"/>
  <c r="O52" i="1"/>
  <c r="V52" i="1"/>
  <c r="AC52" i="1"/>
  <c r="AJ52" i="1"/>
  <c r="H53" i="1"/>
  <c r="O53" i="1"/>
  <c r="V53" i="1"/>
  <c r="AC53" i="1"/>
  <c r="AJ53" i="1"/>
  <c r="H54" i="1"/>
  <c r="O54" i="1"/>
  <c r="V54" i="1"/>
  <c r="AC54" i="1"/>
  <c r="AJ54" i="1"/>
  <c r="H55" i="1"/>
  <c r="L55" i="1"/>
  <c r="O55" i="1"/>
  <c r="V55" i="1"/>
  <c r="AC55" i="1"/>
  <c r="AJ55" i="1"/>
  <c r="H56" i="1"/>
  <c r="O56" i="1"/>
  <c r="V56" i="1"/>
  <c r="AC56" i="1"/>
  <c r="AJ56" i="1"/>
  <c r="H57" i="1"/>
  <c r="O57" i="1"/>
  <c r="V57" i="1"/>
  <c r="AC57" i="1"/>
  <c r="AJ57" i="1"/>
  <c r="H58" i="1"/>
  <c r="O58" i="1"/>
  <c r="V58" i="1"/>
  <c r="AC58" i="1"/>
  <c r="AJ58" i="1"/>
  <c r="H59" i="1"/>
  <c r="O59" i="1"/>
  <c r="V59" i="1"/>
  <c r="AC59" i="1"/>
  <c r="AJ59" i="1"/>
  <c r="H60" i="1"/>
  <c r="L60" i="1"/>
  <c r="O60" i="1"/>
  <c r="V60" i="1"/>
  <c r="AC60" i="1"/>
  <c r="AJ60" i="1"/>
  <c r="H61" i="1"/>
  <c r="O61" i="1"/>
  <c r="V61" i="1"/>
  <c r="AC61" i="1"/>
  <c r="AJ61" i="1"/>
  <c r="H62" i="1"/>
  <c r="O62" i="1"/>
  <c r="V62" i="1"/>
  <c r="AC62" i="1"/>
  <c r="AJ62" i="1"/>
  <c r="H63" i="1"/>
  <c r="O63" i="1"/>
  <c r="V63" i="1"/>
  <c r="AC63" i="1"/>
  <c r="AJ63" i="1"/>
  <c r="H64" i="1"/>
  <c r="O64" i="1"/>
  <c r="V64" i="1"/>
  <c r="AC64" i="1"/>
  <c r="AJ64" i="1"/>
  <c r="H65" i="1"/>
  <c r="O65" i="1"/>
  <c r="V65" i="1"/>
  <c r="AC65" i="1"/>
  <c r="AJ65" i="1"/>
  <c r="H66" i="1"/>
  <c r="O66" i="1"/>
  <c r="V66" i="1"/>
  <c r="AC66" i="1"/>
  <c r="AJ66" i="1"/>
  <c r="H67" i="1"/>
  <c r="O67" i="1"/>
  <c r="V67" i="1"/>
  <c r="AC67" i="1"/>
  <c r="AJ67" i="1"/>
  <c r="H68" i="1"/>
  <c r="O68" i="1"/>
  <c r="V68" i="1"/>
  <c r="AC68" i="1"/>
  <c r="AJ68" i="1"/>
  <c r="H69" i="1"/>
  <c r="O69" i="1"/>
  <c r="V69" i="1"/>
  <c r="AC69" i="1"/>
  <c r="AJ69" i="1"/>
  <c r="H70" i="1"/>
  <c r="O70" i="1"/>
  <c r="V70" i="1"/>
  <c r="AC70" i="1"/>
  <c r="AJ70" i="1"/>
  <c r="H71" i="1"/>
  <c r="O71" i="1"/>
  <c r="V71" i="1"/>
  <c r="AC71" i="1"/>
  <c r="AJ71" i="1"/>
  <c r="H72" i="1"/>
  <c r="O72" i="1"/>
  <c r="V72" i="1"/>
  <c r="AC72" i="1"/>
  <c r="AJ72" i="1"/>
  <c r="H73" i="1"/>
  <c r="O73" i="1"/>
  <c r="V73" i="1"/>
  <c r="AC73" i="1"/>
  <c r="AJ73" i="1"/>
  <c r="H74" i="1"/>
  <c r="O74" i="1"/>
  <c r="V74" i="1"/>
  <c r="AC74" i="1"/>
  <c r="AJ74" i="1"/>
  <c r="H75" i="1"/>
  <c r="L75" i="1"/>
  <c r="O75" i="1"/>
  <c r="V75" i="1"/>
  <c r="AC75" i="1"/>
  <c r="AJ75" i="1"/>
  <c r="H76" i="1"/>
  <c r="O76" i="1"/>
  <c r="V76" i="1"/>
  <c r="AC76" i="1"/>
  <c r="AJ76" i="1"/>
  <c r="H77" i="1"/>
  <c r="O77" i="1"/>
  <c r="V77" i="1"/>
  <c r="AC77" i="1"/>
  <c r="AJ77" i="1"/>
  <c r="H78" i="1"/>
  <c r="O78" i="1"/>
  <c r="V78" i="1"/>
  <c r="AC78" i="1"/>
  <c r="AJ78" i="1"/>
  <c r="H79" i="1"/>
  <c r="O79" i="1"/>
  <c r="V79" i="1"/>
  <c r="AC79" i="1"/>
  <c r="AJ79" i="1"/>
  <c r="H80" i="1"/>
  <c r="O80" i="1"/>
  <c r="V80" i="1"/>
  <c r="AC80" i="1"/>
  <c r="AJ80" i="1"/>
  <c r="H81" i="1"/>
  <c r="O81" i="1"/>
  <c r="V81" i="1"/>
  <c r="AC81" i="1"/>
  <c r="AJ81" i="1"/>
  <c r="H82" i="1"/>
  <c r="O82" i="1"/>
  <c r="V82" i="1"/>
  <c r="AC82" i="1"/>
  <c r="AJ82" i="1"/>
  <c r="H83" i="1"/>
  <c r="O83" i="1"/>
  <c r="V83" i="1"/>
  <c r="AC83" i="1"/>
  <c r="AJ83" i="1"/>
  <c r="H84" i="1"/>
  <c r="O84" i="1"/>
  <c r="V84" i="1"/>
  <c r="AC84" i="1"/>
  <c r="AJ84" i="1"/>
  <c r="H85" i="1"/>
  <c r="O85" i="1"/>
  <c r="V85" i="1"/>
  <c r="AC85" i="1"/>
  <c r="AJ85" i="1"/>
  <c r="H86" i="1"/>
  <c r="O86" i="1"/>
  <c r="V86" i="1"/>
  <c r="AC86" i="1"/>
  <c r="AJ86" i="1"/>
  <c r="H87" i="1"/>
  <c r="O87" i="1"/>
  <c r="V87" i="1"/>
  <c r="AC87" i="1"/>
  <c r="AJ87" i="1"/>
  <c r="H49" i="1"/>
  <c r="O49" i="1"/>
  <c r="V49" i="1"/>
  <c r="AC49" i="1"/>
  <c r="AJ49" i="1"/>
  <c r="H11" i="4"/>
  <c r="H10" i="4"/>
  <c r="H9" i="4"/>
  <c r="H8" i="4"/>
  <c r="H7" i="4"/>
  <c r="H6" i="4"/>
  <c r="A11" i="4"/>
  <c r="A10" i="4"/>
  <c r="A9" i="4"/>
  <c r="A8" i="4"/>
  <c r="A7" i="4"/>
  <c r="A6" i="4"/>
  <c r="AF4" i="3"/>
  <c r="AF51" i="3" s="1"/>
  <c r="AF5" i="3"/>
  <c r="AF52" i="3" s="1"/>
  <c r="AF6" i="3"/>
  <c r="AF53" i="3" s="1"/>
  <c r="AF7" i="3"/>
  <c r="AF54" i="3" s="1"/>
  <c r="AF8" i="3"/>
  <c r="AF55" i="3" s="1"/>
  <c r="AF9" i="3"/>
  <c r="AF56" i="3" s="1"/>
  <c r="AF10" i="3"/>
  <c r="AF57" i="3" s="1"/>
  <c r="AF11" i="3"/>
  <c r="AF58" i="3" s="1"/>
  <c r="AF12" i="3"/>
  <c r="AF59" i="3" s="1"/>
  <c r="AF13" i="3"/>
  <c r="AF60" i="3" s="1"/>
  <c r="AF14" i="3"/>
  <c r="AF61" i="3" s="1"/>
  <c r="AF15" i="3"/>
  <c r="AF62" i="3" s="1"/>
  <c r="AF16" i="3"/>
  <c r="AF63" i="3" s="1"/>
  <c r="AF17" i="3"/>
  <c r="AF64" i="3" s="1"/>
  <c r="AF18" i="3"/>
  <c r="AF65" i="3" s="1"/>
  <c r="AF19" i="3"/>
  <c r="AF66" i="3" s="1"/>
  <c r="AF20" i="3"/>
  <c r="AF67" i="3" s="1"/>
  <c r="AF21" i="3"/>
  <c r="AF68" i="3" s="1"/>
  <c r="AF22" i="3"/>
  <c r="AF69" i="3" s="1"/>
  <c r="AF23" i="3"/>
  <c r="AF70" i="3" s="1"/>
  <c r="AF24" i="3"/>
  <c r="AF71" i="3" s="1"/>
  <c r="AF25" i="3"/>
  <c r="AF72" i="3" s="1"/>
  <c r="AF26" i="3"/>
  <c r="AF73" i="3" s="1"/>
  <c r="AF27" i="3"/>
  <c r="AF74" i="3" s="1"/>
  <c r="AF28" i="3"/>
  <c r="AF75" i="3" s="1"/>
  <c r="AF29" i="3"/>
  <c r="AF76" i="3" s="1"/>
  <c r="AF30" i="3"/>
  <c r="AF77" i="3" s="1"/>
  <c r="AF31" i="3"/>
  <c r="AF78" i="3" s="1"/>
  <c r="AF32" i="3"/>
  <c r="AF79" i="3" s="1"/>
  <c r="AF33" i="3"/>
  <c r="AF80" i="3" s="1"/>
  <c r="AF34" i="3"/>
  <c r="AF81" i="3" s="1"/>
  <c r="AF35" i="3"/>
  <c r="AF82" i="3" s="1"/>
  <c r="AF36" i="3"/>
  <c r="AF83" i="3" s="1"/>
  <c r="AF37" i="3"/>
  <c r="AF84" i="3" s="1"/>
  <c r="AF38" i="3"/>
  <c r="AF85" i="3" s="1"/>
  <c r="AF39" i="3"/>
  <c r="AF86" i="3" s="1"/>
  <c r="AF40" i="3"/>
  <c r="AF87" i="3" s="1"/>
  <c r="AF41" i="3"/>
  <c r="AF88" i="3" s="1"/>
  <c r="AF42" i="3"/>
  <c r="AF89" i="3" s="1"/>
  <c r="AF43" i="3"/>
  <c r="AF90" i="3" s="1"/>
  <c r="AF44" i="3"/>
  <c r="AF91" i="3" s="1"/>
  <c r="AF45" i="3"/>
  <c r="AF92" i="3" s="1"/>
  <c r="AF46" i="3"/>
  <c r="AF93" i="3" s="1"/>
  <c r="AF3" i="3"/>
  <c r="AF50" i="3" s="1"/>
  <c r="Z3" i="3"/>
  <c r="Z50" i="3" s="1"/>
  <c r="AA3" i="3"/>
  <c r="AA50" i="3" s="1"/>
  <c r="AB3" i="3"/>
  <c r="AB50" i="3" s="1"/>
  <c r="AC3" i="3"/>
  <c r="AC50" i="3" s="1"/>
  <c r="AD3" i="3"/>
  <c r="AD50" i="3" s="1"/>
  <c r="AE3" i="3"/>
  <c r="AE50" i="3" s="1"/>
  <c r="Z4" i="3"/>
  <c r="Z51" i="3" s="1"/>
  <c r="AA4" i="3"/>
  <c r="AA51" i="3" s="1"/>
  <c r="AB4" i="3"/>
  <c r="AB51" i="3" s="1"/>
  <c r="AC4" i="3"/>
  <c r="AC51" i="3" s="1"/>
  <c r="AD4" i="3"/>
  <c r="AD51" i="3" s="1"/>
  <c r="AE4" i="3"/>
  <c r="AE51" i="3" s="1"/>
  <c r="Z5" i="3"/>
  <c r="Z52" i="3" s="1"/>
  <c r="AA5" i="3"/>
  <c r="AA52" i="3" s="1"/>
  <c r="AB5" i="3"/>
  <c r="AB52" i="3" s="1"/>
  <c r="AC5" i="3"/>
  <c r="AC52" i="3" s="1"/>
  <c r="AD5" i="3"/>
  <c r="AD52" i="3" s="1"/>
  <c r="AE5" i="3"/>
  <c r="AE52" i="3" s="1"/>
  <c r="Z6" i="3"/>
  <c r="Z53" i="3" s="1"/>
  <c r="AA6" i="3"/>
  <c r="AA53" i="3" s="1"/>
  <c r="AB6" i="3"/>
  <c r="AB53" i="3" s="1"/>
  <c r="AC6" i="3"/>
  <c r="AC53" i="3" s="1"/>
  <c r="AD6" i="3"/>
  <c r="AD53" i="3" s="1"/>
  <c r="AE6" i="3"/>
  <c r="AE53" i="3" s="1"/>
  <c r="Z7" i="3"/>
  <c r="Z54" i="3" s="1"/>
  <c r="AA7" i="3"/>
  <c r="AA54" i="3" s="1"/>
  <c r="AB7" i="3"/>
  <c r="AB54" i="3" s="1"/>
  <c r="AC7" i="3"/>
  <c r="AC54" i="3" s="1"/>
  <c r="AD7" i="3"/>
  <c r="AD54" i="3" s="1"/>
  <c r="AE7" i="3"/>
  <c r="AE54" i="3" s="1"/>
  <c r="Z8" i="3"/>
  <c r="Z55" i="3" s="1"/>
  <c r="AA8" i="3"/>
  <c r="AA55" i="3" s="1"/>
  <c r="AB8" i="3"/>
  <c r="AB55" i="3" s="1"/>
  <c r="AC8" i="3"/>
  <c r="AC55" i="3" s="1"/>
  <c r="AD8" i="3"/>
  <c r="AD55" i="3" s="1"/>
  <c r="AE8" i="3"/>
  <c r="AE55" i="3" s="1"/>
  <c r="Z9" i="3"/>
  <c r="Z56" i="3" s="1"/>
  <c r="AA9" i="3"/>
  <c r="AA56" i="3" s="1"/>
  <c r="AB9" i="3"/>
  <c r="AB56" i="3" s="1"/>
  <c r="AC9" i="3"/>
  <c r="AC56" i="3" s="1"/>
  <c r="AD9" i="3"/>
  <c r="AD56" i="3" s="1"/>
  <c r="AE9" i="3"/>
  <c r="AE56" i="3" s="1"/>
  <c r="Z10" i="3"/>
  <c r="Z57" i="3" s="1"/>
  <c r="AA10" i="3"/>
  <c r="AA57" i="3" s="1"/>
  <c r="AB10" i="3"/>
  <c r="AB57" i="3" s="1"/>
  <c r="AC10" i="3"/>
  <c r="AC57" i="3" s="1"/>
  <c r="AD10" i="3"/>
  <c r="AD57" i="3" s="1"/>
  <c r="AE10" i="3"/>
  <c r="AE57" i="3" s="1"/>
  <c r="Z11" i="3"/>
  <c r="Z58" i="3" s="1"/>
  <c r="AA11" i="3"/>
  <c r="AA58" i="3" s="1"/>
  <c r="AB11" i="3"/>
  <c r="AB58" i="3" s="1"/>
  <c r="AC11" i="3"/>
  <c r="AC58" i="3" s="1"/>
  <c r="AD11" i="3"/>
  <c r="AD58" i="3" s="1"/>
  <c r="AE11" i="3"/>
  <c r="AE58" i="3" s="1"/>
  <c r="Z12" i="3"/>
  <c r="Z59" i="3" s="1"/>
  <c r="AA12" i="3"/>
  <c r="AA59" i="3" s="1"/>
  <c r="AB12" i="3"/>
  <c r="AB59" i="3" s="1"/>
  <c r="AC12" i="3"/>
  <c r="AC59" i="3" s="1"/>
  <c r="AD12" i="3"/>
  <c r="AD59" i="3" s="1"/>
  <c r="AE12" i="3"/>
  <c r="AE59" i="3" s="1"/>
  <c r="Z13" i="3"/>
  <c r="Z60" i="3" s="1"/>
  <c r="AA13" i="3"/>
  <c r="AA60" i="3" s="1"/>
  <c r="AB13" i="3"/>
  <c r="AB60" i="3" s="1"/>
  <c r="AC13" i="3"/>
  <c r="AC60" i="3" s="1"/>
  <c r="AD13" i="3"/>
  <c r="AD60" i="3" s="1"/>
  <c r="AE13" i="3"/>
  <c r="AE60" i="3" s="1"/>
  <c r="Z14" i="3"/>
  <c r="Z61" i="3" s="1"/>
  <c r="AA14" i="3"/>
  <c r="AA61" i="3" s="1"/>
  <c r="AB14" i="3"/>
  <c r="AB61" i="3" s="1"/>
  <c r="AC14" i="3"/>
  <c r="AC61" i="3" s="1"/>
  <c r="AD14" i="3"/>
  <c r="AD61" i="3" s="1"/>
  <c r="AE14" i="3"/>
  <c r="AE61" i="3" s="1"/>
  <c r="Z15" i="3"/>
  <c r="Z62" i="3" s="1"/>
  <c r="AA15" i="3"/>
  <c r="AA62" i="3" s="1"/>
  <c r="AB15" i="3"/>
  <c r="AB62" i="3" s="1"/>
  <c r="AC15" i="3"/>
  <c r="AC62" i="3" s="1"/>
  <c r="AD15" i="3"/>
  <c r="AD62" i="3" s="1"/>
  <c r="AE15" i="3"/>
  <c r="AE62" i="3" s="1"/>
  <c r="Z16" i="3"/>
  <c r="Z63" i="3" s="1"/>
  <c r="AA16" i="3"/>
  <c r="AA63" i="3" s="1"/>
  <c r="AB16" i="3"/>
  <c r="AB63" i="3" s="1"/>
  <c r="AC16" i="3"/>
  <c r="AC63" i="3" s="1"/>
  <c r="AD16" i="3"/>
  <c r="AD63" i="3" s="1"/>
  <c r="AE16" i="3"/>
  <c r="AE63" i="3" s="1"/>
  <c r="Z17" i="3"/>
  <c r="Z64" i="3" s="1"/>
  <c r="AA17" i="3"/>
  <c r="AA64" i="3" s="1"/>
  <c r="AB17" i="3"/>
  <c r="AB64" i="3" s="1"/>
  <c r="AC17" i="3"/>
  <c r="AC64" i="3" s="1"/>
  <c r="AD17" i="3"/>
  <c r="AD64" i="3" s="1"/>
  <c r="AE17" i="3"/>
  <c r="AE64" i="3" s="1"/>
  <c r="Z18" i="3"/>
  <c r="Z65" i="3" s="1"/>
  <c r="AA18" i="3"/>
  <c r="AA65" i="3" s="1"/>
  <c r="AB18" i="3"/>
  <c r="AB65" i="3" s="1"/>
  <c r="AC18" i="3"/>
  <c r="AC65" i="3" s="1"/>
  <c r="AD18" i="3"/>
  <c r="AD65" i="3" s="1"/>
  <c r="AE18" i="3"/>
  <c r="AE65" i="3" s="1"/>
  <c r="Z19" i="3"/>
  <c r="Z66" i="3" s="1"/>
  <c r="AA19" i="3"/>
  <c r="AA66" i="3" s="1"/>
  <c r="AB19" i="3"/>
  <c r="AB66" i="3" s="1"/>
  <c r="AC19" i="3"/>
  <c r="AC66" i="3" s="1"/>
  <c r="AD19" i="3"/>
  <c r="AD66" i="3" s="1"/>
  <c r="AE19" i="3"/>
  <c r="AE66" i="3" s="1"/>
  <c r="Z20" i="3"/>
  <c r="Z67" i="3" s="1"/>
  <c r="AA20" i="3"/>
  <c r="AA67" i="3" s="1"/>
  <c r="AB20" i="3"/>
  <c r="AB67" i="3" s="1"/>
  <c r="AC20" i="3"/>
  <c r="AC67" i="3" s="1"/>
  <c r="AD20" i="3"/>
  <c r="AD67" i="3" s="1"/>
  <c r="AE20" i="3"/>
  <c r="AE67" i="3" s="1"/>
  <c r="Z21" i="3"/>
  <c r="Z68" i="3" s="1"/>
  <c r="AA21" i="3"/>
  <c r="AA68" i="3" s="1"/>
  <c r="AB21" i="3"/>
  <c r="AB68" i="3" s="1"/>
  <c r="AC21" i="3"/>
  <c r="AC68" i="3" s="1"/>
  <c r="AD21" i="3"/>
  <c r="AD68" i="3" s="1"/>
  <c r="AE21" i="3"/>
  <c r="AE68" i="3" s="1"/>
  <c r="Z22" i="3"/>
  <c r="Z69" i="3" s="1"/>
  <c r="AA22" i="3"/>
  <c r="AA69" i="3" s="1"/>
  <c r="AB22" i="3"/>
  <c r="AB69" i="3" s="1"/>
  <c r="AC22" i="3"/>
  <c r="AC69" i="3" s="1"/>
  <c r="AD22" i="3"/>
  <c r="AD69" i="3" s="1"/>
  <c r="AE22" i="3"/>
  <c r="AE69" i="3" s="1"/>
  <c r="Z23" i="3"/>
  <c r="Z70" i="3" s="1"/>
  <c r="AA23" i="3"/>
  <c r="AA70" i="3" s="1"/>
  <c r="AB23" i="3"/>
  <c r="AB70" i="3" s="1"/>
  <c r="AC23" i="3"/>
  <c r="AC70" i="3" s="1"/>
  <c r="AD23" i="3"/>
  <c r="AD70" i="3" s="1"/>
  <c r="AE23" i="3"/>
  <c r="AE70" i="3" s="1"/>
  <c r="Z24" i="3"/>
  <c r="Z71" i="3" s="1"/>
  <c r="AA24" i="3"/>
  <c r="AA71" i="3" s="1"/>
  <c r="AB24" i="3"/>
  <c r="AB71" i="3" s="1"/>
  <c r="AC24" i="3"/>
  <c r="AC71" i="3" s="1"/>
  <c r="AD24" i="3"/>
  <c r="AD71" i="3" s="1"/>
  <c r="AE24" i="3"/>
  <c r="AE71" i="3" s="1"/>
  <c r="Z25" i="3"/>
  <c r="Z72" i="3" s="1"/>
  <c r="AA25" i="3"/>
  <c r="AA72" i="3" s="1"/>
  <c r="AB25" i="3"/>
  <c r="AB72" i="3" s="1"/>
  <c r="AC25" i="3"/>
  <c r="AC72" i="3" s="1"/>
  <c r="AD25" i="3"/>
  <c r="AD72" i="3" s="1"/>
  <c r="AE25" i="3"/>
  <c r="AE72" i="3" s="1"/>
  <c r="Z26" i="3"/>
  <c r="Z73" i="3" s="1"/>
  <c r="AA26" i="3"/>
  <c r="AA73" i="3" s="1"/>
  <c r="AB26" i="3"/>
  <c r="AB73" i="3" s="1"/>
  <c r="AC26" i="3"/>
  <c r="AC73" i="3" s="1"/>
  <c r="AD26" i="3"/>
  <c r="AD73" i="3" s="1"/>
  <c r="AE26" i="3"/>
  <c r="AE73" i="3" s="1"/>
  <c r="Z27" i="3"/>
  <c r="Z74" i="3" s="1"/>
  <c r="AA27" i="3"/>
  <c r="AA74" i="3" s="1"/>
  <c r="AB27" i="3"/>
  <c r="AB74" i="3" s="1"/>
  <c r="AC27" i="3"/>
  <c r="AC74" i="3" s="1"/>
  <c r="AD27" i="3"/>
  <c r="AD74" i="3" s="1"/>
  <c r="AE27" i="3"/>
  <c r="AE74" i="3" s="1"/>
  <c r="Z28" i="3"/>
  <c r="Z75" i="3" s="1"/>
  <c r="AA28" i="3"/>
  <c r="AA75" i="3" s="1"/>
  <c r="AB28" i="3"/>
  <c r="AB75" i="3" s="1"/>
  <c r="AC28" i="3"/>
  <c r="AC75" i="3" s="1"/>
  <c r="AD28" i="3"/>
  <c r="AD75" i="3" s="1"/>
  <c r="AE28" i="3"/>
  <c r="AE75" i="3" s="1"/>
  <c r="Z29" i="3"/>
  <c r="Z76" i="3" s="1"/>
  <c r="AA29" i="3"/>
  <c r="AA76" i="3" s="1"/>
  <c r="AB29" i="3"/>
  <c r="AB76" i="3" s="1"/>
  <c r="AC29" i="3"/>
  <c r="AC76" i="3" s="1"/>
  <c r="AD29" i="3"/>
  <c r="AD76" i="3" s="1"/>
  <c r="AE29" i="3"/>
  <c r="AE76" i="3" s="1"/>
  <c r="Z30" i="3"/>
  <c r="Z77" i="3" s="1"/>
  <c r="AA30" i="3"/>
  <c r="AA77" i="3" s="1"/>
  <c r="AB30" i="3"/>
  <c r="AB77" i="3" s="1"/>
  <c r="AC30" i="3"/>
  <c r="AC77" i="3" s="1"/>
  <c r="AD30" i="3"/>
  <c r="AD77" i="3" s="1"/>
  <c r="AE30" i="3"/>
  <c r="AE77" i="3" s="1"/>
  <c r="Z31" i="3"/>
  <c r="Z78" i="3" s="1"/>
  <c r="AA31" i="3"/>
  <c r="AA78" i="3" s="1"/>
  <c r="AB31" i="3"/>
  <c r="AB78" i="3" s="1"/>
  <c r="AC31" i="3"/>
  <c r="AC78" i="3" s="1"/>
  <c r="AD31" i="3"/>
  <c r="AD78" i="3" s="1"/>
  <c r="AE31" i="3"/>
  <c r="AE78" i="3" s="1"/>
  <c r="Z32" i="3"/>
  <c r="Z79" i="3" s="1"/>
  <c r="AA32" i="3"/>
  <c r="AA79" i="3" s="1"/>
  <c r="AB32" i="3"/>
  <c r="AB79" i="3" s="1"/>
  <c r="AC32" i="3"/>
  <c r="AC79" i="3" s="1"/>
  <c r="AD32" i="3"/>
  <c r="AD79" i="3" s="1"/>
  <c r="AE32" i="3"/>
  <c r="AE79" i="3" s="1"/>
  <c r="Z33" i="3"/>
  <c r="Z80" i="3" s="1"/>
  <c r="AA33" i="3"/>
  <c r="AA80" i="3" s="1"/>
  <c r="AB33" i="3"/>
  <c r="AB80" i="3" s="1"/>
  <c r="AC33" i="3"/>
  <c r="AC80" i="3" s="1"/>
  <c r="AD33" i="3"/>
  <c r="AD80" i="3" s="1"/>
  <c r="AE33" i="3"/>
  <c r="AE80" i="3" s="1"/>
  <c r="Z34" i="3"/>
  <c r="Z81" i="3" s="1"/>
  <c r="AA34" i="3"/>
  <c r="AA81" i="3" s="1"/>
  <c r="AB34" i="3"/>
  <c r="AB81" i="3" s="1"/>
  <c r="AC34" i="3"/>
  <c r="AC81" i="3" s="1"/>
  <c r="AD34" i="3"/>
  <c r="AD81" i="3" s="1"/>
  <c r="AE34" i="3"/>
  <c r="AE81" i="3" s="1"/>
  <c r="Z35" i="3"/>
  <c r="Z82" i="3" s="1"/>
  <c r="AA35" i="3"/>
  <c r="AA82" i="3" s="1"/>
  <c r="AB35" i="3"/>
  <c r="AB82" i="3" s="1"/>
  <c r="AC35" i="3"/>
  <c r="AC82" i="3" s="1"/>
  <c r="AD35" i="3"/>
  <c r="AD82" i="3" s="1"/>
  <c r="AE35" i="3"/>
  <c r="AE82" i="3" s="1"/>
  <c r="Z36" i="3"/>
  <c r="Z83" i="3" s="1"/>
  <c r="AA36" i="3"/>
  <c r="AA83" i="3" s="1"/>
  <c r="AB36" i="3"/>
  <c r="AB83" i="3" s="1"/>
  <c r="AC36" i="3"/>
  <c r="AC83" i="3" s="1"/>
  <c r="AD36" i="3"/>
  <c r="AD83" i="3" s="1"/>
  <c r="AE36" i="3"/>
  <c r="AE83" i="3" s="1"/>
  <c r="Z37" i="3"/>
  <c r="Z84" i="3" s="1"/>
  <c r="AA37" i="3"/>
  <c r="AA84" i="3" s="1"/>
  <c r="AB37" i="3"/>
  <c r="AB84" i="3" s="1"/>
  <c r="AC37" i="3"/>
  <c r="AC84" i="3" s="1"/>
  <c r="AD37" i="3"/>
  <c r="AD84" i="3" s="1"/>
  <c r="AE37" i="3"/>
  <c r="AE84" i="3" s="1"/>
  <c r="Z38" i="3"/>
  <c r="Z85" i="3" s="1"/>
  <c r="AA38" i="3"/>
  <c r="AA85" i="3" s="1"/>
  <c r="AB38" i="3"/>
  <c r="AB85" i="3" s="1"/>
  <c r="AC38" i="3"/>
  <c r="AC85" i="3" s="1"/>
  <c r="AD38" i="3"/>
  <c r="AD85" i="3" s="1"/>
  <c r="AE38" i="3"/>
  <c r="AE85" i="3" s="1"/>
  <c r="Z39" i="3"/>
  <c r="Z86" i="3" s="1"/>
  <c r="AA39" i="3"/>
  <c r="AA86" i="3" s="1"/>
  <c r="AB39" i="3"/>
  <c r="AB86" i="3" s="1"/>
  <c r="AC39" i="3"/>
  <c r="AC86" i="3" s="1"/>
  <c r="AD39" i="3"/>
  <c r="AD86" i="3" s="1"/>
  <c r="AE39" i="3"/>
  <c r="AE86" i="3" s="1"/>
  <c r="Z40" i="3"/>
  <c r="Z87" i="3" s="1"/>
  <c r="AA40" i="3"/>
  <c r="AA87" i="3" s="1"/>
  <c r="AB40" i="3"/>
  <c r="AB87" i="3" s="1"/>
  <c r="AC40" i="3"/>
  <c r="AC87" i="3" s="1"/>
  <c r="AD40" i="3"/>
  <c r="AD87" i="3" s="1"/>
  <c r="AE40" i="3"/>
  <c r="AE87" i="3" s="1"/>
  <c r="Z41" i="3"/>
  <c r="Z88" i="3" s="1"/>
  <c r="AA41" i="3"/>
  <c r="AA88" i="3" s="1"/>
  <c r="AB41" i="3"/>
  <c r="AB88" i="3" s="1"/>
  <c r="AC41" i="3"/>
  <c r="AC88" i="3" s="1"/>
  <c r="AD41" i="3"/>
  <c r="AD88" i="3" s="1"/>
  <c r="AE41" i="3"/>
  <c r="AE88" i="3" s="1"/>
  <c r="Z42" i="3"/>
  <c r="Z89" i="3" s="1"/>
  <c r="AA42" i="3"/>
  <c r="AA89" i="3" s="1"/>
  <c r="AB42" i="3"/>
  <c r="AB89" i="3" s="1"/>
  <c r="AC42" i="3"/>
  <c r="AC89" i="3" s="1"/>
  <c r="AD42" i="3"/>
  <c r="AD89" i="3" s="1"/>
  <c r="AE42" i="3"/>
  <c r="AE89" i="3" s="1"/>
  <c r="Z43" i="3"/>
  <c r="Z90" i="3" s="1"/>
  <c r="AA43" i="3"/>
  <c r="AA90" i="3" s="1"/>
  <c r="AB43" i="3"/>
  <c r="AB90" i="3" s="1"/>
  <c r="AC43" i="3"/>
  <c r="AC90" i="3" s="1"/>
  <c r="AD43" i="3"/>
  <c r="AD90" i="3" s="1"/>
  <c r="AE43" i="3"/>
  <c r="AE90" i="3" s="1"/>
  <c r="Z44" i="3"/>
  <c r="Z91" i="3" s="1"/>
  <c r="AA44" i="3"/>
  <c r="AA91" i="3" s="1"/>
  <c r="AB44" i="3"/>
  <c r="AB91" i="3" s="1"/>
  <c r="AC44" i="3"/>
  <c r="AC91" i="3" s="1"/>
  <c r="AD44" i="3"/>
  <c r="AD91" i="3" s="1"/>
  <c r="AE44" i="3"/>
  <c r="AE91" i="3" s="1"/>
  <c r="Z45" i="3"/>
  <c r="Z92" i="3" s="1"/>
  <c r="AA45" i="3"/>
  <c r="AA92" i="3" s="1"/>
  <c r="AB45" i="3"/>
  <c r="AB92" i="3" s="1"/>
  <c r="AC45" i="3"/>
  <c r="AC92" i="3" s="1"/>
  <c r="AD45" i="3"/>
  <c r="AD92" i="3" s="1"/>
  <c r="AE45" i="3"/>
  <c r="AE92" i="3" s="1"/>
  <c r="Z46" i="3"/>
  <c r="Z93" i="3" s="1"/>
  <c r="AA46" i="3"/>
  <c r="AA93" i="3" s="1"/>
  <c r="AB46" i="3"/>
  <c r="AB93" i="3" s="1"/>
  <c r="AC46" i="3"/>
  <c r="AC93" i="3" s="1"/>
  <c r="AD46" i="3"/>
  <c r="AD93" i="3" s="1"/>
  <c r="AE46" i="3"/>
  <c r="AE93" i="3" s="1"/>
  <c r="AA2" i="3"/>
  <c r="AB2" i="3"/>
  <c r="AC2" i="3"/>
  <c r="AD2" i="3"/>
  <c r="AE2" i="3"/>
  <c r="Z2" i="3"/>
  <c r="X52" i="3"/>
  <c r="X55" i="3"/>
  <c r="X56" i="3"/>
  <c r="X62" i="3"/>
  <c r="X63" i="3"/>
  <c r="X64" i="3"/>
  <c r="X66" i="3"/>
  <c r="X70" i="3"/>
  <c r="X71" i="3"/>
  <c r="X74" i="3"/>
  <c r="X77" i="3"/>
  <c r="X81" i="3"/>
  <c r="X82" i="3"/>
  <c r="X91" i="3"/>
  <c r="X92" i="3"/>
  <c r="X93" i="3"/>
  <c r="R3" i="3"/>
  <c r="R50" i="3" s="1"/>
  <c r="S3" i="3"/>
  <c r="S50" i="3" s="1"/>
  <c r="T3" i="3"/>
  <c r="T50" i="3" s="1"/>
  <c r="U3" i="3"/>
  <c r="U50" i="3" s="1"/>
  <c r="V3" i="3"/>
  <c r="V50" i="3" s="1"/>
  <c r="W3" i="3"/>
  <c r="W50" i="3" s="1"/>
  <c r="R4" i="3"/>
  <c r="R51" i="3" s="1"/>
  <c r="S4" i="3"/>
  <c r="S51" i="3" s="1"/>
  <c r="T4" i="3"/>
  <c r="T51" i="3" s="1"/>
  <c r="U4" i="3"/>
  <c r="U51" i="3" s="1"/>
  <c r="V4" i="3"/>
  <c r="V51" i="3" s="1"/>
  <c r="W4" i="3"/>
  <c r="W51" i="3" s="1"/>
  <c r="R5" i="3"/>
  <c r="R52" i="3" s="1"/>
  <c r="S5" i="3"/>
  <c r="S52" i="3" s="1"/>
  <c r="T5" i="3"/>
  <c r="T52" i="3" s="1"/>
  <c r="U5" i="3"/>
  <c r="U52" i="3" s="1"/>
  <c r="V5" i="3"/>
  <c r="V52" i="3" s="1"/>
  <c r="W5" i="3"/>
  <c r="W52" i="3" s="1"/>
  <c r="R6" i="3"/>
  <c r="R53" i="3" s="1"/>
  <c r="S6" i="3"/>
  <c r="S53" i="3" s="1"/>
  <c r="T6" i="3"/>
  <c r="T53" i="3" s="1"/>
  <c r="U6" i="3"/>
  <c r="U53" i="3" s="1"/>
  <c r="V6" i="3"/>
  <c r="V53" i="3" s="1"/>
  <c r="W6" i="3"/>
  <c r="W53" i="3" s="1"/>
  <c r="R7" i="3"/>
  <c r="R54" i="3" s="1"/>
  <c r="S7" i="3"/>
  <c r="S54" i="3" s="1"/>
  <c r="T7" i="3"/>
  <c r="T54" i="3" s="1"/>
  <c r="U7" i="3"/>
  <c r="U54" i="3" s="1"/>
  <c r="V7" i="3"/>
  <c r="V54" i="3" s="1"/>
  <c r="W7" i="3"/>
  <c r="W54" i="3" s="1"/>
  <c r="R8" i="3"/>
  <c r="R55" i="3" s="1"/>
  <c r="S8" i="3"/>
  <c r="S55" i="3" s="1"/>
  <c r="T8" i="3"/>
  <c r="T55" i="3" s="1"/>
  <c r="U8" i="3"/>
  <c r="U55" i="3" s="1"/>
  <c r="V8" i="3"/>
  <c r="V55" i="3" s="1"/>
  <c r="W8" i="3"/>
  <c r="W55" i="3" s="1"/>
  <c r="R9" i="3"/>
  <c r="R56" i="3" s="1"/>
  <c r="S9" i="3"/>
  <c r="S56" i="3" s="1"/>
  <c r="T9" i="3"/>
  <c r="T56" i="3" s="1"/>
  <c r="U9" i="3"/>
  <c r="U56" i="3" s="1"/>
  <c r="V9" i="3"/>
  <c r="V56" i="3" s="1"/>
  <c r="W9" i="3"/>
  <c r="W56" i="3" s="1"/>
  <c r="R10" i="3"/>
  <c r="R57" i="3" s="1"/>
  <c r="S10" i="3"/>
  <c r="S57" i="3" s="1"/>
  <c r="T10" i="3"/>
  <c r="T57" i="3" s="1"/>
  <c r="U10" i="3"/>
  <c r="U57" i="3" s="1"/>
  <c r="V10" i="3"/>
  <c r="V57" i="3" s="1"/>
  <c r="W10" i="3"/>
  <c r="W57" i="3" s="1"/>
  <c r="R11" i="3"/>
  <c r="R58" i="3" s="1"/>
  <c r="S11" i="3"/>
  <c r="S58" i="3" s="1"/>
  <c r="T11" i="3"/>
  <c r="T58" i="3" s="1"/>
  <c r="U11" i="3"/>
  <c r="U58" i="3" s="1"/>
  <c r="V11" i="3"/>
  <c r="V58" i="3" s="1"/>
  <c r="W11" i="3"/>
  <c r="W58" i="3" s="1"/>
  <c r="R12" i="3"/>
  <c r="R59" i="3" s="1"/>
  <c r="S12" i="3"/>
  <c r="S59" i="3" s="1"/>
  <c r="T12" i="3"/>
  <c r="T59" i="3" s="1"/>
  <c r="U12" i="3"/>
  <c r="U59" i="3" s="1"/>
  <c r="V12" i="3"/>
  <c r="V59" i="3" s="1"/>
  <c r="W12" i="3"/>
  <c r="W59" i="3" s="1"/>
  <c r="R13" i="3"/>
  <c r="R60" i="3" s="1"/>
  <c r="S13" i="3"/>
  <c r="S60" i="3" s="1"/>
  <c r="T13" i="3"/>
  <c r="T60" i="3" s="1"/>
  <c r="U13" i="3"/>
  <c r="U60" i="3" s="1"/>
  <c r="V13" i="3"/>
  <c r="V60" i="3" s="1"/>
  <c r="W13" i="3"/>
  <c r="W60" i="3" s="1"/>
  <c r="R14" i="3"/>
  <c r="R61" i="3" s="1"/>
  <c r="S14" i="3"/>
  <c r="S61" i="3" s="1"/>
  <c r="T14" i="3"/>
  <c r="T61" i="3" s="1"/>
  <c r="U14" i="3"/>
  <c r="U61" i="3" s="1"/>
  <c r="V14" i="3"/>
  <c r="V61" i="3" s="1"/>
  <c r="W14" i="3"/>
  <c r="W61" i="3" s="1"/>
  <c r="R15" i="3"/>
  <c r="R62" i="3" s="1"/>
  <c r="S15" i="3"/>
  <c r="S62" i="3" s="1"/>
  <c r="T15" i="3"/>
  <c r="T62" i="3" s="1"/>
  <c r="U15" i="3"/>
  <c r="U62" i="3" s="1"/>
  <c r="V15" i="3"/>
  <c r="V62" i="3" s="1"/>
  <c r="W15" i="3"/>
  <c r="W62" i="3" s="1"/>
  <c r="R16" i="3"/>
  <c r="R63" i="3" s="1"/>
  <c r="S16" i="3"/>
  <c r="S63" i="3" s="1"/>
  <c r="T16" i="3"/>
  <c r="T63" i="3" s="1"/>
  <c r="U16" i="3"/>
  <c r="U63" i="3" s="1"/>
  <c r="V16" i="3"/>
  <c r="V63" i="3" s="1"/>
  <c r="W16" i="3"/>
  <c r="W63" i="3" s="1"/>
  <c r="R17" i="3"/>
  <c r="R64" i="3" s="1"/>
  <c r="S17" i="3"/>
  <c r="S64" i="3" s="1"/>
  <c r="T17" i="3"/>
  <c r="T64" i="3" s="1"/>
  <c r="U17" i="3"/>
  <c r="U64" i="3" s="1"/>
  <c r="V17" i="3"/>
  <c r="V64" i="3" s="1"/>
  <c r="W17" i="3"/>
  <c r="W64" i="3" s="1"/>
  <c r="R18" i="3"/>
  <c r="R65" i="3" s="1"/>
  <c r="S18" i="3"/>
  <c r="S65" i="3" s="1"/>
  <c r="T18" i="3"/>
  <c r="T65" i="3" s="1"/>
  <c r="U18" i="3"/>
  <c r="U65" i="3" s="1"/>
  <c r="V18" i="3"/>
  <c r="V65" i="3" s="1"/>
  <c r="W18" i="3"/>
  <c r="W65" i="3" s="1"/>
  <c r="R19" i="3"/>
  <c r="R66" i="3" s="1"/>
  <c r="S19" i="3"/>
  <c r="S66" i="3" s="1"/>
  <c r="T19" i="3"/>
  <c r="T66" i="3" s="1"/>
  <c r="U19" i="3"/>
  <c r="U66" i="3" s="1"/>
  <c r="V19" i="3"/>
  <c r="V66" i="3" s="1"/>
  <c r="W19" i="3"/>
  <c r="W66" i="3" s="1"/>
  <c r="R20" i="3"/>
  <c r="R67" i="3" s="1"/>
  <c r="S20" i="3"/>
  <c r="S67" i="3" s="1"/>
  <c r="T20" i="3"/>
  <c r="T67" i="3" s="1"/>
  <c r="U20" i="3"/>
  <c r="U67" i="3" s="1"/>
  <c r="V20" i="3"/>
  <c r="V67" i="3" s="1"/>
  <c r="W20" i="3"/>
  <c r="W67" i="3" s="1"/>
  <c r="R21" i="3"/>
  <c r="R68" i="3" s="1"/>
  <c r="S21" i="3"/>
  <c r="S68" i="3" s="1"/>
  <c r="T21" i="3"/>
  <c r="T68" i="3" s="1"/>
  <c r="U21" i="3"/>
  <c r="U68" i="3" s="1"/>
  <c r="V21" i="3"/>
  <c r="V68" i="3" s="1"/>
  <c r="W21" i="3"/>
  <c r="W68" i="3" s="1"/>
  <c r="R22" i="3"/>
  <c r="R69" i="3" s="1"/>
  <c r="S22" i="3"/>
  <c r="S69" i="3" s="1"/>
  <c r="T22" i="3"/>
  <c r="T69" i="3" s="1"/>
  <c r="U22" i="3"/>
  <c r="U69" i="3" s="1"/>
  <c r="V22" i="3"/>
  <c r="V69" i="3" s="1"/>
  <c r="W22" i="3"/>
  <c r="W69" i="3" s="1"/>
  <c r="R23" i="3"/>
  <c r="R70" i="3" s="1"/>
  <c r="S23" i="3"/>
  <c r="S70" i="3" s="1"/>
  <c r="T23" i="3"/>
  <c r="T70" i="3" s="1"/>
  <c r="U23" i="3"/>
  <c r="U70" i="3" s="1"/>
  <c r="V23" i="3"/>
  <c r="V70" i="3" s="1"/>
  <c r="W23" i="3"/>
  <c r="W70" i="3" s="1"/>
  <c r="R24" i="3"/>
  <c r="R71" i="3" s="1"/>
  <c r="S24" i="3"/>
  <c r="S71" i="3" s="1"/>
  <c r="T24" i="3"/>
  <c r="T71" i="3" s="1"/>
  <c r="U24" i="3"/>
  <c r="U71" i="3" s="1"/>
  <c r="V24" i="3"/>
  <c r="V71" i="3" s="1"/>
  <c r="W24" i="3"/>
  <c r="W71" i="3" s="1"/>
  <c r="R25" i="3"/>
  <c r="R72" i="3" s="1"/>
  <c r="S25" i="3"/>
  <c r="S72" i="3" s="1"/>
  <c r="T25" i="3"/>
  <c r="T72" i="3" s="1"/>
  <c r="U25" i="3"/>
  <c r="U72" i="3" s="1"/>
  <c r="V25" i="3"/>
  <c r="V72" i="3" s="1"/>
  <c r="W25" i="3"/>
  <c r="W72" i="3" s="1"/>
  <c r="R26" i="3"/>
  <c r="R73" i="3" s="1"/>
  <c r="S26" i="3"/>
  <c r="S73" i="3" s="1"/>
  <c r="T26" i="3"/>
  <c r="T73" i="3" s="1"/>
  <c r="U26" i="3"/>
  <c r="U73" i="3" s="1"/>
  <c r="V26" i="3"/>
  <c r="V73" i="3" s="1"/>
  <c r="W26" i="3"/>
  <c r="W73" i="3" s="1"/>
  <c r="R27" i="3"/>
  <c r="R74" i="3" s="1"/>
  <c r="S27" i="3"/>
  <c r="S74" i="3" s="1"/>
  <c r="T27" i="3"/>
  <c r="T74" i="3" s="1"/>
  <c r="U27" i="3"/>
  <c r="U74" i="3" s="1"/>
  <c r="V27" i="3"/>
  <c r="V74" i="3" s="1"/>
  <c r="W27" i="3"/>
  <c r="W74" i="3" s="1"/>
  <c r="R28" i="3"/>
  <c r="R75" i="3" s="1"/>
  <c r="S28" i="3"/>
  <c r="S75" i="3" s="1"/>
  <c r="T28" i="3"/>
  <c r="T75" i="3" s="1"/>
  <c r="U28" i="3"/>
  <c r="U75" i="3" s="1"/>
  <c r="V28" i="3"/>
  <c r="V75" i="3" s="1"/>
  <c r="W28" i="3"/>
  <c r="W75" i="3" s="1"/>
  <c r="R29" i="3"/>
  <c r="R76" i="3" s="1"/>
  <c r="S29" i="3"/>
  <c r="S76" i="3" s="1"/>
  <c r="T29" i="3"/>
  <c r="T76" i="3" s="1"/>
  <c r="U29" i="3"/>
  <c r="U76" i="3" s="1"/>
  <c r="V29" i="3"/>
  <c r="V76" i="3" s="1"/>
  <c r="W29" i="3"/>
  <c r="W76" i="3" s="1"/>
  <c r="R30" i="3"/>
  <c r="R77" i="3" s="1"/>
  <c r="S30" i="3"/>
  <c r="S77" i="3" s="1"/>
  <c r="T30" i="3"/>
  <c r="T77" i="3" s="1"/>
  <c r="U30" i="3"/>
  <c r="U77" i="3" s="1"/>
  <c r="V30" i="3"/>
  <c r="V77" i="3" s="1"/>
  <c r="W30" i="3"/>
  <c r="W77" i="3" s="1"/>
  <c r="R31" i="3"/>
  <c r="R78" i="3" s="1"/>
  <c r="S31" i="3"/>
  <c r="S78" i="3" s="1"/>
  <c r="T31" i="3"/>
  <c r="T78" i="3" s="1"/>
  <c r="U31" i="3"/>
  <c r="U78" i="3" s="1"/>
  <c r="V31" i="3"/>
  <c r="V78" i="3" s="1"/>
  <c r="W31" i="3"/>
  <c r="W78" i="3" s="1"/>
  <c r="R32" i="3"/>
  <c r="R79" i="3" s="1"/>
  <c r="S32" i="3"/>
  <c r="S79" i="3" s="1"/>
  <c r="T32" i="3"/>
  <c r="T79" i="3" s="1"/>
  <c r="U32" i="3"/>
  <c r="U79" i="3" s="1"/>
  <c r="V32" i="3"/>
  <c r="V79" i="3" s="1"/>
  <c r="W32" i="3"/>
  <c r="W79" i="3" s="1"/>
  <c r="R33" i="3"/>
  <c r="R80" i="3" s="1"/>
  <c r="S33" i="3"/>
  <c r="S80" i="3" s="1"/>
  <c r="T33" i="3"/>
  <c r="T80" i="3" s="1"/>
  <c r="U33" i="3"/>
  <c r="U80" i="3" s="1"/>
  <c r="V33" i="3"/>
  <c r="V80" i="3" s="1"/>
  <c r="W33" i="3"/>
  <c r="W80" i="3" s="1"/>
  <c r="R34" i="3"/>
  <c r="R81" i="3" s="1"/>
  <c r="S34" i="3"/>
  <c r="S81" i="3" s="1"/>
  <c r="T34" i="3"/>
  <c r="T81" i="3" s="1"/>
  <c r="U34" i="3"/>
  <c r="U81" i="3" s="1"/>
  <c r="V34" i="3"/>
  <c r="V81" i="3" s="1"/>
  <c r="W34" i="3"/>
  <c r="W81" i="3" s="1"/>
  <c r="R35" i="3"/>
  <c r="R82" i="3" s="1"/>
  <c r="S35" i="3"/>
  <c r="S82" i="3" s="1"/>
  <c r="T35" i="3"/>
  <c r="T82" i="3" s="1"/>
  <c r="U35" i="3"/>
  <c r="U82" i="3" s="1"/>
  <c r="V35" i="3"/>
  <c r="V82" i="3" s="1"/>
  <c r="W35" i="3"/>
  <c r="W82" i="3" s="1"/>
  <c r="R36" i="3"/>
  <c r="R83" i="3" s="1"/>
  <c r="S36" i="3"/>
  <c r="S83" i="3" s="1"/>
  <c r="T36" i="3"/>
  <c r="T83" i="3" s="1"/>
  <c r="U36" i="3"/>
  <c r="U83" i="3" s="1"/>
  <c r="V36" i="3"/>
  <c r="V83" i="3" s="1"/>
  <c r="W36" i="3"/>
  <c r="W83" i="3" s="1"/>
  <c r="R37" i="3"/>
  <c r="R84" i="3" s="1"/>
  <c r="S37" i="3"/>
  <c r="S84" i="3" s="1"/>
  <c r="T37" i="3"/>
  <c r="T84" i="3" s="1"/>
  <c r="U37" i="3"/>
  <c r="U84" i="3" s="1"/>
  <c r="V37" i="3"/>
  <c r="V84" i="3" s="1"/>
  <c r="W37" i="3"/>
  <c r="W84" i="3" s="1"/>
  <c r="R38" i="3"/>
  <c r="R85" i="3" s="1"/>
  <c r="S38" i="3"/>
  <c r="S85" i="3" s="1"/>
  <c r="T38" i="3"/>
  <c r="T85" i="3" s="1"/>
  <c r="U38" i="3"/>
  <c r="U85" i="3" s="1"/>
  <c r="V38" i="3"/>
  <c r="V85" i="3" s="1"/>
  <c r="W38" i="3"/>
  <c r="W85" i="3" s="1"/>
  <c r="R39" i="3"/>
  <c r="R86" i="3" s="1"/>
  <c r="S39" i="3"/>
  <c r="S86" i="3" s="1"/>
  <c r="T39" i="3"/>
  <c r="T86" i="3" s="1"/>
  <c r="U39" i="3"/>
  <c r="U86" i="3" s="1"/>
  <c r="V39" i="3"/>
  <c r="V86" i="3" s="1"/>
  <c r="W39" i="3"/>
  <c r="W86" i="3" s="1"/>
  <c r="R40" i="3"/>
  <c r="R87" i="3" s="1"/>
  <c r="S40" i="3"/>
  <c r="S87" i="3" s="1"/>
  <c r="T40" i="3"/>
  <c r="T87" i="3" s="1"/>
  <c r="U40" i="3"/>
  <c r="U87" i="3" s="1"/>
  <c r="V40" i="3"/>
  <c r="V87" i="3" s="1"/>
  <c r="W40" i="3"/>
  <c r="W87" i="3" s="1"/>
  <c r="R41" i="3"/>
  <c r="R88" i="3" s="1"/>
  <c r="S41" i="3"/>
  <c r="S88" i="3" s="1"/>
  <c r="T41" i="3"/>
  <c r="T88" i="3" s="1"/>
  <c r="U41" i="3"/>
  <c r="U88" i="3" s="1"/>
  <c r="V41" i="3"/>
  <c r="V88" i="3" s="1"/>
  <c r="W41" i="3"/>
  <c r="W88" i="3" s="1"/>
  <c r="R42" i="3"/>
  <c r="R89" i="3" s="1"/>
  <c r="S42" i="3"/>
  <c r="S89" i="3" s="1"/>
  <c r="T42" i="3"/>
  <c r="T89" i="3" s="1"/>
  <c r="U42" i="3"/>
  <c r="U89" i="3" s="1"/>
  <c r="V42" i="3"/>
  <c r="V89" i="3" s="1"/>
  <c r="W42" i="3"/>
  <c r="W89" i="3" s="1"/>
  <c r="R43" i="3"/>
  <c r="R90" i="3" s="1"/>
  <c r="S43" i="3"/>
  <c r="S90" i="3" s="1"/>
  <c r="T43" i="3"/>
  <c r="T90" i="3" s="1"/>
  <c r="U43" i="3"/>
  <c r="U90" i="3" s="1"/>
  <c r="V43" i="3"/>
  <c r="V90" i="3" s="1"/>
  <c r="W43" i="3"/>
  <c r="W90" i="3" s="1"/>
  <c r="R44" i="3"/>
  <c r="R91" i="3" s="1"/>
  <c r="S44" i="3"/>
  <c r="S91" i="3" s="1"/>
  <c r="T44" i="3"/>
  <c r="T91" i="3" s="1"/>
  <c r="U44" i="3"/>
  <c r="U91" i="3" s="1"/>
  <c r="V44" i="3"/>
  <c r="V91" i="3" s="1"/>
  <c r="W44" i="3"/>
  <c r="W91" i="3" s="1"/>
  <c r="R45" i="3"/>
  <c r="R92" i="3" s="1"/>
  <c r="S45" i="3"/>
  <c r="S92" i="3" s="1"/>
  <c r="T45" i="3"/>
  <c r="T92" i="3" s="1"/>
  <c r="U45" i="3"/>
  <c r="U92" i="3" s="1"/>
  <c r="V45" i="3"/>
  <c r="V92" i="3" s="1"/>
  <c r="W45" i="3"/>
  <c r="W92" i="3" s="1"/>
  <c r="R46" i="3"/>
  <c r="R93" i="3" s="1"/>
  <c r="S46" i="3"/>
  <c r="S93" i="3" s="1"/>
  <c r="T46" i="3"/>
  <c r="T93" i="3" s="1"/>
  <c r="U46" i="3"/>
  <c r="U93" i="3" s="1"/>
  <c r="V46" i="3"/>
  <c r="V93" i="3" s="1"/>
  <c r="W46" i="3"/>
  <c r="W93" i="3" s="1"/>
  <c r="S2" i="3"/>
  <c r="T2" i="3"/>
  <c r="U2" i="3"/>
  <c r="V2" i="3"/>
  <c r="W2" i="3"/>
  <c r="R2" i="3"/>
  <c r="P4" i="3"/>
  <c r="P51" i="3" s="1"/>
  <c r="P5" i="3"/>
  <c r="P52" i="3" s="1"/>
  <c r="P6" i="3"/>
  <c r="P53" i="3" s="1"/>
  <c r="P7" i="3"/>
  <c r="P54" i="3" s="1"/>
  <c r="P8" i="3"/>
  <c r="P55" i="3" s="1"/>
  <c r="P9" i="3"/>
  <c r="P56" i="3" s="1"/>
  <c r="P10" i="3"/>
  <c r="P57" i="3" s="1"/>
  <c r="P11" i="3"/>
  <c r="P58" i="3" s="1"/>
  <c r="P12" i="3"/>
  <c r="P59" i="3" s="1"/>
  <c r="P13" i="3"/>
  <c r="P60" i="3" s="1"/>
  <c r="P14" i="3"/>
  <c r="P61" i="3" s="1"/>
  <c r="P15" i="3"/>
  <c r="P62" i="3" s="1"/>
  <c r="P16" i="3"/>
  <c r="P63" i="3" s="1"/>
  <c r="P17" i="3"/>
  <c r="P64" i="3" s="1"/>
  <c r="P18" i="3"/>
  <c r="P65" i="3" s="1"/>
  <c r="P19" i="3"/>
  <c r="P66" i="3" s="1"/>
  <c r="P20" i="3"/>
  <c r="P67" i="3" s="1"/>
  <c r="P21" i="3"/>
  <c r="P68" i="3" s="1"/>
  <c r="P22" i="3"/>
  <c r="P69" i="3" s="1"/>
  <c r="P23" i="3"/>
  <c r="P70" i="3" s="1"/>
  <c r="P24" i="3"/>
  <c r="P71" i="3" s="1"/>
  <c r="P25" i="3"/>
  <c r="P72" i="3" s="1"/>
  <c r="P26" i="3"/>
  <c r="P73" i="3" s="1"/>
  <c r="P27" i="3"/>
  <c r="P74" i="3" s="1"/>
  <c r="P28" i="3"/>
  <c r="P75" i="3" s="1"/>
  <c r="P29" i="3"/>
  <c r="P76" i="3" s="1"/>
  <c r="P30" i="3"/>
  <c r="P77" i="3" s="1"/>
  <c r="P31" i="3"/>
  <c r="P78" i="3" s="1"/>
  <c r="P32" i="3"/>
  <c r="P79" i="3" s="1"/>
  <c r="P33" i="3"/>
  <c r="P80" i="3" s="1"/>
  <c r="P34" i="3"/>
  <c r="P81" i="3" s="1"/>
  <c r="P35" i="3"/>
  <c r="P82" i="3" s="1"/>
  <c r="P36" i="3"/>
  <c r="P83" i="3" s="1"/>
  <c r="P37" i="3"/>
  <c r="P84" i="3" s="1"/>
  <c r="P38" i="3"/>
  <c r="P85" i="3" s="1"/>
  <c r="P39" i="3"/>
  <c r="P86" i="3" s="1"/>
  <c r="P40" i="3"/>
  <c r="P87" i="3" s="1"/>
  <c r="P41" i="3"/>
  <c r="P88" i="3" s="1"/>
  <c r="P42" i="3"/>
  <c r="P89" i="3" s="1"/>
  <c r="P43" i="3"/>
  <c r="P90" i="3" s="1"/>
  <c r="P44" i="3"/>
  <c r="P91" i="3" s="1"/>
  <c r="P45" i="3"/>
  <c r="P92" i="3" s="1"/>
  <c r="P46" i="3"/>
  <c r="P93" i="3" s="1"/>
  <c r="J3" i="3"/>
  <c r="J50" i="3" s="1"/>
  <c r="K3" i="3"/>
  <c r="K50" i="3" s="1"/>
  <c r="L3" i="3"/>
  <c r="L50" i="3" s="1"/>
  <c r="M3" i="3"/>
  <c r="M50" i="3" s="1"/>
  <c r="N3" i="3"/>
  <c r="N50" i="3" s="1"/>
  <c r="O3" i="3"/>
  <c r="O50" i="3" s="1"/>
  <c r="J4" i="3"/>
  <c r="J51" i="3" s="1"/>
  <c r="K4" i="3"/>
  <c r="K51" i="3" s="1"/>
  <c r="L4" i="3"/>
  <c r="L51" i="3" s="1"/>
  <c r="M4" i="3"/>
  <c r="M51" i="3" s="1"/>
  <c r="N4" i="3"/>
  <c r="N51" i="3" s="1"/>
  <c r="O4" i="3"/>
  <c r="O51" i="3" s="1"/>
  <c r="J5" i="3"/>
  <c r="J52" i="3" s="1"/>
  <c r="K5" i="3"/>
  <c r="K52" i="3" s="1"/>
  <c r="L5" i="3"/>
  <c r="L52" i="3" s="1"/>
  <c r="M5" i="3"/>
  <c r="M52" i="3" s="1"/>
  <c r="N5" i="3"/>
  <c r="N52" i="3" s="1"/>
  <c r="O5" i="3"/>
  <c r="O52" i="3" s="1"/>
  <c r="J6" i="3"/>
  <c r="J53" i="3" s="1"/>
  <c r="K6" i="3"/>
  <c r="K53" i="3" s="1"/>
  <c r="L6" i="3"/>
  <c r="L53" i="3" s="1"/>
  <c r="M6" i="3"/>
  <c r="M53" i="3" s="1"/>
  <c r="N6" i="3"/>
  <c r="N53" i="3" s="1"/>
  <c r="O6" i="3"/>
  <c r="O53" i="3" s="1"/>
  <c r="J7" i="3"/>
  <c r="J54" i="3" s="1"/>
  <c r="K7" i="3"/>
  <c r="K54" i="3" s="1"/>
  <c r="L7" i="3"/>
  <c r="L54" i="3" s="1"/>
  <c r="M7" i="3"/>
  <c r="M54" i="3" s="1"/>
  <c r="N7" i="3"/>
  <c r="N54" i="3" s="1"/>
  <c r="O7" i="3"/>
  <c r="O54" i="3" s="1"/>
  <c r="J8" i="3"/>
  <c r="J55" i="3" s="1"/>
  <c r="K8" i="3"/>
  <c r="K55" i="3" s="1"/>
  <c r="L8" i="3"/>
  <c r="L55" i="3" s="1"/>
  <c r="M8" i="3"/>
  <c r="M55" i="3" s="1"/>
  <c r="N8" i="3"/>
  <c r="N55" i="3" s="1"/>
  <c r="O8" i="3"/>
  <c r="O55" i="3" s="1"/>
  <c r="J9" i="3"/>
  <c r="J56" i="3" s="1"/>
  <c r="K9" i="3"/>
  <c r="K56" i="3" s="1"/>
  <c r="L9" i="3"/>
  <c r="L56" i="3" s="1"/>
  <c r="M9" i="3"/>
  <c r="M56" i="3" s="1"/>
  <c r="N9" i="3"/>
  <c r="N56" i="3" s="1"/>
  <c r="O9" i="3"/>
  <c r="O56" i="3" s="1"/>
  <c r="J10" i="3"/>
  <c r="J57" i="3" s="1"/>
  <c r="K10" i="3"/>
  <c r="K57" i="3" s="1"/>
  <c r="L10" i="3"/>
  <c r="L57" i="3" s="1"/>
  <c r="M10" i="3"/>
  <c r="M57" i="3" s="1"/>
  <c r="N10" i="3"/>
  <c r="N57" i="3" s="1"/>
  <c r="O10" i="3"/>
  <c r="O57" i="3" s="1"/>
  <c r="J11" i="3"/>
  <c r="J58" i="3" s="1"/>
  <c r="K11" i="3"/>
  <c r="K58" i="3" s="1"/>
  <c r="L11" i="3"/>
  <c r="L58" i="3" s="1"/>
  <c r="M11" i="3"/>
  <c r="M58" i="3" s="1"/>
  <c r="N11" i="3"/>
  <c r="N58" i="3" s="1"/>
  <c r="O11" i="3"/>
  <c r="O58" i="3" s="1"/>
  <c r="J12" i="3"/>
  <c r="J59" i="3" s="1"/>
  <c r="K12" i="3"/>
  <c r="K59" i="3" s="1"/>
  <c r="L12" i="3"/>
  <c r="L59" i="3" s="1"/>
  <c r="M12" i="3"/>
  <c r="M59" i="3" s="1"/>
  <c r="N12" i="3"/>
  <c r="N59" i="3" s="1"/>
  <c r="O12" i="3"/>
  <c r="O59" i="3" s="1"/>
  <c r="J13" i="3"/>
  <c r="J60" i="3" s="1"/>
  <c r="K13" i="3"/>
  <c r="K60" i="3" s="1"/>
  <c r="L13" i="3"/>
  <c r="L60" i="3" s="1"/>
  <c r="M13" i="3"/>
  <c r="M60" i="3" s="1"/>
  <c r="N13" i="3"/>
  <c r="N60" i="3" s="1"/>
  <c r="O13" i="3"/>
  <c r="O60" i="3" s="1"/>
  <c r="J14" i="3"/>
  <c r="J61" i="3" s="1"/>
  <c r="K14" i="3"/>
  <c r="K61" i="3" s="1"/>
  <c r="L14" i="3"/>
  <c r="L61" i="3" s="1"/>
  <c r="M14" i="3"/>
  <c r="M61" i="3" s="1"/>
  <c r="N14" i="3"/>
  <c r="N61" i="3" s="1"/>
  <c r="O14" i="3"/>
  <c r="O61" i="3" s="1"/>
  <c r="J15" i="3"/>
  <c r="J62" i="3" s="1"/>
  <c r="K15" i="3"/>
  <c r="K62" i="3" s="1"/>
  <c r="L15" i="3"/>
  <c r="L62" i="3" s="1"/>
  <c r="M15" i="3"/>
  <c r="M62" i="3" s="1"/>
  <c r="N15" i="3"/>
  <c r="N62" i="3" s="1"/>
  <c r="O15" i="3"/>
  <c r="O62" i="3" s="1"/>
  <c r="J16" i="3"/>
  <c r="J63" i="3" s="1"/>
  <c r="K16" i="3"/>
  <c r="K63" i="3" s="1"/>
  <c r="L16" i="3"/>
  <c r="L63" i="3" s="1"/>
  <c r="M16" i="3"/>
  <c r="M63" i="3" s="1"/>
  <c r="N16" i="3"/>
  <c r="N63" i="3" s="1"/>
  <c r="O16" i="3"/>
  <c r="O63" i="3" s="1"/>
  <c r="J17" i="3"/>
  <c r="J64" i="3" s="1"/>
  <c r="K17" i="3"/>
  <c r="K64" i="3" s="1"/>
  <c r="L17" i="3"/>
  <c r="L64" i="3" s="1"/>
  <c r="M17" i="3"/>
  <c r="M64" i="3" s="1"/>
  <c r="N17" i="3"/>
  <c r="N64" i="3" s="1"/>
  <c r="O17" i="3"/>
  <c r="O64" i="3" s="1"/>
  <c r="J18" i="3"/>
  <c r="J65" i="3" s="1"/>
  <c r="K18" i="3"/>
  <c r="K65" i="3" s="1"/>
  <c r="L18" i="3"/>
  <c r="L65" i="3" s="1"/>
  <c r="M18" i="3"/>
  <c r="M65" i="3" s="1"/>
  <c r="N18" i="3"/>
  <c r="N65" i="3" s="1"/>
  <c r="O18" i="3"/>
  <c r="O65" i="3" s="1"/>
  <c r="J19" i="3"/>
  <c r="J66" i="3" s="1"/>
  <c r="K19" i="3"/>
  <c r="K66" i="3" s="1"/>
  <c r="L19" i="3"/>
  <c r="L66" i="3" s="1"/>
  <c r="M19" i="3"/>
  <c r="M66" i="3" s="1"/>
  <c r="N19" i="3"/>
  <c r="N66" i="3" s="1"/>
  <c r="O19" i="3"/>
  <c r="O66" i="3" s="1"/>
  <c r="J20" i="3"/>
  <c r="J67" i="3" s="1"/>
  <c r="K20" i="3"/>
  <c r="K67" i="3" s="1"/>
  <c r="L20" i="3"/>
  <c r="L67" i="3" s="1"/>
  <c r="M20" i="3"/>
  <c r="M67" i="3" s="1"/>
  <c r="N20" i="3"/>
  <c r="N67" i="3" s="1"/>
  <c r="O20" i="3"/>
  <c r="O67" i="3" s="1"/>
  <c r="J21" i="3"/>
  <c r="J68" i="3" s="1"/>
  <c r="K21" i="3"/>
  <c r="K68" i="3" s="1"/>
  <c r="L21" i="3"/>
  <c r="L68" i="3" s="1"/>
  <c r="M21" i="3"/>
  <c r="M68" i="3" s="1"/>
  <c r="N21" i="3"/>
  <c r="N68" i="3" s="1"/>
  <c r="O21" i="3"/>
  <c r="O68" i="3" s="1"/>
  <c r="J22" i="3"/>
  <c r="J69" i="3" s="1"/>
  <c r="K22" i="3"/>
  <c r="K69" i="3" s="1"/>
  <c r="L22" i="3"/>
  <c r="L69" i="3" s="1"/>
  <c r="M22" i="3"/>
  <c r="M69" i="3" s="1"/>
  <c r="N22" i="3"/>
  <c r="N69" i="3" s="1"/>
  <c r="O22" i="3"/>
  <c r="O69" i="3" s="1"/>
  <c r="J23" i="3"/>
  <c r="J70" i="3" s="1"/>
  <c r="K23" i="3"/>
  <c r="K70" i="3" s="1"/>
  <c r="L23" i="3"/>
  <c r="L70" i="3" s="1"/>
  <c r="M23" i="3"/>
  <c r="M70" i="3" s="1"/>
  <c r="N23" i="3"/>
  <c r="N70" i="3" s="1"/>
  <c r="O23" i="3"/>
  <c r="O70" i="3" s="1"/>
  <c r="J24" i="3"/>
  <c r="J71" i="3" s="1"/>
  <c r="K24" i="3"/>
  <c r="K71" i="3" s="1"/>
  <c r="L24" i="3"/>
  <c r="L71" i="3" s="1"/>
  <c r="M24" i="3"/>
  <c r="M71" i="3" s="1"/>
  <c r="N24" i="3"/>
  <c r="N71" i="3" s="1"/>
  <c r="O24" i="3"/>
  <c r="O71" i="3" s="1"/>
  <c r="J25" i="3"/>
  <c r="J72" i="3" s="1"/>
  <c r="K25" i="3"/>
  <c r="K72" i="3" s="1"/>
  <c r="L25" i="3"/>
  <c r="L72" i="3" s="1"/>
  <c r="M25" i="3"/>
  <c r="M72" i="3" s="1"/>
  <c r="N25" i="3"/>
  <c r="N72" i="3" s="1"/>
  <c r="O25" i="3"/>
  <c r="O72" i="3" s="1"/>
  <c r="J26" i="3"/>
  <c r="J73" i="3" s="1"/>
  <c r="K26" i="3"/>
  <c r="K73" i="3" s="1"/>
  <c r="L26" i="3"/>
  <c r="L73" i="3" s="1"/>
  <c r="M26" i="3"/>
  <c r="M73" i="3" s="1"/>
  <c r="N26" i="3"/>
  <c r="N73" i="3" s="1"/>
  <c r="O26" i="3"/>
  <c r="O73" i="3" s="1"/>
  <c r="J27" i="3"/>
  <c r="J74" i="3" s="1"/>
  <c r="K27" i="3"/>
  <c r="K74" i="3" s="1"/>
  <c r="L27" i="3"/>
  <c r="L74" i="3" s="1"/>
  <c r="M27" i="3"/>
  <c r="M74" i="3" s="1"/>
  <c r="N27" i="3"/>
  <c r="N74" i="3" s="1"/>
  <c r="O27" i="3"/>
  <c r="O74" i="3" s="1"/>
  <c r="J28" i="3"/>
  <c r="J75" i="3" s="1"/>
  <c r="K28" i="3"/>
  <c r="K75" i="3" s="1"/>
  <c r="L28" i="3"/>
  <c r="L75" i="3" s="1"/>
  <c r="M28" i="3"/>
  <c r="M75" i="3" s="1"/>
  <c r="N28" i="3"/>
  <c r="N75" i="3" s="1"/>
  <c r="O28" i="3"/>
  <c r="O75" i="3" s="1"/>
  <c r="J29" i="3"/>
  <c r="J76" i="3" s="1"/>
  <c r="K29" i="3"/>
  <c r="K76" i="3" s="1"/>
  <c r="L29" i="3"/>
  <c r="L76" i="3" s="1"/>
  <c r="M29" i="3"/>
  <c r="M76" i="3" s="1"/>
  <c r="N29" i="3"/>
  <c r="N76" i="3" s="1"/>
  <c r="O29" i="3"/>
  <c r="O76" i="3" s="1"/>
  <c r="J30" i="3"/>
  <c r="J77" i="3" s="1"/>
  <c r="K30" i="3"/>
  <c r="K77" i="3" s="1"/>
  <c r="L30" i="3"/>
  <c r="L77" i="3" s="1"/>
  <c r="M30" i="3"/>
  <c r="M77" i="3" s="1"/>
  <c r="N30" i="3"/>
  <c r="N77" i="3" s="1"/>
  <c r="O30" i="3"/>
  <c r="O77" i="3" s="1"/>
  <c r="J31" i="3"/>
  <c r="J78" i="3" s="1"/>
  <c r="K31" i="3"/>
  <c r="K78" i="3" s="1"/>
  <c r="L31" i="3"/>
  <c r="L78" i="3" s="1"/>
  <c r="M31" i="3"/>
  <c r="M78" i="3" s="1"/>
  <c r="N31" i="3"/>
  <c r="N78" i="3" s="1"/>
  <c r="O31" i="3"/>
  <c r="O78" i="3" s="1"/>
  <c r="J32" i="3"/>
  <c r="J79" i="3" s="1"/>
  <c r="K32" i="3"/>
  <c r="K79" i="3" s="1"/>
  <c r="L32" i="3"/>
  <c r="L79" i="3" s="1"/>
  <c r="M32" i="3"/>
  <c r="M79" i="3" s="1"/>
  <c r="N32" i="3"/>
  <c r="N79" i="3" s="1"/>
  <c r="O32" i="3"/>
  <c r="O79" i="3" s="1"/>
  <c r="J33" i="3"/>
  <c r="J80" i="3" s="1"/>
  <c r="K33" i="3"/>
  <c r="K80" i="3" s="1"/>
  <c r="L33" i="3"/>
  <c r="L80" i="3" s="1"/>
  <c r="M33" i="3"/>
  <c r="M80" i="3" s="1"/>
  <c r="N33" i="3"/>
  <c r="N80" i="3" s="1"/>
  <c r="O33" i="3"/>
  <c r="O80" i="3" s="1"/>
  <c r="J34" i="3"/>
  <c r="J81" i="3" s="1"/>
  <c r="K34" i="3"/>
  <c r="K81" i="3" s="1"/>
  <c r="L34" i="3"/>
  <c r="L81" i="3" s="1"/>
  <c r="M34" i="3"/>
  <c r="M81" i="3" s="1"/>
  <c r="N34" i="3"/>
  <c r="N81" i="3" s="1"/>
  <c r="O34" i="3"/>
  <c r="O81" i="3" s="1"/>
  <c r="J35" i="3"/>
  <c r="J82" i="3" s="1"/>
  <c r="K35" i="3"/>
  <c r="K82" i="3" s="1"/>
  <c r="L35" i="3"/>
  <c r="L82" i="3" s="1"/>
  <c r="M35" i="3"/>
  <c r="M82" i="3" s="1"/>
  <c r="N35" i="3"/>
  <c r="N82" i="3" s="1"/>
  <c r="O35" i="3"/>
  <c r="O82" i="3" s="1"/>
  <c r="J36" i="3"/>
  <c r="J83" i="3" s="1"/>
  <c r="K36" i="3"/>
  <c r="K83" i="3" s="1"/>
  <c r="L36" i="3"/>
  <c r="L83" i="3" s="1"/>
  <c r="M36" i="3"/>
  <c r="M83" i="3" s="1"/>
  <c r="N36" i="3"/>
  <c r="N83" i="3" s="1"/>
  <c r="O36" i="3"/>
  <c r="O83" i="3" s="1"/>
  <c r="J37" i="3"/>
  <c r="J84" i="3" s="1"/>
  <c r="K37" i="3"/>
  <c r="K84" i="3" s="1"/>
  <c r="L37" i="3"/>
  <c r="L84" i="3" s="1"/>
  <c r="M37" i="3"/>
  <c r="M84" i="3" s="1"/>
  <c r="N37" i="3"/>
  <c r="N84" i="3" s="1"/>
  <c r="O37" i="3"/>
  <c r="O84" i="3" s="1"/>
  <c r="J38" i="3"/>
  <c r="J85" i="3" s="1"/>
  <c r="K38" i="3"/>
  <c r="K85" i="3" s="1"/>
  <c r="L38" i="3"/>
  <c r="L85" i="3" s="1"/>
  <c r="M38" i="3"/>
  <c r="M85" i="3" s="1"/>
  <c r="N38" i="3"/>
  <c r="N85" i="3" s="1"/>
  <c r="O38" i="3"/>
  <c r="O85" i="3" s="1"/>
  <c r="J39" i="3"/>
  <c r="J86" i="3" s="1"/>
  <c r="K39" i="3"/>
  <c r="K86" i="3" s="1"/>
  <c r="L39" i="3"/>
  <c r="L86" i="3" s="1"/>
  <c r="M39" i="3"/>
  <c r="M86" i="3" s="1"/>
  <c r="N39" i="3"/>
  <c r="N86" i="3" s="1"/>
  <c r="O39" i="3"/>
  <c r="O86" i="3" s="1"/>
  <c r="J40" i="3"/>
  <c r="J87" i="3" s="1"/>
  <c r="K40" i="3"/>
  <c r="K87" i="3" s="1"/>
  <c r="L40" i="3"/>
  <c r="L87" i="3" s="1"/>
  <c r="M40" i="3"/>
  <c r="M87" i="3" s="1"/>
  <c r="N40" i="3"/>
  <c r="N87" i="3" s="1"/>
  <c r="O40" i="3"/>
  <c r="O87" i="3" s="1"/>
  <c r="J41" i="3"/>
  <c r="J88" i="3" s="1"/>
  <c r="K41" i="3"/>
  <c r="K88" i="3" s="1"/>
  <c r="L41" i="3"/>
  <c r="L88" i="3" s="1"/>
  <c r="M41" i="3"/>
  <c r="M88" i="3" s="1"/>
  <c r="N41" i="3"/>
  <c r="N88" i="3" s="1"/>
  <c r="O41" i="3"/>
  <c r="O88" i="3" s="1"/>
  <c r="J42" i="3"/>
  <c r="J89" i="3" s="1"/>
  <c r="K42" i="3"/>
  <c r="K89" i="3" s="1"/>
  <c r="L42" i="3"/>
  <c r="L89" i="3" s="1"/>
  <c r="M42" i="3"/>
  <c r="M89" i="3" s="1"/>
  <c r="N42" i="3"/>
  <c r="N89" i="3" s="1"/>
  <c r="O42" i="3"/>
  <c r="O89" i="3" s="1"/>
  <c r="J43" i="3"/>
  <c r="J90" i="3" s="1"/>
  <c r="K43" i="3"/>
  <c r="K90" i="3" s="1"/>
  <c r="L43" i="3"/>
  <c r="L90" i="3" s="1"/>
  <c r="M43" i="3"/>
  <c r="M90" i="3" s="1"/>
  <c r="N43" i="3"/>
  <c r="N90" i="3" s="1"/>
  <c r="O43" i="3"/>
  <c r="O90" i="3" s="1"/>
  <c r="J44" i="3"/>
  <c r="J91" i="3" s="1"/>
  <c r="K44" i="3"/>
  <c r="K91" i="3" s="1"/>
  <c r="L44" i="3"/>
  <c r="L91" i="3" s="1"/>
  <c r="M44" i="3"/>
  <c r="M91" i="3" s="1"/>
  <c r="N44" i="3"/>
  <c r="N91" i="3" s="1"/>
  <c r="O44" i="3"/>
  <c r="O91" i="3" s="1"/>
  <c r="J45" i="3"/>
  <c r="J92" i="3" s="1"/>
  <c r="K45" i="3"/>
  <c r="K92" i="3" s="1"/>
  <c r="L45" i="3"/>
  <c r="L92" i="3" s="1"/>
  <c r="M45" i="3"/>
  <c r="M92" i="3" s="1"/>
  <c r="N45" i="3"/>
  <c r="N92" i="3" s="1"/>
  <c r="O45" i="3"/>
  <c r="O92" i="3" s="1"/>
  <c r="J46" i="3"/>
  <c r="J93" i="3" s="1"/>
  <c r="K46" i="3"/>
  <c r="K93" i="3" s="1"/>
  <c r="L46" i="3"/>
  <c r="L93" i="3" s="1"/>
  <c r="M46" i="3"/>
  <c r="M93" i="3" s="1"/>
  <c r="N46" i="3"/>
  <c r="N93" i="3" s="1"/>
  <c r="O46" i="3"/>
  <c r="O93" i="3" s="1"/>
  <c r="K2" i="3"/>
  <c r="L2" i="3"/>
  <c r="M2" i="3"/>
  <c r="N2" i="3"/>
  <c r="O2" i="3"/>
  <c r="J2" i="3"/>
  <c r="H4" i="3"/>
  <c r="H51" i="3" s="1"/>
  <c r="H5" i="3"/>
  <c r="H52" i="3" s="1"/>
  <c r="H6" i="3"/>
  <c r="H53" i="3" s="1"/>
  <c r="H7" i="3"/>
  <c r="H54" i="3" s="1"/>
  <c r="H8" i="3"/>
  <c r="H55" i="3" s="1"/>
  <c r="H9" i="3"/>
  <c r="H56" i="3" s="1"/>
  <c r="H10" i="3"/>
  <c r="H57" i="3" s="1"/>
  <c r="H11" i="3"/>
  <c r="H58" i="3" s="1"/>
  <c r="H12" i="3"/>
  <c r="H59" i="3" s="1"/>
  <c r="H13" i="3"/>
  <c r="H60" i="3" s="1"/>
  <c r="H14" i="3"/>
  <c r="H61" i="3" s="1"/>
  <c r="H15" i="3"/>
  <c r="H62" i="3" s="1"/>
  <c r="H16" i="3"/>
  <c r="H63" i="3" s="1"/>
  <c r="H17" i="3"/>
  <c r="H64" i="3" s="1"/>
  <c r="H18" i="3"/>
  <c r="H65" i="3" s="1"/>
  <c r="H19" i="3"/>
  <c r="H66" i="3" s="1"/>
  <c r="H20" i="3"/>
  <c r="H67" i="3" s="1"/>
  <c r="H21" i="3"/>
  <c r="H68" i="3" s="1"/>
  <c r="H22" i="3"/>
  <c r="H69" i="3" s="1"/>
  <c r="H23" i="3"/>
  <c r="H70" i="3" s="1"/>
  <c r="H24" i="3"/>
  <c r="H71" i="3" s="1"/>
  <c r="H25" i="3"/>
  <c r="H72" i="3" s="1"/>
  <c r="H26" i="3"/>
  <c r="H73" i="3" s="1"/>
  <c r="H27" i="3"/>
  <c r="H74" i="3" s="1"/>
  <c r="H28" i="3"/>
  <c r="H75" i="3" s="1"/>
  <c r="H29" i="3"/>
  <c r="H76" i="3" s="1"/>
  <c r="H30" i="3"/>
  <c r="H77" i="3" s="1"/>
  <c r="H31" i="3"/>
  <c r="H78" i="3" s="1"/>
  <c r="H32" i="3"/>
  <c r="H79" i="3" s="1"/>
  <c r="H33" i="3"/>
  <c r="H80" i="3" s="1"/>
  <c r="H34" i="3"/>
  <c r="H81" i="3" s="1"/>
  <c r="H35" i="3"/>
  <c r="H82" i="3" s="1"/>
  <c r="H36" i="3"/>
  <c r="H83" i="3" s="1"/>
  <c r="H37" i="3"/>
  <c r="H84" i="3" s="1"/>
  <c r="H38" i="3"/>
  <c r="H85" i="3" s="1"/>
  <c r="H39" i="3"/>
  <c r="H86" i="3" s="1"/>
  <c r="H40" i="3"/>
  <c r="H87" i="3" s="1"/>
  <c r="H41" i="3"/>
  <c r="H88" i="3" s="1"/>
  <c r="H42" i="3"/>
  <c r="H89" i="3" s="1"/>
  <c r="H43" i="3"/>
  <c r="H90" i="3" s="1"/>
  <c r="H44" i="3"/>
  <c r="H91" i="3" s="1"/>
  <c r="H45" i="3"/>
  <c r="H92" i="3" s="1"/>
  <c r="H46" i="3"/>
  <c r="H93" i="3" s="1"/>
  <c r="H3" i="3"/>
  <c r="H50" i="3" s="1"/>
  <c r="B3" i="3"/>
  <c r="B50" i="3" s="1"/>
  <c r="C3" i="3"/>
  <c r="C50" i="3" s="1"/>
  <c r="D3" i="3"/>
  <c r="D50" i="3" s="1"/>
  <c r="E3" i="3"/>
  <c r="E50" i="3" s="1"/>
  <c r="F3" i="3"/>
  <c r="F50" i="3" s="1"/>
  <c r="G3" i="3"/>
  <c r="G50" i="3" s="1"/>
  <c r="B4" i="3"/>
  <c r="B51" i="3" s="1"/>
  <c r="C4" i="3"/>
  <c r="C51" i="3" s="1"/>
  <c r="D4" i="3"/>
  <c r="D51" i="3" s="1"/>
  <c r="E4" i="3"/>
  <c r="E51" i="3" s="1"/>
  <c r="F4" i="3"/>
  <c r="F51" i="3" s="1"/>
  <c r="G4" i="3"/>
  <c r="G51" i="3" s="1"/>
  <c r="B5" i="3"/>
  <c r="B52" i="3" s="1"/>
  <c r="C5" i="3"/>
  <c r="C52" i="3" s="1"/>
  <c r="D5" i="3"/>
  <c r="D52" i="3" s="1"/>
  <c r="E5" i="3"/>
  <c r="E52" i="3" s="1"/>
  <c r="F5" i="3"/>
  <c r="F52" i="3" s="1"/>
  <c r="G5" i="3"/>
  <c r="G52" i="3" s="1"/>
  <c r="B6" i="3"/>
  <c r="B53" i="3" s="1"/>
  <c r="C6" i="3"/>
  <c r="C53" i="3" s="1"/>
  <c r="D6" i="3"/>
  <c r="D53" i="3" s="1"/>
  <c r="E6" i="3"/>
  <c r="E53" i="3" s="1"/>
  <c r="F6" i="3"/>
  <c r="F53" i="3" s="1"/>
  <c r="G6" i="3"/>
  <c r="G53" i="3" s="1"/>
  <c r="B7" i="3"/>
  <c r="B54" i="3" s="1"/>
  <c r="C7" i="3"/>
  <c r="C54" i="3" s="1"/>
  <c r="D7" i="3"/>
  <c r="D54" i="3" s="1"/>
  <c r="E7" i="3"/>
  <c r="E54" i="3" s="1"/>
  <c r="F7" i="3"/>
  <c r="F54" i="3" s="1"/>
  <c r="G7" i="3"/>
  <c r="G54" i="3" s="1"/>
  <c r="B8" i="3"/>
  <c r="B55" i="3" s="1"/>
  <c r="C8" i="3"/>
  <c r="C55" i="3" s="1"/>
  <c r="D8" i="3"/>
  <c r="D55" i="3" s="1"/>
  <c r="E8" i="3"/>
  <c r="E55" i="3" s="1"/>
  <c r="F8" i="3"/>
  <c r="F55" i="3" s="1"/>
  <c r="G8" i="3"/>
  <c r="G55" i="3" s="1"/>
  <c r="B9" i="3"/>
  <c r="B56" i="3" s="1"/>
  <c r="C9" i="3"/>
  <c r="C56" i="3" s="1"/>
  <c r="D9" i="3"/>
  <c r="D56" i="3" s="1"/>
  <c r="E9" i="3"/>
  <c r="E56" i="3" s="1"/>
  <c r="F9" i="3"/>
  <c r="F56" i="3" s="1"/>
  <c r="G9" i="3"/>
  <c r="G56" i="3" s="1"/>
  <c r="B10" i="3"/>
  <c r="B57" i="3" s="1"/>
  <c r="C10" i="3"/>
  <c r="C57" i="3" s="1"/>
  <c r="D10" i="3"/>
  <c r="D57" i="3" s="1"/>
  <c r="E10" i="3"/>
  <c r="E57" i="3" s="1"/>
  <c r="F10" i="3"/>
  <c r="F57" i="3" s="1"/>
  <c r="G10" i="3"/>
  <c r="G57" i="3" s="1"/>
  <c r="B11" i="3"/>
  <c r="B58" i="3" s="1"/>
  <c r="C11" i="3"/>
  <c r="C58" i="3" s="1"/>
  <c r="D11" i="3"/>
  <c r="D58" i="3" s="1"/>
  <c r="E11" i="3"/>
  <c r="E58" i="3" s="1"/>
  <c r="F11" i="3"/>
  <c r="F58" i="3" s="1"/>
  <c r="G11" i="3"/>
  <c r="G58" i="3" s="1"/>
  <c r="B12" i="3"/>
  <c r="B59" i="3" s="1"/>
  <c r="C12" i="3"/>
  <c r="C59" i="3" s="1"/>
  <c r="D12" i="3"/>
  <c r="D59" i="3" s="1"/>
  <c r="E12" i="3"/>
  <c r="E59" i="3" s="1"/>
  <c r="F12" i="3"/>
  <c r="F59" i="3" s="1"/>
  <c r="G12" i="3"/>
  <c r="G59" i="3" s="1"/>
  <c r="B13" i="3"/>
  <c r="B60" i="3" s="1"/>
  <c r="C13" i="3"/>
  <c r="C60" i="3" s="1"/>
  <c r="D13" i="3"/>
  <c r="D60" i="3" s="1"/>
  <c r="E13" i="3"/>
  <c r="E60" i="3" s="1"/>
  <c r="F13" i="3"/>
  <c r="F60" i="3" s="1"/>
  <c r="G13" i="3"/>
  <c r="G60" i="3" s="1"/>
  <c r="B14" i="3"/>
  <c r="B61" i="3" s="1"/>
  <c r="C14" i="3"/>
  <c r="C61" i="3" s="1"/>
  <c r="D14" i="3"/>
  <c r="D61" i="3" s="1"/>
  <c r="E14" i="3"/>
  <c r="E61" i="3" s="1"/>
  <c r="F14" i="3"/>
  <c r="F61" i="3" s="1"/>
  <c r="G14" i="3"/>
  <c r="G61" i="3" s="1"/>
  <c r="B15" i="3"/>
  <c r="B62" i="3" s="1"/>
  <c r="C15" i="3"/>
  <c r="C62" i="3" s="1"/>
  <c r="D15" i="3"/>
  <c r="D62" i="3" s="1"/>
  <c r="E15" i="3"/>
  <c r="E62" i="3" s="1"/>
  <c r="F15" i="3"/>
  <c r="F62" i="3" s="1"/>
  <c r="G15" i="3"/>
  <c r="G62" i="3" s="1"/>
  <c r="B16" i="3"/>
  <c r="B63" i="3" s="1"/>
  <c r="C16" i="3"/>
  <c r="C63" i="3" s="1"/>
  <c r="D16" i="3"/>
  <c r="D63" i="3" s="1"/>
  <c r="E16" i="3"/>
  <c r="E63" i="3" s="1"/>
  <c r="F16" i="3"/>
  <c r="F63" i="3" s="1"/>
  <c r="G16" i="3"/>
  <c r="G63" i="3" s="1"/>
  <c r="B17" i="3"/>
  <c r="B64" i="3" s="1"/>
  <c r="C17" i="3"/>
  <c r="C64" i="3" s="1"/>
  <c r="D17" i="3"/>
  <c r="D64" i="3" s="1"/>
  <c r="E17" i="3"/>
  <c r="E64" i="3" s="1"/>
  <c r="F17" i="3"/>
  <c r="F64" i="3" s="1"/>
  <c r="G17" i="3"/>
  <c r="G64" i="3" s="1"/>
  <c r="B18" i="3"/>
  <c r="B65" i="3" s="1"/>
  <c r="C18" i="3"/>
  <c r="C65" i="3" s="1"/>
  <c r="D18" i="3"/>
  <c r="D65" i="3" s="1"/>
  <c r="E18" i="3"/>
  <c r="E65" i="3" s="1"/>
  <c r="F18" i="3"/>
  <c r="F65" i="3" s="1"/>
  <c r="G18" i="3"/>
  <c r="G65" i="3" s="1"/>
  <c r="B19" i="3"/>
  <c r="B66" i="3" s="1"/>
  <c r="C19" i="3"/>
  <c r="C66" i="3" s="1"/>
  <c r="D19" i="3"/>
  <c r="D66" i="3" s="1"/>
  <c r="E19" i="3"/>
  <c r="E66" i="3" s="1"/>
  <c r="F19" i="3"/>
  <c r="F66" i="3" s="1"/>
  <c r="G19" i="3"/>
  <c r="G66" i="3" s="1"/>
  <c r="B20" i="3"/>
  <c r="B67" i="3" s="1"/>
  <c r="C20" i="3"/>
  <c r="C67" i="3" s="1"/>
  <c r="D20" i="3"/>
  <c r="D67" i="3" s="1"/>
  <c r="E20" i="3"/>
  <c r="E67" i="3" s="1"/>
  <c r="F20" i="3"/>
  <c r="F67" i="3" s="1"/>
  <c r="G20" i="3"/>
  <c r="G67" i="3" s="1"/>
  <c r="B21" i="3"/>
  <c r="B68" i="3" s="1"/>
  <c r="C21" i="3"/>
  <c r="C68" i="3" s="1"/>
  <c r="D21" i="3"/>
  <c r="D68" i="3" s="1"/>
  <c r="E21" i="3"/>
  <c r="E68" i="3" s="1"/>
  <c r="F21" i="3"/>
  <c r="F68" i="3" s="1"/>
  <c r="G21" i="3"/>
  <c r="G68" i="3" s="1"/>
  <c r="B22" i="3"/>
  <c r="B69" i="3" s="1"/>
  <c r="C22" i="3"/>
  <c r="C69" i="3" s="1"/>
  <c r="D22" i="3"/>
  <c r="D69" i="3" s="1"/>
  <c r="E22" i="3"/>
  <c r="E69" i="3" s="1"/>
  <c r="F22" i="3"/>
  <c r="F69" i="3" s="1"/>
  <c r="G22" i="3"/>
  <c r="G69" i="3" s="1"/>
  <c r="B23" i="3"/>
  <c r="B70" i="3" s="1"/>
  <c r="C23" i="3"/>
  <c r="C70" i="3" s="1"/>
  <c r="D23" i="3"/>
  <c r="D70" i="3" s="1"/>
  <c r="E23" i="3"/>
  <c r="E70" i="3" s="1"/>
  <c r="F23" i="3"/>
  <c r="F70" i="3" s="1"/>
  <c r="G23" i="3"/>
  <c r="G70" i="3" s="1"/>
  <c r="B24" i="3"/>
  <c r="B71" i="3" s="1"/>
  <c r="C24" i="3"/>
  <c r="C71" i="3" s="1"/>
  <c r="D24" i="3"/>
  <c r="D71" i="3" s="1"/>
  <c r="E24" i="3"/>
  <c r="E71" i="3" s="1"/>
  <c r="F24" i="3"/>
  <c r="F71" i="3" s="1"/>
  <c r="G24" i="3"/>
  <c r="G71" i="3" s="1"/>
  <c r="B25" i="3"/>
  <c r="B72" i="3" s="1"/>
  <c r="C25" i="3"/>
  <c r="C72" i="3" s="1"/>
  <c r="D25" i="3"/>
  <c r="D72" i="3" s="1"/>
  <c r="E25" i="3"/>
  <c r="E72" i="3" s="1"/>
  <c r="F25" i="3"/>
  <c r="F72" i="3" s="1"/>
  <c r="G25" i="3"/>
  <c r="G72" i="3" s="1"/>
  <c r="B26" i="3"/>
  <c r="B73" i="3" s="1"/>
  <c r="C26" i="3"/>
  <c r="C73" i="3" s="1"/>
  <c r="D26" i="3"/>
  <c r="D73" i="3" s="1"/>
  <c r="E26" i="3"/>
  <c r="E73" i="3" s="1"/>
  <c r="F26" i="3"/>
  <c r="F73" i="3" s="1"/>
  <c r="G26" i="3"/>
  <c r="G73" i="3" s="1"/>
  <c r="B27" i="3"/>
  <c r="B74" i="3" s="1"/>
  <c r="C27" i="3"/>
  <c r="C74" i="3" s="1"/>
  <c r="D27" i="3"/>
  <c r="D74" i="3" s="1"/>
  <c r="E27" i="3"/>
  <c r="E74" i="3" s="1"/>
  <c r="F27" i="3"/>
  <c r="F74" i="3" s="1"/>
  <c r="G27" i="3"/>
  <c r="G74" i="3" s="1"/>
  <c r="B28" i="3"/>
  <c r="B75" i="3" s="1"/>
  <c r="C28" i="3"/>
  <c r="C75" i="3" s="1"/>
  <c r="D28" i="3"/>
  <c r="D75" i="3" s="1"/>
  <c r="E28" i="3"/>
  <c r="E75" i="3" s="1"/>
  <c r="F28" i="3"/>
  <c r="F75" i="3" s="1"/>
  <c r="G28" i="3"/>
  <c r="G75" i="3" s="1"/>
  <c r="B29" i="3"/>
  <c r="B76" i="3" s="1"/>
  <c r="C29" i="3"/>
  <c r="C76" i="3" s="1"/>
  <c r="D29" i="3"/>
  <c r="D76" i="3" s="1"/>
  <c r="E29" i="3"/>
  <c r="E76" i="3" s="1"/>
  <c r="F29" i="3"/>
  <c r="F76" i="3" s="1"/>
  <c r="G29" i="3"/>
  <c r="G76" i="3" s="1"/>
  <c r="B30" i="3"/>
  <c r="B77" i="3" s="1"/>
  <c r="C30" i="3"/>
  <c r="C77" i="3" s="1"/>
  <c r="D30" i="3"/>
  <c r="D77" i="3" s="1"/>
  <c r="E30" i="3"/>
  <c r="E77" i="3" s="1"/>
  <c r="F30" i="3"/>
  <c r="F77" i="3" s="1"/>
  <c r="G30" i="3"/>
  <c r="G77" i="3" s="1"/>
  <c r="B31" i="3"/>
  <c r="B78" i="3" s="1"/>
  <c r="C31" i="3"/>
  <c r="C78" i="3" s="1"/>
  <c r="D31" i="3"/>
  <c r="D78" i="3" s="1"/>
  <c r="E31" i="3"/>
  <c r="E78" i="3" s="1"/>
  <c r="F31" i="3"/>
  <c r="F78" i="3" s="1"/>
  <c r="G31" i="3"/>
  <c r="G78" i="3" s="1"/>
  <c r="B32" i="3"/>
  <c r="B79" i="3" s="1"/>
  <c r="C32" i="3"/>
  <c r="C79" i="3" s="1"/>
  <c r="D32" i="3"/>
  <c r="D79" i="3" s="1"/>
  <c r="E32" i="3"/>
  <c r="E79" i="3" s="1"/>
  <c r="F32" i="3"/>
  <c r="F79" i="3" s="1"/>
  <c r="G32" i="3"/>
  <c r="G79" i="3" s="1"/>
  <c r="B33" i="3"/>
  <c r="B80" i="3" s="1"/>
  <c r="C33" i="3"/>
  <c r="C80" i="3" s="1"/>
  <c r="D33" i="3"/>
  <c r="D80" i="3" s="1"/>
  <c r="E33" i="3"/>
  <c r="E80" i="3" s="1"/>
  <c r="F33" i="3"/>
  <c r="F80" i="3" s="1"/>
  <c r="G33" i="3"/>
  <c r="G80" i="3" s="1"/>
  <c r="B34" i="3"/>
  <c r="B81" i="3" s="1"/>
  <c r="C34" i="3"/>
  <c r="C81" i="3" s="1"/>
  <c r="D34" i="3"/>
  <c r="D81" i="3" s="1"/>
  <c r="E34" i="3"/>
  <c r="E81" i="3" s="1"/>
  <c r="F34" i="3"/>
  <c r="F81" i="3" s="1"/>
  <c r="G34" i="3"/>
  <c r="G81" i="3" s="1"/>
  <c r="B35" i="3"/>
  <c r="B82" i="3" s="1"/>
  <c r="C35" i="3"/>
  <c r="C82" i="3" s="1"/>
  <c r="D35" i="3"/>
  <c r="D82" i="3" s="1"/>
  <c r="E35" i="3"/>
  <c r="E82" i="3" s="1"/>
  <c r="F35" i="3"/>
  <c r="F82" i="3" s="1"/>
  <c r="G35" i="3"/>
  <c r="G82" i="3" s="1"/>
  <c r="B36" i="3"/>
  <c r="B83" i="3" s="1"/>
  <c r="C36" i="3"/>
  <c r="C83" i="3" s="1"/>
  <c r="D36" i="3"/>
  <c r="D83" i="3" s="1"/>
  <c r="E36" i="3"/>
  <c r="E83" i="3" s="1"/>
  <c r="F36" i="3"/>
  <c r="F83" i="3" s="1"/>
  <c r="G36" i="3"/>
  <c r="G83" i="3" s="1"/>
  <c r="B37" i="3"/>
  <c r="B84" i="3" s="1"/>
  <c r="C37" i="3"/>
  <c r="C84" i="3" s="1"/>
  <c r="D37" i="3"/>
  <c r="D84" i="3" s="1"/>
  <c r="E37" i="3"/>
  <c r="E84" i="3" s="1"/>
  <c r="F37" i="3"/>
  <c r="F84" i="3" s="1"/>
  <c r="G37" i="3"/>
  <c r="G84" i="3" s="1"/>
  <c r="B38" i="3"/>
  <c r="B85" i="3" s="1"/>
  <c r="C38" i="3"/>
  <c r="C85" i="3" s="1"/>
  <c r="D38" i="3"/>
  <c r="D85" i="3" s="1"/>
  <c r="E38" i="3"/>
  <c r="E85" i="3" s="1"/>
  <c r="F38" i="3"/>
  <c r="F85" i="3" s="1"/>
  <c r="G38" i="3"/>
  <c r="G85" i="3" s="1"/>
  <c r="B39" i="3"/>
  <c r="B86" i="3" s="1"/>
  <c r="C39" i="3"/>
  <c r="C86" i="3" s="1"/>
  <c r="D39" i="3"/>
  <c r="D86" i="3" s="1"/>
  <c r="E39" i="3"/>
  <c r="E86" i="3" s="1"/>
  <c r="F39" i="3"/>
  <c r="F86" i="3" s="1"/>
  <c r="G39" i="3"/>
  <c r="G86" i="3" s="1"/>
  <c r="B40" i="3"/>
  <c r="B87" i="3" s="1"/>
  <c r="C40" i="3"/>
  <c r="C87" i="3" s="1"/>
  <c r="D40" i="3"/>
  <c r="D87" i="3" s="1"/>
  <c r="E40" i="3"/>
  <c r="E87" i="3" s="1"/>
  <c r="F40" i="3"/>
  <c r="F87" i="3" s="1"/>
  <c r="G40" i="3"/>
  <c r="G87" i="3" s="1"/>
  <c r="B41" i="3"/>
  <c r="B88" i="3" s="1"/>
  <c r="C41" i="3"/>
  <c r="C88" i="3" s="1"/>
  <c r="D41" i="3"/>
  <c r="D88" i="3" s="1"/>
  <c r="E41" i="3"/>
  <c r="E88" i="3" s="1"/>
  <c r="F41" i="3"/>
  <c r="F88" i="3" s="1"/>
  <c r="G41" i="3"/>
  <c r="G88" i="3" s="1"/>
  <c r="B42" i="3"/>
  <c r="B89" i="3" s="1"/>
  <c r="C42" i="3"/>
  <c r="C89" i="3" s="1"/>
  <c r="D42" i="3"/>
  <c r="D89" i="3" s="1"/>
  <c r="E42" i="3"/>
  <c r="E89" i="3" s="1"/>
  <c r="F42" i="3"/>
  <c r="F89" i="3" s="1"/>
  <c r="G42" i="3"/>
  <c r="G89" i="3" s="1"/>
  <c r="B43" i="3"/>
  <c r="B90" i="3" s="1"/>
  <c r="C43" i="3"/>
  <c r="C90" i="3" s="1"/>
  <c r="D43" i="3"/>
  <c r="D90" i="3" s="1"/>
  <c r="E43" i="3"/>
  <c r="E90" i="3" s="1"/>
  <c r="F43" i="3"/>
  <c r="F90" i="3" s="1"/>
  <c r="G43" i="3"/>
  <c r="G90" i="3" s="1"/>
  <c r="B44" i="3"/>
  <c r="B91" i="3" s="1"/>
  <c r="C44" i="3"/>
  <c r="C91" i="3" s="1"/>
  <c r="D44" i="3"/>
  <c r="D91" i="3" s="1"/>
  <c r="E44" i="3"/>
  <c r="E91" i="3" s="1"/>
  <c r="F44" i="3"/>
  <c r="F91" i="3" s="1"/>
  <c r="G44" i="3"/>
  <c r="G91" i="3" s="1"/>
  <c r="B45" i="3"/>
  <c r="B92" i="3" s="1"/>
  <c r="C45" i="3"/>
  <c r="C92" i="3" s="1"/>
  <c r="D45" i="3"/>
  <c r="D92" i="3" s="1"/>
  <c r="E45" i="3"/>
  <c r="E92" i="3" s="1"/>
  <c r="F45" i="3"/>
  <c r="F92" i="3" s="1"/>
  <c r="G45" i="3"/>
  <c r="G92" i="3" s="1"/>
  <c r="B46" i="3"/>
  <c r="B93" i="3" s="1"/>
  <c r="C46" i="3"/>
  <c r="C93" i="3" s="1"/>
  <c r="D46" i="3"/>
  <c r="D93" i="3" s="1"/>
  <c r="E46" i="3"/>
  <c r="E93" i="3" s="1"/>
  <c r="F46" i="3"/>
  <c r="F93" i="3" s="1"/>
  <c r="G46" i="3"/>
  <c r="G93" i="3" s="1"/>
  <c r="C2" i="3"/>
  <c r="D2" i="3"/>
  <c r="E2" i="3"/>
  <c r="F2" i="3"/>
  <c r="G2" i="3"/>
  <c r="B2" i="3"/>
  <c r="N3" i="2"/>
  <c r="N4" i="2"/>
  <c r="N5" i="2"/>
  <c r="N6" i="2"/>
  <c r="N7" i="2"/>
  <c r="N8" i="2"/>
  <c r="N9" i="2"/>
  <c r="N2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C3" i="2"/>
  <c r="B3" i="2"/>
  <c r="E3" i="2"/>
  <c r="D3" i="2"/>
  <c r="G3" i="2"/>
  <c r="F3" i="2"/>
  <c r="D4" i="1"/>
  <c r="D50" i="1" s="1"/>
  <c r="E4" i="1"/>
  <c r="E50" i="1" s="1"/>
  <c r="F4" i="1"/>
  <c r="F50" i="1" s="1"/>
  <c r="G4" i="1"/>
  <c r="G50" i="1" s="1"/>
  <c r="I4" i="1"/>
  <c r="I50" i="1" s="1"/>
  <c r="J4" i="1"/>
  <c r="J50" i="1" s="1"/>
  <c r="M4" i="1"/>
  <c r="M50" i="1" s="1"/>
  <c r="N4" i="1"/>
  <c r="N50" i="1" s="1"/>
  <c r="P4" i="1"/>
  <c r="P50" i="1" s="1"/>
  <c r="Q4" i="1"/>
  <c r="Q50" i="1" s="1"/>
  <c r="R4" i="1"/>
  <c r="R50" i="1" s="1"/>
  <c r="S4" i="1"/>
  <c r="S50" i="1" s="1"/>
  <c r="T4" i="1"/>
  <c r="T50" i="1" s="1"/>
  <c r="U4" i="1"/>
  <c r="U50" i="1" s="1"/>
  <c r="W4" i="1"/>
  <c r="W50" i="1" s="1"/>
  <c r="X4" i="1"/>
  <c r="X50" i="1" s="1"/>
  <c r="Y4" i="1"/>
  <c r="Y50" i="1" s="1"/>
  <c r="Z4" i="1"/>
  <c r="Z50" i="1" s="1"/>
  <c r="AA4" i="1"/>
  <c r="AA50" i="1" s="1"/>
  <c r="AB4" i="1"/>
  <c r="AB50" i="1" s="1"/>
  <c r="AD4" i="1"/>
  <c r="AD50" i="1" s="1"/>
  <c r="AE4" i="1"/>
  <c r="AE50" i="1" s="1"/>
  <c r="AF4" i="1"/>
  <c r="AF50" i="1" s="1"/>
  <c r="AG4" i="1"/>
  <c r="AG50" i="1" s="1"/>
  <c r="AH4" i="1"/>
  <c r="AH50" i="1" s="1"/>
  <c r="AI4" i="1"/>
  <c r="AI50" i="1" s="1"/>
  <c r="AK4" i="1"/>
  <c r="AK50" i="1" s="1"/>
  <c r="AL4" i="1"/>
  <c r="AL50" i="1" s="1"/>
  <c r="AM4" i="1"/>
  <c r="AM50" i="1" s="1"/>
  <c r="AN4" i="1"/>
  <c r="AN50" i="1" s="1"/>
  <c r="AO4" i="1"/>
  <c r="AO50" i="1" s="1"/>
  <c r="AP4" i="1"/>
  <c r="AP50" i="1" s="1"/>
  <c r="D5" i="1"/>
  <c r="D51" i="1" s="1"/>
  <c r="E5" i="1"/>
  <c r="E51" i="1" s="1"/>
  <c r="F5" i="1"/>
  <c r="F51" i="1" s="1"/>
  <c r="G5" i="1"/>
  <c r="G51" i="1" s="1"/>
  <c r="I5" i="1"/>
  <c r="I51" i="1" s="1"/>
  <c r="J5" i="1"/>
  <c r="J51" i="1" s="1"/>
  <c r="M5" i="1"/>
  <c r="M51" i="1" s="1"/>
  <c r="N5" i="1"/>
  <c r="N51" i="1" s="1"/>
  <c r="P5" i="1"/>
  <c r="P51" i="1" s="1"/>
  <c r="Q5" i="1"/>
  <c r="Q51" i="1" s="1"/>
  <c r="R5" i="1"/>
  <c r="R51" i="1" s="1"/>
  <c r="S5" i="1"/>
  <c r="S51" i="1" s="1"/>
  <c r="T5" i="1"/>
  <c r="T51" i="1" s="1"/>
  <c r="U5" i="1"/>
  <c r="U51" i="1" s="1"/>
  <c r="W5" i="1"/>
  <c r="W51" i="1" s="1"/>
  <c r="X5" i="1"/>
  <c r="X51" i="1" s="1"/>
  <c r="Y5" i="1"/>
  <c r="Y51" i="1" s="1"/>
  <c r="Z5" i="1"/>
  <c r="Z51" i="1" s="1"/>
  <c r="AA5" i="1"/>
  <c r="AA51" i="1" s="1"/>
  <c r="AB5" i="1"/>
  <c r="AB51" i="1" s="1"/>
  <c r="AD5" i="1"/>
  <c r="AD51" i="1" s="1"/>
  <c r="AE5" i="1"/>
  <c r="AE51" i="1" s="1"/>
  <c r="AF5" i="1"/>
  <c r="AF51" i="1" s="1"/>
  <c r="AG5" i="1"/>
  <c r="AG51" i="1" s="1"/>
  <c r="AH5" i="1"/>
  <c r="AH51" i="1" s="1"/>
  <c r="AI5" i="1"/>
  <c r="AI51" i="1" s="1"/>
  <c r="AK5" i="1"/>
  <c r="AK51" i="1" s="1"/>
  <c r="AL5" i="1"/>
  <c r="AL51" i="1" s="1"/>
  <c r="AM5" i="1"/>
  <c r="AM51" i="1" s="1"/>
  <c r="AN5" i="1"/>
  <c r="AN51" i="1" s="1"/>
  <c r="AO5" i="1"/>
  <c r="AO51" i="1" s="1"/>
  <c r="AP5" i="1"/>
  <c r="AP51" i="1" s="1"/>
  <c r="D6" i="1"/>
  <c r="D52" i="1" s="1"/>
  <c r="E6" i="1"/>
  <c r="E52" i="1" s="1"/>
  <c r="F6" i="1"/>
  <c r="F52" i="1" s="1"/>
  <c r="G6" i="1"/>
  <c r="G52" i="1" s="1"/>
  <c r="I6" i="1"/>
  <c r="I52" i="1" s="1"/>
  <c r="J6" i="1"/>
  <c r="J52" i="1" s="1"/>
  <c r="M6" i="1"/>
  <c r="M52" i="1" s="1"/>
  <c r="N6" i="1"/>
  <c r="N52" i="1" s="1"/>
  <c r="P6" i="1"/>
  <c r="P52" i="1" s="1"/>
  <c r="Q6" i="1"/>
  <c r="Q52" i="1" s="1"/>
  <c r="R6" i="1"/>
  <c r="R52" i="1" s="1"/>
  <c r="S6" i="1"/>
  <c r="S52" i="1" s="1"/>
  <c r="T6" i="1"/>
  <c r="T52" i="1" s="1"/>
  <c r="U6" i="1"/>
  <c r="U52" i="1" s="1"/>
  <c r="W6" i="1"/>
  <c r="W52" i="1" s="1"/>
  <c r="X6" i="1"/>
  <c r="X52" i="1" s="1"/>
  <c r="Y6" i="1"/>
  <c r="Y52" i="1" s="1"/>
  <c r="Z6" i="1"/>
  <c r="Z52" i="1" s="1"/>
  <c r="AA6" i="1"/>
  <c r="AA52" i="1" s="1"/>
  <c r="AB6" i="1"/>
  <c r="AB52" i="1" s="1"/>
  <c r="AD6" i="1"/>
  <c r="AD52" i="1" s="1"/>
  <c r="AE6" i="1"/>
  <c r="AE52" i="1" s="1"/>
  <c r="AF6" i="1"/>
  <c r="AF52" i="1" s="1"/>
  <c r="AG6" i="1"/>
  <c r="AG52" i="1" s="1"/>
  <c r="AH6" i="1"/>
  <c r="AH52" i="1" s="1"/>
  <c r="AI6" i="1"/>
  <c r="AI52" i="1" s="1"/>
  <c r="AK6" i="1"/>
  <c r="AK52" i="1" s="1"/>
  <c r="AL6" i="1"/>
  <c r="AL52" i="1" s="1"/>
  <c r="AM6" i="1"/>
  <c r="AM52" i="1" s="1"/>
  <c r="AN6" i="1"/>
  <c r="AN52" i="1" s="1"/>
  <c r="AO6" i="1"/>
  <c r="AO52" i="1" s="1"/>
  <c r="AP6" i="1"/>
  <c r="AP52" i="1" s="1"/>
  <c r="D7" i="1"/>
  <c r="D53" i="1" s="1"/>
  <c r="E7" i="1"/>
  <c r="E53" i="1" s="1"/>
  <c r="F7" i="1"/>
  <c r="F53" i="1" s="1"/>
  <c r="G7" i="1"/>
  <c r="G53" i="1" s="1"/>
  <c r="I7" i="1"/>
  <c r="I53" i="1" s="1"/>
  <c r="J7" i="1"/>
  <c r="J53" i="1" s="1"/>
  <c r="M7" i="1"/>
  <c r="M53" i="1" s="1"/>
  <c r="N7" i="1"/>
  <c r="N53" i="1" s="1"/>
  <c r="P7" i="1"/>
  <c r="P53" i="1" s="1"/>
  <c r="Q7" i="1"/>
  <c r="Q53" i="1" s="1"/>
  <c r="R7" i="1"/>
  <c r="R53" i="1" s="1"/>
  <c r="S7" i="1"/>
  <c r="S53" i="1" s="1"/>
  <c r="T7" i="1"/>
  <c r="T53" i="1" s="1"/>
  <c r="U7" i="1"/>
  <c r="U53" i="1" s="1"/>
  <c r="W7" i="1"/>
  <c r="W53" i="1" s="1"/>
  <c r="X7" i="1"/>
  <c r="X53" i="1" s="1"/>
  <c r="Y7" i="1"/>
  <c r="Y53" i="1" s="1"/>
  <c r="Z7" i="1"/>
  <c r="Z53" i="1" s="1"/>
  <c r="AA7" i="1"/>
  <c r="AA53" i="1" s="1"/>
  <c r="AB7" i="1"/>
  <c r="AB53" i="1" s="1"/>
  <c r="AD7" i="1"/>
  <c r="AD53" i="1" s="1"/>
  <c r="AE7" i="1"/>
  <c r="AE53" i="1" s="1"/>
  <c r="AF7" i="1"/>
  <c r="AF53" i="1" s="1"/>
  <c r="AG7" i="1"/>
  <c r="AG53" i="1" s="1"/>
  <c r="AH7" i="1"/>
  <c r="AH53" i="1" s="1"/>
  <c r="AI7" i="1"/>
  <c r="AI53" i="1" s="1"/>
  <c r="AK7" i="1"/>
  <c r="AK53" i="1" s="1"/>
  <c r="AL7" i="1"/>
  <c r="AL53" i="1" s="1"/>
  <c r="AM7" i="1"/>
  <c r="AM53" i="1" s="1"/>
  <c r="AN7" i="1"/>
  <c r="AN53" i="1" s="1"/>
  <c r="AO7" i="1"/>
  <c r="AO53" i="1" s="1"/>
  <c r="AP7" i="1"/>
  <c r="AP53" i="1" s="1"/>
  <c r="D8" i="1"/>
  <c r="D54" i="1" s="1"/>
  <c r="E8" i="1"/>
  <c r="E54" i="1" s="1"/>
  <c r="F8" i="1"/>
  <c r="F54" i="1" s="1"/>
  <c r="G8" i="1"/>
  <c r="G54" i="1" s="1"/>
  <c r="I8" i="1"/>
  <c r="I54" i="1" s="1"/>
  <c r="J8" i="1"/>
  <c r="J54" i="1" s="1"/>
  <c r="M8" i="1"/>
  <c r="M54" i="1" s="1"/>
  <c r="N8" i="1"/>
  <c r="N54" i="1" s="1"/>
  <c r="P8" i="1"/>
  <c r="P54" i="1" s="1"/>
  <c r="Q8" i="1"/>
  <c r="Q54" i="1" s="1"/>
  <c r="R8" i="1"/>
  <c r="R54" i="1" s="1"/>
  <c r="S8" i="1"/>
  <c r="S54" i="1" s="1"/>
  <c r="T8" i="1"/>
  <c r="T54" i="1" s="1"/>
  <c r="U8" i="1"/>
  <c r="U54" i="1" s="1"/>
  <c r="W8" i="1"/>
  <c r="W54" i="1" s="1"/>
  <c r="X8" i="1"/>
  <c r="X54" i="1" s="1"/>
  <c r="Y8" i="1"/>
  <c r="Y54" i="1" s="1"/>
  <c r="Z8" i="1"/>
  <c r="Z54" i="1" s="1"/>
  <c r="AA8" i="1"/>
  <c r="AA54" i="1" s="1"/>
  <c r="AB8" i="1"/>
  <c r="AB54" i="1" s="1"/>
  <c r="AD8" i="1"/>
  <c r="AD54" i="1" s="1"/>
  <c r="AE8" i="1"/>
  <c r="AE54" i="1" s="1"/>
  <c r="AF8" i="1"/>
  <c r="AF54" i="1" s="1"/>
  <c r="AG8" i="1"/>
  <c r="AG54" i="1" s="1"/>
  <c r="AH8" i="1"/>
  <c r="AH54" i="1" s="1"/>
  <c r="AI8" i="1"/>
  <c r="AI54" i="1" s="1"/>
  <c r="AK8" i="1"/>
  <c r="AK54" i="1" s="1"/>
  <c r="AL8" i="1"/>
  <c r="AL54" i="1" s="1"/>
  <c r="AM8" i="1"/>
  <c r="AM54" i="1" s="1"/>
  <c r="AN8" i="1"/>
  <c r="AN54" i="1" s="1"/>
  <c r="AO8" i="1"/>
  <c r="AO54" i="1" s="1"/>
  <c r="AP8" i="1"/>
  <c r="AP54" i="1" s="1"/>
  <c r="D9" i="1"/>
  <c r="D55" i="1" s="1"/>
  <c r="E9" i="1"/>
  <c r="E55" i="1" s="1"/>
  <c r="F9" i="1"/>
  <c r="F55" i="1" s="1"/>
  <c r="G9" i="1"/>
  <c r="G55" i="1" s="1"/>
  <c r="I9" i="1"/>
  <c r="I55" i="1" s="1"/>
  <c r="J9" i="1"/>
  <c r="J55" i="1" s="1"/>
  <c r="M9" i="1"/>
  <c r="M55" i="1" s="1"/>
  <c r="N9" i="1"/>
  <c r="N55" i="1" s="1"/>
  <c r="P9" i="1"/>
  <c r="P55" i="1" s="1"/>
  <c r="Q9" i="1"/>
  <c r="Q55" i="1" s="1"/>
  <c r="R9" i="1"/>
  <c r="R55" i="1" s="1"/>
  <c r="S9" i="1"/>
  <c r="S55" i="1" s="1"/>
  <c r="T9" i="1"/>
  <c r="T55" i="1" s="1"/>
  <c r="U9" i="1"/>
  <c r="U55" i="1" s="1"/>
  <c r="W9" i="1"/>
  <c r="W55" i="1" s="1"/>
  <c r="X9" i="1"/>
  <c r="X55" i="1" s="1"/>
  <c r="Y9" i="1"/>
  <c r="Y55" i="1" s="1"/>
  <c r="Z9" i="1"/>
  <c r="Z55" i="1" s="1"/>
  <c r="AA9" i="1"/>
  <c r="AA55" i="1" s="1"/>
  <c r="AB9" i="1"/>
  <c r="AB55" i="1" s="1"/>
  <c r="AD9" i="1"/>
  <c r="AD55" i="1" s="1"/>
  <c r="AE9" i="1"/>
  <c r="AE55" i="1" s="1"/>
  <c r="AF9" i="1"/>
  <c r="AF55" i="1" s="1"/>
  <c r="AG9" i="1"/>
  <c r="AG55" i="1" s="1"/>
  <c r="AH9" i="1"/>
  <c r="AH55" i="1" s="1"/>
  <c r="AI9" i="1"/>
  <c r="AI55" i="1" s="1"/>
  <c r="AK9" i="1"/>
  <c r="AK55" i="1" s="1"/>
  <c r="AL9" i="1"/>
  <c r="AL55" i="1" s="1"/>
  <c r="AM9" i="1"/>
  <c r="AM55" i="1" s="1"/>
  <c r="AN9" i="1"/>
  <c r="AN55" i="1" s="1"/>
  <c r="AO9" i="1"/>
  <c r="AO55" i="1" s="1"/>
  <c r="AP9" i="1"/>
  <c r="AP55" i="1" s="1"/>
  <c r="D10" i="1"/>
  <c r="D56" i="1" s="1"/>
  <c r="E10" i="1"/>
  <c r="E56" i="1" s="1"/>
  <c r="F10" i="1"/>
  <c r="F56" i="1" s="1"/>
  <c r="G10" i="1"/>
  <c r="G56" i="1" s="1"/>
  <c r="I10" i="1"/>
  <c r="I56" i="1" s="1"/>
  <c r="J10" i="1"/>
  <c r="J56" i="1" s="1"/>
  <c r="M10" i="1"/>
  <c r="M56" i="1" s="1"/>
  <c r="N10" i="1"/>
  <c r="N56" i="1" s="1"/>
  <c r="P10" i="1"/>
  <c r="P56" i="1" s="1"/>
  <c r="Q10" i="1"/>
  <c r="Q56" i="1" s="1"/>
  <c r="R10" i="1"/>
  <c r="R56" i="1" s="1"/>
  <c r="S10" i="1"/>
  <c r="S56" i="1" s="1"/>
  <c r="T10" i="1"/>
  <c r="T56" i="1" s="1"/>
  <c r="U10" i="1"/>
  <c r="U56" i="1" s="1"/>
  <c r="W10" i="1"/>
  <c r="W56" i="1" s="1"/>
  <c r="X10" i="1"/>
  <c r="X56" i="1" s="1"/>
  <c r="Y10" i="1"/>
  <c r="Y56" i="1" s="1"/>
  <c r="Z10" i="1"/>
  <c r="Z56" i="1" s="1"/>
  <c r="AA10" i="1"/>
  <c r="AA56" i="1" s="1"/>
  <c r="AB10" i="1"/>
  <c r="AB56" i="1" s="1"/>
  <c r="AD10" i="1"/>
  <c r="AD56" i="1" s="1"/>
  <c r="AE10" i="1"/>
  <c r="AE56" i="1" s="1"/>
  <c r="AF10" i="1"/>
  <c r="AF56" i="1" s="1"/>
  <c r="AG10" i="1"/>
  <c r="AG56" i="1" s="1"/>
  <c r="AH10" i="1"/>
  <c r="AH56" i="1" s="1"/>
  <c r="AI10" i="1"/>
  <c r="AI56" i="1" s="1"/>
  <c r="AK10" i="1"/>
  <c r="AK56" i="1" s="1"/>
  <c r="AL10" i="1"/>
  <c r="AL56" i="1" s="1"/>
  <c r="AM10" i="1"/>
  <c r="AM56" i="1" s="1"/>
  <c r="AN10" i="1"/>
  <c r="AN56" i="1" s="1"/>
  <c r="AO10" i="1"/>
  <c r="AO56" i="1" s="1"/>
  <c r="AP10" i="1"/>
  <c r="AP56" i="1" s="1"/>
  <c r="D11" i="1"/>
  <c r="D57" i="1" s="1"/>
  <c r="E11" i="1"/>
  <c r="E57" i="1" s="1"/>
  <c r="F11" i="1"/>
  <c r="F57" i="1" s="1"/>
  <c r="G11" i="1"/>
  <c r="G57" i="1" s="1"/>
  <c r="I11" i="1"/>
  <c r="I57" i="1" s="1"/>
  <c r="J11" i="1"/>
  <c r="J57" i="1" s="1"/>
  <c r="M11" i="1"/>
  <c r="M57" i="1" s="1"/>
  <c r="N11" i="1"/>
  <c r="N57" i="1" s="1"/>
  <c r="P11" i="1"/>
  <c r="P57" i="1" s="1"/>
  <c r="Q11" i="1"/>
  <c r="Q57" i="1" s="1"/>
  <c r="R11" i="1"/>
  <c r="R57" i="1" s="1"/>
  <c r="S11" i="1"/>
  <c r="S57" i="1" s="1"/>
  <c r="T11" i="1"/>
  <c r="T57" i="1" s="1"/>
  <c r="U11" i="1"/>
  <c r="U57" i="1" s="1"/>
  <c r="W11" i="1"/>
  <c r="W57" i="1" s="1"/>
  <c r="X11" i="1"/>
  <c r="X57" i="1" s="1"/>
  <c r="Y11" i="1"/>
  <c r="Y57" i="1" s="1"/>
  <c r="Z11" i="1"/>
  <c r="Z57" i="1" s="1"/>
  <c r="AA11" i="1"/>
  <c r="AA57" i="1" s="1"/>
  <c r="AB11" i="1"/>
  <c r="AB57" i="1" s="1"/>
  <c r="AD11" i="1"/>
  <c r="AD57" i="1" s="1"/>
  <c r="AE11" i="1"/>
  <c r="AE57" i="1" s="1"/>
  <c r="AF11" i="1"/>
  <c r="AF57" i="1" s="1"/>
  <c r="AG11" i="1"/>
  <c r="AG57" i="1" s="1"/>
  <c r="AH11" i="1"/>
  <c r="AH57" i="1" s="1"/>
  <c r="AI11" i="1"/>
  <c r="AI57" i="1" s="1"/>
  <c r="AK11" i="1"/>
  <c r="AK57" i="1" s="1"/>
  <c r="AL11" i="1"/>
  <c r="AL57" i="1" s="1"/>
  <c r="AM11" i="1"/>
  <c r="AM57" i="1" s="1"/>
  <c r="AN11" i="1"/>
  <c r="AN57" i="1" s="1"/>
  <c r="AO11" i="1"/>
  <c r="AO57" i="1" s="1"/>
  <c r="AP11" i="1"/>
  <c r="AP57" i="1" s="1"/>
  <c r="D12" i="1"/>
  <c r="D58" i="1" s="1"/>
  <c r="E12" i="1"/>
  <c r="E58" i="1" s="1"/>
  <c r="F12" i="1"/>
  <c r="F58" i="1" s="1"/>
  <c r="G12" i="1"/>
  <c r="G58" i="1" s="1"/>
  <c r="I12" i="1"/>
  <c r="I58" i="1" s="1"/>
  <c r="J12" i="1"/>
  <c r="J58" i="1" s="1"/>
  <c r="M12" i="1"/>
  <c r="M58" i="1" s="1"/>
  <c r="N12" i="1"/>
  <c r="N58" i="1" s="1"/>
  <c r="P12" i="1"/>
  <c r="P58" i="1" s="1"/>
  <c r="Q12" i="1"/>
  <c r="Q58" i="1" s="1"/>
  <c r="R12" i="1"/>
  <c r="R58" i="1" s="1"/>
  <c r="S12" i="1"/>
  <c r="S58" i="1" s="1"/>
  <c r="T12" i="1"/>
  <c r="T58" i="1" s="1"/>
  <c r="U12" i="1"/>
  <c r="U58" i="1" s="1"/>
  <c r="W12" i="1"/>
  <c r="W58" i="1" s="1"/>
  <c r="X12" i="1"/>
  <c r="X58" i="1" s="1"/>
  <c r="Y12" i="1"/>
  <c r="Y58" i="1" s="1"/>
  <c r="Z12" i="1"/>
  <c r="Z58" i="1" s="1"/>
  <c r="AA12" i="1"/>
  <c r="AA58" i="1" s="1"/>
  <c r="AB12" i="1"/>
  <c r="AB58" i="1" s="1"/>
  <c r="AD12" i="1"/>
  <c r="AD58" i="1" s="1"/>
  <c r="AE12" i="1"/>
  <c r="AE58" i="1" s="1"/>
  <c r="AF12" i="1"/>
  <c r="AF58" i="1" s="1"/>
  <c r="AG12" i="1"/>
  <c r="AG58" i="1" s="1"/>
  <c r="AH12" i="1"/>
  <c r="AH58" i="1" s="1"/>
  <c r="AI12" i="1"/>
  <c r="AI58" i="1" s="1"/>
  <c r="AK12" i="1"/>
  <c r="AK58" i="1" s="1"/>
  <c r="AL12" i="1"/>
  <c r="AL58" i="1" s="1"/>
  <c r="AM12" i="1"/>
  <c r="AM58" i="1" s="1"/>
  <c r="AN12" i="1"/>
  <c r="AN58" i="1" s="1"/>
  <c r="AO12" i="1"/>
  <c r="AO58" i="1" s="1"/>
  <c r="AP12" i="1"/>
  <c r="AP58" i="1" s="1"/>
  <c r="D13" i="1"/>
  <c r="D59" i="1" s="1"/>
  <c r="E13" i="1"/>
  <c r="E59" i="1" s="1"/>
  <c r="F13" i="1"/>
  <c r="F59" i="1" s="1"/>
  <c r="G13" i="1"/>
  <c r="G59" i="1" s="1"/>
  <c r="I13" i="1"/>
  <c r="I59" i="1" s="1"/>
  <c r="J13" i="1"/>
  <c r="J59" i="1" s="1"/>
  <c r="M13" i="1"/>
  <c r="M59" i="1" s="1"/>
  <c r="N13" i="1"/>
  <c r="N59" i="1" s="1"/>
  <c r="P13" i="1"/>
  <c r="P59" i="1" s="1"/>
  <c r="Q13" i="1"/>
  <c r="Q59" i="1" s="1"/>
  <c r="R13" i="1"/>
  <c r="R59" i="1" s="1"/>
  <c r="S13" i="1"/>
  <c r="S59" i="1" s="1"/>
  <c r="T13" i="1"/>
  <c r="T59" i="1" s="1"/>
  <c r="U13" i="1"/>
  <c r="U59" i="1" s="1"/>
  <c r="W13" i="1"/>
  <c r="W59" i="1" s="1"/>
  <c r="X13" i="1"/>
  <c r="X59" i="1" s="1"/>
  <c r="Y13" i="1"/>
  <c r="Y59" i="1" s="1"/>
  <c r="Z13" i="1"/>
  <c r="Z59" i="1" s="1"/>
  <c r="AA13" i="1"/>
  <c r="AA59" i="1" s="1"/>
  <c r="AB13" i="1"/>
  <c r="AB59" i="1" s="1"/>
  <c r="AD13" i="1"/>
  <c r="AD59" i="1" s="1"/>
  <c r="AE13" i="1"/>
  <c r="AE59" i="1" s="1"/>
  <c r="AF13" i="1"/>
  <c r="AF59" i="1" s="1"/>
  <c r="AG13" i="1"/>
  <c r="AG59" i="1" s="1"/>
  <c r="AH13" i="1"/>
  <c r="AH59" i="1" s="1"/>
  <c r="AI13" i="1"/>
  <c r="AI59" i="1" s="1"/>
  <c r="AK13" i="1"/>
  <c r="AK59" i="1" s="1"/>
  <c r="AL13" i="1"/>
  <c r="AL59" i="1" s="1"/>
  <c r="AM13" i="1"/>
  <c r="AM59" i="1" s="1"/>
  <c r="AN13" i="1"/>
  <c r="AN59" i="1" s="1"/>
  <c r="AO13" i="1"/>
  <c r="AO59" i="1" s="1"/>
  <c r="AP13" i="1"/>
  <c r="AP59" i="1" s="1"/>
  <c r="D14" i="1"/>
  <c r="D60" i="1" s="1"/>
  <c r="E14" i="1"/>
  <c r="E60" i="1" s="1"/>
  <c r="F14" i="1"/>
  <c r="F60" i="1" s="1"/>
  <c r="G14" i="1"/>
  <c r="G60" i="1" s="1"/>
  <c r="I14" i="1"/>
  <c r="I60" i="1" s="1"/>
  <c r="J14" i="1"/>
  <c r="J60" i="1" s="1"/>
  <c r="M14" i="1"/>
  <c r="M60" i="1" s="1"/>
  <c r="N14" i="1"/>
  <c r="N60" i="1" s="1"/>
  <c r="P14" i="1"/>
  <c r="P60" i="1" s="1"/>
  <c r="Q14" i="1"/>
  <c r="Q60" i="1" s="1"/>
  <c r="R14" i="1"/>
  <c r="R60" i="1" s="1"/>
  <c r="S14" i="1"/>
  <c r="S60" i="1" s="1"/>
  <c r="T14" i="1"/>
  <c r="T60" i="1" s="1"/>
  <c r="U14" i="1"/>
  <c r="U60" i="1" s="1"/>
  <c r="W14" i="1"/>
  <c r="W60" i="1" s="1"/>
  <c r="X14" i="1"/>
  <c r="X60" i="1" s="1"/>
  <c r="Y14" i="1"/>
  <c r="Y60" i="1" s="1"/>
  <c r="Z14" i="1"/>
  <c r="Z60" i="1" s="1"/>
  <c r="AA14" i="1"/>
  <c r="AA60" i="1" s="1"/>
  <c r="AB14" i="1"/>
  <c r="AB60" i="1" s="1"/>
  <c r="AD14" i="1"/>
  <c r="AD60" i="1" s="1"/>
  <c r="AE14" i="1"/>
  <c r="AE60" i="1" s="1"/>
  <c r="AF14" i="1"/>
  <c r="AF60" i="1" s="1"/>
  <c r="AG14" i="1"/>
  <c r="AG60" i="1" s="1"/>
  <c r="AH14" i="1"/>
  <c r="AH60" i="1" s="1"/>
  <c r="AI14" i="1"/>
  <c r="AI60" i="1" s="1"/>
  <c r="AK14" i="1"/>
  <c r="AK60" i="1" s="1"/>
  <c r="AL14" i="1"/>
  <c r="AL60" i="1" s="1"/>
  <c r="AM14" i="1"/>
  <c r="AM60" i="1" s="1"/>
  <c r="AN14" i="1"/>
  <c r="AN60" i="1" s="1"/>
  <c r="AO14" i="1"/>
  <c r="AO60" i="1" s="1"/>
  <c r="AP14" i="1"/>
  <c r="AP60" i="1" s="1"/>
  <c r="D15" i="1"/>
  <c r="D61" i="1" s="1"/>
  <c r="E15" i="1"/>
  <c r="E61" i="1" s="1"/>
  <c r="F15" i="1"/>
  <c r="F61" i="1" s="1"/>
  <c r="G15" i="1"/>
  <c r="G61" i="1" s="1"/>
  <c r="I15" i="1"/>
  <c r="I61" i="1" s="1"/>
  <c r="J15" i="1"/>
  <c r="J61" i="1" s="1"/>
  <c r="M15" i="1"/>
  <c r="M61" i="1" s="1"/>
  <c r="N15" i="1"/>
  <c r="N61" i="1" s="1"/>
  <c r="P15" i="1"/>
  <c r="P61" i="1" s="1"/>
  <c r="Q15" i="1"/>
  <c r="Q61" i="1" s="1"/>
  <c r="R15" i="1"/>
  <c r="R61" i="1" s="1"/>
  <c r="S15" i="1"/>
  <c r="S61" i="1" s="1"/>
  <c r="T15" i="1"/>
  <c r="T61" i="1" s="1"/>
  <c r="U15" i="1"/>
  <c r="U61" i="1" s="1"/>
  <c r="W15" i="1"/>
  <c r="W61" i="1" s="1"/>
  <c r="X15" i="1"/>
  <c r="X61" i="1" s="1"/>
  <c r="Y15" i="1"/>
  <c r="Y61" i="1" s="1"/>
  <c r="Z15" i="1"/>
  <c r="Z61" i="1" s="1"/>
  <c r="AA15" i="1"/>
  <c r="AA61" i="1" s="1"/>
  <c r="AB15" i="1"/>
  <c r="AB61" i="1" s="1"/>
  <c r="AD15" i="1"/>
  <c r="AD61" i="1" s="1"/>
  <c r="AE15" i="1"/>
  <c r="AE61" i="1" s="1"/>
  <c r="AF15" i="1"/>
  <c r="AF61" i="1" s="1"/>
  <c r="AG15" i="1"/>
  <c r="AG61" i="1" s="1"/>
  <c r="AH15" i="1"/>
  <c r="AH61" i="1" s="1"/>
  <c r="AI15" i="1"/>
  <c r="AI61" i="1" s="1"/>
  <c r="AK15" i="1"/>
  <c r="AK61" i="1" s="1"/>
  <c r="AL15" i="1"/>
  <c r="AL61" i="1" s="1"/>
  <c r="AM15" i="1"/>
  <c r="AM61" i="1" s="1"/>
  <c r="AN15" i="1"/>
  <c r="AN61" i="1" s="1"/>
  <c r="AO15" i="1"/>
  <c r="AO61" i="1" s="1"/>
  <c r="AP15" i="1"/>
  <c r="AP61" i="1" s="1"/>
  <c r="D16" i="1"/>
  <c r="D62" i="1" s="1"/>
  <c r="E16" i="1"/>
  <c r="E62" i="1" s="1"/>
  <c r="F16" i="1"/>
  <c r="F62" i="1" s="1"/>
  <c r="G16" i="1"/>
  <c r="G62" i="1" s="1"/>
  <c r="I16" i="1"/>
  <c r="I62" i="1" s="1"/>
  <c r="J16" i="1"/>
  <c r="J62" i="1" s="1"/>
  <c r="M16" i="1"/>
  <c r="M62" i="1" s="1"/>
  <c r="N16" i="1"/>
  <c r="N62" i="1" s="1"/>
  <c r="P16" i="1"/>
  <c r="P62" i="1" s="1"/>
  <c r="Q16" i="1"/>
  <c r="Q62" i="1" s="1"/>
  <c r="R16" i="1"/>
  <c r="R62" i="1" s="1"/>
  <c r="S16" i="1"/>
  <c r="S62" i="1" s="1"/>
  <c r="T16" i="1"/>
  <c r="T62" i="1" s="1"/>
  <c r="U16" i="1"/>
  <c r="U62" i="1" s="1"/>
  <c r="W16" i="1"/>
  <c r="W62" i="1" s="1"/>
  <c r="X16" i="1"/>
  <c r="X62" i="1" s="1"/>
  <c r="Y16" i="1"/>
  <c r="Y62" i="1" s="1"/>
  <c r="Z16" i="1"/>
  <c r="Z62" i="1" s="1"/>
  <c r="AA16" i="1"/>
  <c r="AA62" i="1" s="1"/>
  <c r="AB16" i="1"/>
  <c r="AB62" i="1" s="1"/>
  <c r="AD16" i="1"/>
  <c r="AD62" i="1" s="1"/>
  <c r="AE16" i="1"/>
  <c r="AE62" i="1" s="1"/>
  <c r="AF16" i="1"/>
  <c r="AF62" i="1" s="1"/>
  <c r="AG16" i="1"/>
  <c r="AG62" i="1" s="1"/>
  <c r="AH16" i="1"/>
  <c r="AH62" i="1" s="1"/>
  <c r="AI16" i="1"/>
  <c r="AI62" i="1" s="1"/>
  <c r="AK16" i="1"/>
  <c r="AK62" i="1" s="1"/>
  <c r="AL16" i="1"/>
  <c r="AL62" i="1" s="1"/>
  <c r="AM16" i="1"/>
  <c r="AM62" i="1" s="1"/>
  <c r="AN16" i="1"/>
  <c r="AN62" i="1" s="1"/>
  <c r="AO16" i="1"/>
  <c r="AO62" i="1" s="1"/>
  <c r="AP16" i="1"/>
  <c r="AP62" i="1" s="1"/>
  <c r="D17" i="1"/>
  <c r="D63" i="1" s="1"/>
  <c r="E17" i="1"/>
  <c r="E63" i="1" s="1"/>
  <c r="F17" i="1"/>
  <c r="F63" i="1" s="1"/>
  <c r="G17" i="1"/>
  <c r="G63" i="1" s="1"/>
  <c r="I17" i="1"/>
  <c r="I63" i="1" s="1"/>
  <c r="J17" i="1"/>
  <c r="J63" i="1" s="1"/>
  <c r="M17" i="1"/>
  <c r="M63" i="1" s="1"/>
  <c r="N17" i="1"/>
  <c r="N63" i="1" s="1"/>
  <c r="P17" i="1"/>
  <c r="P63" i="1" s="1"/>
  <c r="Q17" i="1"/>
  <c r="Q63" i="1" s="1"/>
  <c r="R17" i="1"/>
  <c r="R63" i="1" s="1"/>
  <c r="S17" i="1"/>
  <c r="S63" i="1" s="1"/>
  <c r="T17" i="1"/>
  <c r="T63" i="1" s="1"/>
  <c r="U17" i="1"/>
  <c r="U63" i="1" s="1"/>
  <c r="W17" i="1"/>
  <c r="W63" i="1" s="1"/>
  <c r="X17" i="1"/>
  <c r="X63" i="1" s="1"/>
  <c r="Y17" i="1"/>
  <c r="Y63" i="1" s="1"/>
  <c r="Z17" i="1"/>
  <c r="Z63" i="1" s="1"/>
  <c r="AA17" i="1"/>
  <c r="AA63" i="1" s="1"/>
  <c r="AB17" i="1"/>
  <c r="AB63" i="1" s="1"/>
  <c r="AD17" i="1"/>
  <c r="AD63" i="1" s="1"/>
  <c r="AE17" i="1"/>
  <c r="AE63" i="1" s="1"/>
  <c r="AF17" i="1"/>
  <c r="AF63" i="1" s="1"/>
  <c r="AG17" i="1"/>
  <c r="AG63" i="1" s="1"/>
  <c r="AH17" i="1"/>
  <c r="AH63" i="1" s="1"/>
  <c r="AI17" i="1"/>
  <c r="AI63" i="1" s="1"/>
  <c r="AK17" i="1"/>
  <c r="AK63" i="1" s="1"/>
  <c r="AL17" i="1"/>
  <c r="AL63" i="1" s="1"/>
  <c r="AM17" i="1"/>
  <c r="AM63" i="1" s="1"/>
  <c r="AN17" i="1"/>
  <c r="AN63" i="1" s="1"/>
  <c r="AO17" i="1"/>
  <c r="AO63" i="1" s="1"/>
  <c r="AP17" i="1"/>
  <c r="AP63" i="1" s="1"/>
  <c r="D18" i="1"/>
  <c r="D64" i="1" s="1"/>
  <c r="E18" i="1"/>
  <c r="E64" i="1" s="1"/>
  <c r="F18" i="1"/>
  <c r="F64" i="1" s="1"/>
  <c r="G18" i="1"/>
  <c r="G64" i="1" s="1"/>
  <c r="I18" i="1"/>
  <c r="I64" i="1" s="1"/>
  <c r="J18" i="1"/>
  <c r="J64" i="1" s="1"/>
  <c r="M18" i="1"/>
  <c r="M64" i="1" s="1"/>
  <c r="N18" i="1"/>
  <c r="N64" i="1" s="1"/>
  <c r="P18" i="1"/>
  <c r="P64" i="1" s="1"/>
  <c r="Q18" i="1"/>
  <c r="Q64" i="1" s="1"/>
  <c r="R18" i="1"/>
  <c r="R64" i="1" s="1"/>
  <c r="S18" i="1"/>
  <c r="S64" i="1" s="1"/>
  <c r="T18" i="1"/>
  <c r="T64" i="1" s="1"/>
  <c r="U18" i="1"/>
  <c r="U64" i="1" s="1"/>
  <c r="W18" i="1"/>
  <c r="W64" i="1" s="1"/>
  <c r="X18" i="1"/>
  <c r="X64" i="1" s="1"/>
  <c r="Y18" i="1"/>
  <c r="Y64" i="1" s="1"/>
  <c r="Z18" i="1"/>
  <c r="Z64" i="1" s="1"/>
  <c r="AA18" i="1"/>
  <c r="AA64" i="1" s="1"/>
  <c r="AB18" i="1"/>
  <c r="AB64" i="1" s="1"/>
  <c r="AD18" i="1"/>
  <c r="AD64" i="1" s="1"/>
  <c r="AE18" i="1"/>
  <c r="AE64" i="1" s="1"/>
  <c r="AF18" i="1"/>
  <c r="AF64" i="1" s="1"/>
  <c r="AG18" i="1"/>
  <c r="AG64" i="1" s="1"/>
  <c r="AH18" i="1"/>
  <c r="AH64" i="1" s="1"/>
  <c r="AI18" i="1"/>
  <c r="AI64" i="1" s="1"/>
  <c r="AK18" i="1"/>
  <c r="AK64" i="1" s="1"/>
  <c r="AL18" i="1"/>
  <c r="AL64" i="1" s="1"/>
  <c r="AM18" i="1"/>
  <c r="AM64" i="1" s="1"/>
  <c r="AN18" i="1"/>
  <c r="AN64" i="1" s="1"/>
  <c r="AO18" i="1"/>
  <c r="AO64" i="1" s="1"/>
  <c r="AP18" i="1"/>
  <c r="AP64" i="1" s="1"/>
  <c r="D19" i="1"/>
  <c r="D65" i="1" s="1"/>
  <c r="E19" i="1"/>
  <c r="E65" i="1" s="1"/>
  <c r="F19" i="1"/>
  <c r="F65" i="1" s="1"/>
  <c r="G19" i="1"/>
  <c r="G65" i="1" s="1"/>
  <c r="I19" i="1"/>
  <c r="I65" i="1" s="1"/>
  <c r="J19" i="1"/>
  <c r="J65" i="1" s="1"/>
  <c r="M19" i="1"/>
  <c r="M65" i="1" s="1"/>
  <c r="N19" i="1"/>
  <c r="N65" i="1" s="1"/>
  <c r="P19" i="1"/>
  <c r="P65" i="1" s="1"/>
  <c r="Q19" i="1"/>
  <c r="Q65" i="1" s="1"/>
  <c r="R19" i="1"/>
  <c r="R65" i="1" s="1"/>
  <c r="S19" i="1"/>
  <c r="S65" i="1" s="1"/>
  <c r="T19" i="1"/>
  <c r="T65" i="1" s="1"/>
  <c r="U19" i="1"/>
  <c r="U65" i="1" s="1"/>
  <c r="W19" i="1"/>
  <c r="W65" i="1" s="1"/>
  <c r="X19" i="1"/>
  <c r="X65" i="1" s="1"/>
  <c r="Y19" i="1"/>
  <c r="Y65" i="1" s="1"/>
  <c r="Z19" i="1"/>
  <c r="Z65" i="1" s="1"/>
  <c r="AA19" i="1"/>
  <c r="AA65" i="1" s="1"/>
  <c r="AB19" i="1"/>
  <c r="AB65" i="1" s="1"/>
  <c r="AD19" i="1"/>
  <c r="AD65" i="1" s="1"/>
  <c r="AE19" i="1"/>
  <c r="AE65" i="1" s="1"/>
  <c r="AF19" i="1"/>
  <c r="AF65" i="1" s="1"/>
  <c r="AG19" i="1"/>
  <c r="AG65" i="1" s="1"/>
  <c r="AH19" i="1"/>
  <c r="AH65" i="1" s="1"/>
  <c r="AI19" i="1"/>
  <c r="AI65" i="1" s="1"/>
  <c r="AK19" i="1"/>
  <c r="AK65" i="1" s="1"/>
  <c r="AL19" i="1"/>
  <c r="AL65" i="1" s="1"/>
  <c r="AM19" i="1"/>
  <c r="AM65" i="1" s="1"/>
  <c r="AN19" i="1"/>
  <c r="AN65" i="1" s="1"/>
  <c r="AO19" i="1"/>
  <c r="AO65" i="1" s="1"/>
  <c r="AP19" i="1"/>
  <c r="AP65" i="1" s="1"/>
  <c r="D20" i="1"/>
  <c r="D66" i="1" s="1"/>
  <c r="E20" i="1"/>
  <c r="E66" i="1" s="1"/>
  <c r="F20" i="1"/>
  <c r="F66" i="1" s="1"/>
  <c r="G20" i="1"/>
  <c r="G66" i="1" s="1"/>
  <c r="I20" i="1"/>
  <c r="I66" i="1" s="1"/>
  <c r="J20" i="1"/>
  <c r="J66" i="1" s="1"/>
  <c r="M20" i="1"/>
  <c r="M66" i="1" s="1"/>
  <c r="N20" i="1"/>
  <c r="N66" i="1" s="1"/>
  <c r="P20" i="1"/>
  <c r="P66" i="1" s="1"/>
  <c r="Q20" i="1"/>
  <c r="Q66" i="1" s="1"/>
  <c r="R20" i="1"/>
  <c r="R66" i="1" s="1"/>
  <c r="S20" i="1"/>
  <c r="S66" i="1" s="1"/>
  <c r="T20" i="1"/>
  <c r="T66" i="1" s="1"/>
  <c r="U20" i="1"/>
  <c r="U66" i="1" s="1"/>
  <c r="W20" i="1"/>
  <c r="W66" i="1" s="1"/>
  <c r="X20" i="1"/>
  <c r="X66" i="1" s="1"/>
  <c r="Y20" i="1"/>
  <c r="Y66" i="1" s="1"/>
  <c r="Z20" i="1"/>
  <c r="Z66" i="1" s="1"/>
  <c r="AA20" i="1"/>
  <c r="AA66" i="1" s="1"/>
  <c r="AB20" i="1"/>
  <c r="AB66" i="1" s="1"/>
  <c r="AD20" i="1"/>
  <c r="AD66" i="1" s="1"/>
  <c r="AE20" i="1"/>
  <c r="AE66" i="1" s="1"/>
  <c r="AF20" i="1"/>
  <c r="AF66" i="1" s="1"/>
  <c r="AG20" i="1"/>
  <c r="AG66" i="1" s="1"/>
  <c r="AH20" i="1"/>
  <c r="AH66" i="1" s="1"/>
  <c r="AI20" i="1"/>
  <c r="AI66" i="1" s="1"/>
  <c r="AK20" i="1"/>
  <c r="AK66" i="1" s="1"/>
  <c r="AL20" i="1"/>
  <c r="AL66" i="1" s="1"/>
  <c r="AM20" i="1"/>
  <c r="AM66" i="1" s="1"/>
  <c r="AN20" i="1"/>
  <c r="AN66" i="1" s="1"/>
  <c r="AO20" i="1"/>
  <c r="AO66" i="1" s="1"/>
  <c r="AP20" i="1"/>
  <c r="AP66" i="1" s="1"/>
  <c r="D21" i="1"/>
  <c r="D67" i="1" s="1"/>
  <c r="E21" i="1"/>
  <c r="E67" i="1" s="1"/>
  <c r="F21" i="1"/>
  <c r="F67" i="1" s="1"/>
  <c r="G21" i="1"/>
  <c r="G67" i="1" s="1"/>
  <c r="I21" i="1"/>
  <c r="I67" i="1" s="1"/>
  <c r="J21" i="1"/>
  <c r="J67" i="1" s="1"/>
  <c r="M21" i="1"/>
  <c r="M67" i="1" s="1"/>
  <c r="N21" i="1"/>
  <c r="N67" i="1" s="1"/>
  <c r="P21" i="1"/>
  <c r="P67" i="1" s="1"/>
  <c r="Q21" i="1"/>
  <c r="Q67" i="1" s="1"/>
  <c r="R21" i="1"/>
  <c r="R67" i="1" s="1"/>
  <c r="S21" i="1"/>
  <c r="S67" i="1" s="1"/>
  <c r="T21" i="1"/>
  <c r="T67" i="1" s="1"/>
  <c r="U21" i="1"/>
  <c r="U67" i="1" s="1"/>
  <c r="W21" i="1"/>
  <c r="W67" i="1" s="1"/>
  <c r="X21" i="1"/>
  <c r="X67" i="1" s="1"/>
  <c r="Y21" i="1"/>
  <c r="Y67" i="1" s="1"/>
  <c r="Z21" i="1"/>
  <c r="Z67" i="1" s="1"/>
  <c r="AA21" i="1"/>
  <c r="AA67" i="1" s="1"/>
  <c r="AB21" i="1"/>
  <c r="AB67" i="1" s="1"/>
  <c r="AD21" i="1"/>
  <c r="AD67" i="1" s="1"/>
  <c r="AE21" i="1"/>
  <c r="AE67" i="1" s="1"/>
  <c r="AF21" i="1"/>
  <c r="AF67" i="1" s="1"/>
  <c r="AG21" i="1"/>
  <c r="AG67" i="1" s="1"/>
  <c r="AH21" i="1"/>
  <c r="AH67" i="1" s="1"/>
  <c r="AI21" i="1"/>
  <c r="AI67" i="1" s="1"/>
  <c r="AK21" i="1"/>
  <c r="AK67" i="1" s="1"/>
  <c r="AL21" i="1"/>
  <c r="AL67" i="1" s="1"/>
  <c r="AM21" i="1"/>
  <c r="AM67" i="1" s="1"/>
  <c r="AN21" i="1"/>
  <c r="AN67" i="1" s="1"/>
  <c r="AO21" i="1"/>
  <c r="AO67" i="1" s="1"/>
  <c r="AP21" i="1"/>
  <c r="AP67" i="1" s="1"/>
  <c r="D22" i="1"/>
  <c r="D68" i="1" s="1"/>
  <c r="E22" i="1"/>
  <c r="E68" i="1" s="1"/>
  <c r="F22" i="1"/>
  <c r="F68" i="1" s="1"/>
  <c r="G22" i="1"/>
  <c r="G68" i="1" s="1"/>
  <c r="I22" i="1"/>
  <c r="I68" i="1" s="1"/>
  <c r="J22" i="1"/>
  <c r="J68" i="1" s="1"/>
  <c r="M22" i="1"/>
  <c r="M68" i="1" s="1"/>
  <c r="N22" i="1"/>
  <c r="N68" i="1" s="1"/>
  <c r="P22" i="1"/>
  <c r="P68" i="1" s="1"/>
  <c r="Q22" i="1"/>
  <c r="Q68" i="1" s="1"/>
  <c r="R22" i="1"/>
  <c r="R68" i="1" s="1"/>
  <c r="S22" i="1"/>
  <c r="S68" i="1" s="1"/>
  <c r="T22" i="1"/>
  <c r="T68" i="1" s="1"/>
  <c r="U22" i="1"/>
  <c r="U68" i="1" s="1"/>
  <c r="W22" i="1"/>
  <c r="W68" i="1" s="1"/>
  <c r="X22" i="1"/>
  <c r="X68" i="1" s="1"/>
  <c r="Y22" i="1"/>
  <c r="Y68" i="1" s="1"/>
  <c r="Z22" i="1"/>
  <c r="Z68" i="1" s="1"/>
  <c r="AA22" i="1"/>
  <c r="AA68" i="1" s="1"/>
  <c r="AB22" i="1"/>
  <c r="AB68" i="1" s="1"/>
  <c r="AD22" i="1"/>
  <c r="AD68" i="1" s="1"/>
  <c r="AE22" i="1"/>
  <c r="AE68" i="1" s="1"/>
  <c r="AF22" i="1"/>
  <c r="AF68" i="1" s="1"/>
  <c r="AG22" i="1"/>
  <c r="AG68" i="1" s="1"/>
  <c r="AH22" i="1"/>
  <c r="AH68" i="1" s="1"/>
  <c r="AI22" i="1"/>
  <c r="AI68" i="1" s="1"/>
  <c r="AK22" i="1"/>
  <c r="AK68" i="1" s="1"/>
  <c r="AL22" i="1"/>
  <c r="AL68" i="1" s="1"/>
  <c r="AM22" i="1"/>
  <c r="AM68" i="1" s="1"/>
  <c r="AN22" i="1"/>
  <c r="AN68" i="1" s="1"/>
  <c r="AO22" i="1"/>
  <c r="AO68" i="1" s="1"/>
  <c r="AP22" i="1"/>
  <c r="AP68" i="1" s="1"/>
  <c r="D23" i="1"/>
  <c r="D69" i="1" s="1"/>
  <c r="E23" i="1"/>
  <c r="E69" i="1" s="1"/>
  <c r="F23" i="1"/>
  <c r="F69" i="1" s="1"/>
  <c r="G23" i="1"/>
  <c r="G69" i="1" s="1"/>
  <c r="I23" i="1"/>
  <c r="I69" i="1" s="1"/>
  <c r="J23" i="1"/>
  <c r="J69" i="1" s="1"/>
  <c r="M23" i="1"/>
  <c r="M69" i="1" s="1"/>
  <c r="N23" i="1"/>
  <c r="N69" i="1" s="1"/>
  <c r="P23" i="1"/>
  <c r="P69" i="1" s="1"/>
  <c r="Q23" i="1"/>
  <c r="Q69" i="1" s="1"/>
  <c r="R23" i="1"/>
  <c r="R69" i="1" s="1"/>
  <c r="S23" i="1"/>
  <c r="S69" i="1" s="1"/>
  <c r="T23" i="1"/>
  <c r="T69" i="1" s="1"/>
  <c r="U23" i="1"/>
  <c r="U69" i="1" s="1"/>
  <c r="W23" i="1"/>
  <c r="W69" i="1" s="1"/>
  <c r="X23" i="1"/>
  <c r="X69" i="1" s="1"/>
  <c r="Y23" i="1"/>
  <c r="Y69" i="1" s="1"/>
  <c r="Z23" i="1"/>
  <c r="Z69" i="1" s="1"/>
  <c r="AA23" i="1"/>
  <c r="AA69" i="1" s="1"/>
  <c r="AB23" i="1"/>
  <c r="AB69" i="1" s="1"/>
  <c r="AD23" i="1"/>
  <c r="AD69" i="1" s="1"/>
  <c r="AE23" i="1"/>
  <c r="AE69" i="1" s="1"/>
  <c r="AF23" i="1"/>
  <c r="AF69" i="1" s="1"/>
  <c r="AG23" i="1"/>
  <c r="AG69" i="1" s="1"/>
  <c r="AH23" i="1"/>
  <c r="AH69" i="1" s="1"/>
  <c r="AI23" i="1"/>
  <c r="AI69" i="1" s="1"/>
  <c r="AK23" i="1"/>
  <c r="AK69" i="1" s="1"/>
  <c r="AL23" i="1"/>
  <c r="AL69" i="1" s="1"/>
  <c r="AM23" i="1"/>
  <c r="AM69" i="1" s="1"/>
  <c r="AN23" i="1"/>
  <c r="AN69" i="1" s="1"/>
  <c r="AO23" i="1"/>
  <c r="AO69" i="1" s="1"/>
  <c r="AP23" i="1"/>
  <c r="AP69" i="1" s="1"/>
  <c r="D24" i="1"/>
  <c r="D70" i="1" s="1"/>
  <c r="E24" i="1"/>
  <c r="E70" i="1" s="1"/>
  <c r="F24" i="1"/>
  <c r="F70" i="1" s="1"/>
  <c r="G24" i="1"/>
  <c r="G70" i="1" s="1"/>
  <c r="I24" i="1"/>
  <c r="I70" i="1" s="1"/>
  <c r="J24" i="1"/>
  <c r="J70" i="1" s="1"/>
  <c r="M24" i="1"/>
  <c r="M70" i="1" s="1"/>
  <c r="N24" i="1"/>
  <c r="N70" i="1" s="1"/>
  <c r="P24" i="1"/>
  <c r="P70" i="1" s="1"/>
  <c r="Q24" i="1"/>
  <c r="Q70" i="1" s="1"/>
  <c r="R24" i="1"/>
  <c r="R70" i="1" s="1"/>
  <c r="S24" i="1"/>
  <c r="S70" i="1" s="1"/>
  <c r="T24" i="1"/>
  <c r="T70" i="1" s="1"/>
  <c r="U24" i="1"/>
  <c r="U70" i="1" s="1"/>
  <c r="W24" i="1"/>
  <c r="W70" i="1" s="1"/>
  <c r="X24" i="1"/>
  <c r="X70" i="1" s="1"/>
  <c r="Y24" i="1"/>
  <c r="Y70" i="1" s="1"/>
  <c r="Z24" i="1"/>
  <c r="Z70" i="1" s="1"/>
  <c r="AA24" i="1"/>
  <c r="AA70" i="1" s="1"/>
  <c r="AB24" i="1"/>
  <c r="AB70" i="1" s="1"/>
  <c r="AD24" i="1"/>
  <c r="AD70" i="1" s="1"/>
  <c r="AE24" i="1"/>
  <c r="AE70" i="1" s="1"/>
  <c r="AF24" i="1"/>
  <c r="AF70" i="1" s="1"/>
  <c r="AG24" i="1"/>
  <c r="AG70" i="1" s="1"/>
  <c r="AH24" i="1"/>
  <c r="AH70" i="1" s="1"/>
  <c r="AI24" i="1"/>
  <c r="AI70" i="1" s="1"/>
  <c r="AK24" i="1"/>
  <c r="AK70" i="1" s="1"/>
  <c r="AL24" i="1"/>
  <c r="AL70" i="1" s="1"/>
  <c r="AM24" i="1"/>
  <c r="AM70" i="1" s="1"/>
  <c r="AN24" i="1"/>
  <c r="AN70" i="1" s="1"/>
  <c r="AO24" i="1"/>
  <c r="AO70" i="1" s="1"/>
  <c r="AP24" i="1"/>
  <c r="AP70" i="1" s="1"/>
  <c r="D25" i="1"/>
  <c r="D71" i="1" s="1"/>
  <c r="E25" i="1"/>
  <c r="E71" i="1" s="1"/>
  <c r="F25" i="1"/>
  <c r="F71" i="1" s="1"/>
  <c r="G25" i="1"/>
  <c r="G71" i="1" s="1"/>
  <c r="I25" i="1"/>
  <c r="I71" i="1" s="1"/>
  <c r="J25" i="1"/>
  <c r="J71" i="1" s="1"/>
  <c r="M25" i="1"/>
  <c r="M71" i="1" s="1"/>
  <c r="N25" i="1"/>
  <c r="N71" i="1" s="1"/>
  <c r="P25" i="1"/>
  <c r="P71" i="1" s="1"/>
  <c r="Q25" i="1"/>
  <c r="Q71" i="1" s="1"/>
  <c r="R25" i="1"/>
  <c r="R71" i="1" s="1"/>
  <c r="S25" i="1"/>
  <c r="S71" i="1" s="1"/>
  <c r="T25" i="1"/>
  <c r="T71" i="1" s="1"/>
  <c r="U25" i="1"/>
  <c r="U71" i="1" s="1"/>
  <c r="W25" i="1"/>
  <c r="W71" i="1" s="1"/>
  <c r="X25" i="1"/>
  <c r="X71" i="1" s="1"/>
  <c r="Y25" i="1"/>
  <c r="Y71" i="1" s="1"/>
  <c r="Z25" i="1"/>
  <c r="Z71" i="1" s="1"/>
  <c r="AA25" i="1"/>
  <c r="AA71" i="1" s="1"/>
  <c r="AB25" i="1"/>
  <c r="AB71" i="1" s="1"/>
  <c r="AD25" i="1"/>
  <c r="AD71" i="1" s="1"/>
  <c r="AE25" i="1"/>
  <c r="AE71" i="1" s="1"/>
  <c r="AF25" i="1"/>
  <c r="AF71" i="1" s="1"/>
  <c r="AG25" i="1"/>
  <c r="AG71" i="1" s="1"/>
  <c r="AH25" i="1"/>
  <c r="AH71" i="1" s="1"/>
  <c r="AI25" i="1"/>
  <c r="AI71" i="1" s="1"/>
  <c r="AK25" i="1"/>
  <c r="AK71" i="1" s="1"/>
  <c r="AL25" i="1"/>
  <c r="AL71" i="1" s="1"/>
  <c r="AM25" i="1"/>
  <c r="AM71" i="1" s="1"/>
  <c r="AN25" i="1"/>
  <c r="AN71" i="1" s="1"/>
  <c r="AO25" i="1"/>
  <c r="AO71" i="1" s="1"/>
  <c r="AP25" i="1"/>
  <c r="AP71" i="1" s="1"/>
  <c r="D26" i="1"/>
  <c r="D72" i="1" s="1"/>
  <c r="E26" i="1"/>
  <c r="E72" i="1" s="1"/>
  <c r="F26" i="1"/>
  <c r="F72" i="1" s="1"/>
  <c r="G26" i="1"/>
  <c r="G72" i="1" s="1"/>
  <c r="I26" i="1"/>
  <c r="I72" i="1" s="1"/>
  <c r="J26" i="1"/>
  <c r="J72" i="1" s="1"/>
  <c r="M26" i="1"/>
  <c r="M72" i="1" s="1"/>
  <c r="N26" i="1"/>
  <c r="N72" i="1" s="1"/>
  <c r="P26" i="1"/>
  <c r="P72" i="1" s="1"/>
  <c r="Q26" i="1"/>
  <c r="Q72" i="1" s="1"/>
  <c r="R26" i="1"/>
  <c r="R72" i="1" s="1"/>
  <c r="S26" i="1"/>
  <c r="S72" i="1" s="1"/>
  <c r="T26" i="1"/>
  <c r="T72" i="1" s="1"/>
  <c r="U26" i="1"/>
  <c r="U72" i="1" s="1"/>
  <c r="W26" i="1"/>
  <c r="W72" i="1" s="1"/>
  <c r="X26" i="1"/>
  <c r="X72" i="1" s="1"/>
  <c r="Y26" i="1"/>
  <c r="Y72" i="1" s="1"/>
  <c r="Z26" i="1"/>
  <c r="Z72" i="1" s="1"/>
  <c r="AA26" i="1"/>
  <c r="AA72" i="1" s="1"/>
  <c r="AB26" i="1"/>
  <c r="AB72" i="1" s="1"/>
  <c r="AD26" i="1"/>
  <c r="AD72" i="1" s="1"/>
  <c r="AE26" i="1"/>
  <c r="AE72" i="1" s="1"/>
  <c r="AF26" i="1"/>
  <c r="AF72" i="1" s="1"/>
  <c r="AG26" i="1"/>
  <c r="AG72" i="1" s="1"/>
  <c r="AH26" i="1"/>
  <c r="AH72" i="1" s="1"/>
  <c r="AI26" i="1"/>
  <c r="AI72" i="1" s="1"/>
  <c r="AK26" i="1"/>
  <c r="AK72" i="1" s="1"/>
  <c r="AL26" i="1"/>
  <c r="AL72" i="1" s="1"/>
  <c r="AM26" i="1"/>
  <c r="AM72" i="1" s="1"/>
  <c r="AN26" i="1"/>
  <c r="AN72" i="1" s="1"/>
  <c r="AO26" i="1"/>
  <c r="AO72" i="1" s="1"/>
  <c r="AP26" i="1"/>
  <c r="AP72" i="1" s="1"/>
  <c r="D27" i="1"/>
  <c r="D73" i="1" s="1"/>
  <c r="E27" i="1"/>
  <c r="E73" i="1" s="1"/>
  <c r="F27" i="1"/>
  <c r="F73" i="1" s="1"/>
  <c r="G27" i="1"/>
  <c r="G73" i="1" s="1"/>
  <c r="I27" i="1"/>
  <c r="I73" i="1" s="1"/>
  <c r="J27" i="1"/>
  <c r="J73" i="1" s="1"/>
  <c r="M27" i="1"/>
  <c r="M73" i="1" s="1"/>
  <c r="N27" i="1"/>
  <c r="N73" i="1" s="1"/>
  <c r="P27" i="1"/>
  <c r="P73" i="1" s="1"/>
  <c r="Q27" i="1"/>
  <c r="Q73" i="1" s="1"/>
  <c r="R27" i="1"/>
  <c r="R73" i="1" s="1"/>
  <c r="S27" i="1"/>
  <c r="S73" i="1" s="1"/>
  <c r="T27" i="1"/>
  <c r="T73" i="1" s="1"/>
  <c r="U27" i="1"/>
  <c r="U73" i="1" s="1"/>
  <c r="W27" i="1"/>
  <c r="W73" i="1" s="1"/>
  <c r="X27" i="1"/>
  <c r="X73" i="1" s="1"/>
  <c r="Y27" i="1"/>
  <c r="Y73" i="1" s="1"/>
  <c r="Z27" i="1"/>
  <c r="Z73" i="1" s="1"/>
  <c r="AA27" i="1"/>
  <c r="AA73" i="1" s="1"/>
  <c r="AB27" i="1"/>
  <c r="AB73" i="1" s="1"/>
  <c r="AD27" i="1"/>
  <c r="AD73" i="1" s="1"/>
  <c r="AE27" i="1"/>
  <c r="AE73" i="1" s="1"/>
  <c r="AF27" i="1"/>
  <c r="AF73" i="1" s="1"/>
  <c r="AG27" i="1"/>
  <c r="AG73" i="1" s="1"/>
  <c r="AH27" i="1"/>
  <c r="AH73" i="1" s="1"/>
  <c r="AI27" i="1"/>
  <c r="AI73" i="1" s="1"/>
  <c r="AK27" i="1"/>
  <c r="AK73" i="1" s="1"/>
  <c r="AL27" i="1"/>
  <c r="AL73" i="1" s="1"/>
  <c r="AM27" i="1"/>
  <c r="AM73" i="1" s="1"/>
  <c r="AN27" i="1"/>
  <c r="AN73" i="1" s="1"/>
  <c r="AO27" i="1"/>
  <c r="AO73" i="1" s="1"/>
  <c r="AP27" i="1"/>
  <c r="AP73" i="1" s="1"/>
  <c r="D28" i="1"/>
  <c r="D74" i="1" s="1"/>
  <c r="E28" i="1"/>
  <c r="E74" i="1" s="1"/>
  <c r="F28" i="1"/>
  <c r="F74" i="1" s="1"/>
  <c r="G28" i="1"/>
  <c r="G74" i="1" s="1"/>
  <c r="I28" i="1"/>
  <c r="I74" i="1" s="1"/>
  <c r="J28" i="1"/>
  <c r="J74" i="1" s="1"/>
  <c r="M28" i="1"/>
  <c r="M74" i="1" s="1"/>
  <c r="N28" i="1"/>
  <c r="N74" i="1" s="1"/>
  <c r="P28" i="1"/>
  <c r="P74" i="1" s="1"/>
  <c r="Q28" i="1"/>
  <c r="Q74" i="1" s="1"/>
  <c r="R28" i="1"/>
  <c r="R74" i="1" s="1"/>
  <c r="S28" i="1"/>
  <c r="S74" i="1" s="1"/>
  <c r="T28" i="1"/>
  <c r="T74" i="1" s="1"/>
  <c r="U28" i="1"/>
  <c r="U74" i="1" s="1"/>
  <c r="W28" i="1"/>
  <c r="W74" i="1" s="1"/>
  <c r="X28" i="1"/>
  <c r="X74" i="1" s="1"/>
  <c r="Y28" i="1"/>
  <c r="Y74" i="1" s="1"/>
  <c r="Z28" i="1"/>
  <c r="Z74" i="1" s="1"/>
  <c r="AA28" i="1"/>
  <c r="AA74" i="1" s="1"/>
  <c r="AB28" i="1"/>
  <c r="AB74" i="1" s="1"/>
  <c r="AD28" i="1"/>
  <c r="AD74" i="1" s="1"/>
  <c r="AE28" i="1"/>
  <c r="AE74" i="1" s="1"/>
  <c r="AF28" i="1"/>
  <c r="AF74" i="1" s="1"/>
  <c r="AG28" i="1"/>
  <c r="AG74" i="1" s="1"/>
  <c r="AH28" i="1"/>
  <c r="AH74" i="1" s="1"/>
  <c r="AI28" i="1"/>
  <c r="AI74" i="1" s="1"/>
  <c r="AK28" i="1"/>
  <c r="AK74" i="1" s="1"/>
  <c r="AL28" i="1"/>
  <c r="AL74" i="1" s="1"/>
  <c r="AM28" i="1"/>
  <c r="AM74" i="1" s="1"/>
  <c r="AN28" i="1"/>
  <c r="AN74" i="1" s="1"/>
  <c r="AO28" i="1"/>
  <c r="AO74" i="1" s="1"/>
  <c r="AP28" i="1"/>
  <c r="AP74" i="1" s="1"/>
  <c r="D29" i="1"/>
  <c r="D75" i="1" s="1"/>
  <c r="E29" i="1"/>
  <c r="E75" i="1" s="1"/>
  <c r="F29" i="1"/>
  <c r="F75" i="1" s="1"/>
  <c r="G29" i="1"/>
  <c r="G75" i="1" s="1"/>
  <c r="I29" i="1"/>
  <c r="I75" i="1" s="1"/>
  <c r="J29" i="1"/>
  <c r="J75" i="1" s="1"/>
  <c r="M29" i="1"/>
  <c r="M75" i="1" s="1"/>
  <c r="N29" i="1"/>
  <c r="N75" i="1" s="1"/>
  <c r="P29" i="1"/>
  <c r="P75" i="1" s="1"/>
  <c r="Q29" i="1"/>
  <c r="Q75" i="1" s="1"/>
  <c r="R29" i="1"/>
  <c r="R75" i="1" s="1"/>
  <c r="S29" i="1"/>
  <c r="S75" i="1" s="1"/>
  <c r="T29" i="1"/>
  <c r="T75" i="1" s="1"/>
  <c r="U29" i="1"/>
  <c r="U75" i="1" s="1"/>
  <c r="W29" i="1"/>
  <c r="W75" i="1" s="1"/>
  <c r="X29" i="1"/>
  <c r="X75" i="1" s="1"/>
  <c r="Y29" i="1"/>
  <c r="Y75" i="1" s="1"/>
  <c r="Z29" i="1"/>
  <c r="Z75" i="1" s="1"/>
  <c r="AA29" i="1"/>
  <c r="AA75" i="1" s="1"/>
  <c r="AB29" i="1"/>
  <c r="AB75" i="1" s="1"/>
  <c r="AD29" i="1"/>
  <c r="AD75" i="1" s="1"/>
  <c r="AE29" i="1"/>
  <c r="AE75" i="1" s="1"/>
  <c r="AF29" i="1"/>
  <c r="AF75" i="1" s="1"/>
  <c r="AG29" i="1"/>
  <c r="AG75" i="1" s="1"/>
  <c r="AH29" i="1"/>
  <c r="AH75" i="1" s="1"/>
  <c r="AI29" i="1"/>
  <c r="AI75" i="1" s="1"/>
  <c r="AK29" i="1"/>
  <c r="AK75" i="1" s="1"/>
  <c r="AL29" i="1"/>
  <c r="AL75" i="1" s="1"/>
  <c r="AM29" i="1"/>
  <c r="AM75" i="1" s="1"/>
  <c r="AN29" i="1"/>
  <c r="AN75" i="1" s="1"/>
  <c r="AO29" i="1"/>
  <c r="AO75" i="1" s="1"/>
  <c r="AP29" i="1"/>
  <c r="AP75" i="1" s="1"/>
  <c r="D30" i="1"/>
  <c r="D76" i="1" s="1"/>
  <c r="E30" i="1"/>
  <c r="E76" i="1" s="1"/>
  <c r="F30" i="1"/>
  <c r="F76" i="1" s="1"/>
  <c r="G30" i="1"/>
  <c r="G76" i="1" s="1"/>
  <c r="I30" i="1"/>
  <c r="I76" i="1" s="1"/>
  <c r="J30" i="1"/>
  <c r="J76" i="1" s="1"/>
  <c r="M30" i="1"/>
  <c r="M76" i="1" s="1"/>
  <c r="N30" i="1"/>
  <c r="N76" i="1" s="1"/>
  <c r="P30" i="1"/>
  <c r="P76" i="1" s="1"/>
  <c r="Q30" i="1"/>
  <c r="Q76" i="1" s="1"/>
  <c r="R30" i="1"/>
  <c r="R76" i="1" s="1"/>
  <c r="S30" i="1"/>
  <c r="S76" i="1" s="1"/>
  <c r="T30" i="1"/>
  <c r="T76" i="1" s="1"/>
  <c r="U30" i="1"/>
  <c r="U76" i="1" s="1"/>
  <c r="W30" i="1"/>
  <c r="W76" i="1" s="1"/>
  <c r="X30" i="1"/>
  <c r="X76" i="1" s="1"/>
  <c r="Y30" i="1"/>
  <c r="Y76" i="1" s="1"/>
  <c r="Z30" i="1"/>
  <c r="Z76" i="1" s="1"/>
  <c r="AA30" i="1"/>
  <c r="AA76" i="1" s="1"/>
  <c r="AB30" i="1"/>
  <c r="AB76" i="1" s="1"/>
  <c r="AD30" i="1"/>
  <c r="AD76" i="1" s="1"/>
  <c r="AE30" i="1"/>
  <c r="AE76" i="1" s="1"/>
  <c r="AF30" i="1"/>
  <c r="AF76" i="1" s="1"/>
  <c r="AG30" i="1"/>
  <c r="AG76" i="1" s="1"/>
  <c r="AH30" i="1"/>
  <c r="AH76" i="1" s="1"/>
  <c r="AI30" i="1"/>
  <c r="AI76" i="1" s="1"/>
  <c r="AK30" i="1"/>
  <c r="AK76" i="1" s="1"/>
  <c r="AL30" i="1"/>
  <c r="AL76" i="1" s="1"/>
  <c r="AM30" i="1"/>
  <c r="AM76" i="1" s="1"/>
  <c r="AN30" i="1"/>
  <c r="AN76" i="1" s="1"/>
  <c r="AO30" i="1"/>
  <c r="AO76" i="1" s="1"/>
  <c r="AP30" i="1"/>
  <c r="AP76" i="1" s="1"/>
  <c r="D31" i="1"/>
  <c r="D77" i="1" s="1"/>
  <c r="E31" i="1"/>
  <c r="E77" i="1" s="1"/>
  <c r="F31" i="1"/>
  <c r="F77" i="1" s="1"/>
  <c r="G31" i="1"/>
  <c r="G77" i="1" s="1"/>
  <c r="I31" i="1"/>
  <c r="I77" i="1" s="1"/>
  <c r="J31" i="1"/>
  <c r="J77" i="1" s="1"/>
  <c r="M31" i="1"/>
  <c r="M77" i="1" s="1"/>
  <c r="N31" i="1"/>
  <c r="N77" i="1" s="1"/>
  <c r="P31" i="1"/>
  <c r="P77" i="1" s="1"/>
  <c r="Q31" i="1"/>
  <c r="Q77" i="1" s="1"/>
  <c r="R31" i="1"/>
  <c r="R77" i="1" s="1"/>
  <c r="S31" i="1"/>
  <c r="S77" i="1" s="1"/>
  <c r="T31" i="1"/>
  <c r="T77" i="1" s="1"/>
  <c r="U31" i="1"/>
  <c r="U77" i="1" s="1"/>
  <c r="W31" i="1"/>
  <c r="W77" i="1" s="1"/>
  <c r="X31" i="1"/>
  <c r="X77" i="1" s="1"/>
  <c r="Y31" i="1"/>
  <c r="Y77" i="1" s="1"/>
  <c r="Z31" i="1"/>
  <c r="Z77" i="1" s="1"/>
  <c r="AA31" i="1"/>
  <c r="AA77" i="1" s="1"/>
  <c r="AB31" i="1"/>
  <c r="AB77" i="1" s="1"/>
  <c r="AD31" i="1"/>
  <c r="AD77" i="1" s="1"/>
  <c r="AE31" i="1"/>
  <c r="AE77" i="1" s="1"/>
  <c r="AF31" i="1"/>
  <c r="AF77" i="1" s="1"/>
  <c r="AG31" i="1"/>
  <c r="AG77" i="1" s="1"/>
  <c r="AH31" i="1"/>
  <c r="AH77" i="1" s="1"/>
  <c r="AI31" i="1"/>
  <c r="AI77" i="1" s="1"/>
  <c r="AK31" i="1"/>
  <c r="AK77" i="1" s="1"/>
  <c r="AL31" i="1"/>
  <c r="AL77" i="1" s="1"/>
  <c r="AM31" i="1"/>
  <c r="AM77" i="1" s="1"/>
  <c r="AN31" i="1"/>
  <c r="AN77" i="1" s="1"/>
  <c r="AO31" i="1"/>
  <c r="AO77" i="1" s="1"/>
  <c r="AP31" i="1"/>
  <c r="AP77" i="1" s="1"/>
  <c r="D32" i="1"/>
  <c r="D78" i="1" s="1"/>
  <c r="E32" i="1"/>
  <c r="E78" i="1" s="1"/>
  <c r="F32" i="1"/>
  <c r="F78" i="1" s="1"/>
  <c r="G32" i="1"/>
  <c r="G78" i="1" s="1"/>
  <c r="I32" i="1"/>
  <c r="I78" i="1" s="1"/>
  <c r="J32" i="1"/>
  <c r="J78" i="1" s="1"/>
  <c r="M32" i="1"/>
  <c r="M78" i="1" s="1"/>
  <c r="N32" i="1"/>
  <c r="N78" i="1" s="1"/>
  <c r="P32" i="1"/>
  <c r="P78" i="1" s="1"/>
  <c r="Q32" i="1"/>
  <c r="Q78" i="1" s="1"/>
  <c r="R32" i="1"/>
  <c r="R78" i="1" s="1"/>
  <c r="S32" i="1"/>
  <c r="S78" i="1" s="1"/>
  <c r="T32" i="1"/>
  <c r="T78" i="1" s="1"/>
  <c r="U32" i="1"/>
  <c r="U78" i="1" s="1"/>
  <c r="W32" i="1"/>
  <c r="W78" i="1" s="1"/>
  <c r="X32" i="1"/>
  <c r="X78" i="1" s="1"/>
  <c r="Y32" i="1"/>
  <c r="Y78" i="1" s="1"/>
  <c r="Z32" i="1"/>
  <c r="Z78" i="1" s="1"/>
  <c r="AA32" i="1"/>
  <c r="AA78" i="1" s="1"/>
  <c r="AB32" i="1"/>
  <c r="AB78" i="1" s="1"/>
  <c r="AD32" i="1"/>
  <c r="AD78" i="1" s="1"/>
  <c r="AE32" i="1"/>
  <c r="AE78" i="1" s="1"/>
  <c r="AF32" i="1"/>
  <c r="AF78" i="1" s="1"/>
  <c r="AG32" i="1"/>
  <c r="AG78" i="1" s="1"/>
  <c r="AH32" i="1"/>
  <c r="AH78" i="1" s="1"/>
  <c r="AI32" i="1"/>
  <c r="AI78" i="1" s="1"/>
  <c r="AK32" i="1"/>
  <c r="AK78" i="1" s="1"/>
  <c r="AL32" i="1"/>
  <c r="AL78" i="1" s="1"/>
  <c r="AM32" i="1"/>
  <c r="AM78" i="1" s="1"/>
  <c r="AN32" i="1"/>
  <c r="AN78" i="1" s="1"/>
  <c r="AO32" i="1"/>
  <c r="AO78" i="1" s="1"/>
  <c r="AP32" i="1"/>
  <c r="AP78" i="1" s="1"/>
  <c r="D33" i="1"/>
  <c r="D79" i="1" s="1"/>
  <c r="E33" i="1"/>
  <c r="E79" i="1" s="1"/>
  <c r="F33" i="1"/>
  <c r="F79" i="1" s="1"/>
  <c r="G33" i="1"/>
  <c r="G79" i="1" s="1"/>
  <c r="I33" i="1"/>
  <c r="I79" i="1" s="1"/>
  <c r="J33" i="1"/>
  <c r="J79" i="1" s="1"/>
  <c r="M33" i="1"/>
  <c r="M79" i="1" s="1"/>
  <c r="N33" i="1"/>
  <c r="N79" i="1" s="1"/>
  <c r="P33" i="1"/>
  <c r="P79" i="1" s="1"/>
  <c r="Q33" i="1"/>
  <c r="Q79" i="1" s="1"/>
  <c r="R33" i="1"/>
  <c r="R79" i="1" s="1"/>
  <c r="S33" i="1"/>
  <c r="S79" i="1" s="1"/>
  <c r="T33" i="1"/>
  <c r="T79" i="1" s="1"/>
  <c r="U33" i="1"/>
  <c r="U79" i="1" s="1"/>
  <c r="W33" i="1"/>
  <c r="W79" i="1" s="1"/>
  <c r="X33" i="1"/>
  <c r="X79" i="1" s="1"/>
  <c r="Y33" i="1"/>
  <c r="Y79" i="1" s="1"/>
  <c r="Z33" i="1"/>
  <c r="Z79" i="1" s="1"/>
  <c r="AA33" i="1"/>
  <c r="AA79" i="1" s="1"/>
  <c r="AB33" i="1"/>
  <c r="AB79" i="1" s="1"/>
  <c r="AD33" i="1"/>
  <c r="AD79" i="1" s="1"/>
  <c r="AE33" i="1"/>
  <c r="AE79" i="1" s="1"/>
  <c r="AF33" i="1"/>
  <c r="AF79" i="1" s="1"/>
  <c r="AG33" i="1"/>
  <c r="AG79" i="1" s="1"/>
  <c r="AH33" i="1"/>
  <c r="AH79" i="1" s="1"/>
  <c r="AI33" i="1"/>
  <c r="AI79" i="1" s="1"/>
  <c r="AK33" i="1"/>
  <c r="AK79" i="1" s="1"/>
  <c r="AL33" i="1"/>
  <c r="AL79" i="1" s="1"/>
  <c r="AM33" i="1"/>
  <c r="AM79" i="1" s="1"/>
  <c r="AN33" i="1"/>
  <c r="AN79" i="1" s="1"/>
  <c r="AO33" i="1"/>
  <c r="AO79" i="1" s="1"/>
  <c r="AP33" i="1"/>
  <c r="AP79" i="1" s="1"/>
  <c r="D34" i="1"/>
  <c r="D80" i="1" s="1"/>
  <c r="E34" i="1"/>
  <c r="E80" i="1" s="1"/>
  <c r="F34" i="1"/>
  <c r="F80" i="1" s="1"/>
  <c r="G34" i="1"/>
  <c r="G80" i="1" s="1"/>
  <c r="I34" i="1"/>
  <c r="I80" i="1" s="1"/>
  <c r="J34" i="1"/>
  <c r="J80" i="1" s="1"/>
  <c r="M34" i="1"/>
  <c r="M80" i="1" s="1"/>
  <c r="N34" i="1"/>
  <c r="N80" i="1" s="1"/>
  <c r="P34" i="1"/>
  <c r="P80" i="1" s="1"/>
  <c r="Q34" i="1"/>
  <c r="Q80" i="1" s="1"/>
  <c r="R34" i="1"/>
  <c r="R80" i="1" s="1"/>
  <c r="S34" i="1"/>
  <c r="S80" i="1" s="1"/>
  <c r="T34" i="1"/>
  <c r="T80" i="1" s="1"/>
  <c r="U34" i="1"/>
  <c r="U80" i="1" s="1"/>
  <c r="W34" i="1"/>
  <c r="W80" i="1" s="1"/>
  <c r="X34" i="1"/>
  <c r="X80" i="1" s="1"/>
  <c r="Y34" i="1"/>
  <c r="Y80" i="1" s="1"/>
  <c r="Z34" i="1"/>
  <c r="Z80" i="1" s="1"/>
  <c r="AA34" i="1"/>
  <c r="AA80" i="1" s="1"/>
  <c r="AB34" i="1"/>
  <c r="AB80" i="1" s="1"/>
  <c r="AD34" i="1"/>
  <c r="AD80" i="1" s="1"/>
  <c r="AE34" i="1"/>
  <c r="AE80" i="1" s="1"/>
  <c r="AF34" i="1"/>
  <c r="AF80" i="1" s="1"/>
  <c r="AG34" i="1"/>
  <c r="AG80" i="1" s="1"/>
  <c r="AH34" i="1"/>
  <c r="AH80" i="1" s="1"/>
  <c r="AI34" i="1"/>
  <c r="AI80" i="1" s="1"/>
  <c r="AK34" i="1"/>
  <c r="AK80" i="1" s="1"/>
  <c r="AL34" i="1"/>
  <c r="AL80" i="1" s="1"/>
  <c r="AM34" i="1"/>
  <c r="AM80" i="1" s="1"/>
  <c r="AN34" i="1"/>
  <c r="AN80" i="1" s="1"/>
  <c r="AO34" i="1"/>
  <c r="AO80" i="1" s="1"/>
  <c r="AP34" i="1"/>
  <c r="AP80" i="1" s="1"/>
  <c r="D35" i="1"/>
  <c r="D81" i="1" s="1"/>
  <c r="E35" i="1"/>
  <c r="E81" i="1" s="1"/>
  <c r="F35" i="1"/>
  <c r="F81" i="1" s="1"/>
  <c r="G35" i="1"/>
  <c r="G81" i="1" s="1"/>
  <c r="I35" i="1"/>
  <c r="I81" i="1" s="1"/>
  <c r="J35" i="1"/>
  <c r="J81" i="1" s="1"/>
  <c r="M35" i="1"/>
  <c r="M81" i="1" s="1"/>
  <c r="N35" i="1"/>
  <c r="N81" i="1" s="1"/>
  <c r="P35" i="1"/>
  <c r="P81" i="1" s="1"/>
  <c r="Q35" i="1"/>
  <c r="Q81" i="1" s="1"/>
  <c r="R35" i="1"/>
  <c r="R81" i="1" s="1"/>
  <c r="S35" i="1"/>
  <c r="S81" i="1" s="1"/>
  <c r="T35" i="1"/>
  <c r="T81" i="1" s="1"/>
  <c r="U35" i="1"/>
  <c r="U81" i="1" s="1"/>
  <c r="W35" i="1"/>
  <c r="W81" i="1" s="1"/>
  <c r="X35" i="1"/>
  <c r="X81" i="1" s="1"/>
  <c r="Y35" i="1"/>
  <c r="Y81" i="1" s="1"/>
  <c r="Z35" i="1"/>
  <c r="Z81" i="1" s="1"/>
  <c r="AA35" i="1"/>
  <c r="AA81" i="1" s="1"/>
  <c r="AB35" i="1"/>
  <c r="AB81" i="1" s="1"/>
  <c r="AD35" i="1"/>
  <c r="AD81" i="1" s="1"/>
  <c r="AE35" i="1"/>
  <c r="AE81" i="1" s="1"/>
  <c r="AF35" i="1"/>
  <c r="AF81" i="1" s="1"/>
  <c r="AG35" i="1"/>
  <c r="AG81" i="1" s="1"/>
  <c r="AH35" i="1"/>
  <c r="AH81" i="1" s="1"/>
  <c r="AI35" i="1"/>
  <c r="AI81" i="1" s="1"/>
  <c r="AK35" i="1"/>
  <c r="AK81" i="1" s="1"/>
  <c r="AL35" i="1"/>
  <c r="AL81" i="1" s="1"/>
  <c r="AM35" i="1"/>
  <c r="AM81" i="1" s="1"/>
  <c r="AN35" i="1"/>
  <c r="AN81" i="1" s="1"/>
  <c r="AO35" i="1"/>
  <c r="AO81" i="1" s="1"/>
  <c r="AP35" i="1"/>
  <c r="AP81" i="1" s="1"/>
  <c r="D36" i="1"/>
  <c r="D82" i="1" s="1"/>
  <c r="E36" i="1"/>
  <c r="E82" i="1" s="1"/>
  <c r="F36" i="1"/>
  <c r="F82" i="1" s="1"/>
  <c r="G36" i="1"/>
  <c r="G82" i="1" s="1"/>
  <c r="I36" i="1"/>
  <c r="I82" i="1" s="1"/>
  <c r="J36" i="1"/>
  <c r="J82" i="1" s="1"/>
  <c r="M36" i="1"/>
  <c r="M82" i="1" s="1"/>
  <c r="N36" i="1"/>
  <c r="N82" i="1" s="1"/>
  <c r="P36" i="1"/>
  <c r="P82" i="1" s="1"/>
  <c r="Q36" i="1"/>
  <c r="Q82" i="1" s="1"/>
  <c r="R36" i="1"/>
  <c r="R82" i="1" s="1"/>
  <c r="S36" i="1"/>
  <c r="S82" i="1" s="1"/>
  <c r="T36" i="1"/>
  <c r="T82" i="1" s="1"/>
  <c r="U36" i="1"/>
  <c r="U82" i="1" s="1"/>
  <c r="W36" i="1"/>
  <c r="W82" i="1" s="1"/>
  <c r="X36" i="1"/>
  <c r="X82" i="1" s="1"/>
  <c r="Y36" i="1"/>
  <c r="Y82" i="1" s="1"/>
  <c r="Z36" i="1"/>
  <c r="Z82" i="1" s="1"/>
  <c r="AA36" i="1"/>
  <c r="AA82" i="1" s="1"/>
  <c r="AB36" i="1"/>
  <c r="AB82" i="1" s="1"/>
  <c r="AD36" i="1"/>
  <c r="AD82" i="1" s="1"/>
  <c r="AE36" i="1"/>
  <c r="AE82" i="1" s="1"/>
  <c r="AF36" i="1"/>
  <c r="AF82" i="1" s="1"/>
  <c r="AG36" i="1"/>
  <c r="AG82" i="1" s="1"/>
  <c r="AH36" i="1"/>
  <c r="AH82" i="1" s="1"/>
  <c r="AI36" i="1"/>
  <c r="AI82" i="1" s="1"/>
  <c r="AK36" i="1"/>
  <c r="AK82" i="1" s="1"/>
  <c r="AL36" i="1"/>
  <c r="AL82" i="1" s="1"/>
  <c r="AM36" i="1"/>
  <c r="AM82" i="1" s="1"/>
  <c r="AN36" i="1"/>
  <c r="AN82" i="1" s="1"/>
  <c r="AO36" i="1"/>
  <c r="AO82" i="1" s="1"/>
  <c r="AP36" i="1"/>
  <c r="AP82" i="1" s="1"/>
  <c r="D37" i="1"/>
  <c r="D83" i="1" s="1"/>
  <c r="E37" i="1"/>
  <c r="E83" i="1" s="1"/>
  <c r="F37" i="1"/>
  <c r="F83" i="1" s="1"/>
  <c r="G37" i="1"/>
  <c r="G83" i="1" s="1"/>
  <c r="I37" i="1"/>
  <c r="I83" i="1" s="1"/>
  <c r="J37" i="1"/>
  <c r="J83" i="1" s="1"/>
  <c r="M37" i="1"/>
  <c r="M83" i="1" s="1"/>
  <c r="N37" i="1"/>
  <c r="N83" i="1" s="1"/>
  <c r="P37" i="1"/>
  <c r="P83" i="1" s="1"/>
  <c r="Q37" i="1"/>
  <c r="Q83" i="1" s="1"/>
  <c r="R37" i="1"/>
  <c r="R83" i="1" s="1"/>
  <c r="S37" i="1"/>
  <c r="S83" i="1" s="1"/>
  <c r="T37" i="1"/>
  <c r="T83" i="1" s="1"/>
  <c r="U37" i="1"/>
  <c r="U83" i="1" s="1"/>
  <c r="W37" i="1"/>
  <c r="W83" i="1" s="1"/>
  <c r="X37" i="1"/>
  <c r="X83" i="1" s="1"/>
  <c r="Y37" i="1"/>
  <c r="Y83" i="1" s="1"/>
  <c r="Z37" i="1"/>
  <c r="Z83" i="1" s="1"/>
  <c r="AA37" i="1"/>
  <c r="AA83" i="1" s="1"/>
  <c r="AB37" i="1"/>
  <c r="AB83" i="1" s="1"/>
  <c r="AD37" i="1"/>
  <c r="AD83" i="1" s="1"/>
  <c r="AE37" i="1"/>
  <c r="AE83" i="1" s="1"/>
  <c r="AF37" i="1"/>
  <c r="AF83" i="1" s="1"/>
  <c r="AG37" i="1"/>
  <c r="AG83" i="1" s="1"/>
  <c r="AH37" i="1"/>
  <c r="AH83" i="1" s="1"/>
  <c r="AI37" i="1"/>
  <c r="AI83" i="1" s="1"/>
  <c r="AK37" i="1"/>
  <c r="AK83" i="1" s="1"/>
  <c r="AL37" i="1"/>
  <c r="AL83" i="1" s="1"/>
  <c r="AM37" i="1"/>
  <c r="AM83" i="1" s="1"/>
  <c r="AN37" i="1"/>
  <c r="AN83" i="1" s="1"/>
  <c r="AO37" i="1"/>
  <c r="AO83" i="1" s="1"/>
  <c r="AP37" i="1"/>
  <c r="AP83" i="1" s="1"/>
  <c r="D38" i="1"/>
  <c r="D84" i="1" s="1"/>
  <c r="E38" i="1"/>
  <c r="E84" i="1" s="1"/>
  <c r="F38" i="1"/>
  <c r="F84" i="1" s="1"/>
  <c r="G38" i="1"/>
  <c r="G84" i="1" s="1"/>
  <c r="I38" i="1"/>
  <c r="I84" i="1" s="1"/>
  <c r="J38" i="1"/>
  <c r="J84" i="1" s="1"/>
  <c r="M38" i="1"/>
  <c r="M84" i="1" s="1"/>
  <c r="N38" i="1"/>
  <c r="N84" i="1" s="1"/>
  <c r="P38" i="1"/>
  <c r="P84" i="1" s="1"/>
  <c r="Q38" i="1"/>
  <c r="Q84" i="1" s="1"/>
  <c r="R38" i="1"/>
  <c r="R84" i="1" s="1"/>
  <c r="S38" i="1"/>
  <c r="S84" i="1" s="1"/>
  <c r="T38" i="1"/>
  <c r="T84" i="1" s="1"/>
  <c r="U38" i="1"/>
  <c r="U84" i="1" s="1"/>
  <c r="W38" i="1"/>
  <c r="W84" i="1" s="1"/>
  <c r="X38" i="1"/>
  <c r="X84" i="1" s="1"/>
  <c r="Y38" i="1"/>
  <c r="Y84" i="1" s="1"/>
  <c r="Z38" i="1"/>
  <c r="Z84" i="1" s="1"/>
  <c r="AA38" i="1"/>
  <c r="AA84" i="1" s="1"/>
  <c r="AB38" i="1"/>
  <c r="AB84" i="1" s="1"/>
  <c r="AD38" i="1"/>
  <c r="AD84" i="1" s="1"/>
  <c r="AE38" i="1"/>
  <c r="AE84" i="1" s="1"/>
  <c r="AF38" i="1"/>
  <c r="AF84" i="1" s="1"/>
  <c r="AG38" i="1"/>
  <c r="AG84" i="1" s="1"/>
  <c r="AH38" i="1"/>
  <c r="AH84" i="1" s="1"/>
  <c r="AI38" i="1"/>
  <c r="AI84" i="1" s="1"/>
  <c r="AK38" i="1"/>
  <c r="AK84" i="1" s="1"/>
  <c r="AL38" i="1"/>
  <c r="AL84" i="1" s="1"/>
  <c r="AM38" i="1"/>
  <c r="AM84" i="1" s="1"/>
  <c r="AN38" i="1"/>
  <c r="AN84" i="1" s="1"/>
  <c r="AO38" i="1"/>
  <c r="AO84" i="1" s="1"/>
  <c r="AP38" i="1"/>
  <c r="AP84" i="1" s="1"/>
  <c r="D39" i="1"/>
  <c r="D85" i="1" s="1"/>
  <c r="E39" i="1"/>
  <c r="E85" i="1" s="1"/>
  <c r="F39" i="1"/>
  <c r="F85" i="1" s="1"/>
  <c r="G39" i="1"/>
  <c r="G85" i="1" s="1"/>
  <c r="I39" i="1"/>
  <c r="I85" i="1" s="1"/>
  <c r="J39" i="1"/>
  <c r="J85" i="1" s="1"/>
  <c r="M39" i="1"/>
  <c r="M85" i="1" s="1"/>
  <c r="N39" i="1"/>
  <c r="N85" i="1" s="1"/>
  <c r="P39" i="1"/>
  <c r="P85" i="1" s="1"/>
  <c r="Q39" i="1"/>
  <c r="Q85" i="1" s="1"/>
  <c r="R39" i="1"/>
  <c r="R85" i="1" s="1"/>
  <c r="S39" i="1"/>
  <c r="S85" i="1" s="1"/>
  <c r="T39" i="1"/>
  <c r="T85" i="1" s="1"/>
  <c r="U39" i="1"/>
  <c r="U85" i="1" s="1"/>
  <c r="W39" i="1"/>
  <c r="W85" i="1" s="1"/>
  <c r="X39" i="1"/>
  <c r="X85" i="1" s="1"/>
  <c r="Y39" i="1"/>
  <c r="Y85" i="1" s="1"/>
  <c r="Z39" i="1"/>
  <c r="Z85" i="1" s="1"/>
  <c r="AA39" i="1"/>
  <c r="AA85" i="1" s="1"/>
  <c r="AB39" i="1"/>
  <c r="AB85" i="1" s="1"/>
  <c r="AD39" i="1"/>
  <c r="AD85" i="1" s="1"/>
  <c r="AE39" i="1"/>
  <c r="AE85" i="1" s="1"/>
  <c r="AF39" i="1"/>
  <c r="AF85" i="1" s="1"/>
  <c r="AG39" i="1"/>
  <c r="AG85" i="1" s="1"/>
  <c r="AH39" i="1"/>
  <c r="AH85" i="1" s="1"/>
  <c r="AI39" i="1"/>
  <c r="AI85" i="1" s="1"/>
  <c r="AK39" i="1"/>
  <c r="AK85" i="1" s="1"/>
  <c r="AL39" i="1"/>
  <c r="AL85" i="1" s="1"/>
  <c r="AM39" i="1"/>
  <c r="AM85" i="1" s="1"/>
  <c r="AN39" i="1"/>
  <c r="AN85" i="1" s="1"/>
  <c r="AO39" i="1"/>
  <c r="AO85" i="1" s="1"/>
  <c r="AP39" i="1"/>
  <c r="AP85" i="1" s="1"/>
  <c r="D40" i="1"/>
  <c r="D86" i="1" s="1"/>
  <c r="E40" i="1"/>
  <c r="E86" i="1" s="1"/>
  <c r="F40" i="1"/>
  <c r="F86" i="1" s="1"/>
  <c r="G40" i="1"/>
  <c r="G86" i="1" s="1"/>
  <c r="I40" i="1"/>
  <c r="I86" i="1" s="1"/>
  <c r="J40" i="1"/>
  <c r="J86" i="1" s="1"/>
  <c r="M40" i="1"/>
  <c r="M86" i="1" s="1"/>
  <c r="N40" i="1"/>
  <c r="N86" i="1" s="1"/>
  <c r="P40" i="1"/>
  <c r="P86" i="1" s="1"/>
  <c r="Q40" i="1"/>
  <c r="Q86" i="1" s="1"/>
  <c r="R40" i="1"/>
  <c r="R86" i="1" s="1"/>
  <c r="S40" i="1"/>
  <c r="S86" i="1" s="1"/>
  <c r="T40" i="1"/>
  <c r="T86" i="1" s="1"/>
  <c r="U40" i="1"/>
  <c r="U86" i="1" s="1"/>
  <c r="W40" i="1"/>
  <c r="W86" i="1" s="1"/>
  <c r="X40" i="1"/>
  <c r="X86" i="1" s="1"/>
  <c r="Y40" i="1"/>
  <c r="Y86" i="1" s="1"/>
  <c r="Z40" i="1"/>
  <c r="Z86" i="1" s="1"/>
  <c r="AA40" i="1"/>
  <c r="AA86" i="1" s="1"/>
  <c r="AB40" i="1"/>
  <c r="AB86" i="1" s="1"/>
  <c r="AD40" i="1"/>
  <c r="AD86" i="1" s="1"/>
  <c r="AE40" i="1"/>
  <c r="AE86" i="1" s="1"/>
  <c r="AF40" i="1"/>
  <c r="AF86" i="1" s="1"/>
  <c r="AG40" i="1"/>
  <c r="AG86" i="1" s="1"/>
  <c r="AH40" i="1"/>
  <c r="AH86" i="1" s="1"/>
  <c r="AI40" i="1"/>
  <c r="AI86" i="1" s="1"/>
  <c r="AK40" i="1"/>
  <c r="AK86" i="1" s="1"/>
  <c r="AL40" i="1"/>
  <c r="AL86" i="1" s="1"/>
  <c r="AM40" i="1"/>
  <c r="AM86" i="1" s="1"/>
  <c r="AN40" i="1"/>
  <c r="AN86" i="1" s="1"/>
  <c r="AO40" i="1"/>
  <c r="AO86" i="1" s="1"/>
  <c r="AP40" i="1"/>
  <c r="AP86" i="1" s="1"/>
  <c r="D41" i="1"/>
  <c r="D87" i="1" s="1"/>
  <c r="E41" i="1"/>
  <c r="E87" i="1" s="1"/>
  <c r="F41" i="1"/>
  <c r="F87" i="1" s="1"/>
  <c r="G41" i="1"/>
  <c r="G87" i="1" s="1"/>
  <c r="I41" i="1"/>
  <c r="I87" i="1" s="1"/>
  <c r="J41" i="1"/>
  <c r="J87" i="1" s="1"/>
  <c r="M41" i="1"/>
  <c r="M87" i="1" s="1"/>
  <c r="N41" i="1"/>
  <c r="N87" i="1" s="1"/>
  <c r="P41" i="1"/>
  <c r="P87" i="1" s="1"/>
  <c r="Q41" i="1"/>
  <c r="Q87" i="1" s="1"/>
  <c r="R41" i="1"/>
  <c r="R87" i="1" s="1"/>
  <c r="S41" i="1"/>
  <c r="S87" i="1" s="1"/>
  <c r="T41" i="1"/>
  <c r="T87" i="1" s="1"/>
  <c r="U41" i="1"/>
  <c r="U87" i="1" s="1"/>
  <c r="W41" i="1"/>
  <c r="W87" i="1" s="1"/>
  <c r="X41" i="1"/>
  <c r="X87" i="1" s="1"/>
  <c r="Y41" i="1"/>
  <c r="Y87" i="1" s="1"/>
  <c r="Z41" i="1"/>
  <c r="Z87" i="1" s="1"/>
  <c r="AA41" i="1"/>
  <c r="AA87" i="1" s="1"/>
  <c r="AB41" i="1"/>
  <c r="AB87" i="1" s="1"/>
  <c r="AD41" i="1"/>
  <c r="AD87" i="1" s="1"/>
  <c r="AE41" i="1"/>
  <c r="AE87" i="1" s="1"/>
  <c r="AF41" i="1"/>
  <c r="AF87" i="1" s="1"/>
  <c r="AG41" i="1"/>
  <c r="AG87" i="1" s="1"/>
  <c r="AH41" i="1"/>
  <c r="AH87" i="1" s="1"/>
  <c r="AI41" i="1"/>
  <c r="AI87" i="1" s="1"/>
  <c r="AK41" i="1"/>
  <c r="AK87" i="1" s="1"/>
  <c r="AL41" i="1"/>
  <c r="AL87" i="1" s="1"/>
  <c r="AM41" i="1"/>
  <c r="AM87" i="1" s="1"/>
  <c r="AN41" i="1"/>
  <c r="AN87" i="1" s="1"/>
  <c r="AO41" i="1"/>
  <c r="AO87" i="1" s="1"/>
  <c r="AP41" i="1"/>
  <c r="AP87" i="1" s="1"/>
  <c r="D42" i="1"/>
  <c r="D88" i="1" s="1"/>
  <c r="E42" i="1"/>
  <c r="E88" i="1" s="1"/>
  <c r="F42" i="1"/>
  <c r="F88" i="1" s="1"/>
  <c r="G42" i="1"/>
  <c r="G88" i="1" s="1"/>
  <c r="I42" i="1"/>
  <c r="I88" i="1" s="1"/>
  <c r="J42" i="1"/>
  <c r="J88" i="1" s="1"/>
  <c r="M42" i="1"/>
  <c r="M88" i="1" s="1"/>
  <c r="N42" i="1"/>
  <c r="N88" i="1" s="1"/>
  <c r="P42" i="1"/>
  <c r="P88" i="1" s="1"/>
  <c r="Q42" i="1"/>
  <c r="Q88" i="1" s="1"/>
  <c r="R42" i="1"/>
  <c r="R88" i="1" s="1"/>
  <c r="S42" i="1"/>
  <c r="S88" i="1" s="1"/>
  <c r="T42" i="1"/>
  <c r="T88" i="1" s="1"/>
  <c r="U42" i="1"/>
  <c r="U88" i="1" s="1"/>
  <c r="W42" i="1"/>
  <c r="W88" i="1" s="1"/>
  <c r="X42" i="1"/>
  <c r="X88" i="1" s="1"/>
  <c r="Y42" i="1"/>
  <c r="Y88" i="1" s="1"/>
  <c r="Z42" i="1"/>
  <c r="Z88" i="1" s="1"/>
  <c r="AA42" i="1"/>
  <c r="AA88" i="1" s="1"/>
  <c r="AB42" i="1"/>
  <c r="AB88" i="1" s="1"/>
  <c r="AD42" i="1"/>
  <c r="AD88" i="1" s="1"/>
  <c r="AE42" i="1"/>
  <c r="AE88" i="1" s="1"/>
  <c r="AF42" i="1"/>
  <c r="AF88" i="1" s="1"/>
  <c r="AG42" i="1"/>
  <c r="AG88" i="1" s="1"/>
  <c r="AH42" i="1"/>
  <c r="AH88" i="1" s="1"/>
  <c r="AI42" i="1"/>
  <c r="AI88" i="1" s="1"/>
  <c r="AK42" i="1"/>
  <c r="AK88" i="1" s="1"/>
  <c r="AL42" i="1"/>
  <c r="AL88" i="1" s="1"/>
  <c r="AM42" i="1"/>
  <c r="AM88" i="1" s="1"/>
  <c r="AN42" i="1"/>
  <c r="AN88" i="1" s="1"/>
  <c r="AO42" i="1"/>
  <c r="AO88" i="1" s="1"/>
  <c r="AP42" i="1"/>
  <c r="AP88" i="1" s="1"/>
  <c r="D43" i="1"/>
  <c r="D89" i="1" s="1"/>
  <c r="E43" i="1"/>
  <c r="E89" i="1" s="1"/>
  <c r="F43" i="1"/>
  <c r="F89" i="1" s="1"/>
  <c r="G43" i="1"/>
  <c r="G89" i="1" s="1"/>
  <c r="I43" i="1"/>
  <c r="I89" i="1" s="1"/>
  <c r="J43" i="1"/>
  <c r="J89" i="1" s="1"/>
  <c r="M43" i="1"/>
  <c r="M89" i="1" s="1"/>
  <c r="N43" i="1"/>
  <c r="N89" i="1" s="1"/>
  <c r="P43" i="1"/>
  <c r="P89" i="1" s="1"/>
  <c r="Q43" i="1"/>
  <c r="Q89" i="1" s="1"/>
  <c r="R43" i="1"/>
  <c r="R89" i="1" s="1"/>
  <c r="S43" i="1"/>
  <c r="S89" i="1" s="1"/>
  <c r="T43" i="1"/>
  <c r="T89" i="1" s="1"/>
  <c r="U43" i="1"/>
  <c r="U89" i="1" s="1"/>
  <c r="W43" i="1"/>
  <c r="W89" i="1" s="1"/>
  <c r="X43" i="1"/>
  <c r="X89" i="1" s="1"/>
  <c r="Y43" i="1"/>
  <c r="Y89" i="1" s="1"/>
  <c r="Z43" i="1"/>
  <c r="Z89" i="1" s="1"/>
  <c r="AA43" i="1"/>
  <c r="AA89" i="1" s="1"/>
  <c r="AB43" i="1"/>
  <c r="AB89" i="1" s="1"/>
  <c r="AD43" i="1"/>
  <c r="AD89" i="1" s="1"/>
  <c r="AE43" i="1"/>
  <c r="AE89" i="1" s="1"/>
  <c r="AF43" i="1"/>
  <c r="AF89" i="1" s="1"/>
  <c r="AG43" i="1"/>
  <c r="AG89" i="1" s="1"/>
  <c r="AH43" i="1"/>
  <c r="AH89" i="1" s="1"/>
  <c r="AI43" i="1"/>
  <c r="AI89" i="1" s="1"/>
  <c r="AK43" i="1"/>
  <c r="AK89" i="1" s="1"/>
  <c r="AL43" i="1"/>
  <c r="AL89" i="1" s="1"/>
  <c r="AM43" i="1"/>
  <c r="AM89" i="1" s="1"/>
  <c r="AN43" i="1"/>
  <c r="AN89" i="1" s="1"/>
  <c r="AO43" i="1"/>
  <c r="AO89" i="1" s="1"/>
  <c r="AP43" i="1"/>
  <c r="AP89" i="1" s="1"/>
  <c r="D44" i="1"/>
  <c r="D90" i="1" s="1"/>
  <c r="E44" i="1"/>
  <c r="E90" i="1" s="1"/>
  <c r="F44" i="1"/>
  <c r="F90" i="1" s="1"/>
  <c r="G44" i="1"/>
  <c r="G90" i="1" s="1"/>
  <c r="I44" i="1"/>
  <c r="I90" i="1" s="1"/>
  <c r="J44" i="1"/>
  <c r="J90" i="1" s="1"/>
  <c r="M44" i="1"/>
  <c r="M90" i="1" s="1"/>
  <c r="N44" i="1"/>
  <c r="N90" i="1" s="1"/>
  <c r="P44" i="1"/>
  <c r="P90" i="1" s="1"/>
  <c r="Q44" i="1"/>
  <c r="Q90" i="1" s="1"/>
  <c r="R44" i="1"/>
  <c r="R90" i="1" s="1"/>
  <c r="S44" i="1"/>
  <c r="S90" i="1" s="1"/>
  <c r="T44" i="1"/>
  <c r="T90" i="1" s="1"/>
  <c r="U44" i="1"/>
  <c r="U90" i="1" s="1"/>
  <c r="W44" i="1"/>
  <c r="W90" i="1" s="1"/>
  <c r="X44" i="1"/>
  <c r="X90" i="1" s="1"/>
  <c r="Y44" i="1"/>
  <c r="Y90" i="1" s="1"/>
  <c r="Z44" i="1"/>
  <c r="Z90" i="1" s="1"/>
  <c r="AA44" i="1"/>
  <c r="AA90" i="1" s="1"/>
  <c r="AB44" i="1"/>
  <c r="AB90" i="1" s="1"/>
  <c r="AD44" i="1"/>
  <c r="AD90" i="1" s="1"/>
  <c r="AE44" i="1"/>
  <c r="AE90" i="1" s="1"/>
  <c r="AF44" i="1"/>
  <c r="AF90" i="1" s="1"/>
  <c r="AG44" i="1"/>
  <c r="AG90" i="1" s="1"/>
  <c r="AH44" i="1"/>
  <c r="AH90" i="1" s="1"/>
  <c r="AI44" i="1"/>
  <c r="AI90" i="1" s="1"/>
  <c r="AK44" i="1"/>
  <c r="AK90" i="1" s="1"/>
  <c r="AL44" i="1"/>
  <c r="AL90" i="1" s="1"/>
  <c r="AM44" i="1"/>
  <c r="AM90" i="1" s="1"/>
  <c r="AN44" i="1"/>
  <c r="AN90" i="1" s="1"/>
  <c r="AO44" i="1"/>
  <c r="AO90" i="1" s="1"/>
  <c r="AP44" i="1"/>
  <c r="AP90" i="1" s="1"/>
  <c r="D45" i="1"/>
  <c r="D91" i="1" s="1"/>
  <c r="E45" i="1"/>
  <c r="E91" i="1" s="1"/>
  <c r="F45" i="1"/>
  <c r="F91" i="1" s="1"/>
  <c r="G45" i="1"/>
  <c r="G91" i="1" s="1"/>
  <c r="I45" i="1"/>
  <c r="I91" i="1" s="1"/>
  <c r="J45" i="1"/>
  <c r="J91" i="1" s="1"/>
  <c r="M45" i="1"/>
  <c r="M91" i="1" s="1"/>
  <c r="N45" i="1"/>
  <c r="N91" i="1" s="1"/>
  <c r="P45" i="1"/>
  <c r="P91" i="1" s="1"/>
  <c r="Q45" i="1"/>
  <c r="Q91" i="1" s="1"/>
  <c r="R45" i="1"/>
  <c r="R91" i="1" s="1"/>
  <c r="S45" i="1"/>
  <c r="S91" i="1" s="1"/>
  <c r="T45" i="1"/>
  <c r="T91" i="1" s="1"/>
  <c r="U45" i="1"/>
  <c r="U91" i="1" s="1"/>
  <c r="W45" i="1"/>
  <c r="W91" i="1" s="1"/>
  <c r="X45" i="1"/>
  <c r="X91" i="1" s="1"/>
  <c r="Y45" i="1"/>
  <c r="Y91" i="1" s="1"/>
  <c r="Z45" i="1"/>
  <c r="Z91" i="1" s="1"/>
  <c r="AA45" i="1"/>
  <c r="AA91" i="1" s="1"/>
  <c r="AB45" i="1"/>
  <c r="AB91" i="1" s="1"/>
  <c r="AD45" i="1"/>
  <c r="AD91" i="1" s="1"/>
  <c r="AE45" i="1"/>
  <c r="AE91" i="1" s="1"/>
  <c r="AF45" i="1"/>
  <c r="AF91" i="1" s="1"/>
  <c r="AG45" i="1"/>
  <c r="AG91" i="1" s="1"/>
  <c r="AH45" i="1"/>
  <c r="AH91" i="1" s="1"/>
  <c r="AI45" i="1"/>
  <c r="AI91" i="1" s="1"/>
  <c r="AK45" i="1"/>
  <c r="AK91" i="1" s="1"/>
  <c r="AL45" i="1"/>
  <c r="AL91" i="1" s="1"/>
  <c r="AM45" i="1"/>
  <c r="AM91" i="1" s="1"/>
  <c r="AN45" i="1"/>
  <c r="AN91" i="1" s="1"/>
  <c r="AO45" i="1"/>
  <c r="AO91" i="1" s="1"/>
  <c r="AP45" i="1"/>
  <c r="AP91" i="1" s="1"/>
  <c r="D46" i="1"/>
  <c r="D92" i="1" s="1"/>
  <c r="E46" i="1"/>
  <c r="E92" i="1" s="1"/>
  <c r="F46" i="1"/>
  <c r="F92" i="1" s="1"/>
  <c r="G46" i="1"/>
  <c r="G92" i="1" s="1"/>
  <c r="I46" i="1"/>
  <c r="I92" i="1" s="1"/>
  <c r="J46" i="1"/>
  <c r="J92" i="1" s="1"/>
  <c r="M46" i="1"/>
  <c r="M92" i="1" s="1"/>
  <c r="N46" i="1"/>
  <c r="N92" i="1" s="1"/>
  <c r="P46" i="1"/>
  <c r="P92" i="1" s="1"/>
  <c r="Q46" i="1"/>
  <c r="Q92" i="1" s="1"/>
  <c r="R46" i="1"/>
  <c r="R92" i="1" s="1"/>
  <c r="S46" i="1"/>
  <c r="S92" i="1" s="1"/>
  <c r="T46" i="1"/>
  <c r="T92" i="1" s="1"/>
  <c r="U46" i="1"/>
  <c r="U92" i="1" s="1"/>
  <c r="W46" i="1"/>
  <c r="W92" i="1" s="1"/>
  <c r="X46" i="1"/>
  <c r="X92" i="1" s="1"/>
  <c r="Y46" i="1"/>
  <c r="Y92" i="1" s="1"/>
  <c r="Z46" i="1"/>
  <c r="Z92" i="1" s="1"/>
  <c r="AA46" i="1"/>
  <c r="AA92" i="1" s="1"/>
  <c r="AB46" i="1"/>
  <c r="AB92" i="1" s="1"/>
  <c r="AD46" i="1"/>
  <c r="AD92" i="1" s="1"/>
  <c r="AE46" i="1"/>
  <c r="AE92" i="1" s="1"/>
  <c r="AF46" i="1"/>
  <c r="AF92" i="1" s="1"/>
  <c r="AG46" i="1"/>
  <c r="AG92" i="1" s="1"/>
  <c r="AH46" i="1"/>
  <c r="AH92" i="1" s="1"/>
  <c r="AI46" i="1"/>
  <c r="AI92" i="1" s="1"/>
  <c r="AK46" i="1"/>
  <c r="AK92" i="1" s="1"/>
  <c r="AL46" i="1"/>
  <c r="AL92" i="1" s="1"/>
  <c r="AM46" i="1"/>
  <c r="AM92" i="1" s="1"/>
  <c r="AN46" i="1"/>
  <c r="AN92" i="1" s="1"/>
  <c r="AO46" i="1"/>
  <c r="AO92" i="1" s="1"/>
  <c r="AP46" i="1"/>
  <c r="AP92" i="1" s="1"/>
  <c r="AN3" i="1"/>
  <c r="AN49" i="1" s="1"/>
  <c r="AM3" i="1"/>
  <c r="AM49" i="1" s="1"/>
  <c r="AG3" i="1"/>
  <c r="AG49" i="1" s="1"/>
  <c r="AF3" i="1"/>
  <c r="AF49" i="1" s="1"/>
  <c r="Z3" i="1"/>
  <c r="Z49" i="1" s="1"/>
  <c r="Y3" i="1"/>
  <c r="Y49" i="1" s="1"/>
  <c r="S3" i="1"/>
  <c r="S49" i="1" s="1"/>
  <c r="R3" i="1"/>
  <c r="R49" i="1" s="1"/>
  <c r="E3" i="1"/>
  <c r="E49" i="1" s="1"/>
  <c r="D3" i="1"/>
  <c r="D49" i="1" s="1"/>
  <c r="AP3" i="1"/>
  <c r="AP49" i="1" s="1"/>
  <c r="AO3" i="1"/>
  <c r="AO49" i="1" s="1"/>
  <c r="AI3" i="1"/>
  <c r="AI49" i="1" s="1"/>
  <c r="AH3" i="1"/>
  <c r="AH49" i="1" s="1"/>
  <c r="AB3" i="1"/>
  <c r="AB49" i="1" s="1"/>
  <c r="AA3" i="1"/>
  <c r="AA49" i="1" s="1"/>
  <c r="U3" i="1"/>
  <c r="U49" i="1" s="1"/>
  <c r="T3" i="1"/>
  <c r="T49" i="1" s="1"/>
  <c r="N3" i="1"/>
  <c r="N49" i="1" s="1"/>
  <c r="M3" i="1"/>
  <c r="M49" i="1" s="1"/>
  <c r="G3" i="1"/>
  <c r="G49" i="1" s="1"/>
  <c r="F3" i="1"/>
  <c r="F49" i="1" s="1"/>
  <c r="B4" i="1"/>
  <c r="B50" i="1" s="1"/>
  <c r="C4" i="1"/>
  <c r="C50" i="1" s="1"/>
  <c r="B5" i="1"/>
  <c r="B51" i="1" s="1"/>
  <c r="C5" i="1"/>
  <c r="C51" i="1" s="1"/>
  <c r="B6" i="1"/>
  <c r="B52" i="1" s="1"/>
  <c r="C6" i="1"/>
  <c r="C52" i="1" s="1"/>
  <c r="B7" i="1"/>
  <c r="B53" i="1" s="1"/>
  <c r="C7" i="1"/>
  <c r="C53" i="1" s="1"/>
  <c r="B8" i="1"/>
  <c r="B54" i="1" s="1"/>
  <c r="C8" i="1"/>
  <c r="C54" i="1" s="1"/>
  <c r="B9" i="1"/>
  <c r="B55" i="1" s="1"/>
  <c r="C9" i="1"/>
  <c r="C55" i="1" s="1"/>
  <c r="B10" i="1"/>
  <c r="B56" i="1" s="1"/>
  <c r="C10" i="1"/>
  <c r="C56" i="1" s="1"/>
  <c r="B11" i="1"/>
  <c r="B57" i="1" s="1"/>
  <c r="C11" i="1"/>
  <c r="C57" i="1" s="1"/>
  <c r="B12" i="1"/>
  <c r="B58" i="1" s="1"/>
  <c r="C12" i="1"/>
  <c r="C58" i="1" s="1"/>
  <c r="B13" i="1"/>
  <c r="B59" i="1" s="1"/>
  <c r="C13" i="1"/>
  <c r="C59" i="1" s="1"/>
  <c r="B14" i="1"/>
  <c r="B60" i="1" s="1"/>
  <c r="C14" i="1"/>
  <c r="C60" i="1" s="1"/>
  <c r="B15" i="1"/>
  <c r="B61" i="1" s="1"/>
  <c r="C15" i="1"/>
  <c r="C61" i="1" s="1"/>
  <c r="B16" i="1"/>
  <c r="B62" i="1" s="1"/>
  <c r="C16" i="1"/>
  <c r="C62" i="1" s="1"/>
  <c r="B17" i="1"/>
  <c r="B63" i="1" s="1"/>
  <c r="C17" i="1"/>
  <c r="C63" i="1" s="1"/>
  <c r="B18" i="1"/>
  <c r="B64" i="1" s="1"/>
  <c r="C18" i="1"/>
  <c r="C64" i="1" s="1"/>
  <c r="B19" i="1"/>
  <c r="B65" i="1" s="1"/>
  <c r="C19" i="1"/>
  <c r="C65" i="1" s="1"/>
  <c r="B20" i="1"/>
  <c r="B66" i="1" s="1"/>
  <c r="C20" i="1"/>
  <c r="C66" i="1" s="1"/>
  <c r="B21" i="1"/>
  <c r="B67" i="1" s="1"/>
  <c r="C21" i="1"/>
  <c r="C67" i="1" s="1"/>
  <c r="B22" i="1"/>
  <c r="B68" i="1" s="1"/>
  <c r="C22" i="1"/>
  <c r="C68" i="1" s="1"/>
  <c r="B23" i="1"/>
  <c r="B69" i="1" s="1"/>
  <c r="C23" i="1"/>
  <c r="C69" i="1" s="1"/>
  <c r="B24" i="1"/>
  <c r="B70" i="1" s="1"/>
  <c r="C24" i="1"/>
  <c r="C70" i="1" s="1"/>
  <c r="B25" i="1"/>
  <c r="B71" i="1" s="1"/>
  <c r="C25" i="1"/>
  <c r="C71" i="1" s="1"/>
  <c r="B26" i="1"/>
  <c r="B72" i="1" s="1"/>
  <c r="C26" i="1"/>
  <c r="C72" i="1" s="1"/>
  <c r="B27" i="1"/>
  <c r="B73" i="1" s="1"/>
  <c r="C27" i="1"/>
  <c r="C73" i="1" s="1"/>
  <c r="B28" i="1"/>
  <c r="B74" i="1" s="1"/>
  <c r="C28" i="1"/>
  <c r="C74" i="1" s="1"/>
  <c r="B29" i="1"/>
  <c r="B75" i="1" s="1"/>
  <c r="C29" i="1"/>
  <c r="C75" i="1" s="1"/>
  <c r="B30" i="1"/>
  <c r="B76" i="1" s="1"/>
  <c r="C30" i="1"/>
  <c r="C76" i="1" s="1"/>
  <c r="B31" i="1"/>
  <c r="B77" i="1" s="1"/>
  <c r="C31" i="1"/>
  <c r="C77" i="1" s="1"/>
  <c r="B32" i="1"/>
  <c r="B78" i="1" s="1"/>
  <c r="C32" i="1"/>
  <c r="C78" i="1" s="1"/>
  <c r="B33" i="1"/>
  <c r="B79" i="1" s="1"/>
  <c r="C33" i="1"/>
  <c r="C79" i="1" s="1"/>
  <c r="B34" i="1"/>
  <c r="B80" i="1" s="1"/>
  <c r="C34" i="1"/>
  <c r="C80" i="1" s="1"/>
  <c r="B35" i="1"/>
  <c r="B81" i="1" s="1"/>
  <c r="C35" i="1"/>
  <c r="C81" i="1" s="1"/>
  <c r="B36" i="1"/>
  <c r="B82" i="1" s="1"/>
  <c r="C36" i="1"/>
  <c r="C82" i="1" s="1"/>
  <c r="B37" i="1"/>
  <c r="B83" i="1" s="1"/>
  <c r="C37" i="1"/>
  <c r="C83" i="1" s="1"/>
  <c r="B38" i="1"/>
  <c r="B84" i="1" s="1"/>
  <c r="C38" i="1"/>
  <c r="C84" i="1" s="1"/>
  <c r="B39" i="1"/>
  <c r="B85" i="1" s="1"/>
  <c r="C39" i="1"/>
  <c r="C85" i="1" s="1"/>
  <c r="B40" i="1"/>
  <c r="B86" i="1" s="1"/>
  <c r="C40" i="1"/>
  <c r="C86" i="1" s="1"/>
  <c r="B41" i="1"/>
  <c r="B87" i="1" s="1"/>
  <c r="C41" i="1"/>
  <c r="C87" i="1" s="1"/>
  <c r="B42" i="1"/>
  <c r="B88" i="1" s="1"/>
  <c r="C42" i="1"/>
  <c r="C88" i="1" s="1"/>
  <c r="B43" i="1"/>
  <c r="B89" i="1" s="1"/>
  <c r="C43" i="1"/>
  <c r="C89" i="1" s="1"/>
  <c r="B44" i="1"/>
  <c r="B90" i="1" s="1"/>
  <c r="C44" i="1"/>
  <c r="C90" i="1" s="1"/>
  <c r="B45" i="1"/>
  <c r="B91" i="1" s="1"/>
  <c r="C45" i="1"/>
  <c r="C91" i="1" s="1"/>
  <c r="B46" i="1"/>
  <c r="B92" i="1" s="1"/>
  <c r="C46" i="1"/>
  <c r="C92" i="1" s="1"/>
  <c r="AL3" i="1"/>
  <c r="AL49" i="1" s="1"/>
  <c r="AK3" i="1"/>
  <c r="AK49" i="1" s="1"/>
  <c r="AE3" i="1"/>
  <c r="AE49" i="1" s="1"/>
  <c r="AD3" i="1"/>
  <c r="AD49" i="1" s="1"/>
  <c r="X3" i="1"/>
  <c r="X49" i="1" s="1"/>
  <c r="W3" i="1"/>
  <c r="W49" i="1" s="1"/>
  <c r="Q3" i="1"/>
  <c r="Q49" i="1" s="1"/>
  <c r="P3" i="1"/>
  <c r="P49" i="1" s="1"/>
  <c r="J3" i="1"/>
  <c r="J49" i="1" s="1"/>
  <c r="I3" i="1"/>
  <c r="I49" i="1" s="1"/>
  <c r="C3" i="1"/>
  <c r="C49" i="1" s="1"/>
  <c r="B3" i="1"/>
  <c r="B49" i="1" s="1"/>
</calcChain>
</file>

<file path=xl/sharedStrings.xml><?xml version="1.0" encoding="utf-8"?>
<sst xmlns="http://schemas.openxmlformats.org/spreadsheetml/2006/main" count="116" uniqueCount="57">
  <si>
    <t>photoacid generators</t>
  </si>
  <si>
    <t>Aggressive</t>
  </si>
  <si>
    <t>Moderate</t>
  </si>
  <si>
    <t>Conservatice</t>
  </si>
  <si>
    <t>surfactant</t>
  </si>
  <si>
    <t>Top antireflective coatings</t>
  </si>
  <si>
    <t>polymer</t>
  </si>
  <si>
    <t>immersion topcoat</t>
  </si>
  <si>
    <t>PBO/PI</t>
  </si>
  <si>
    <t>R_total</t>
  </si>
  <si>
    <t>dev</t>
  </si>
  <si>
    <t>Top</t>
  </si>
  <si>
    <t>7nm+</t>
  </si>
  <si>
    <t>28nm</t>
  </si>
  <si>
    <t>5nm</t>
  </si>
  <si>
    <t>3nm</t>
  </si>
  <si>
    <t>2nm</t>
  </si>
  <si>
    <t>2nm+</t>
  </si>
  <si>
    <t>14A</t>
  </si>
  <si>
    <t>14A+</t>
  </si>
  <si>
    <t>data treatment</t>
  </si>
  <si>
    <t>Botton</t>
  </si>
  <si>
    <t>capture and desrtuction slogan</t>
  </si>
  <si>
    <t>Water</t>
  </si>
  <si>
    <t>Dev_total</t>
  </si>
  <si>
    <t>solid</t>
  </si>
  <si>
    <t>GAS</t>
  </si>
  <si>
    <t>Solvent</t>
  </si>
  <si>
    <t>Usage side</t>
  </si>
  <si>
    <t>Ph to wwater</t>
  </si>
  <si>
    <t>ph to solvent</t>
  </si>
  <si>
    <t>ph to gas</t>
  </si>
  <si>
    <t>ph to solid</t>
  </si>
  <si>
    <t>su to gas</t>
  </si>
  <si>
    <t>su to solvent</t>
  </si>
  <si>
    <t>su to wwater</t>
  </si>
  <si>
    <t>su to solid</t>
  </si>
  <si>
    <t>TA to gas</t>
  </si>
  <si>
    <t>TA to solvent</t>
  </si>
  <si>
    <t>TA to wwater</t>
  </si>
  <si>
    <t>TA to solid</t>
  </si>
  <si>
    <t>PO to gas</t>
  </si>
  <si>
    <t>PO to solvent</t>
  </si>
  <si>
    <t>PO to wwater</t>
  </si>
  <si>
    <t>PO to solid</t>
  </si>
  <si>
    <t>IT to gas</t>
  </si>
  <si>
    <t>IT to solvent</t>
  </si>
  <si>
    <t>IT to wwater</t>
  </si>
  <si>
    <t>IT to solid</t>
  </si>
  <si>
    <t>PBOPI to gas</t>
  </si>
  <si>
    <t>PBOPI to solvent</t>
  </si>
  <si>
    <t>PBOPI to wwater</t>
  </si>
  <si>
    <t>PBOPI to solid</t>
  </si>
  <si>
    <t>Smoothed data</t>
  </si>
  <si>
    <t>Smooth data</t>
  </si>
  <si>
    <t>k ton data</t>
  </si>
  <si>
    <t>Annual rather than 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</si>
</sst>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1" fillId="0" borderId="0" xfId="0" applyFont="1"/>
    <xf numFmtId="0" fontId="5" fillId="0" borderId="0" xfId="0" applyFont="1"/>
    <xf numFmtId="11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agg.xlsx" TargetMode="External"/><Relationship Id="rId1" Type="http://schemas.openxmlformats.org/officeDocument/2006/relationships/externalLinkPath" Target="PFAS_Litho_ag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mon.xlsx" TargetMode="External"/><Relationship Id="rId1" Type="http://schemas.openxmlformats.org/officeDocument/2006/relationships/externalLinkPath" Target="PFAS_Litho_m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cons.xlsx" TargetMode="External"/><Relationship Id="rId1" Type="http://schemas.openxmlformats.org/officeDocument/2006/relationships/externalLinkPath" Target="PFAS_Litho_c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0.1955754480458673</v>
          </cell>
          <cell r="S2">
            <v>4.6048506685691564E-3</v>
          </cell>
          <cell r="T2">
            <v>0.22357309461689631</v>
          </cell>
          <cell r="U2">
            <v>1.3291730532420141E-2</v>
          </cell>
          <cell r="V2">
            <v>0.15511052018875579</v>
          </cell>
          <cell r="W2">
            <v>8.6366085683425853E-2</v>
          </cell>
          <cell r="X2">
            <v>1.5787000748101E-2</v>
          </cell>
          <cell r="Y2">
            <v>3.717070914368836E-4</v>
          </cell>
          <cell r="Z2">
            <v>1.804699233589091E-2</v>
          </cell>
          <cell r="AA2">
            <v>1.072918722444454E-3</v>
          </cell>
          <cell r="AB2">
            <v>1.2520640615809479E-2</v>
          </cell>
          <cell r="AC2">
            <v>6.9715369332812869E-3</v>
          </cell>
        </row>
        <row r="3">
          <cell r="R3">
            <v>0.35014117951103407</v>
          </cell>
          <cell r="S3">
            <v>8.244121952295581E-3</v>
          </cell>
          <cell r="T3">
            <v>0.40026571759525265</v>
          </cell>
          <cell r="U3">
            <v>2.3796352010774582E-2</v>
          </cell>
          <cell r="V3">
            <v>0.27769631125029481</v>
          </cell>
          <cell r="W3">
            <v>0.15462228727122057</v>
          </cell>
          <cell r="X3">
            <v>2.653980603411113E-2</v>
          </cell>
          <cell r="Y3">
            <v>6.2488336230839489E-4</v>
          </cell>
          <cell r="Z3">
            <v>3.0339117843599821E-2</v>
          </cell>
          <cell r="AA3">
            <v>1.803702630942572E-3</v>
          </cell>
          <cell r="AB3">
            <v>2.1048670274267815E-2</v>
          </cell>
          <cell r="AC3">
            <v>1.1719973978666181E-2</v>
          </cell>
        </row>
        <row r="4">
          <cell r="R4">
            <v>0.60773895401291489</v>
          </cell>
          <cell r="S4">
            <v>1.4309296778630222E-2</v>
          </cell>
          <cell r="T4">
            <v>0.69473995854549808</v>
          </cell>
          <cell r="U4">
            <v>4.1303254020413002E-2</v>
          </cell>
          <cell r="V4">
            <v>0.48199662195740273</v>
          </cell>
          <cell r="W4">
            <v>0.26837742211448379</v>
          </cell>
          <cell r="X4">
            <v>4.104644263125172E-2</v>
          </cell>
          <cell r="Y4">
            <v>9.6644410472513319E-4</v>
          </cell>
          <cell r="Z4">
            <v>4.692245521499018E-2</v>
          </cell>
          <cell r="AA4">
            <v>2.7896050359096638E-3</v>
          </cell>
          <cell r="AB4">
            <v>3.2553856488868778E-2</v>
          </cell>
          <cell r="AC4">
            <v>1.8126102313512863E-2</v>
          </cell>
        </row>
        <row r="5">
          <cell r="R5">
            <v>1.0323890649310914</v>
          </cell>
          <cell r="S5">
            <v>2.4307741709769688E-2</v>
          </cell>
          <cell r="T5">
            <v>1.1801809501219007</v>
          </cell>
          <cell r="U5">
            <v>7.016339419282866E-2</v>
          </cell>
          <cell r="V5">
            <v>0.81878582663959576</v>
          </cell>
          <cell r="W5">
            <v>0.45590284123781999</v>
          </cell>
          <cell r="X5">
            <v>6.2793510417936196E-2</v>
          </cell>
          <cell r="Y5">
            <v>1.4784817896059421E-3</v>
          </cell>
          <cell r="Z5">
            <v>7.1782729306103063E-2</v>
          </cell>
          <cell r="AA5">
            <v>4.2675828075525229E-3</v>
          </cell>
          <cell r="AB5">
            <v>4.9801415068827466E-2</v>
          </cell>
          <cell r="AC5">
            <v>2.7729603870556854E-2</v>
          </cell>
        </row>
        <row r="6">
          <cell r="R6">
            <v>1.7093098033562697</v>
          </cell>
          <cell r="S6">
            <v>4.0245933062778717E-2</v>
          </cell>
          <cell r="T6">
            <v>1.9540064267460342</v>
          </cell>
          <cell r="U6">
            <v>0.11616839194103376</v>
          </cell>
          <cell r="V6">
            <v>1.3556503917616021</v>
          </cell>
          <cell r="W6">
            <v>0.75483092796783646</v>
          </cell>
          <cell r="X6">
            <v>9.1702407854586956E-2</v>
          </cell>
          <cell r="Y6">
            <v>2.1591457329529526E-3</v>
          </cell>
          <cell r="Z6">
            <v>0.10483008635655798</v>
          </cell>
          <cell r="AA6">
            <v>6.2322940152048107E-3</v>
          </cell>
          <cell r="AB6">
            <v>7.2729007280865551E-2</v>
          </cell>
          <cell r="AC6">
            <v>4.0495768222851211E-2</v>
          </cell>
        </row>
        <row r="7">
          <cell r="R7">
            <v>3.5953842336891428</v>
          </cell>
          <cell r="S7">
            <v>8.4653813439729969E-2</v>
          </cell>
          <cell r="T7">
            <v>4.1600204942919738</v>
          </cell>
          <cell r="U7">
            <v>0.24435009032166596</v>
          </cell>
          <cell r="V7">
            <v>2.8366596641660591</v>
          </cell>
          <cell r="W7">
            <v>1.5993094847619869</v>
          </cell>
          <cell r="X7">
            <v>0.20637883257833017</v>
          </cell>
          <cell r="Y7">
            <v>4.8592178347149515E-3</v>
          </cell>
          <cell r="Z7">
            <v>0.23895936677514817</v>
          </cell>
          <cell r="AA7">
            <v>1.4025951915923946E-2</v>
          </cell>
          <cell r="AB7">
            <v>0.16277680476470133</v>
          </cell>
          <cell r="AC7">
            <v>9.1841452195634915E-2</v>
          </cell>
        </row>
        <row r="8">
          <cell r="R8">
            <v>7.5285685202818939</v>
          </cell>
          <cell r="S8">
            <v>0.17726117531817329</v>
          </cell>
          <cell r="T8">
            <v>8.8643428035276486</v>
          </cell>
          <cell r="U8">
            <v>0.51165780299263131</v>
          </cell>
          <cell r="V8">
            <v>5.8942555066364566</v>
          </cell>
          <cell r="W8">
            <v>3.3844894466328319</v>
          </cell>
          <cell r="X8">
            <v>0.48143761599507418</v>
          </cell>
          <cell r="Y8">
            <v>1.1335514503688256E-2</v>
          </cell>
          <cell r="Z8">
            <v>0.56794602920777781</v>
          </cell>
          <cell r="AA8">
            <v>3.2719541864357812E-2</v>
          </cell>
          <cell r="AB8">
            <v>0.37660319359596617</v>
          </cell>
          <cell r="AC8">
            <v>0.21668417318532812</v>
          </cell>
        </row>
        <row r="9">
          <cell r="R9">
            <v>10.776662043575669</v>
          </cell>
          <cell r="S9">
            <v>0.25373798149072879</v>
          </cell>
          <cell r="T9">
            <v>12.834929540918736</v>
          </cell>
          <cell r="U9">
            <v>0.73240526535096828</v>
          </cell>
          <cell r="V9">
            <v>8.393825442456313</v>
          </cell>
          <cell r="W9">
            <v>4.8786037872062051</v>
          </cell>
          <cell r="X9">
            <v>0.66908463759063319</v>
          </cell>
          <cell r="Y9">
            <v>1.5753689287297451E-2</v>
          </cell>
          <cell r="Z9">
            <v>0.79733252005694455</v>
          </cell>
          <cell r="AA9">
            <v>4.547243938385858E-2</v>
          </cell>
          <cell r="AB9">
            <v>0.52100693393247133</v>
          </cell>
          <cell r="AC9">
            <v>0.30300130165504563</v>
          </cell>
        </row>
        <row r="10">
          <cell r="R10">
            <v>17.849729895357797</v>
          </cell>
          <cell r="S10">
            <v>0.42027433128078717</v>
          </cell>
          <cell r="T10">
            <v>21.667511856463946</v>
          </cell>
          <cell r="U10">
            <v>1.2131062575397393</v>
          </cell>
          <cell r="V10">
            <v>13.781595494839248</v>
          </cell>
          <cell r="W10">
            <v>8.1754067410146298</v>
          </cell>
          <cell r="X10">
            <v>1.147887549853609</v>
          </cell>
          <cell r="Y10">
            <v>2.7027169331325981E-2</v>
          </cell>
          <cell r="Z10">
            <v>1.3952436703677606</v>
          </cell>
          <cell r="AA10">
            <v>7.8012921082997691E-2</v>
          </cell>
          <cell r="AB10">
            <v>0.88572561693424956</v>
          </cell>
          <cell r="AC10">
            <v>0.52617445487779191</v>
          </cell>
        </row>
        <row r="11">
          <cell r="R11">
            <v>27.066332354514323</v>
          </cell>
          <cell r="S11">
            <v>0.63728049652311136</v>
          </cell>
          <cell r="T11">
            <v>33.419039710676905</v>
          </cell>
          <cell r="U11">
            <v>1.8394864986977142</v>
          </cell>
          <cell r="V11">
            <v>20.730227788695569</v>
          </cell>
          <cell r="W11">
            <v>12.527524063101943</v>
          </cell>
          <cell r="X11">
            <v>1.7910806641151376</v>
          </cell>
          <cell r="Y11">
            <v>4.2171239161255043E-2</v>
          </cell>
          <cell r="Z11">
            <v>2.2153399945151797</v>
          </cell>
          <cell r="AA11">
            <v>0.12172571653095884</v>
          </cell>
          <cell r="AB11">
            <v>1.3706453544133781</v>
          </cell>
          <cell r="AC11">
            <v>0.82989287025154779</v>
          </cell>
        </row>
        <row r="12">
          <cell r="R12">
            <v>34.703977142237456</v>
          </cell>
          <cell r="S12">
            <v>0.81710988747402613</v>
          </cell>
          <cell r="T12">
            <v>43.357644433486804</v>
          </cell>
          <cell r="U12">
            <v>2.3585573607874726</v>
          </cell>
          <cell r="V12">
            <v>26.428946944490082</v>
          </cell>
          <cell r="W12">
            <v>16.180533877459879</v>
          </cell>
          <cell r="X12">
            <v>2.3178694086079057</v>
          </cell>
          <cell r="Y12">
            <v>5.4574552187046099E-2</v>
          </cell>
          <cell r="Z12">
            <v>2.9008320865740589</v>
          </cell>
          <cell r="AA12">
            <v>0.15752741919492344</v>
          </cell>
          <cell r="AB12">
            <v>1.7637012234324994</v>
          </cell>
          <cell r="AC12">
            <v>1.0818507063659779</v>
          </cell>
        </row>
        <row r="13">
          <cell r="R13">
            <v>47.445154164091925</v>
          </cell>
          <cell r="S13">
            <v>1.1171026427695923</v>
          </cell>
          <cell r="T13">
            <v>60.270824685140468</v>
          </cell>
          <cell r="U13">
            <v>3.2244753138458533</v>
          </cell>
          <cell r="V13">
            <v>35.836529032783965</v>
          </cell>
          <cell r="W13">
            <v>22.351908465491853</v>
          </cell>
          <cell r="X13">
            <v>3.2043633340032289</v>
          </cell>
          <cell r="Y13">
            <v>7.5447172885743305E-2</v>
          </cell>
          <cell r="Z13">
            <v>4.0776018250754111</v>
          </cell>
          <cell r="AA13">
            <v>0.21777546409378307</v>
          </cell>
          <cell r="AB13">
            <v>2.4182533389572649</v>
          </cell>
          <cell r="AC13">
            <v>1.5112369455058472</v>
          </cell>
        </row>
        <row r="14">
          <cell r="R14">
            <v>64.25625616985252</v>
          </cell>
          <cell r="S14">
            <v>1.5129223383607067</v>
          </cell>
          <cell r="T14">
            <v>83.025825377387562</v>
          </cell>
          <cell r="U14">
            <v>4.36699417317217</v>
          </cell>
          <cell r="V14">
            <v>48.118721879632503</v>
          </cell>
          <cell r="W14">
            <v>30.596535579910793</v>
          </cell>
          <cell r="X14">
            <v>4.0301719540086971</v>
          </cell>
          <cell r="Y14">
            <v>9.4890949770511171E-2</v>
          </cell>
          <cell r="Z14">
            <v>5.1953914686959735</v>
          </cell>
          <cell r="AA14">
            <v>0.27389920435942305</v>
          </cell>
          <cell r="AB14">
            <v>3.0215892012952277</v>
          </cell>
          <cell r="AC14">
            <v>1.9162362214298725</v>
          </cell>
        </row>
        <row r="15">
          <cell r="R15">
            <v>86.432469281313089</v>
          </cell>
          <cell r="S15">
            <v>2.0350643085976459</v>
          </cell>
          <cell r="T15">
            <v>112.93557705820776</v>
          </cell>
          <cell r="U15">
            <v>5.8741375894456063</v>
          </cell>
          <cell r="V15">
            <v>64.292094469436336</v>
          </cell>
          <cell r="W15">
            <v>41.894405847100671</v>
          </cell>
          <cell r="X15">
            <v>5.6558178610017498</v>
          </cell>
          <cell r="Y15">
            <v>0.1331670049526425</v>
          </cell>
          <cell r="Z15">
            <v>7.3879509086111668</v>
          </cell>
          <cell r="AA15">
            <v>0.38438161691570605</v>
          </cell>
          <cell r="AB15">
            <v>4.2071918477317629</v>
          </cell>
          <cell r="AC15">
            <v>2.7444360797773779</v>
          </cell>
        </row>
        <row r="16">
          <cell r="R16">
            <v>144.47637665503507</v>
          </cell>
          <cell r="S16">
            <v>3.4017160450342416</v>
          </cell>
          <cell r="T16">
            <v>190.94455006377194</v>
          </cell>
          <cell r="U16">
            <v>9.8189270994219804</v>
          </cell>
          <cell r="V16">
            <v>106.55053220597704</v>
          </cell>
          <cell r="W16">
            <v>72.55356500921016</v>
          </cell>
          <cell r="X16">
            <v>9.6993788837415238</v>
          </cell>
          <cell r="Y16">
            <v>0.22837320217734003</v>
          </cell>
          <cell r="Z16">
            <v>12.822354913122826</v>
          </cell>
          <cell r="AA16">
            <v>0.65919077135031334</v>
          </cell>
          <cell r="AB16">
            <v>7.1510765626796573</v>
          </cell>
          <cell r="AC16">
            <v>4.8802705986300214</v>
          </cell>
        </row>
        <row r="17">
          <cell r="R17">
            <v>199.38174104436374</v>
          </cell>
          <cell r="S17">
            <v>4.6944703577173854</v>
          </cell>
          <cell r="T17">
            <v>264.47760914256065</v>
          </cell>
          <cell r="U17">
            <v>13.550414438651494</v>
          </cell>
          <cell r="V17">
            <v>146.45532707965947</v>
          </cell>
          <cell r="W17">
            <v>102.5690081067184</v>
          </cell>
          <cell r="X17">
            <v>14.294252601279339</v>
          </cell>
          <cell r="Y17">
            <v>0.33656013219133951</v>
          </cell>
          <cell r="Z17">
            <v>18.976127395815801</v>
          </cell>
          <cell r="AA17">
            <v>0.97146832916364823</v>
          </cell>
          <cell r="AB17">
            <v>10.490595300205023</v>
          </cell>
          <cell r="AC17">
            <v>7.3921776252555986</v>
          </cell>
        </row>
        <row r="18">
          <cell r="R18">
            <v>288.19672328049114</v>
          </cell>
          <cell r="S18">
            <v>6.7856312596373085</v>
          </cell>
          <cell r="T18">
            <v>383.01385164828957</v>
          </cell>
          <cell r="U18">
            <v>19.586472762533894</v>
          </cell>
          <cell r="V18">
            <v>210.89595535879619</v>
          </cell>
          <cell r="W18">
            <v>152.73828160526548</v>
          </cell>
          <cell r="X18">
            <v>21.503263643731238</v>
          </cell>
          <cell r="Y18">
            <v>0.50629728299552257</v>
          </cell>
          <cell r="Z18">
            <v>28.5975793134964</v>
          </cell>
          <cell r="AA18">
            <v>1.461408314672666</v>
          </cell>
          <cell r="AB18">
            <v>15.721167768392352</v>
          </cell>
          <cell r="AC18">
            <v>11.464360465772996</v>
          </cell>
        </row>
        <row r="19">
          <cell r="R19">
            <v>382.75110213292373</v>
          </cell>
          <cell r="S19">
            <v>9.0119270397326261</v>
          </cell>
          <cell r="T19">
            <v>508.77904768640929</v>
          </cell>
          <cell r="U19">
            <v>26.012592896346145</v>
          </cell>
          <cell r="V19">
            <v>279.38607707574056</v>
          </cell>
          <cell r="W19">
            <v>207.84517423185534</v>
          </cell>
          <cell r="X19">
            <v>30.131893009312126</v>
          </cell>
          <cell r="Y19">
            <v>0.70945954134613154</v>
          </cell>
          <cell r="Z19">
            <v>40.07437474986807</v>
          </cell>
          <cell r="AA19">
            <v>2.047828632444511</v>
          </cell>
          <cell r="AB19">
            <v>21.971284184696547</v>
          </cell>
          <cell r="AC19">
            <v>16.493180471092856</v>
          </cell>
        </row>
        <row r="20">
          <cell r="R20">
            <v>524.02573438184618</v>
          </cell>
          <cell r="S20">
            <v>12.338257574896438</v>
          </cell>
          <cell r="T20">
            <v>696.05131135523379</v>
          </cell>
          <cell r="U20">
            <v>35.613922519679249</v>
          </cell>
          <cell r="V20">
            <v>381.54882904072008</v>
          </cell>
          <cell r="W20">
            <v>292.67759925511916</v>
          </cell>
          <cell r="X20">
            <v>41.713418656651243</v>
          </cell>
          <cell r="Y20">
            <v>0.98214814645004456</v>
          </cell>
          <cell r="Z20">
            <v>55.42673129250764</v>
          </cell>
          <cell r="AA20">
            <v>2.834934169447509</v>
          </cell>
          <cell r="AB20">
            <v>30.346464592176808</v>
          </cell>
          <cell r="AC20">
            <v>23.447641371063781</v>
          </cell>
        </row>
        <row r="21">
          <cell r="R21">
            <v>639.8681205263315</v>
          </cell>
          <cell r="S21">
            <v>15.065782397751377</v>
          </cell>
          <cell r="T21">
            <v>849.09783884236799</v>
          </cell>
          <cell r="U21">
            <v>43.486821680845686</v>
          </cell>
          <cell r="V21">
            <v>465.18365626687546</v>
          </cell>
          <cell r="W21">
            <v>364.25626391631533</v>
          </cell>
          <cell r="X21">
            <v>53.379137512405642</v>
          </cell>
          <cell r="Y21">
            <v>1.2568190921592526</v>
          </cell>
          <cell r="Z21">
            <v>70.839032617927032</v>
          </cell>
          <cell r="AA21">
            <v>3.6277616590273629</v>
          </cell>
          <cell r="AB21">
            <v>38.768773674735087</v>
          </cell>
          <cell r="AC21">
            <v>30.655854235104382</v>
          </cell>
        </row>
        <row r="22">
          <cell r="B22">
            <v>161.50310149167251</v>
          </cell>
          <cell r="C22">
            <v>3.8026126096640982</v>
          </cell>
          <cell r="D22">
            <v>212.6667280939032</v>
          </cell>
          <cell r="E22">
            <v>10.976100152785889</v>
          </cell>
          <cell r="F22">
            <v>116.4128171552626</v>
          </cell>
          <cell r="G22">
            <v>102.5651893231409</v>
          </cell>
          <cell r="R22">
            <v>801.371222018004</v>
          </cell>
          <cell r="S22">
            <v>18.868395007415476</v>
          </cell>
          <cell r="T22">
            <v>1061.7645669362712</v>
          </cell>
          <cell r="U22">
            <v>54.462921833631576</v>
          </cell>
          <cell r="V22">
            <v>581.59647342213805</v>
          </cell>
          <cell r="W22">
            <v>466.82145323945622</v>
          </cell>
          <cell r="X22">
            <v>67.469523481942929</v>
          </cell>
          <cell r="Y22">
            <v>1.5885791566281031</v>
          </cell>
          <cell r="Z22">
            <v>89.393204358562272</v>
          </cell>
          <cell r="AA22">
            <v>4.5853747708784995</v>
          </cell>
          <cell r="AB22">
            <v>48.925244419684837</v>
          </cell>
          <cell r="AC22">
            <v>39.604184584514037</v>
          </cell>
        </row>
        <row r="23">
          <cell r="B23">
            <v>173.9355138778532</v>
          </cell>
          <cell r="C23">
            <v>4.0953354593901272</v>
          </cell>
          <cell r="D23">
            <v>226.81879269913941</v>
          </cell>
          <cell r="E23">
            <v>11.82103379326146</v>
          </cell>
          <cell r="F23">
            <v>126.290825963461</v>
          </cell>
          <cell r="G23">
            <v>112.8840588271095</v>
          </cell>
          <cell r="R23">
            <v>975.30673589585717</v>
          </cell>
          <cell r="S23">
            <v>22.963730466805604</v>
          </cell>
          <cell r="T23">
            <v>1288.5833596354105</v>
          </cell>
          <cell r="U23">
            <v>66.283955626893032</v>
          </cell>
          <cell r="V23">
            <v>707.88729938559902</v>
          </cell>
          <cell r="W23">
            <v>579.70551206656569</v>
          </cell>
          <cell r="X23">
            <v>84.83725707674985</v>
          </cell>
          <cell r="Y23">
            <v>1.9975048191009375</v>
          </cell>
          <cell r="Z23">
            <v>112.04141620482616</v>
          </cell>
          <cell r="AA23">
            <v>5.7657235171428818</v>
          </cell>
          <cell r="AB23">
            <v>61.53558127327203</v>
          </cell>
          <cell r="AC23">
            <v>50.875834732893438</v>
          </cell>
        </row>
        <row r="24">
          <cell r="B24">
            <v>230.16721313519699</v>
          </cell>
          <cell r="C24">
            <v>5.4193185079128234</v>
          </cell>
          <cell r="D24">
            <v>297.29910119013022</v>
          </cell>
          <cell r="E24">
            <v>15.64266171934662</v>
          </cell>
          <cell r="F24">
            <v>168.29597403752049</v>
          </cell>
          <cell r="G24">
            <v>152.48902913503849</v>
          </cell>
          <cell r="R24">
            <v>1205.4739490310542</v>
          </cell>
          <cell r="S24">
            <v>28.383048974718427</v>
          </cell>
          <cell r="T24">
            <v>1585.8824608255406</v>
          </cell>
          <cell r="U24">
            <v>81.926617346239652</v>
          </cell>
          <cell r="V24">
            <v>876.18327342311954</v>
          </cell>
          <cell r="W24">
            <v>732.19454120160412</v>
          </cell>
          <cell r="X24">
            <v>105.98322932473431</v>
          </cell>
          <cell r="Y24">
            <v>2.4953896273251241</v>
          </cell>
          <cell r="Z24">
            <v>139.35494386797126</v>
          </cell>
          <cell r="AA24">
            <v>7.2028495356415165</v>
          </cell>
          <cell r="AB24">
            <v>76.997305590864315</v>
          </cell>
          <cell r="AC24">
            <v>64.885339971667705</v>
          </cell>
        </row>
        <row r="25">
          <cell r="B25">
            <v>227.58910075202411</v>
          </cell>
          <cell r="C25">
            <v>5.3586164993022338</v>
          </cell>
          <cell r="D25">
            <v>291.23622025357258</v>
          </cell>
          <cell r="E25">
            <v>15.46744762462348</v>
          </cell>
          <cell r="F25">
            <v>167.53980612164989</v>
          </cell>
          <cell r="G25">
            <v>153.76576523390369</v>
          </cell>
          <cell r="R25">
            <v>1433.0630497830782</v>
          </cell>
          <cell r="S25">
            <v>33.741665474020664</v>
          </cell>
          <cell r="T25">
            <v>1877.1186810791132</v>
          </cell>
          <cell r="U25">
            <v>97.394064970863127</v>
          </cell>
          <cell r="V25">
            <v>1043.7230795447695</v>
          </cell>
          <cell r="W25">
            <v>885.96030643550785</v>
          </cell>
          <cell r="X25">
            <v>130.17976531469589</v>
          </cell>
          <cell r="Y25">
            <v>3.0651003760091875</v>
          </cell>
          <cell r="Z25">
            <v>170.31823543888044</v>
          </cell>
          <cell r="AA25">
            <v>8.8472984652492279</v>
          </cell>
          <cell r="AB25">
            <v>94.809595086180281</v>
          </cell>
          <cell r="AC25">
            <v>81.233218056392033</v>
          </cell>
        </row>
        <row r="26">
          <cell r="R26">
            <v>1738.8014207357664</v>
          </cell>
          <cell r="S26">
            <v>40.940317226865162</v>
          </cell>
          <cell r="T26">
            <v>2264.7950752363581</v>
          </cell>
          <cell r="U26">
            <v>118.17270605658459</v>
          </cell>
          <cell r="V26">
            <v>1270.2648508412674</v>
          </cell>
          <cell r="W26">
            <v>1096.4187371475527</v>
          </cell>
          <cell r="X26">
            <v>158.54769562377192</v>
          </cell>
          <cell r="Y26">
            <v>3.7330271743618928</v>
          </cell>
          <cell r="Z26">
            <v>206.28878404113109</v>
          </cell>
          <cell r="AA26">
            <v>10.775244376651578</v>
          </cell>
          <cell r="AB26">
            <v>115.82927004620737</v>
          </cell>
          <cell r="AC26">
            <v>100.76060049384431</v>
          </cell>
        </row>
        <row r="27">
          <cell r="R27">
            <v>2040.7541219531845</v>
          </cell>
          <cell r="S27">
            <v>48.04983486811426</v>
          </cell>
          <cell r="T27">
            <v>2646.3884945431278</v>
          </cell>
          <cell r="U27">
            <v>138.69406483765732</v>
          </cell>
          <cell r="V27">
            <v>1494.2285030588453</v>
          </cell>
          <cell r="W27">
            <v>1302.4935717758351</v>
          </cell>
          <cell r="X27">
            <v>190.68277525487571</v>
          </cell>
          <cell r="Y27">
            <v>4.4896520186475986</v>
          </cell>
          <cell r="Z27">
            <v>246.89956469216662</v>
          </cell>
          <cell r="AA27">
            <v>12.959213905353986</v>
          </cell>
          <cell r="AB27">
            <v>139.66442624606037</v>
          </cell>
          <cell r="AC27">
            <v>122.69195329859411</v>
          </cell>
        </row>
        <row r="28">
          <cell r="R28">
            <v>2438.4683965354448</v>
          </cell>
          <cell r="S28">
            <v>57.414071849333432</v>
          </cell>
          <cell r="T28">
            <v>3147.3609853945909</v>
          </cell>
          <cell r="U28">
            <v>165.72358730309782</v>
          </cell>
          <cell r="V28">
            <v>1789.5103139777757</v>
          </cell>
          <cell r="W28">
            <v>1571.650615761768</v>
          </cell>
          <cell r="X28">
            <v>228.60669591959598</v>
          </cell>
          <cell r="Y28">
            <v>5.3825759166756617</v>
          </cell>
          <cell r="Z28">
            <v>294.66964037832008</v>
          </cell>
          <cell r="AA28">
            <v>15.536605593548526</v>
          </cell>
          <cell r="AB28">
            <v>167.82093127165075</v>
          </cell>
          <cell r="AC28">
            <v>148.35733931772705</v>
          </cell>
        </row>
        <row r="29">
          <cell r="R29">
            <v>2884.2716269514108</v>
          </cell>
          <cell r="S29">
            <v>67.9105698716711</v>
          </cell>
          <cell r="T29">
            <v>3707.1229170042643</v>
          </cell>
          <cell r="U29">
            <v>196.02133923657033</v>
          </cell>
          <cell r="V29">
            <v>2120.8113865894461</v>
          </cell>
          <cell r="W29">
            <v>1870.8788587618751</v>
          </cell>
          <cell r="X29">
            <v>275.09104614916407</v>
          </cell>
          <cell r="Y29">
            <v>6.4770562994199645</v>
          </cell>
          <cell r="Z29">
            <v>353.03657874672297</v>
          </cell>
          <cell r="AA29">
            <v>18.695782593522257</v>
          </cell>
          <cell r="AB29">
            <v>202.36602659620206</v>
          </cell>
          <cell r="AC29">
            <v>179.55816851139801</v>
          </cell>
        </row>
        <row r="30">
          <cell r="R30">
            <v>3467.020038636575</v>
          </cell>
          <cell r="S30">
            <v>81.631460913816142</v>
          </cell>
          <cell r="T30">
            <v>4436.570330349211</v>
          </cell>
          <cell r="U30">
            <v>235.62618193900644</v>
          </cell>
          <cell r="V30">
            <v>2554.2849617718566</v>
          </cell>
          <cell r="W30">
            <v>2258.8854089753213</v>
          </cell>
          <cell r="X30">
            <v>330.35662907209058</v>
          </cell>
          <cell r="Y30">
            <v>7.7782920067354251</v>
          </cell>
          <cell r="Z30">
            <v>422.21452192387068</v>
          </cell>
          <cell r="AA30">
            <v>22.451751163546362</v>
          </cell>
          <cell r="AB30">
            <v>243.47496715060979</v>
          </cell>
          <cell r="AC30">
            <v>216.35519402958147</v>
          </cell>
        </row>
        <row r="31">
          <cell r="R31">
            <v>4138.8857921295976</v>
          </cell>
          <cell r="S31">
            <v>97.450631955344221</v>
          </cell>
          <cell r="T31">
            <v>5275.0298292128309</v>
          </cell>
          <cell r="U31">
            <v>281.28763197590627</v>
          </cell>
          <cell r="V31">
            <v>3054.4971272572479</v>
          </cell>
          <cell r="W31">
            <v>2702.7090857925878</v>
          </cell>
          <cell r="X31">
            <v>399.44266617049499</v>
          </cell>
          <cell r="Y31">
            <v>9.4049321975162812</v>
          </cell>
          <cell r="Z31">
            <v>508.43091819477121</v>
          </cell>
          <cell r="AA31">
            <v>27.146987696760974</v>
          </cell>
          <cell r="AB31">
            <v>294.91035590518163</v>
          </cell>
          <cell r="AC31">
            <v>261.99231549668474</v>
          </cell>
        </row>
        <row r="32">
          <cell r="R32">
            <v>4980.1898732430991</v>
          </cell>
          <cell r="S32">
            <v>117.25925159085645</v>
          </cell>
          <cell r="T32">
            <v>6321.8496906235878</v>
          </cell>
          <cell r="U32">
            <v>338.46447729937171</v>
          </cell>
          <cell r="V32">
            <v>3681.4050759337752</v>
          </cell>
          <cell r="W32">
            <v>3254.1768243203164</v>
          </cell>
          <cell r="X32">
            <v>481.07665980153087</v>
          </cell>
          <cell r="Y32">
            <v>11.327015740751651</v>
          </cell>
          <cell r="Z32">
            <v>610.00665973419518</v>
          </cell>
          <cell r="AA32">
            <v>32.695010500597569</v>
          </cell>
          <cell r="AB32">
            <v>355.74091721872054</v>
          </cell>
          <cell r="AC32">
            <v>315.50271068591343</v>
          </cell>
        </row>
        <row r="33">
          <cell r="R33">
            <v>5359.371679497166</v>
          </cell>
          <cell r="S33">
            <v>126.18713907103138</v>
          </cell>
          <cell r="T33">
            <v>6792.3038281362005</v>
          </cell>
          <cell r="U33">
            <v>364.23449312642686</v>
          </cell>
          <cell r="V33">
            <v>3964.1967382552098</v>
          </cell>
          <cell r="W33">
            <v>3500.8493272547521</v>
          </cell>
          <cell r="X33">
            <v>546.25796865481072</v>
          </cell>
          <cell r="Y33">
            <v>12.861718571041708</v>
          </cell>
          <cell r="Z33">
            <v>690.87767182586265</v>
          </cell>
          <cell r="AA33">
            <v>37.124873255277599</v>
          </cell>
          <cell r="AB33">
            <v>404.35277142397001</v>
          </cell>
          <cell r="AC33">
            <v>357.90568554965944</v>
          </cell>
        </row>
        <row r="34">
          <cell r="R34">
            <v>5857.3316834816997</v>
          </cell>
          <cell r="S34">
            <v>137.9116754593162</v>
          </cell>
          <cell r="T34">
            <v>7408.3956225445409</v>
          </cell>
          <cell r="U34">
            <v>398.07693222099567</v>
          </cell>
          <cell r="V34">
            <v>4335.8788342514817</v>
          </cell>
          <cell r="W34">
            <v>3822.3920999908951</v>
          </cell>
          <cell r="X34">
            <v>613.22606717121266</v>
          </cell>
          <cell r="Y34">
            <v>14.438491608287856</v>
          </cell>
          <cell r="Z34">
            <v>773.73271169441819</v>
          </cell>
          <cell r="AA34">
            <v>41.676170100778492</v>
          </cell>
          <cell r="AB34">
            <v>454.33839882836332</v>
          </cell>
          <cell r="AC34">
            <v>401.14833136363904</v>
          </cell>
        </row>
        <row r="35">
          <cell r="R35">
            <v>6693.0845226680831</v>
          </cell>
          <cell r="S35">
            <v>157.58959034453949</v>
          </cell>
          <cell r="T35">
            <v>8450.8778958207185</v>
          </cell>
          <cell r="U35">
            <v>454.87650313423848</v>
          </cell>
          <cell r="V35">
            <v>4959.3294476615511</v>
          </cell>
          <cell r="W35">
            <v>4378.4966086073491</v>
          </cell>
          <cell r="X35">
            <v>702.87958811560304</v>
          </cell>
          <cell r="Y35">
            <v>16.549396018761371</v>
          </cell>
          <cell r="Z35">
            <v>885.56267138956935</v>
          </cell>
          <cell r="AA35">
            <v>47.769217329263178</v>
          </cell>
          <cell r="AB35">
            <v>521.2176722288184</v>
          </cell>
          <cell r="AC35">
            <v>460.80320164688135</v>
          </cell>
        </row>
        <row r="36">
          <cell r="R36">
            <v>7740.2674070489247</v>
          </cell>
          <cell r="S36">
            <v>182.24565455626197</v>
          </cell>
          <cell r="T36">
            <v>9767.6302773235093</v>
          </cell>
          <cell r="U36">
            <v>526.04531729995267</v>
          </cell>
          <cell r="V36">
            <v>5740.0490476915529</v>
          </cell>
          <cell r="W36">
            <v>5095.7663404245232</v>
          </cell>
          <cell r="X36">
            <v>802.05149638917578</v>
          </cell>
          <cell r="Y36">
            <v>18.884412160510102</v>
          </cell>
          <cell r="Z36">
            <v>1010.2637607075187</v>
          </cell>
          <cell r="AA36">
            <v>54.509154751516064</v>
          </cell>
          <cell r="AB36">
            <v>595.1545687503218</v>
          </cell>
          <cell r="AC36">
            <v>528.73117212096042</v>
          </cell>
        </row>
        <row r="37">
          <cell r="R37">
            <v>8501.4961025237717</v>
          </cell>
          <cell r="S37">
            <v>200.16888828685418</v>
          </cell>
          <cell r="T37">
            <v>10732.435211643122</v>
          </cell>
          <cell r="U37">
            <v>577.78006619043936</v>
          </cell>
          <cell r="V37">
            <v>6307.2505522698748</v>
          </cell>
          <cell r="W37">
            <v>5631.9726216065174</v>
          </cell>
          <cell r="X37">
            <v>899.71003589927341</v>
          </cell>
          <cell r="Y37">
            <v>21.183795827774379</v>
          </cell>
          <cell r="Z37">
            <v>1134.0392323337094</v>
          </cell>
          <cell r="AA37">
            <v>61.146240358772339</v>
          </cell>
          <cell r="AB37">
            <v>667.9212299052798</v>
          </cell>
          <cell r="AC37">
            <v>597.52143529372404</v>
          </cell>
        </row>
        <row r="38">
          <cell r="R38">
            <v>9440.4246795229228</v>
          </cell>
          <cell r="S38">
            <v>222.27609002783771</v>
          </cell>
          <cell r="T38">
            <v>11931.804230171871</v>
          </cell>
          <cell r="U38">
            <v>641.59168344279794</v>
          </cell>
          <cell r="V38">
            <v>7006.4575565996174</v>
          </cell>
          <cell r="W38">
            <v>6311.5002467230997</v>
          </cell>
          <cell r="X38">
            <v>999.1649730731915</v>
          </cell>
          <cell r="Y38">
            <v>23.525475923685054</v>
          </cell>
          <cell r="Z38">
            <v>1261.0810258291779</v>
          </cell>
          <cell r="AA38">
            <v>67.905413037361669</v>
          </cell>
          <cell r="AB38">
            <v>741.98393327876636</v>
          </cell>
          <cell r="AC38">
            <v>669.49962289975804</v>
          </cell>
        </row>
        <row r="39">
          <cell r="R39">
            <v>10524.402165088868</v>
          </cell>
          <cell r="S39">
            <v>247.79848815600977</v>
          </cell>
          <cell r="T39">
            <v>13327.178159135006</v>
          </cell>
          <cell r="U39">
            <v>715.26113830184477</v>
          </cell>
          <cell r="V39">
            <v>7813.2201778168446</v>
          </cell>
          <cell r="W39">
            <v>7116.8362246948564</v>
          </cell>
          <cell r="X39">
            <v>1115.3361796613108</v>
          </cell>
          <cell r="Y39">
            <v>26.260742868850517</v>
          </cell>
          <cell r="Z39">
            <v>1410.6249740456101</v>
          </cell>
          <cell r="AA39">
            <v>75.800659547206081</v>
          </cell>
          <cell r="AB39">
            <v>828.44568030302901</v>
          </cell>
          <cell r="AC39">
            <v>755.80847480451507</v>
          </cell>
        </row>
        <row r="40">
          <cell r="R40">
            <v>11859.178960452326</v>
          </cell>
          <cell r="S40">
            <v>279.22599032938336</v>
          </cell>
          <cell r="T40">
            <v>15058.525693932388</v>
          </cell>
          <cell r="U40">
            <v>805.97545680228131</v>
          </cell>
          <cell r="V40">
            <v>8806.0795539643641</v>
          </cell>
          <cell r="W40">
            <v>8134.0065271290814</v>
          </cell>
          <cell r="X40">
            <v>1252.4510056780121</v>
          </cell>
          <cell r="Y40">
            <v>29.489130197436221</v>
          </cell>
          <cell r="Z40">
            <v>1588.4774935326197</v>
          </cell>
          <cell r="AA40">
            <v>85.11927974019801</v>
          </cell>
          <cell r="AB40">
            <v>930.43707024358309</v>
          </cell>
          <cell r="AC40">
            <v>860.29720245702629</v>
          </cell>
        </row>
        <row r="41">
          <cell r="R41">
            <v>13071.388807328958</v>
          </cell>
          <cell r="S41">
            <v>307.76763693998885</v>
          </cell>
          <cell r="T41">
            <v>16642.743355166971</v>
          </cell>
          <cell r="U41">
            <v>888.35986033769711</v>
          </cell>
          <cell r="V41">
            <v>9707.2600239626154</v>
          </cell>
          <cell r="W41">
            <v>9080.8029043412625</v>
          </cell>
          <cell r="X41">
            <v>1385.177335637117</v>
          </cell>
          <cell r="Y41">
            <v>32.61418978623275</v>
          </cell>
          <cell r="Z41">
            <v>1761.9354113789693</v>
          </cell>
          <cell r="AA41">
            <v>94.139648247597592</v>
          </cell>
          <cell r="AB41">
            <v>1029.1084155736644</v>
          </cell>
          <cell r="AC41">
            <v>963.9630889285279</v>
          </cell>
        </row>
        <row r="42">
          <cell r="B42">
            <v>1428.220923263485</v>
          </cell>
          <cell r="C42">
            <v>33.627656942971228</v>
          </cell>
          <cell r="D42">
            <v>1880.40329791715</v>
          </cell>
          <cell r="E42">
            <v>97.064983577746659</v>
          </cell>
          <cell r="F42">
            <v>1061.1713069665379</v>
          </cell>
          <cell r="G42">
            <v>1142.487834466293</v>
          </cell>
          <cell r="R42">
            <v>14499.609730592443</v>
          </cell>
          <cell r="S42">
            <v>341.39529388296006</v>
          </cell>
          <cell r="T42">
            <v>18523.146653084121</v>
          </cell>
          <cell r="U42">
            <v>985.42484391544372</v>
          </cell>
          <cell r="V42">
            <v>10768.431330929154</v>
          </cell>
          <cell r="W42">
            <v>10223.290738807555</v>
          </cell>
          <cell r="X42">
            <v>1534.3630042266182</v>
          </cell>
          <cell r="Y42">
            <v>36.126786753844897</v>
          </cell>
          <cell r="Z42">
            <v>1958.3540596765051</v>
          </cell>
          <cell r="AA42">
            <v>104.27862901437327</v>
          </cell>
          <cell r="AB42">
            <v>1139.9536975179001</v>
          </cell>
          <cell r="AC42">
            <v>1083.3023372646767</v>
          </cell>
        </row>
        <row r="43">
          <cell r="B43">
            <v>1272.9494010160511</v>
          </cell>
          <cell r="C43">
            <v>29.971767718761619</v>
          </cell>
          <cell r="D43">
            <v>1688.275749031774</v>
          </cell>
          <cell r="E43">
            <v>86.512395031010641</v>
          </cell>
          <cell r="F43">
            <v>945.27605196359548</v>
          </cell>
          <cell r="G43">
            <v>1042.185612087198</v>
          </cell>
          <cell r="R43">
            <v>15772.559131608494</v>
          </cell>
          <cell r="S43">
            <v>371.36706160172167</v>
          </cell>
          <cell r="T43">
            <v>20211.422402115895</v>
          </cell>
          <cell r="U43">
            <v>1071.9372389464543</v>
          </cell>
          <cell r="V43">
            <v>11713.70738289275</v>
          </cell>
          <cell r="W43">
            <v>11265.476350894753</v>
          </cell>
          <cell r="X43">
            <v>1690.48064678951</v>
          </cell>
          <cell r="Y43">
            <v>39.802597996586236</v>
          </cell>
          <cell r="Z43">
            <v>2165.4083461426944</v>
          </cell>
          <cell r="AA43">
            <v>114.88872172813757</v>
          </cell>
          <cell r="AB43">
            <v>1255.8846753603207</v>
          </cell>
          <cell r="AC43">
            <v>1211.1185416968012</v>
          </cell>
        </row>
        <row r="44">
          <cell r="B44">
            <v>1509.56050014262</v>
          </cell>
          <cell r="C44">
            <v>35.542808403522521</v>
          </cell>
          <cell r="D44">
            <v>2016.593432650254</v>
          </cell>
          <cell r="E44">
            <v>102.59299718222</v>
          </cell>
          <cell r="F44">
            <v>1120.357686772189</v>
          </cell>
          <cell r="G44">
            <v>1264.0897701565459</v>
          </cell>
          <cell r="R44">
            <v>17282.119631751113</v>
          </cell>
          <cell r="S44">
            <v>406.90987000524422</v>
          </cell>
          <cell r="T44">
            <v>22228.015834766149</v>
          </cell>
          <cell r="U44">
            <v>1174.5302361286742</v>
          </cell>
          <cell r="V44">
            <v>12834.065069664939</v>
          </cell>
          <cell r="W44">
            <v>12529.566121051299</v>
          </cell>
          <cell r="X44">
            <v>1852.8303471605934</v>
          </cell>
          <cell r="Y44">
            <v>43.625143892635805</v>
          </cell>
          <cell r="Z44">
            <v>2382.2882522677764</v>
          </cell>
          <cell r="AA44">
            <v>125.9223585721933</v>
          </cell>
          <cell r="AB44">
            <v>1376.3765236424667</v>
          </cell>
          <cell r="AC44">
            <v>1347.0684393045337</v>
          </cell>
        </row>
        <row r="45">
          <cell r="B45">
            <v>1617.5950204045271</v>
          </cell>
          <cell r="C45">
            <v>38.086495956470984</v>
          </cell>
          <cell r="D45">
            <v>2176.3715346876779</v>
          </cell>
          <cell r="E45">
            <v>109.93525688745549</v>
          </cell>
          <cell r="F45">
            <v>1199.874656656551</v>
          </cell>
          <cell r="G45">
            <v>1384.588206464872</v>
          </cell>
          <cell r="R45">
            <v>18899.714652155639</v>
          </cell>
          <cell r="S45">
            <v>444.99636596171518</v>
          </cell>
          <cell r="T45">
            <v>24404.387369453827</v>
          </cell>
          <cell r="U45">
            <v>1284.4654930161298</v>
          </cell>
          <cell r="V45">
            <v>14033.939726321491</v>
          </cell>
          <cell r="W45">
            <v>13914.154327516171</v>
          </cell>
          <cell r="X45">
            <v>2023.2815612706586</v>
          </cell>
          <cell r="Y45">
            <v>47.638441037526299</v>
          </cell>
          <cell r="Z45">
            <v>2611.6195532193151</v>
          </cell>
          <cell r="AA45">
            <v>137.50659181574184</v>
          </cell>
          <cell r="AB45">
            <v>1502.8111932768109</v>
          </cell>
          <cell r="AC45">
            <v>1492.9669725328292</v>
          </cell>
        </row>
      </sheetData>
      <sheetData sheetId="1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2.8748464036561961E-3</v>
          </cell>
          <cell r="S2">
            <v>0</v>
          </cell>
          <cell r="T2">
            <v>0</v>
          </cell>
          <cell r="U2">
            <v>1.951040145648309E-4</v>
          </cell>
          <cell r="V2">
            <v>0</v>
          </cell>
          <cell r="W2">
            <v>0</v>
          </cell>
          <cell r="X2">
            <v>2.348976613109335E-4</v>
          </cell>
          <cell r="Y2">
            <v>0</v>
          </cell>
          <cell r="Z2">
            <v>0</v>
          </cell>
          <cell r="AA2">
            <v>1.5941539233319619E-5</v>
          </cell>
          <cell r="AB2">
            <v>0</v>
          </cell>
          <cell r="AC2">
            <v>0</v>
          </cell>
        </row>
        <row r="3">
          <cell r="R3">
            <v>5.1443307411433315E-3</v>
          </cell>
          <cell r="S3">
            <v>0</v>
          </cell>
          <cell r="T3">
            <v>0</v>
          </cell>
          <cell r="U3">
            <v>3.4912459273297802E-4</v>
          </cell>
          <cell r="V3">
            <v>0</v>
          </cell>
          <cell r="W3">
            <v>0</v>
          </cell>
          <cell r="X3">
            <v>3.8960295056717832E-4</v>
          </cell>
          <cell r="Y3">
            <v>0</v>
          </cell>
          <cell r="Z3">
            <v>0</v>
          </cell>
          <cell r="AA3">
            <v>2.6440751632952368E-5</v>
          </cell>
          <cell r="AB3">
            <v>0</v>
          </cell>
          <cell r="AC3">
            <v>0</v>
          </cell>
        </row>
        <row r="4">
          <cell r="R4">
            <v>8.9326422317870038E-3</v>
          </cell>
          <cell r="S4">
            <v>0</v>
          </cell>
          <cell r="T4">
            <v>0</v>
          </cell>
          <cell r="U4">
            <v>6.0622172992495522E-4</v>
          </cell>
          <cell r="V4">
            <v>0</v>
          </cell>
          <cell r="W4">
            <v>0</v>
          </cell>
          <cell r="X4">
            <v>6.1477268968922714E-4</v>
          </cell>
          <cell r="Y4">
            <v>0</v>
          </cell>
          <cell r="Z4">
            <v>0</v>
          </cell>
          <cell r="AA4">
            <v>4.1722096752940618E-5</v>
          </cell>
          <cell r="AB4">
            <v>0</v>
          </cell>
          <cell r="AC4">
            <v>0</v>
          </cell>
        </row>
        <row r="5">
          <cell r="R5">
            <v>1.5173569149661736E-2</v>
          </cell>
          <cell r="S5">
            <v>0</v>
          </cell>
          <cell r="T5">
            <v>0</v>
          </cell>
          <cell r="U5">
            <v>1.0297677999809101E-3</v>
          </cell>
          <cell r="V5">
            <v>0</v>
          </cell>
          <cell r="W5">
            <v>0</v>
          </cell>
          <cell r="X5">
            <v>9.3401842329337518E-4</v>
          </cell>
          <cell r="Y5">
            <v>0</v>
          </cell>
          <cell r="Z5">
            <v>0</v>
          </cell>
          <cell r="AA5">
            <v>6.338799312209935E-5</v>
          </cell>
          <cell r="AB5">
            <v>0</v>
          </cell>
          <cell r="AC5">
            <v>0</v>
          </cell>
        </row>
        <row r="6">
          <cell r="R6">
            <v>2.5120672363011895E-2</v>
          </cell>
          <cell r="S6">
            <v>0</v>
          </cell>
          <cell r="T6">
            <v>0</v>
          </cell>
          <cell r="U6">
            <v>1.7048368289722191E-3</v>
          </cell>
          <cell r="V6">
            <v>0</v>
          </cell>
          <cell r="W6">
            <v>0</v>
          </cell>
          <cell r="X6">
            <v>1.3766477447518842E-3</v>
          </cell>
          <cell r="Y6">
            <v>0</v>
          </cell>
          <cell r="Z6">
            <v>0</v>
          </cell>
          <cell r="AA6">
            <v>9.342742669699646E-5</v>
          </cell>
          <cell r="AB6">
            <v>0</v>
          </cell>
          <cell r="AC6">
            <v>0</v>
          </cell>
        </row>
        <row r="7">
          <cell r="R7">
            <v>5.2882761575695048E-2</v>
          </cell>
          <cell r="S7">
            <v>0</v>
          </cell>
          <cell r="T7">
            <v>0</v>
          </cell>
          <cell r="U7">
            <v>3.5889357676886779E-3</v>
          </cell>
          <cell r="V7">
            <v>0</v>
          </cell>
          <cell r="W7">
            <v>0</v>
          </cell>
          <cell r="X7">
            <v>3.0854390274067593E-3</v>
          </cell>
          <cell r="Y7">
            <v>0</v>
          </cell>
          <cell r="Z7">
            <v>0</v>
          </cell>
          <cell r="AA7">
            <v>2.0939607075232705E-4</v>
          </cell>
          <cell r="AB7">
            <v>0</v>
          </cell>
          <cell r="AC7">
            <v>0</v>
          </cell>
        </row>
        <row r="8">
          <cell r="R8">
            <v>0.11069450160742951</v>
          </cell>
          <cell r="S8">
            <v>0</v>
          </cell>
          <cell r="T8">
            <v>0</v>
          </cell>
          <cell r="U8">
            <v>7.5123810532611007E-3</v>
          </cell>
          <cell r="V8">
            <v>0</v>
          </cell>
          <cell r="W8">
            <v>0</v>
          </cell>
          <cell r="X8">
            <v>7.1864575578345878E-3</v>
          </cell>
          <cell r="Y8">
            <v>0</v>
          </cell>
          <cell r="Z8">
            <v>0</v>
          </cell>
          <cell r="AA8">
            <v>4.8771535002708842E-4</v>
          </cell>
          <cell r="AB8">
            <v>0</v>
          </cell>
          <cell r="AC8">
            <v>0</v>
          </cell>
        </row>
        <row r="9">
          <cell r="R9">
            <v>0.15841432795894769</v>
          </cell>
          <cell r="S9">
            <v>0</v>
          </cell>
          <cell r="T9">
            <v>0</v>
          </cell>
          <cell r="U9">
            <v>1.075092961838689E-2</v>
          </cell>
          <cell r="V9">
            <v>0</v>
          </cell>
          <cell r="W9">
            <v>0</v>
          </cell>
          <cell r="X9">
            <v>1.009470994798865E-2</v>
          </cell>
          <cell r="Y9">
            <v>0</v>
          </cell>
          <cell r="Z9">
            <v>0</v>
          </cell>
          <cell r="AA9">
            <v>6.8508649165232259E-4</v>
          </cell>
          <cell r="AB9">
            <v>0</v>
          </cell>
          <cell r="AC9">
            <v>0</v>
          </cell>
        </row>
        <row r="10">
          <cell r="R10">
            <v>0.26256715140063158</v>
          </cell>
          <cell r="S10">
            <v>0</v>
          </cell>
          <cell r="T10">
            <v>0</v>
          </cell>
          <cell r="U10">
            <v>1.7819353849987927E-2</v>
          </cell>
          <cell r="V10">
            <v>0</v>
          </cell>
          <cell r="W10">
            <v>0</v>
          </cell>
          <cell r="X10">
            <v>1.7346379697303065E-2</v>
          </cell>
          <cell r="Y10">
            <v>0</v>
          </cell>
          <cell r="Z10">
            <v>0</v>
          </cell>
          <cell r="AA10">
            <v>1.1772275252011828E-3</v>
          </cell>
          <cell r="AB10">
            <v>0</v>
          </cell>
          <cell r="AC10">
            <v>0</v>
          </cell>
        </row>
        <row r="11">
          <cell r="R11">
            <v>0.39774914629290137</v>
          </cell>
          <cell r="S11">
            <v>0</v>
          </cell>
          <cell r="T11">
            <v>0</v>
          </cell>
          <cell r="U11">
            <v>2.6993600469501736E-2</v>
          </cell>
          <cell r="V11">
            <v>0</v>
          </cell>
          <cell r="W11">
            <v>0</v>
          </cell>
          <cell r="X11">
            <v>2.694096493257889E-2</v>
          </cell>
          <cell r="Y11">
            <v>0</v>
          </cell>
          <cell r="Z11">
            <v>0</v>
          </cell>
          <cell r="AA11">
            <v>1.8283726072848905E-3</v>
          </cell>
          <cell r="AB11">
            <v>0</v>
          </cell>
          <cell r="AC11">
            <v>0</v>
          </cell>
        </row>
        <row r="12">
          <cell r="R12">
            <v>0.51057146889182059</v>
          </cell>
          <cell r="S12">
            <v>0</v>
          </cell>
          <cell r="T12">
            <v>0</v>
          </cell>
          <cell r="U12">
            <v>3.4650387991639567E-2</v>
          </cell>
          <cell r="V12">
            <v>0</v>
          </cell>
          <cell r="W12">
            <v>0</v>
          </cell>
          <cell r="X12">
            <v>3.4493040148571609E-2</v>
          </cell>
          <cell r="Y12">
            <v>0</v>
          </cell>
          <cell r="Z12">
            <v>0</v>
          </cell>
          <cell r="AA12">
            <v>2.3409009256889061E-3</v>
          </cell>
          <cell r="AB12">
            <v>0</v>
          </cell>
          <cell r="AC12">
            <v>0</v>
          </cell>
        </row>
        <row r="13">
          <cell r="R13">
            <v>0.69761104245786454</v>
          </cell>
          <cell r="S13">
            <v>0</v>
          </cell>
          <cell r="T13">
            <v>0</v>
          </cell>
          <cell r="U13">
            <v>4.7343995427090349E-2</v>
          </cell>
          <cell r="V13">
            <v>0</v>
          </cell>
          <cell r="W13">
            <v>0</v>
          </cell>
          <cell r="X13">
            <v>4.7691608439676979E-2</v>
          </cell>
          <cell r="Y13">
            <v>0</v>
          </cell>
          <cell r="Z13">
            <v>0</v>
          </cell>
          <cell r="AA13">
            <v>3.2366335313779486E-3</v>
          </cell>
          <cell r="AB13">
            <v>0</v>
          </cell>
          <cell r="AC13">
            <v>0</v>
          </cell>
        </row>
        <row r="14">
          <cell r="R14">
            <v>0.94453915479245543</v>
          </cell>
          <cell r="S14">
            <v>0</v>
          </cell>
          <cell r="T14">
            <v>0</v>
          </cell>
          <cell r="U14">
            <v>6.4101991946182185E-2</v>
          </cell>
          <cell r="V14">
            <v>0</v>
          </cell>
          <cell r="W14">
            <v>0</v>
          </cell>
          <cell r="X14">
            <v>5.9885570315413778E-2</v>
          </cell>
          <cell r="Y14">
            <v>0</v>
          </cell>
          <cell r="Z14">
            <v>0</v>
          </cell>
          <cell r="AA14">
            <v>4.0641876269223382E-3</v>
          </cell>
          <cell r="AB14">
            <v>0</v>
          </cell>
          <cell r="AC14">
            <v>0</v>
          </cell>
        </row>
        <row r="15">
          <cell r="R15">
            <v>1.2696698585969197</v>
          </cell>
          <cell r="S15">
            <v>0</v>
          </cell>
          <cell r="T15">
            <v>0</v>
          </cell>
          <cell r="U15">
            <v>8.6167277065368003E-2</v>
          </cell>
          <cell r="V15">
            <v>0</v>
          </cell>
          <cell r="W15">
            <v>0</v>
          </cell>
          <cell r="X15">
            <v>8.3784563584748922E-2</v>
          </cell>
          <cell r="Y15">
            <v>0</v>
          </cell>
          <cell r="Z15">
            <v>0</v>
          </cell>
          <cell r="AA15">
            <v>5.6861141148818609E-3</v>
          </cell>
          <cell r="AB15">
            <v>0</v>
          </cell>
          <cell r="AC15">
            <v>0</v>
          </cell>
        </row>
        <row r="16">
          <cell r="R16">
            <v>2.1223363538507019</v>
          </cell>
          <cell r="S16">
            <v>0</v>
          </cell>
          <cell r="T16">
            <v>0</v>
          </cell>
          <cell r="U16">
            <v>0.14403424905293724</v>
          </cell>
          <cell r="V16">
            <v>0</v>
          </cell>
          <cell r="W16">
            <v>0</v>
          </cell>
          <cell r="X16">
            <v>0.14530942488630497</v>
          </cell>
          <cell r="Y16">
            <v>0</v>
          </cell>
          <cell r="Z16">
            <v>0</v>
          </cell>
          <cell r="AA16">
            <v>9.8615536862661848E-3</v>
          </cell>
          <cell r="AB16">
            <v>0</v>
          </cell>
          <cell r="AC16">
            <v>0</v>
          </cell>
        </row>
        <row r="17">
          <cell r="R17">
            <v>2.9300736572657335</v>
          </cell>
          <cell r="S17">
            <v>0</v>
          </cell>
          <cell r="T17">
            <v>0</v>
          </cell>
          <cell r="U17">
            <v>0.19885206137488209</v>
          </cell>
          <cell r="V17">
            <v>0</v>
          </cell>
          <cell r="W17">
            <v>0</v>
          </cell>
          <cell r="X17">
            <v>0.21369859886569809</v>
          </cell>
          <cell r="Y17">
            <v>0</v>
          </cell>
          <cell r="Z17">
            <v>0</v>
          </cell>
          <cell r="AA17">
            <v>1.4502845958153402E-2</v>
          </cell>
          <cell r="AB17">
            <v>0</v>
          </cell>
          <cell r="AC17">
            <v>0</v>
          </cell>
        </row>
        <row r="18">
          <cell r="R18">
            <v>4.2346701150015562</v>
          </cell>
          <cell r="S18">
            <v>0</v>
          </cell>
          <cell r="T18">
            <v>0</v>
          </cell>
          <cell r="U18">
            <v>0.28738966323340431</v>
          </cell>
          <cell r="V18">
            <v>0</v>
          </cell>
          <cell r="W18">
            <v>0</v>
          </cell>
          <cell r="X18">
            <v>0.32015757820387508</v>
          </cell>
          <cell r="Y18">
            <v>0</v>
          </cell>
          <cell r="Z18">
            <v>0</v>
          </cell>
          <cell r="AA18">
            <v>2.1727779515973024E-2</v>
          </cell>
          <cell r="AB18">
            <v>0</v>
          </cell>
          <cell r="AC18">
            <v>0</v>
          </cell>
        </row>
        <row r="19">
          <cell r="R19">
            <v>5.628068369902592</v>
          </cell>
          <cell r="S19">
            <v>0</v>
          </cell>
          <cell r="T19">
            <v>0</v>
          </cell>
          <cell r="U19">
            <v>0.38195387823740462</v>
          </cell>
          <cell r="V19">
            <v>0</v>
          </cell>
          <cell r="W19">
            <v>0</v>
          </cell>
          <cell r="X19">
            <v>0.44748114546681494</v>
          </cell>
          <cell r="Y19">
            <v>0</v>
          </cell>
          <cell r="Z19">
            <v>0</v>
          </cell>
          <cell r="AA19">
            <v>3.0368706937390015E-2</v>
          </cell>
          <cell r="AB19">
            <v>0</v>
          </cell>
          <cell r="AC19">
            <v>0</v>
          </cell>
        </row>
        <row r="20">
          <cell r="R20">
            <v>7.7015039238062171</v>
          </cell>
          <cell r="S20">
            <v>0</v>
          </cell>
          <cell r="T20">
            <v>0</v>
          </cell>
          <cell r="U20">
            <v>0.52266943089912854</v>
          </cell>
          <cell r="V20">
            <v>0</v>
          </cell>
          <cell r="W20">
            <v>0</v>
          </cell>
          <cell r="X20">
            <v>0.62183154319968703</v>
          </cell>
          <cell r="Y20">
            <v>0</v>
          </cell>
          <cell r="Z20">
            <v>0</v>
          </cell>
          <cell r="AA20">
            <v>4.2201152140513426E-2</v>
          </cell>
          <cell r="AB20">
            <v>0</v>
          </cell>
          <cell r="AC20">
            <v>0</v>
          </cell>
        </row>
        <row r="21">
          <cell r="R21">
            <v>9.4050968579504275</v>
          </cell>
          <cell r="S21">
            <v>0</v>
          </cell>
          <cell r="T21">
            <v>0</v>
          </cell>
          <cell r="U21">
            <v>0.63828528439763221</v>
          </cell>
          <cell r="V21">
            <v>0</v>
          </cell>
          <cell r="W21">
            <v>0</v>
          </cell>
          <cell r="X21">
            <v>0.7957097614350801</v>
          </cell>
          <cell r="Y21">
            <v>0</v>
          </cell>
          <cell r="Z21">
            <v>0</v>
          </cell>
          <cell r="AA21">
            <v>5.4001552461017649E-2</v>
          </cell>
          <cell r="AB21">
            <v>0</v>
          </cell>
          <cell r="AC21">
            <v>0</v>
          </cell>
        </row>
        <row r="22">
          <cell r="B22">
            <v>2.375518738004208</v>
          </cell>
          <cell r="C22">
            <v>0</v>
          </cell>
          <cell r="D22">
            <v>0</v>
          </cell>
          <cell r="E22">
            <v>0.1612166973056931</v>
          </cell>
          <cell r="F22">
            <v>0</v>
          </cell>
          <cell r="G22">
            <v>0</v>
          </cell>
          <cell r="R22">
            <v>11.780615595954636</v>
          </cell>
          <cell r="S22">
            <v>0</v>
          </cell>
          <cell r="T22">
            <v>0</v>
          </cell>
          <cell r="U22">
            <v>0.79950198170332532</v>
          </cell>
          <cell r="V22">
            <v>0</v>
          </cell>
          <cell r="W22">
            <v>0</v>
          </cell>
          <cell r="X22">
            <v>1.0055002279031786</v>
          </cell>
          <cell r="Y22">
            <v>0</v>
          </cell>
          <cell r="Z22">
            <v>0</v>
          </cell>
          <cell r="AA22">
            <v>6.8239169529289212E-2</v>
          </cell>
          <cell r="AB22">
            <v>0</v>
          </cell>
          <cell r="AC22">
            <v>0</v>
          </cell>
        </row>
        <row r="23">
          <cell r="B23">
            <v>2.5601404029041528</v>
          </cell>
          <cell r="C23">
            <v>0</v>
          </cell>
          <cell r="D23">
            <v>0</v>
          </cell>
          <cell r="E23">
            <v>0.17374621121357081</v>
          </cell>
          <cell r="F23">
            <v>0</v>
          </cell>
          <cell r="G23">
            <v>0</v>
          </cell>
          <cell r="R23">
            <v>14.340755998858789</v>
          </cell>
          <cell r="S23">
            <v>0</v>
          </cell>
          <cell r="T23">
            <v>0</v>
          </cell>
          <cell r="U23">
            <v>0.97324819291689613</v>
          </cell>
          <cell r="V23">
            <v>0</v>
          </cell>
          <cell r="W23">
            <v>0</v>
          </cell>
          <cell r="X23">
            <v>1.2614298134249466</v>
          </cell>
          <cell r="Y23">
            <v>0</v>
          </cell>
          <cell r="Z23">
            <v>0</v>
          </cell>
          <cell r="AA23">
            <v>8.5608059052467253E-2</v>
          </cell>
          <cell r="AB23">
            <v>0</v>
          </cell>
          <cell r="AC23">
            <v>0</v>
          </cell>
        </row>
        <row r="24">
          <cell r="B24">
            <v>3.3734605401105888</v>
          </cell>
          <cell r="C24">
            <v>0</v>
          </cell>
          <cell r="D24">
            <v>0</v>
          </cell>
          <cell r="E24">
            <v>0.22894290752874949</v>
          </cell>
          <cell r="F24">
            <v>0</v>
          </cell>
          <cell r="G24">
            <v>0</v>
          </cell>
          <cell r="R24">
            <v>17.714216538969378</v>
          </cell>
          <cell r="S24">
            <v>0</v>
          </cell>
          <cell r="T24">
            <v>0</v>
          </cell>
          <cell r="U24">
            <v>1.2021911004456456</v>
          </cell>
          <cell r="V24">
            <v>0</v>
          </cell>
          <cell r="W24">
            <v>0</v>
          </cell>
          <cell r="X24">
            <v>1.573597185194658</v>
          </cell>
          <cell r="Y24">
            <v>0</v>
          </cell>
          <cell r="Z24">
            <v>0</v>
          </cell>
          <cell r="AA24">
            <v>0.10679357608425175</v>
          </cell>
          <cell r="AB24">
            <v>0</v>
          </cell>
          <cell r="AC24">
            <v>0</v>
          </cell>
        </row>
        <row r="25">
          <cell r="B25">
            <v>3.352111253956394</v>
          </cell>
          <cell r="C25">
            <v>0</v>
          </cell>
          <cell r="D25">
            <v>0</v>
          </cell>
          <cell r="E25">
            <v>0.22749401918762649</v>
          </cell>
          <cell r="F25">
            <v>0</v>
          </cell>
          <cell r="G25">
            <v>0</v>
          </cell>
          <cell r="R25">
            <v>21.066327792925772</v>
          </cell>
          <cell r="S25">
            <v>0</v>
          </cell>
          <cell r="T25">
            <v>0</v>
          </cell>
          <cell r="U25">
            <v>1.4296851196332721</v>
          </cell>
          <cell r="V25">
            <v>0</v>
          </cell>
          <cell r="W25">
            <v>0</v>
          </cell>
          <cell r="X25">
            <v>1.9306038062689668</v>
          </cell>
          <cell r="Y25">
            <v>0</v>
          </cell>
          <cell r="Z25">
            <v>0</v>
          </cell>
          <cell r="AA25">
            <v>0.13102214875138227</v>
          </cell>
          <cell r="AB25">
            <v>0</v>
          </cell>
          <cell r="AC25">
            <v>0</v>
          </cell>
        </row>
        <row r="26">
          <cell r="R26">
            <v>25.547982757562639</v>
          </cell>
          <cell r="S26">
            <v>0</v>
          </cell>
          <cell r="T26">
            <v>0</v>
          </cell>
          <cell r="U26">
            <v>1.7338366299132719</v>
          </cell>
          <cell r="V26">
            <v>0</v>
          </cell>
          <cell r="W26">
            <v>0</v>
          </cell>
          <cell r="X26">
            <v>2.3538150869242549</v>
          </cell>
          <cell r="Y26">
            <v>0</v>
          </cell>
          <cell r="Z26">
            <v>0</v>
          </cell>
          <cell r="AA26">
            <v>0.15974375967291121</v>
          </cell>
          <cell r="AB26">
            <v>0</v>
          </cell>
          <cell r="AC26">
            <v>0</v>
          </cell>
        </row>
        <row r="27">
          <cell r="R27">
            <v>30.017459494685646</v>
          </cell>
          <cell r="S27">
            <v>0</v>
          </cell>
          <cell r="T27">
            <v>0</v>
          </cell>
          <cell r="U27">
            <v>2.0371616539242257</v>
          </cell>
          <cell r="V27">
            <v>0</v>
          </cell>
          <cell r="W27">
            <v>0</v>
          </cell>
          <cell r="X27">
            <v>2.8433363296246155</v>
          </cell>
          <cell r="Y27">
            <v>0</v>
          </cell>
          <cell r="Z27">
            <v>0</v>
          </cell>
          <cell r="AA27">
            <v>0.19296555529445808</v>
          </cell>
          <cell r="AB27">
            <v>0</v>
          </cell>
          <cell r="AC27">
            <v>0</v>
          </cell>
        </row>
        <row r="28">
          <cell r="R28">
            <v>35.879873847553988</v>
          </cell>
          <cell r="S28">
            <v>0</v>
          </cell>
          <cell r="T28">
            <v>0</v>
          </cell>
          <cell r="U28">
            <v>2.4350196312521453</v>
          </cell>
          <cell r="V28">
            <v>0</v>
          </cell>
          <cell r="W28">
            <v>0</v>
          </cell>
          <cell r="X28">
            <v>3.3798181691154663</v>
          </cell>
          <cell r="Y28">
            <v>0</v>
          </cell>
          <cell r="Z28">
            <v>0</v>
          </cell>
          <cell r="AA28">
            <v>0.22937437368999825</v>
          </cell>
          <cell r="AB28">
            <v>0</v>
          </cell>
          <cell r="AC28">
            <v>0</v>
          </cell>
        </row>
        <row r="29">
          <cell r="R29">
            <v>42.409042764318201</v>
          </cell>
          <cell r="S29">
            <v>0</v>
          </cell>
          <cell r="T29">
            <v>0</v>
          </cell>
          <cell r="U29">
            <v>2.8781275015761101</v>
          </cell>
          <cell r="V29">
            <v>0</v>
          </cell>
          <cell r="W29">
            <v>0</v>
          </cell>
          <cell r="X29">
            <v>4.0796520028574559</v>
          </cell>
          <cell r="Y29">
            <v>0</v>
          </cell>
          <cell r="Z29">
            <v>0</v>
          </cell>
          <cell r="AA29">
            <v>0.27686922082955606</v>
          </cell>
          <cell r="AB29">
            <v>0</v>
          </cell>
          <cell r="AC29">
            <v>0</v>
          </cell>
        </row>
        <row r="30">
          <cell r="R30">
            <v>50.938263690815432</v>
          </cell>
          <cell r="S30">
            <v>0</v>
          </cell>
          <cell r="T30">
            <v>0</v>
          </cell>
          <cell r="U30">
            <v>3.456970684903613</v>
          </cell>
          <cell r="V30">
            <v>0</v>
          </cell>
          <cell r="W30">
            <v>0</v>
          </cell>
          <cell r="X30">
            <v>4.8982302428360835</v>
          </cell>
          <cell r="Y30">
            <v>0</v>
          </cell>
          <cell r="Z30">
            <v>0</v>
          </cell>
          <cell r="AA30">
            <v>0.3324227629778006</v>
          </cell>
          <cell r="AB30">
            <v>0</v>
          </cell>
          <cell r="AC30">
            <v>0</v>
          </cell>
        </row>
        <row r="31">
          <cell r="R31">
            <v>60.869480563265284</v>
          </cell>
          <cell r="S31">
            <v>0</v>
          </cell>
          <cell r="T31">
            <v>0</v>
          </cell>
          <cell r="U31">
            <v>4.1309615732045355</v>
          </cell>
          <cell r="V31">
            <v>0</v>
          </cell>
          <cell r="W31">
            <v>0</v>
          </cell>
          <cell r="X31">
            <v>5.877933678964836</v>
          </cell>
          <cell r="Y31">
            <v>0</v>
          </cell>
          <cell r="Z31">
            <v>0</v>
          </cell>
          <cell r="AA31">
            <v>0.39891121023139448</v>
          </cell>
          <cell r="AB31">
            <v>0</v>
          </cell>
          <cell r="AC31">
            <v>0</v>
          </cell>
        </row>
        <row r="32">
          <cell r="R32">
            <v>73.20517754031988</v>
          </cell>
          <cell r="S32">
            <v>0</v>
          </cell>
          <cell r="T32">
            <v>0</v>
          </cell>
          <cell r="U32">
            <v>4.9681346477791388</v>
          </cell>
          <cell r="V32">
            <v>0</v>
          </cell>
          <cell r="W32">
            <v>0</v>
          </cell>
          <cell r="X32">
            <v>7.0957311607170572</v>
          </cell>
          <cell r="Y32">
            <v>0</v>
          </cell>
          <cell r="Z32">
            <v>0</v>
          </cell>
          <cell r="AA32">
            <v>0.4815581221897608</v>
          </cell>
          <cell r="AB32">
            <v>0</v>
          </cell>
          <cell r="AC32">
            <v>0</v>
          </cell>
        </row>
        <row r="33">
          <cell r="R33">
            <v>78.778492966008841</v>
          </cell>
          <cell r="S33">
            <v>0</v>
          </cell>
          <cell r="T33">
            <v>0</v>
          </cell>
          <cell r="U33">
            <v>5.3463726686365671</v>
          </cell>
          <cell r="V33">
            <v>0</v>
          </cell>
          <cell r="W33">
            <v>0</v>
          </cell>
          <cell r="X33">
            <v>8.0230592488025447</v>
          </cell>
          <cell r="Y33">
            <v>0</v>
          </cell>
          <cell r="Z33">
            <v>0</v>
          </cell>
          <cell r="AA33">
            <v>0.54449206974748388</v>
          </cell>
          <cell r="AB33">
            <v>0</v>
          </cell>
          <cell r="AC33">
            <v>0</v>
          </cell>
        </row>
        <row r="34">
          <cell r="R34">
            <v>86.093261385347319</v>
          </cell>
          <cell r="S34">
            <v>0</v>
          </cell>
          <cell r="T34">
            <v>0</v>
          </cell>
          <cell r="U34">
            <v>5.842795949689064</v>
          </cell>
          <cell r="V34">
            <v>0</v>
          </cell>
          <cell r="W34">
            <v>0</v>
          </cell>
          <cell r="X34">
            <v>8.9956127661269178</v>
          </cell>
          <cell r="Y34">
            <v>0</v>
          </cell>
          <cell r="Z34">
            <v>0</v>
          </cell>
          <cell r="AA34">
            <v>0.61049528138613396</v>
          </cell>
          <cell r="AB34">
            <v>0</v>
          </cell>
          <cell r="AC34">
            <v>0</v>
          </cell>
        </row>
        <row r="35">
          <cell r="R35">
            <v>98.347314044502411</v>
          </cell>
          <cell r="S35">
            <v>0</v>
          </cell>
          <cell r="T35">
            <v>0</v>
          </cell>
          <cell r="U35">
            <v>6.6744281598305824</v>
          </cell>
          <cell r="V35">
            <v>0</v>
          </cell>
          <cell r="W35">
            <v>0</v>
          </cell>
          <cell r="X35">
            <v>10.277456764625089</v>
          </cell>
          <cell r="Y35">
            <v>0</v>
          </cell>
          <cell r="Z35">
            <v>0</v>
          </cell>
          <cell r="AA35">
            <v>0.69748876731107345</v>
          </cell>
          <cell r="AB35">
            <v>0</v>
          </cell>
          <cell r="AC35">
            <v>0</v>
          </cell>
        </row>
        <row r="36">
          <cell r="R36">
            <v>113.71838533657181</v>
          </cell>
          <cell r="S36">
            <v>0</v>
          </cell>
          <cell r="T36">
            <v>0</v>
          </cell>
          <cell r="U36">
            <v>7.7175996188104152</v>
          </cell>
          <cell r="V36">
            <v>0</v>
          </cell>
          <cell r="W36">
            <v>0</v>
          </cell>
          <cell r="X36">
            <v>11.714111338346108</v>
          </cell>
          <cell r="Y36">
            <v>0</v>
          </cell>
          <cell r="Z36">
            <v>0</v>
          </cell>
          <cell r="AA36">
            <v>0.7949886109616483</v>
          </cell>
          <cell r="AB36">
            <v>0</v>
          </cell>
          <cell r="AC36">
            <v>0</v>
          </cell>
        </row>
        <row r="37">
          <cell r="R37">
            <v>125.00105312128278</v>
          </cell>
          <cell r="S37">
            <v>0</v>
          </cell>
          <cell r="T37">
            <v>0</v>
          </cell>
          <cell r="U37">
            <v>8.4833079283043826</v>
          </cell>
          <cell r="V37">
            <v>0</v>
          </cell>
          <cell r="W37">
            <v>0</v>
          </cell>
          <cell r="X37">
            <v>13.100561756137736</v>
          </cell>
          <cell r="Y37">
            <v>0</v>
          </cell>
          <cell r="Z37">
            <v>0</v>
          </cell>
          <cell r="AA37">
            <v>0.88908130480512193</v>
          </cell>
          <cell r="AB37">
            <v>0</v>
          </cell>
          <cell r="AC37">
            <v>0</v>
          </cell>
        </row>
        <row r="38">
          <cell r="R38">
            <v>138.77916225865118</v>
          </cell>
          <cell r="S38">
            <v>0</v>
          </cell>
          <cell r="T38">
            <v>0</v>
          </cell>
          <cell r="U38">
            <v>9.4183715902774807</v>
          </cell>
          <cell r="V38">
            <v>0</v>
          </cell>
          <cell r="W38">
            <v>0</v>
          </cell>
          <cell r="X38">
            <v>14.548409624160961</v>
          </cell>
          <cell r="Y38">
            <v>0</v>
          </cell>
          <cell r="Z38">
            <v>0</v>
          </cell>
          <cell r="AA38">
            <v>0.9873407913541099</v>
          </cell>
          <cell r="AB38">
            <v>0</v>
          </cell>
          <cell r="AC38">
            <v>0</v>
          </cell>
        </row>
        <row r="39">
          <cell r="R39">
            <v>154.76529388529232</v>
          </cell>
          <cell r="S39">
            <v>0</v>
          </cell>
          <cell r="T39">
            <v>0</v>
          </cell>
          <cell r="U39">
            <v>10.503284667286687</v>
          </cell>
          <cell r="V39">
            <v>0</v>
          </cell>
          <cell r="W39">
            <v>0</v>
          </cell>
          <cell r="X39">
            <v>16.275775113457069</v>
          </cell>
          <cell r="Y39">
            <v>0</v>
          </cell>
          <cell r="Z39">
            <v>0</v>
          </cell>
          <cell r="AA39">
            <v>1.1045699905049937</v>
          </cell>
          <cell r="AB39">
            <v>0</v>
          </cell>
          <cell r="AC39">
            <v>0</v>
          </cell>
        </row>
        <row r="40">
          <cell r="R40">
            <v>174.25731022013855</v>
          </cell>
          <cell r="S40">
            <v>0</v>
          </cell>
          <cell r="T40">
            <v>0</v>
          </cell>
          <cell r="U40">
            <v>11.826127736069488</v>
          </cell>
          <cell r="V40">
            <v>0</v>
          </cell>
          <cell r="W40">
            <v>0</v>
          </cell>
          <cell r="X40">
            <v>18.188775086244767</v>
          </cell>
          <cell r="Y40">
            <v>0</v>
          </cell>
          <cell r="Z40">
            <v>0</v>
          </cell>
          <cell r="AA40">
            <v>1.2343974394005652</v>
          </cell>
          <cell r="AB40">
            <v>0</v>
          </cell>
          <cell r="AC40">
            <v>0</v>
          </cell>
        </row>
        <row r="41">
          <cell r="R41">
            <v>192.09231712118438</v>
          </cell>
          <cell r="S41">
            <v>0</v>
          </cell>
          <cell r="T41">
            <v>0</v>
          </cell>
          <cell r="U41">
            <v>13.036516382141182</v>
          </cell>
          <cell r="V41">
            <v>0</v>
          </cell>
          <cell r="W41">
            <v>0</v>
          </cell>
          <cell r="X41">
            <v>20.24972272266794</v>
          </cell>
          <cell r="Y41">
            <v>0</v>
          </cell>
          <cell r="Z41">
            <v>0</v>
          </cell>
          <cell r="AA41">
            <v>1.3742654884075227</v>
          </cell>
          <cell r="AB41">
            <v>0</v>
          </cell>
          <cell r="AC41">
            <v>0</v>
          </cell>
        </row>
        <row r="42">
          <cell r="B42">
            <v>20.98230268829483</v>
          </cell>
          <cell r="C42">
            <v>0</v>
          </cell>
          <cell r="D42">
            <v>0</v>
          </cell>
          <cell r="E42">
            <v>1.42398268098581</v>
          </cell>
          <cell r="F42">
            <v>0</v>
          </cell>
          <cell r="G42">
            <v>0</v>
          </cell>
          <cell r="R42">
            <v>213.0746198094792</v>
          </cell>
          <cell r="S42">
            <v>0</v>
          </cell>
          <cell r="T42">
            <v>0</v>
          </cell>
          <cell r="U42">
            <v>14.460499063126992</v>
          </cell>
          <cell r="V42">
            <v>0</v>
          </cell>
          <cell r="W42">
            <v>0</v>
          </cell>
          <cell r="X42">
            <v>22.395435240131569</v>
          </cell>
          <cell r="Y42">
            <v>0</v>
          </cell>
          <cell r="Z42">
            <v>0</v>
          </cell>
          <cell r="AA42">
            <v>1.5198861816476017</v>
          </cell>
          <cell r="AB42">
            <v>0</v>
          </cell>
          <cell r="AC42">
            <v>0</v>
          </cell>
        </row>
        <row r="43">
          <cell r="B43">
            <v>18.732561231340529</v>
          </cell>
          <cell r="C43">
            <v>0</v>
          </cell>
          <cell r="D43">
            <v>0</v>
          </cell>
          <cell r="E43">
            <v>1.2713019710089279</v>
          </cell>
          <cell r="F43">
            <v>0</v>
          </cell>
          <cell r="G43">
            <v>0</v>
          </cell>
          <cell r="R43">
            <v>231.80718104081973</v>
          </cell>
          <cell r="S43">
            <v>0</v>
          </cell>
          <cell r="T43">
            <v>0</v>
          </cell>
          <cell r="U43">
            <v>15.73180103413592</v>
          </cell>
          <cell r="V43">
            <v>0</v>
          </cell>
          <cell r="W43">
            <v>0</v>
          </cell>
          <cell r="X43">
            <v>24.642653310791566</v>
          </cell>
          <cell r="Y43">
            <v>0</v>
          </cell>
          <cell r="Z43">
            <v>0</v>
          </cell>
          <cell r="AA43">
            <v>1.672395639763623</v>
          </cell>
          <cell r="AB43">
            <v>0</v>
          </cell>
          <cell r="AC43">
            <v>0</v>
          </cell>
        </row>
        <row r="44">
          <cell r="B44">
            <v>22.188225625807689</v>
          </cell>
          <cell r="C44">
            <v>0</v>
          </cell>
          <cell r="D44">
            <v>0</v>
          </cell>
          <cell r="E44">
            <v>1.5058237164113359</v>
          </cell>
          <cell r="F44">
            <v>0</v>
          </cell>
          <cell r="G44">
            <v>0</v>
          </cell>
          <cell r="R44">
            <v>253.99540666662742</v>
          </cell>
          <cell r="S44">
            <v>0</v>
          </cell>
          <cell r="T44">
            <v>0</v>
          </cell>
          <cell r="U44">
            <v>17.237624750547255</v>
          </cell>
          <cell r="V44">
            <v>0</v>
          </cell>
          <cell r="W44">
            <v>0</v>
          </cell>
          <cell r="X44">
            <v>26.98824431353902</v>
          </cell>
          <cell r="Y44">
            <v>0</v>
          </cell>
          <cell r="Z44">
            <v>0</v>
          </cell>
          <cell r="AA44">
            <v>1.8315812646308025</v>
          </cell>
          <cell r="AB44">
            <v>0</v>
          </cell>
          <cell r="AC44">
            <v>0</v>
          </cell>
        </row>
        <row r="45">
          <cell r="B45">
            <v>23.774940085131739</v>
          </cell>
          <cell r="C45">
            <v>0</v>
          </cell>
          <cell r="D45">
            <v>0</v>
          </cell>
          <cell r="E45">
            <v>1.613507508000505</v>
          </cell>
          <cell r="F45">
            <v>0</v>
          </cell>
          <cell r="G45">
            <v>0</v>
          </cell>
          <cell r="R45">
            <v>277.77034675175918</v>
          </cell>
          <cell r="S45">
            <v>0</v>
          </cell>
          <cell r="T45">
            <v>0</v>
          </cell>
          <cell r="U45">
            <v>18.851132258547761</v>
          </cell>
          <cell r="V45">
            <v>0</v>
          </cell>
          <cell r="W45">
            <v>0</v>
          </cell>
          <cell r="X45">
            <v>29.541686514646358</v>
          </cell>
          <cell r="Y45">
            <v>0</v>
          </cell>
          <cell r="Z45">
            <v>0</v>
          </cell>
          <cell r="AA45">
            <v>2.0048728964069253</v>
          </cell>
          <cell r="AB45">
            <v>0</v>
          </cell>
          <cell r="AC45">
            <v>0</v>
          </cell>
        </row>
      </sheetData>
      <sheetData sheetId="2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0.1855938256510021</v>
          </cell>
          <cell r="S2">
            <v>9.4506331281075088E-5</v>
          </cell>
          <cell r="T2">
            <v>2.264008481519824E-2</v>
          </cell>
          <cell r="U2">
            <v>1.271193167061579E-2</v>
          </cell>
          <cell r="V2">
            <v>3.2554414966821391E-2</v>
          </cell>
          <cell r="W2">
            <v>7.9089734644223975E-2</v>
          </cell>
          <cell r="X2">
            <v>1.5164481672386119E-2</v>
          </cell>
          <cell r="Y2">
            <v>7.7219138277328563E-6</v>
          </cell>
          <cell r="Z2">
            <v>1.8498737769808309E-3</v>
          </cell>
          <cell r="AA2">
            <v>1.0386652366451549E-3</v>
          </cell>
          <cell r="AB2">
            <v>2.659952869595637E-3</v>
          </cell>
          <cell r="AC2">
            <v>6.4622560975790728E-3</v>
          </cell>
        </row>
        <row r="3">
          <cell r="R3">
            <v>0.33210679410510358</v>
          </cell>
          <cell r="S3">
            <v>1.6911227835462881E-4</v>
          </cell>
          <cell r="T3">
            <v>4.0512802405302042E-2</v>
          </cell>
          <cell r="U3">
            <v>2.2747086866725989E-2</v>
          </cell>
          <cell r="V3">
            <v>5.8253782692796588E-2</v>
          </cell>
          <cell r="W3">
            <v>0.14152538818133226</v>
          </cell>
          <cell r="X3">
            <v>2.5151918373350492E-2</v>
          </cell>
          <cell r="Y3">
            <v>1.2807621815050325E-5</v>
          </cell>
          <cell r="Z3">
            <v>3.0682139518391008E-3</v>
          </cell>
          <cell r="AA3">
            <v>1.7227376321676188E-3</v>
          </cell>
          <cell r="AB3">
            <v>4.4118169613971223E-3</v>
          </cell>
          <cell r="AC3">
            <v>1.0718344443646263E-2</v>
          </cell>
        </row>
        <row r="4">
          <cell r="R4">
            <v>0.57667193727658961</v>
          </cell>
          <cell r="S4">
            <v>2.9364742578906201E-4</v>
          </cell>
          <cell r="T4">
            <v>7.0346637474015442E-2</v>
          </cell>
          <cell r="U4">
            <v>3.9498158073461E-2</v>
          </cell>
          <cell r="V4">
            <v>0.10115216645797684</v>
          </cell>
          <cell r="W4">
            <v>0.24574540848002496</v>
          </cell>
          <cell r="X4">
            <v>3.9688386565651462E-2</v>
          </cell>
          <cell r="Y4">
            <v>2.0209744562504932E-5</v>
          </cell>
          <cell r="Z4">
            <v>4.8414780765088025E-3</v>
          </cell>
          <cell r="AA4">
            <v>2.7183881595730392E-3</v>
          </cell>
          <cell r="AB4">
            <v>6.9616120099352079E-3</v>
          </cell>
          <cell r="AC4">
            <v>1.6912976231425667E-2</v>
          </cell>
        </row>
        <row r="5">
          <cell r="R5">
            <v>0.97957259340333258</v>
          </cell>
          <cell r="S5">
            <v>4.9880868450936737E-4</v>
          </cell>
          <cell r="T5">
            <v>0.11949539010526566</v>
          </cell>
          <cell r="U5">
            <v>6.7094149442055162E-2</v>
          </cell>
          <cell r="V5">
            <v>0.17182367238737564</v>
          </cell>
          <cell r="W5">
            <v>0.417439191229935</v>
          </cell>
          <cell r="X5">
            <v>6.0298196170436254E-2</v>
          </cell>
          <cell r="Y5">
            <v>3.0704476740785015E-5</v>
          </cell>
          <cell r="Z5">
            <v>7.3556125626141906E-3</v>
          </cell>
          <cell r="AA5">
            <v>4.130021819914103E-3</v>
          </cell>
          <cell r="AB5">
            <v>1.0576712307091687E-2</v>
          </cell>
          <cell r="AC5">
            <v>2.5695727311602058E-2</v>
          </cell>
        </row>
        <row r="6">
          <cell r="R6">
            <v>1.6217359232992035</v>
          </cell>
          <cell r="S6">
            <v>8.2580501738209195E-4</v>
          </cell>
          <cell r="T6">
            <v>0.19783114401871565</v>
          </cell>
          <cell r="U6">
            <v>0.1110780284443755</v>
          </cell>
          <cell r="V6">
            <v>0.28446347300885244</v>
          </cell>
          <cell r="W6">
            <v>0.69109337763169831</v>
          </cell>
          <cell r="X6">
            <v>8.8873381616975375E-2</v>
          </cell>
          <cell r="Y6">
            <v>4.5255262214149712E-5</v>
          </cell>
          <cell r="Z6">
            <v>1.0841421532014952E-2</v>
          </cell>
          <cell r="AA6">
            <v>6.0872302755156475E-3</v>
          </cell>
          <cell r="AB6">
            <v>1.5588993515895398E-2</v>
          </cell>
          <cell r="AC6">
            <v>3.7872877205726609E-2</v>
          </cell>
        </row>
        <row r="7">
          <cell r="R7">
            <v>3.4139959683901093</v>
          </cell>
          <cell r="S7">
            <v>1.7384427140784485E-3</v>
          </cell>
          <cell r="T7">
            <v>0.42152795587256325</v>
          </cell>
          <cell r="U7">
            <v>0.2338358149669324</v>
          </cell>
          <cell r="V7">
            <v>0.59572068569758774</v>
          </cell>
          <cell r="W7">
            <v>1.4654811978709055</v>
          </cell>
          <cell r="X7">
            <v>0.19918922700741598</v>
          </cell>
          <cell r="Y7">
            <v>1.0142925288141169E-4</v>
          </cell>
          <cell r="Z7">
            <v>2.4610239834021934E-2</v>
          </cell>
          <cell r="AA7">
            <v>1.3643125434584612E-2</v>
          </cell>
          <cell r="AB7">
            <v>3.474726390510581E-2</v>
          </cell>
          <cell r="AC7">
            <v>8.5537415219469864E-2</v>
          </cell>
        </row>
        <row r="8">
          <cell r="R8">
            <v>7.1461960561531033</v>
          </cell>
          <cell r="S8">
            <v>3.6389183180710566E-3</v>
          </cell>
          <cell r="T8">
            <v>0.8978788815963008</v>
          </cell>
          <cell r="U8">
            <v>0.48946647687226957</v>
          </cell>
          <cell r="V8">
            <v>1.2374031232770868</v>
          </cell>
          <cell r="W8">
            <v>3.1001520477732738</v>
          </cell>
          <cell r="X8">
            <v>0.46394205594455951</v>
          </cell>
          <cell r="Y8">
            <v>2.362441825881015E-4</v>
          </cell>
          <cell r="Z8">
            <v>5.8401368976773116E-2</v>
          </cell>
          <cell r="AA8">
            <v>3.177691765124948E-2</v>
          </cell>
          <cell r="AB8">
            <v>8.0266592085144903E-2</v>
          </cell>
          <cell r="AC8">
            <v>0.20149682835804528</v>
          </cell>
        </row>
        <row r="9">
          <cell r="R9">
            <v>10.22688416551302</v>
          </cell>
          <cell r="S9">
            <v>5.2076371588816164E-3</v>
          </cell>
          <cell r="T9">
            <v>1.2997466873369254</v>
          </cell>
          <cell r="U9">
            <v>0.70047294008458894</v>
          </cell>
          <cell r="V9">
            <v>1.7617322092230179</v>
          </cell>
          <cell r="W9">
            <v>4.467662745681733</v>
          </cell>
          <cell r="X9">
            <v>0.65169249936334894</v>
          </cell>
          <cell r="Y9">
            <v>3.318486863568348E-4</v>
          </cell>
          <cell r="Z9">
            <v>8.2892929318210878E-2</v>
          </cell>
          <cell r="AA9">
            <v>4.4636563167450308E-2</v>
          </cell>
          <cell r="AB9">
            <v>0.11222147193313152</v>
          </cell>
          <cell r="AC9">
            <v>0.28483883858367542</v>
          </cell>
        </row>
        <row r="10">
          <cell r="R10">
            <v>16.950763719673429</v>
          </cell>
          <cell r="S10">
            <v>8.6315074649684943E-3</v>
          </cell>
          <cell r="T10">
            <v>2.195748969183601</v>
          </cell>
          <cell r="U10">
            <v>1.1610135704322029</v>
          </cell>
          <cell r="V10">
            <v>2.8944992482747152</v>
          </cell>
          <cell r="W10">
            <v>7.4920178545808156</v>
          </cell>
          <cell r="X10">
            <v>1.1198445124313341</v>
          </cell>
          <cell r="Y10">
            <v>5.7023662346473254E-4</v>
          </cell>
          <cell r="Z10">
            <v>0.14527734126093891</v>
          </cell>
          <cell r="AA10">
            <v>7.6701834631664689E-2</v>
          </cell>
          <cell r="AB10">
            <v>0.19109069696869674</v>
          </cell>
          <cell r="AC10">
            <v>0.49541041724728896</v>
          </cell>
        </row>
        <row r="11">
          <cell r="R11">
            <v>25.677819036187987</v>
          </cell>
          <cell r="S11">
            <v>1.3075415973011793E-2</v>
          </cell>
          <cell r="T11">
            <v>3.383158495377848</v>
          </cell>
          <cell r="U11">
            <v>1.7587582986314532</v>
          </cell>
          <cell r="V11">
            <v>4.3496756871643774</v>
          </cell>
          <cell r="W11">
            <v>11.46873918872752</v>
          </cell>
          <cell r="X11">
            <v>1.7392500490488008</v>
          </cell>
          <cell r="Y11">
            <v>8.8564444824323061E-4</v>
          </cell>
          <cell r="Z11">
            <v>0.2295541113835306</v>
          </cell>
          <cell r="AA11">
            <v>0.11912695750557226</v>
          </cell>
          <cell r="AB11">
            <v>0.29437230918649665</v>
          </cell>
          <cell r="AC11">
            <v>0.77765948324026468</v>
          </cell>
        </row>
        <row r="12">
          <cell r="R12">
            <v>32.961382583560386</v>
          </cell>
          <cell r="S12">
            <v>1.6784283264799426E-2</v>
          </cell>
          <cell r="T12">
            <v>4.3945497564249152</v>
          </cell>
          <cell r="U12">
            <v>2.2576335268779593</v>
          </cell>
          <cell r="V12">
            <v>5.5516111873447551</v>
          </cell>
          <cell r="W12">
            <v>14.830470412689422</v>
          </cell>
          <cell r="X12">
            <v>2.2267955851016641</v>
          </cell>
          <cell r="Y12">
            <v>1.1339077715687845E-3</v>
          </cell>
          <cell r="Z12">
            <v>0.29725439179149971</v>
          </cell>
          <cell r="AA12">
            <v>0.1525205551582875</v>
          </cell>
          <cell r="AB12">
            <v>0.37482719695195205</v>
          </cell>
          <cell r="AC12">
            <v>1.0026862906528855</v>
          </cell>
        </row>
        <row r="13">
          <cell r="R13">
            <v>45.036250292007715</v>
          </cell>
          <cell r="S13">
            <v>2.2932933112534908E-2</v>
          </cell>
          <cell r="T13">
            <v>6.1049881253839526</v>
          </cell>
          <cell r="U13">
            <v>3.0846809391671233</v>
          </cell>
          <cell r="V13">
            <v>7.523444951289644</v>
          </cell>
          <cell r="W13">
            <v>20.474410969620557</v>
          </cell>
          <cell r="X13">
            <v>3.0788664223981943</v>
          </cell>
          <cell r="Y13">
            <v>1.5677912186178977E-3</v>
          </cell>
          <cell r="Z13">
            <v>0.41795257982742012</v>
          </cell>
          <cell r="AA13">
            <v>0.21088168987947045</v>
          </cell>
          <cell r="AB13">
            <v>0.51397091983337928</v>
          </cell>
          <cell r="AC13">
            <v>1.4009546006760134</v>
          </cell>
        </row>
        <row r="14">
          <cell r="R14">
            <v>60.977391693744224</v>
          </cell>
          <cell r="S14">
            <v>3.1050330256683051E-2</v>
          </cell>
          <cell r="T14">
            <v>8.4075399028012257</v>
          </cell>
          <cell r="U14">
            <v>4.1765421556687761</v>
          </cell>
          <cell r="V14">
            <v>10.099283233765339</v>
          </cell>
          <cell r="W14">
            <v>28.018762922194881</v>
          </cell>
          <cell r="X14">
            <v>3.866082056416849</v>
          </cell>
          <cell r="Y14">
            <v>1.9686497128983448E-3</v>
          </cell>
          <cell r="Z14">
            <v>0.53165866345345636</v>
          </cell>
          <cell r="AA14">
            <v>0.2648006783726719</v>
          </cell>
          <cell r="AB14">
            <v>0.64117261233249612</v>
          </cell>
          <cell r="AC14">
            <v>1.7735146110250035</v>
          </cell>
        </row>
        <row r="15">
          <cell r="R15">
            <v>81.967122163841964</v>
          </cell>
          <cell r="S15">
            <v>4.1738522142105411E-2</v>
          </cell>
          <cell r="T15">
            <v>11.428476454266422</v>
          </cell>
          <cell r="U15">
            <v>5.614197845908512</v>
          </cell>
          <cell r="V15">
            <v>13.48491341507704</v>
          </cell>
          <cell r="W15">
            <v>38.337908760942128</v>
          </cell>
          <cell r="X15">
            <v>5.4089490368657636</v>
          </cell>
          <cell r="Y15">
            <v>2.7542938336845898E-3</v>
          </cell>
          <cell r="Z15">
            <v>0.75371502868057805</v>
          </cell>
          <cell r="AA15">
            <v>0.3704767134644677</v>
          </cell>
          <cell r="AB15">
            <v>0.89003607545312446</v>
          </cell>
          <cell r="AC15">
            <v>2.5320317060263586</v>
          </cell>
        </row>
        <row r="16">
          <cell r="R16">
            <v>137.01341495267457</v>
          </cell>
          <cell r="S16">
            <v>6.9768674351365509E-2</v>
          </cell>
          <cell r="T16">
            <v>19.322988958831683</v>
          </cell>
          <cell r="U16">
            <v>9.3844995259233315</v>
          </cell>
          <cell r="V16">
            <v>22.348394525601162</v>
          </cell>
          <cell r="W16">
            <v>66.396080357417745</v>
          </cell>
          <cell r="X16">
            <v>9.3808601508233611</v>
          </cell>
          <cell r="Y16">
            <v>4.7768328176081322E-3</v>
          </cell>
          <cell r="Z16">
            <v>1.3233501551812554</v>
          </cell>
          <cell r="AA16">
            <v>0.64252597213610607</v>
          </cell>
          <cell r="AB16">
            <v>1.5295879389418519</v>
          </cell>
          <cell r="AC16">
            <v>4.5565924521767327</v>
          </cell>
        </row>
        <row r="17">
          <cell r="R17">
            <v>189.15917692144089</v>
          </cell>
          <cell r="S17">
            <v>9.6321845709508205E-2</v>
          </cell>
          <cell r="T17">
            <v>26.775389599097863</v>
          </cell>
          <cell r="U17">
            <v>12.956134308136647</v>
          </cell>
          <cell r="V17">
            <v>30.73041607510109</v>
          </cell>
          <cell r="W17">
            <v>93.905199873663761</v>
          </cell>
          <cell r="X17">
            <v>13.795916348540644</v>
          </cell>
          <cell r="Y17">
            <v>7.0250259467839271E-3</v>
          </cell>
          <cell r="Z17">
            <v>1.9543269861342132</v>
          </cell>
          <cell r="AA17">
            <v>0.94492769541782995</v>
          </cell>
          <cell r="AB17">
            <v>2.2392735355141209</v>
          </cell>
          <cell r="AC17">
            <v>6.8857234117875024</v>
          </cell>
        </row>
        <row r="18">
          <cell r="R18">
            <v>273.3810842949984</v>
          </cell>
          <cell r="S18">
            <v>0.13920852823491081</v>
          </cell>
          <cell r="T18">
            <v>38.77036376410598</v>
          </cell>
          <cell r="U18">
            <v>18.72476981067129</v>
          </cell>
          <cell r="V18">
            <v>44.245478500702077</v>
          </cell>
          <cell r="W18">
            <v>139.81488804535434</v>
          </cell>
          <cell r="X18">
            <v>20.668676307175332</v>
          </cell>
          <cell r="Y18">
            <v>1.0524707723307138E-2</v>
          </cell>
          <cell r="Z18">
            <v>2.9331528132492135</v>
          </cell>
          <cell r="AA18">
            <v>1.4156656344427785</v>
          </cell>
          <cell r="AB18">
            <v>3.342143118663472</v>
          </cell>
          <cell r="AC18">
            <v>10.632091505546239</v>
          </cell>
        </row>
        <row r="19">
          <cell r="R19">
            <v>363.33584238350744</v>
          </cell>
          <cell r="S19">
            <v>0.1850144387408334</v>
          </cell>
          <cell r="T19">
            <v>51.538052522922023</v>
          </cell>
          <cell r="U19">
            <v>24.886067118148425</v>
          </cell>
          <cell r="V19">
            <v>58.656337953904341</v>
          </cell>
          <cell r="W19">
            <v>190.40621937132451</v>
          </cell>
          <cell r="X19">
            <v>28.888408642721586</v>
          </cell>
          <cell r="Y19">
            <v>1.4710282024715506E-2</v>
          </cell>
          <cell r="Z19">
            <v>4.0998168827336796</v>
          </cell>
          <cell r="AA19">
            <v>1.9786621427247928</v>
          </cell>
          <cell r="AB19">
            <v>4.6589540350348928</v>
          </cell>
          <cell r="AC19">
            <v>15.254939822132755</v>
          </cell>
        </row>
        <row r="20">
          <cell r="R20">
            <v>497.19232814231975</v>
          </cell>
          <cell r="S20">
            <v>0.25317557148794811</v>
          </cell>
          <cell r="T20">
            <v>70.472734479119609</v>
          </cell>
          <cell r="U20">
            <v>34.054338178170028</v>
          </cell>
          <cell r="V20">
            <v>80.064888623236783</v>
          </cell>
          <cell r="W20">
            <v>267.9710425756208</v>
          </cell>
          <cell r="X20">
            <v>40.14409078207504</v>
          </cell>
          <cell r="Y20">
            <v>2.0441793950422033E-2</v>
          </cell>
          <cell r="Z20">
            <v>5.6919904729825967</v>
          </cell>
          <cell r="AA20">
            <v>2.7496008404953076</v>
          </cell>
          <cell r="AB20">
            <v>6.4591495207615512</v>
          </cell>
          <cell r="AC20">
            <v>21.777186317949116</v>
          </cell>
        </row>
        <row r="21">
          <cell r="R21">
            <v>607.17257946904465</v>
          </cell>
          <cell r="S21">
            <v>0.30917867412243083</v>
          </cell>
          <cell r="T21">
            <v>85.978028804788352</v>
          </cell>
          <cell r="U21">
            <v>41.587247395804496</v>
          </cell>
          <cell r="V21">
            <v>97.626074020186678</v>
          </cell>
          <cell r="W21">
            <v>333.54909231530615</v>
          </cell>
          <cell r="X21">
            <v>51.369290040944982</v>
          </cell>
          <cell r="Y21">
            <v>2.615778367224451E-2</v>
          </cell>
          <cell r="Z21">
            <v>7.2745474891144868</v>
          </cell>
          <cell r="AA21">
            <v>3.5184516655013556</v>
          </cell>
          <cell r="AB21">
            <v>8.2515422724120278</v>
          </cell>
          <cell r="AC21">
            <v>28.470448666924813</v>
          </cell>
        </row>
        <row r="22">
          <cell r="B22">
            <v>153.35831852829881</v>
          </cell>
          <cell r="C22">
            <v>7.8091671448154085E-2</v>
          </cell>
          <cell r="D22">
            <v>21.549407901533879</v>
          </cell>
          <cell r="E22">
            <v>10.504015741979179</v>
          </cell>
          <cell r="F22">
            <v>24.448190505306879</v>
          </cell>
          <cell r="G22">
            <v>93.984048461092954</v>
          </cell>
          <cell r="R22">
            <v>760.53089799734346</v>
          </cell>
          <cell r="S22">
            <v>0.38727034557058493</v>
          </cell>
          <cell r="T22">
            <v>107.52743670632223</v>
          </cell>
          <cell r="U22">
            <v>52.091263137783677</v>
          </cell>
          <cell r="V22">
            <v>122.07426452549356</v>
          </cell>
          <cell r="W22">
            <v>427.53314077639914</v>
          </cell>
          <cell r="X22">
            <v>64.912905869395701</v>
          </cell>
          <cell r="Y22">
            <v>3.3054335536173741E-2</v>
          </cell>
          <cell r="Z22">
            <v>9.1776519620231376</v>
          </cell>
          <cell r="AA22">
            <v>4.4460984683000797</v>
          </cell>
          <cell r="AB22">
            <v>10.410648495551483</v>
          </cell>
          <cell r="AC22">
            <v>36.770512586344061</v>
          </cell>
        </row>
        <row r="23">
          <cell r="B23">
            <v>165.27709131673751</v>
          </cell>
          <cell r="C23">
            <v>8.41608361181371E-2</v>
          </cell>
          <cell r="D23">
            <v>22.999201181848939</v>
          </cell>
          <cell r="E23">
            <v>11.32037169968833</v>
          </cell>
          <cell r="F23">
            <v>26.54090031261369</v>
          </cell>
          <cell r="G23">
            <v>103.51057103634091</v>
          </cell>
          <cell r="R23">
            <v>925.80798931408094</v>
          </cell>
          <cell r="S23">
            <v>0.471431181688722</v>
          </cell>
          <cell r="T23">
            <v>130.52663788817117</v>
          </cell>
          <cell r="U23">
            <v>63.411634837472008</v>
          </cell>
          <cell r="V23">
            <v>148.61516483810726</v>
          </cell>
          <cell r="W23">
            <v>531.04371181274007</v>
          </cell>
          <cell r="X23">
            <v>81.435162785052697</v>
          </cell>
          <cell r="Y23">
            <v>4.146764282215179E-2</v>
          </cell>
          <cell r="Z23">
            <v>11.4768133748602</v>
          </cell>
          <cell r="AA23">
            <v>5.5777621980576599</v>
          </cell>
          <cell r="AB23">
            <v>13.06386298670847</v>
          </cell>
          <cell r="AC23">
            <v>47.118155048609452</v>
          </cell>
        </row>
        <row r="24">
          <cell r="B24">
            <v>217.78326888196929</v>
          </cell>
          <cell r="C24">
            <v>0.1108975348950339</v>
          </cell>
          <cell r="D24">
            <v>30.018153236949281</v>
          </cell>
          <cell r="E24">
            <v>14.916692531770069</v>
          </cell>
          <cell r="F24">
            <v>35.218773737593551</v>
          </cell>
          <cell r="G24">
            <v>139.23465523064371</v>
          </cell>
          <cell r="R24">
            <v>1143.5912581960501</v>
          </cell>
          <cell r="S24">
            <v>0.58232871658375585</v>
          </cell>
          <cell r="T24">
            <v>160.54479112512044</v>
          </cell>
          <cell r="U24">
            <v>78.328327369242075</v>
          </cell>
          <cell r="V24">
            <v>183.83393857570081</v>
          </cell>
          <cell r="W24">
            <v>670.27836704338381</v>
          </cell>
          <cell r="X24">
            <v>101.58800875848507</v>
          </cell>
          <cell r="Y24">
            <v>5.1729684305164871E-2</v>
          </cell>
          <cell r="Z24">
            <v>14.254580563757486</v>
          </cell>
          <cell r="AA24">
            <v>6.9580969160048562</v>
          </cell>
          <cell r="AB24">
            <v>16.322876069534182</v>
          </cell>
          <cell r="AC24">
            <v>60.002407247743541</v>
          </cell>
        </row>
        <row r="25">
          <cell r="B25">
            <v>216.40500544249099</v>
          </cell>
          <cell r="C25">
            <v>0.1101957086314336</v>
          </cell>
          <cell r="D25">
            <v>29.550888898050591</v>
          </cell>
          <cell r="E25">
            <v>14.822290734698971</v>
          </cell>
          <cell r="F25">
            <v>35.233298326081609</v>
          </cell>
          <cell r="G25">
            <v>141.09225913445329</v>
          </cell>
          <cell r="R25">
            <v>1359.9962636385412</v>
          </cell>
          <cell r="S25">
            <v>0.69252442521518942</v>
          </cell>
          <cell r="T25">
            <v>190.09568002317104</v>
          </cell>
          <cell r="U25">
            <v>93.150618103941042</v>
          </cell>
          <cell r="V25">
            <v>219.06723690178242</v>
          </cell>
          <cell r="W25">
            <v>811.37062617783704</v>
          </cell>
          <cell r="X25">
            <v>124.63557905777208</v>
          </cell>
          <cell r="Y25">
            <v>6.3465749911270464E-2</v>
          </cell>
          <cell r="Z25">
            <v>17.401809935331492</v>
          </cell>
          <cell r="AA25">
            <v>8.5367008258632566</v>
          </cell>
          <cell r="AB25">
            <v>20.075293525801914</v>
          </cell>
          <cell r="AC25">
            <v>75.029017905095898</v>
          </cell>
        </row>
        <row r="26">
          <cell r="R26">
            <v>1649.3221521719011</v>
          </cell>
          <cell r="S26">
            <v>0.83985221574924629</v>
          </cell>
          <cell r="T26">
            <v>229.24426118746419</v>
          </cell>
          <cell r="U26">
            <v>112.96750001084412</v>
          </cell>
          <cell r="V26">
            <v>266.48107264171625</v>
          </cell>
          <cell r="W26">
            <v>1003.5608832009184</v>
          </cell>
          <cell r="X26">
            <v>151.95717806062027</v>
          </cell>
          <cell r="Y26">
            <v>7.737819596078116E-2</v>
          </cell>
          <cell r="Z26">
            <v>21.098685598699401</v>
          </cell>
          <cell r="AA26">
            <v>10.408047021987617</v>
          </cell>
          <cell r="AB26">
            <v>24.552673043549493</v>
          </cell>
          <cell r="AC26">
            <v>93.177912776746879</v>
          </cell>
        </row>
        <row r="27">
          <cell r="R27">
            <v>1937.8618408473931</v>
          </cell>
          <cell r="S27">
            <v>0.98677966503294012</v>
          </cell>
          <cell r="T27">
            <v>268.15565947212332</v>
          </cell>
          <cell r="U27">
            <v>132.7305325031042</v>
          </cell>
          <cell r="V27">
            <v>313.81402906410671</v>
          </cell>
          <cell r="W27">
            <v>1193.5896243206721</v>
          </cell>
          <cell r="X27">
            <v>183.55960386488164</v>
          </cell>
          <cell r="Y27">
            <v>9.3470484116742192E-2</v>
          </cell>
          <cell r="Z27">
            <v>25.360472193381653</v>
          </cell>
          <cell r="AA27">
            <v>12.57260112846366</v>
          </cell>
          <cell r="AB27">
            <v>29.736834190674152</v>
          </cell>
          <cell r="AC27">
            <v>113.99088730888543</v>
          </cell>
        </row>
        <row r="28">
          <cell r="R28">
            <v>2316.3265497502539</v>
          </cell>
          <cell r="S28">
            <v>1.179497881990371</v>
          </cell>
          <cell r="T28">
            <v>319.02749522084264</v>
          </cell>
          <cell r="U28">
            <v>158.6528254589027</v>
          </cell>
          <cell r="V28">
            <v>375.95962487710023</v>
          </cell>
          <cell r="W28">
            <v>1440.7550108830308</v>
          </cell>
          <cell r="X28">
            <v>218.19370357078759</v>
          </cell>
          <cell r="Y28">
            <v>0.1111065325625729</v>
          </cell>
          <cell r="Z28">
            <v>30.015860635414263</v>
          </cell>
          <cell r="AA28">
            <v>14.944804553822566</v>
          </cell>
          <cell r="AB28">
            <v>35.42390807375736</v>
          </cell>
          <cell r="AC28">
            <v>136.60951050063636</v>
          </cell>
        </row>
        <row r="29">
          <cell r="R29">
            <v>2737.8354818597259</v>
          </cell>
          <cell r="S29">
            <v>1.3941346708821403</v>
          </cell>
          <cell r="T29">
            <v>375.50509761739255</v>
          </cell>
          <cell r="U29">
            <v>187.52335886557751</v>
          </cell>
          <cell r="V29">
            <v>445.23930335596538</v>
          </cell>
          <cell r="W29">
            <v>1713.7746227726188</v>
          </cell>
          <cell r="X29">
            <v>263.37345242936908</v>
          </cell>
          <cell r="Y29">
            <v>0.13411253665698672</v>
          </cell>
          <cell r="Z29">
            <v>36.069454516903463</v>
          </cell>
          <cell r="AA29">
            <v>18.039314181884478</v>
          </cell>
          <cell r="AB29">
            <v>42.849702016044411</v>
          </cell>
          <cell r="AC29">
            <v>165.8733209658329</v>
          </cell>
        </row>
        <row r="30">
          <cell r="R30">
            <v>3288.4634178628467</v>
          </cell>
          <cell r="S30">
            <v>1.6745202168451807</v>
          </cell>
          <cell r="T30">
            <v>449.05472091405005</v>
          </cell>
          <cell r="U30">
            <v>225.23767761433854</v>
          </cell>
          <cell r="V30">
            <v>535.82491505477128</v>
          </cell>
          <cell r="W30">
            <v>2067.5632692719028</v>
          </cell>
          <cell r="X30">
            <v>316.21908166336345</v>
          </cell>
          <cell r="Y30">
            <v>0.16102208779979313</v>
          </cell>
          <cell r="Z30">
            <v>43.128261142750155</v>
          </cell>
          <cell r="AA30">
            <v>21.658885175460824</v>
          </cell>
          <cell r="AB30">
            <v>51.5435101880703</v>
          </cell>
          <cell r="AC30">
            <v>199.82761644856683</v>
          </cell>
        </row>
        <row r="31">
          <cell r="R31">
            <v>3929.6011601727046</v>
          </cell>
          <cell r="S31">
            <v>2.0009943097143843</v>
          </cell>
          <cell r="T31">
            <v>534.43552670987719</v>
          </cell>
          <cell r="U31">
            <v>269.15131074899654</v>
          </cell>
          <cell r="V31">
            <v>641.39540554550501</v>
          </cell>
          <cell r="W31">
            <v>2476.2654898617011</v>
          </cell>
          <cell r="X31">
            <v>379.46660281208358</v>
          </cell>
          <cell r="Y31">
            <v>0.19322839189111396</v>
          </cell>
          <cell r="Z31">
            <v>51.550982133735737</v>
          </cell>
          <cell r="AA31">
            <v>25.990915965591888</v>
          </cell>
          <cell r="AB31">
            <v>61.957920991492401</v>
          </cell>
          <cell r="AC31">
            <v>240.14563336510844</v>
          </cell>
        </row>
        <row r="32">
          <cell r="R32">
            <v>4725.96690379344</v>
          </cell>
          <cell r="S32">
            <v>2.4065121362020268</v>
          </cell>
          <cell r="T32">
            <v>640.17590253443086</v>
          </cell>
          <cell r="U32">
            <v>323.69702035014592</v>
          </cell>
          <cell r="V32">
            <v>772.64041591562363</v>
          </cell>
          <cell r="W32">
            <v>2980.0065790500398</v>
          </cell>
          <cell r="X32">
            <v>458.08495724629159</v>
          </cell>
          <cell r="Y32">
            <v>0.23326168622550508</v>
          </cell>
          <cell r="Z32">
            <v>61.989821839201774</v>
          </cell>
          <cell r="AA32">
            <v>31.375745693188538</v>
          </cell>
          <cell r="AB32">
            <v>74.914614352116558</v>
          </cell>
          <cell r="AC32">
            <v>289.8756673477651</v>
          </cell>
        </row>
        <row r="33">
          <cell r="R33">
            <v>5085.7680152885978</v>
          </cell>
          <cell r="S33">
            <v>2.5897266527355773</v>
          </cell>
          <cell r="T33">
            <v>687.81259757071655</v>
          </cell>
          <cell r="U33">
            <v>348.34098212147529</v>
          </cell>
          <cell r="V33">
            <v>831.9877289627708</v>
          </cell>
          <cell r="W33">
            <v>3205.8791221719089</v>
          </cell>
          <cell r="X33">
            <v>517.95123993970162</v>
          </cell>
          <cell r="Y33">
            <v>0.26374622807351322</v>
          </cell>
          <cell r="Z33">
            <v>69.915955918585851</v>
          </cell>
          <cell r="AA33">
            <v>35.476184338186577</v>
          </cell>
          <cell r="AB33">
            <v>84.789244825631997</v>
          </cell>
          <cell r="AC33">
            <v>327.45795680490937</v>
          </cell>
        </row>
        <row r="34">
          <cell r="R34">
            <v>5557.9935411356873</v>
          </cell>
          <cell r="S34">
            <v>2.8301888654656806</v>
          </cell>
          <cell r="T34">
            <v>750.1587623243812</v>
          </cell>
          <cell r="U34">
            <v>380.68526187664827</v>
          </cell>
          <cell r="V34">
            <v>909.94310831955397</v>
          </cell>
          <cell r="W34">
            <v>3500.1324892760731</v>
          </cell>
          <cell r="X34">
            <v>580.73717789486011</v>
          </cell>
          <cell r="Y34">
            <v>0.29571748913982232</v>
          </cell>
          <cell r="Z34">
            <v>78.205347782661448</v>
          </cell>
          <cell r="AA34">
            <v>39.776599776910999</v>
          </cell>
          <cell r="AB34">
            <v>95.153999256866854</v>
          </cell>
          <cell r="AC34">
            <v>366.5811567144392</v>
          </cell>
        </row>
        <row r="35">
          <cell r="R35">
            <v>6349.0885053219581</v>
          </cell>
          <cell r="S35">
            <v>3.2330227555368198</v>
          </cell>
          <cell r="T35">
            <v>855.45885642851795</v>
          </cell>
          <cell r="U35">
            <v>434.86995845494101</v>
          </cell>
          <cell r="V35">
            <v>1040.4616661901996</v>
          </cell>
          <cell r="W35">
            <v>4008.0987496614975</v>
          </cell>
          <cell r="X35">
            <v>663.49023602919783</v>
          </cell>
          <cell r="Y35">
            <v>0.33785621815806083</v>
          </cell>
          <cell r="Z35">
            <v>89.220339918168321</v>
          </cell>
          <cell r="AA35">
            <v>45.444628962948293</v>
          </cell>
          <cell r="AB35">
            <v>108.80698694613787</v>
          </cell>
          <cell r="AC35">
            <v>419.71733300042484</v>
          </cell>
        </row>
        <row r="36">
          <cell r="R36">
            <v>7341.4114071024924</v>
          </cell>
          <cell r="S36">
            <v>3.7383240313983239</v>
          </cell>
          <cell r="T36">
            <v>988.60969713561758</v>
          </cell>
          <cell r="U36">
            <v>502.83741846269919</v>
          </cell>
          <cell r="V36">
            <v>1204.0849153164056</v>
          </cell>
          <cell r="W36">
            <v>4664.0033472383047</v>
          </cell>
          <cell r="X36">
            <v>756.23752789730986</v>
          </cell>
          <cell r="Y36">
            <v>0.38508411628433148</v>
          </cell>
          <cell r="Z36">
            <v>101.66526068275741</v>
          </cell>
          <cell r="AA36">
            <v>51.797196095645546</v>
          </cell>
          <cell r="AB36">
            <v>124.10000620014009</v>
          </cell>
          <cell r="AC36">
            <v>481.02134507143398</v>
          </cell>
        </row>
        <row r="37">
          <cell r="R37">
            <v>8069.7958783739687</v>
          </cell>
          <cell r="S37">
            <v>4.1092250778125328</v>
          </cell>
          <cell r="T37">
            <v>1087.1228830099797</v>
          </cell>
          <cell r="U37">
            <v>552.72686708127515</v>
          </cell>
          <cell r="V37">
            <v>1324.1183827760924</v>
          </cell>
          <cell r="W37">
            <v>5159.1172434157306</v>
          </cell>
          <cell r="X37">
            <v>845.74374874657894</v>
          </cell>
          <cell r="Y37">
            <v>0.43066162690262411</v>
          </cell>
          <cell r="Z37">
            <v>113.77087704226565</v>
          </cell>
          <cell r="AA37">
            <v>57.927771612045063</v>
          </cell>
          <cell r="AB37">
            <v>138.85010380861308</v>
          </cell>
          <cell r="AC37">
            <v>541.86252920519325</v>
          </cell>
        </row>
        <row r="38">
          <cell r="R38">
            <v>8959.2806111197242</v>
          </cell>
          <cell r="S38">
            <v>4.5621600745855515</v>
          </cell>
          <cell r="T38">
            <v>1208.369069608789</v>
          </cell>
          <cell r="U38">
            <v>613.65060258302742</v>
          </cell>
          <cell r="V38">
            <v>1470.6162026301747</v>
          </cell>
          <cell r="W38">
            <v>5780.3305492264899</v>
          </cell>
          <cell r="X38">
            <v>939.21365532848642</v>
          </cell>
          <cell r="Y38">
            <v>0.47825748805401685</v>
          </cell>
          <cell r="Z38">
            <v>126.51181493314968</v>
          </cell>
          <cell r="AA38">
            <v>64.329833003690467</v>
          </cell>
          <cell r="AB38">
            <v>154.24456425533123</v>
          </cell>
          <cell r="AC38">
            <v>607.14161441481701</v>
          </cell>
        </row>
        <row r="39">
          <cell r="R39">
            <v>9991.3104691933586</v>
          </cell>
          <cell r="S39">
            <v>5.087680550910413</v>
          </cell>
          <cell r="T39">
            <v>1350.1350174377656</v>
          </cell>
          <cell r="U39">
            <v>684.33772265208086</v>
          </cell>
          <cell r="V39">
            <v>1640.4942339027027</v>
          </cell>
          <cell r="W39">
            <v>6520.2369651761364</v>
          </cell>
          <cell r="X39">
            <v>1050.7286110660377</v>
          </cell>
          <cell r="Y39">
            <v>0.53504207834284023</v>
          </cell>
          <cell r="Z39">
            <v>141.83019285949101</v>
          </cell>
          <cell r="AA39">
            <v>71.96785917517073</v>
          </cell>
          <cell r="AB39">
            <v>172.60056528566838</v>
          </cell>
          <cell r="AC39">
            <v>687.09146332574653</v>
          </cell>
        </row>
        <row r="40">
          <cell r="R40">
            <v>11249.672612170845</v>
          </cell>
          <cell r="S40">
            <v>5.7284518111538532</v>
          </cell>
          <cell r="T40">
            <v>1524.3119229344136</v>
          </cell>
          <cell r="U40">
            <v>770.52708548411488</v>
          </cell>
          <cell r="V40">
            <v>1847.5103652791963</v>
          </cell>
          <cell r="W40">
            <v>7445.6132380709441</v>
          </cell>
          <cell r="X40">
            <v>1174.2277249555293</v>
          </cell>
          <cell r="Y40">
            <v>0.59792912821758637</v>
          </cell>
          <cell r="Z40">
            <v>158.9243923384677</v>
          </cell>
          <cell r="AA40">
            <v>80.426719763005906</v>
          </cell>
          <cell r="AB40">
            <v>192.91769650938235</v>
          </cell>
          <cell r="AC40">
            <v>777.91043015071534</v>
          </cell>
        </row>
        <row r="41">
          <cell r="R41">
            <v>12401.061833197546</v>
          </cell>
          <cell r="S41">
            <v>6.3147513325637172</v>
          </cell>
          <cell r="T41">
            <v>1684.883444839483</v>
          </cell>
          <cell r="U41">
            <v>849.38952098074492</v>
          </cell>
          <cell r="V41">
            <v>2036.8212450809663</v>
          </cell>
          <cell r="W41">
            <v>8313.4311921630051</v>
          </cell>
          <cell r="X41">
            <v>1307.2780179463857</v>
          </cell>
          <cell r="Y41">
            <v>0.66567973911389278</v>
          </cell>
          <cell r="Z41">
            <v>177.47944535208435</v>
          </cell>
          <cell r="AA41">
            <v>89.539772028201483</v>
          </cell>
          <cell r="AB41">
            <v>214.79376375406451</v>
          </cell>
          <cell r="AC41">
            <v>878.19227311578584</v>
          </cell>
        </row>
        <row r="42">
          <cell r="B42">
            <v>1354.57178579536</v>
          </cell>
          <cell r="C42">
            <v>0.68976222394973064</v>
          </cell>
          <cell r="D42">
            <v>190.3123446076155</v>
          </cell>
          <cell r="E42">
            <v>92.779077771446595</v>
          </cell>
          <cell r="F42">
            <v>222.5930414218173</v>
          </cell>
          <cell r="G42">
            <v>1045.648960720391</v>
          </cell>
          <cell r="R42">
            <v>13755.633618992906</v>
          </cell>
          <cell r="S42">
            <v>7.004513556513448</v>
          </cell>
          <cell r="T42">
            <v>1875.1957894470984</v>
          </cell>
          <cell r="U42">
            <v>942.16859875219154</v>
          </cell>
          <cell r="V42">
            <v>2259.4142865027834</v>
          </cell>
          <cell r="W42">
            <v>9359.0801528833963</v>
          </cell>
          <cell r="X42">
            <v>1445.8005471350239</v>
          </cell>
          <cell r="Y42">
            <v>0.73621687033296224</v>
          </cell>
          <cell r="Z42">
            <v>196.94135027828756</v>
          </cell>
          <cell r="AA42">
            <v>99.027635752709728</v>
          </cell>
          <cell r="AB42">
            <v>237.55678849803306</v>
          </cell>
          <cell r="AC42">
            <v>985.12343778448655</v>
          </cell>
        </row>
        <row r="43">
          <cell r="B43">
            <v>1209.333374730759</v>
          </cell>
          <cell r="C43">
            <v>0.61580529492656966</v>
          </cell>
          <cell r="D43">
            <v>171.1542157349121</v>
          </cell>
          <cell r="E43">
            <v>82.831221203880659</v>
          </cell>
          <cell r="F43">
            <v>198.6154385378012</v>
          </cell>
          <cell r="G43">
            <v>955.4493343860114</v>
          </cell>
          <cell r="R43">
            <v>14964.966993723665</v>
          </cell>
          <cell r="S43">
            <v>7.6203188514400173</v>
          </cell>
          <cell r="T43">
            <v>2046.3500051820106</v>
          </cell>
          <cell r="U43">
            <v>1024.9998199560723</v>
          </cell>
          <cell r="V43">
            <v>2458.0297250405847</v>
          </cell>
          <cell r="W43">
            <v>10314.529487269408</v>
          </cell>
          <cell r="X43">
            <v>1590.8760538735503</v>
          </cell>
          <cell r="Y43">
            <v>0.81009084675706422</v>
          </cell>
          <cell r="Z43">
            <v>217.47355843280536</v>
          </cell>
          <cell r="AA43">
            <v>108.96433446707319</v>
          </cell>
          <cell r="AB43">
            <v>261.38333293486482</v>
          </cell>
          <cell r="AC43">
            <v>1099.7422015144616</v>
          </cell>
        </row>
        <row r="44">
          <cell r="B44">
            <v>1432.4235455028229</v>
          </cell>
          <cell r="C44">
            <v>0.72940516017306956</v>
          </cell>
          <cell r="D44">
            <v>204.19664273750519</v>
          </cell>
          <cell r="E44">
            <v>98.111400904326231</v>
          </cell>
          <cell r="F44">
            <v>235.12406232053431</v>
          </cell>
          <cell r="G44">
            <v>1157.5147557865371</v>
          </cell>
          <cell r="R44">
            <v>16397.390539226486</v>
          </cell>
          <cell r="S44">
            <v>8.3497240116130875</v>
          </cell>
          <cell r="T44">
            <v>2250.5466479195156</v>
          </cell>
          <cell r="U44">
            <v>1123.1112208603986</v>
          </cell>
          <cell r="V44">
            <v>2693.1537873611192</v>
          </cell>
          <cell r="W44">
            <v>11472.044243055945</v>
          </cell>
          <cell r="X44">
            <v>1742.3023029624844</v>
          </cell>
          <cell r="Y44">
            <v>0.88719868809204427</v>
          </cell>
          <cell r="Z44">
            <v>239.0598635332563</v>
          </cell>
          <cell r="AA44">
            <v>119.33601641718221</v>
          </cell>
          <cell r="AB44">
            <v>286.2390782481362</v>
          </cell>
          <cell r="AC44">
            <v>1222.1069296593912</v>
          </cell>
        </row>
        <row r="45">
          <cell r="B45">
            <v>1534.858376924491</v>
          </cell>
          <cell r="C45">
            <v>0.78156605549973479</v>
          </cell>
          <cell r="D45">
            <v>220.36411096910959</v>
          </cell>
          <cell r="E45">
            <v>105.1274994903422</v>
          </cell>
          <cell r="F45">
            <v>251.79890580181481</v>
          </cell>
          <cell r="G45">
            <v>1267.788555792861</v>
          </cell>
          <cell r="R45">
            <v>17932.248916150977</v>
          </cell>
          <cell r="S45">
            <v>9.1312900671128219</v>
          </cell>
          <cell r="T45">
            <v>2470.9107588886254</v>
          </cell>
          <cell r="U45">
            <v>1228.2387203507408</v>
          </cell>
          <cell r="V45">
            <v>2944.9526931629339</v>
          </cell>
          <cell r="W45">
            <v>12739.832798848805</v>
          </cell>
          <cell r="X45">
            <v>1907.1469729523392</v>
          </cell>
          <cell r="Y45">
            <v>0.97113933071490721</v>
          </cell>
          <cell r="Z45">
            <v>262.72709543975918</v>
          </cell>
          <cell r="AA45">
            <v>130.62677015764709</v>
          </cell>
          <cell r="AB45">
            <v>313.28242514889632</v>
          </cell>
          <cell r="AC45">
            <v>1358.2681476835282</v>
          </cell>
        </row>
      </sheetData>
      <sheetData sheetId="3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5.6519089160315698E-3</v>
          </cell>
          <cell r="S2">
            <v>4.4960884413719976E-3</v>
          </cell>
          <cell r="T2">
            <v>0.20021511787003621</v>
          </cell>
          <cell r="U2">
            <v>2.856161862701648E-4</v>
          </cell>
          <cell r="V2">
            <v>0.1223368838021747</v>
          </cell>
          <cell r="W2">
            <v>9.2897712876290842E-4</v>
          </cell>
          <cell r="X2">
            <v>4.6180560625074679E-4</v>
          </cell>
          <cell r="Y2">
            <v>3.673659429534184E-4</v>
          </cell>
          <cell r="Z2">
            <v>1.6359156749018701E-2</v>
          </cell>
          <cell r="AA2">
            <v>2.3337098671457591E-5</v>
          </cell>
          <cell r="AB2">
            <v>9.9958898188965209E-3</v>
          </cell>
          <cell r="AC2">
            <v>7.5904769966225107E-5</v>
          </cell>
        </row>
        <row r="3">
          <cell r="R3">
            <v>1.0113684246193353E-2</v>
          </cell>
          <cell r="S3">
            <v>8.0454266893819158E-3</v>
          </cell>
          <cell r="T3">
            <v>0.3582705442595317</v>
          </cell>
          <cell r="U3">
            <v>5.1108960998023575E-4</v>
          </cell>
          <cell r="V3">
            <v>0.21891304916979842</v>
          </cell>
          <cell r="W3">
            <v>1.6623377148901812E-3</v>
          </cell>
          <cell r="X3">
            <v>7.6595410009465664E-4</v>
          </cell>
          <cell r="Y3">
            <v>6.0931579528622384E-4</v>
          </cell>
          <cell r="Z3">
            <v>2.713341504823228E-2</v>
          </cell>
          <cell r="AA3">
            <v>3.8707079710095235E-5</v>
          </cell>
          <cell r="AB3">
            <v>1.6579254749716117E-2</v>
          </cell>
          <cell r="AC3">
            <v>1.258961974160266E-4</v>
          </cell>
        </row>
        <row r="4">
          <cell r="R4">
            <v>1.7561453095145878E-2</v>
          </cell>
          <cell r="S4">
            <v>1.3970120086475375E-2</v>
          </cell>
          <cell r="T4">
            <v>0.62210280697207621</v>
          </cell>
          <cell r="U4">
            <v>8.8745861494168702E-4</v>
          </cell>
          <cell r="V4">
            <v>0.38012173915334246</v>
          </cell>
          <cell r="W4">
            <v>2.8864917173307791E-3</v>
          </cell>
          <cell r="X4">
            <v>1.2086347436747389E-3</v>
          </cell>
          <cell r="Y4">
            <v>9.6146784769704291E-4</v>
          </cell>
          <cell r="Z4">
            <v>4.2815082702459317E-2</v>
          </cell>
          <cell r="AA4">
            <v>6.1077708648634739E-5</v>
          </cell>
          <cell r="AB4">
            <v>2.6161180300836577E-2</v>
          </cell>
          <cell r="AC4">
            <v>1.9865748910377189E-4</v>
          </cell>
        </row>
        <row r="5">
          <cell r="R5">
            <v>2.983103050511729E-2</v>
          </cell>
          <cell r="S5">
            <v>2.3730557841764796E-2</v>
          </cell>
          <cell r="T5">
            <v>1.0567444340487215</v>
          </cell>
          <cell r="U5">
            <v>1.5074951298689608E-3</v>
          </cell>
          <cell r="V5">
            <v>0.64569959757350037</v>
          </cell>
          <cell r="W5">
            <v>4.903183239219738E-3</v>
          </cell>
          <cell r="X5">
            <v>1.8362675124611251E-3</v>
          </cell>
          <cell r="Y5">
            <v>1.4607491487743677E-3</v>
          </cell>
          <cell r="Z5">
            <v>6.5048556498405685E-2</v>
          </cell>
          <cell r="AA5">
            <v>9.2794794055032047E-5</v>
          </cell>
          <cell r="AB5">
            <v>3.9746437644185527E-2</v>
          </cell>
          <cell r="AC5">
            <v>3.0181847349452509E-4</v>
          </cell>
        </row>
        <row r="6">
          <cell r="R6">
            <v>4.9386900087826105E-2</v>
          </cell>
          <cell r="S6">
            <v>3.9287234443965056E-2</v>
          </cell>
          <cell r="T6">
            <v>1.7494981198781536</v>
          </cell>
          <cell r="U6">
            <v>2.495740512516032E-3</v>
          </cell>
          <cell r="V6">
            <v>1.0689909457416045</v>
          </cell>
          <cell r="W6">
            <v>8.1174876176707753E-3</v>
          </cell>
          <cell r="X6">
            <v>2.706470736280915E-3</v>
          </cell>
          <cell r="Y6">
            <v>2.1529950278901862E-3</v>
          </cell>
          <cell r="Z6">
            <v>9.5874927484988562E-2</v>
          </cell>
          <cell r="AA6">
            <v>1.3677004732962371E-4</v>
          </cell>
          <cell r="AB6">
            <v>5.8582188937833013E-2</v>
          </cell>
          <cell r="AC6">
            <v>4.4484959878589715E-4</v>
          </cell>
        </row>
        <row r="7">
          <cell r="R7">
            <v>0.10396678976446169</v>
          </cell>
          <cell r="S7">
            <v>8.2705487418710866E-2</v>
          </cell>
          <cell r="T7">
            <v>3.7277364488442917</v>
          </cell>
          <cell r="U7">
            <v>5.2539059691937336E-3</v>
          </cell>
          <cell r="V7">
            <v>2.2386706189932646</v>
          </cell>
          <cell r="W7">
            <v>1.7213340284655591E-2</v>
          </cell>
          <cell r="X7">
            <v>6.0659311491194114E-3</v>
          </cell>
          <cell r="Y7">
            <v>4.8254427541029052E-3</v>
          </cell>
          <cell r="Z7">
            <v>0.21763796864713367</v>
          </cell>
          <cell r="AA7">
            <v>3.0653857780237569E-4</v>
          </cell>
          <cell r="AB7">
            <v>0.13057743446272355</v>
          </cell>
          <cell r="AC7">
            <v>1.0047106966515414E-3</v>
          </cell>
        </row>
        <row r="8">
          <cell r="R8">
            <v>0.2176238841125655</v>
          </cell>
          <cell r="S8">
            <v>0.17311960338738047</v>
          </cell>
          <cell r="T8">
            <v>7.940293845151194</v>
          </cell>
          <cell r="U8">
            <v>1.0997506284155424E-2</v>
          </cell>
          <cell r="V8">
            <v>4.6500618199737156</v>
          </cell>
          <cell r="W8">
            <v>3.6413958916717573E-2</v>
          </cell>
          <cell r="X8">
            <v>1.4128477783770041E-2</v>
          </cell>
          <cell r="Y8">
            <v>1.1239191324829676E-2</v>
          </cell>
          <cell r="Z8">
            <v>0.51646612938511283</v>
          </cell>
          <cell r="AA8">
            <v>7.1397504849326338E-4</v>
          </cell>
          <cell r="AB8">
            <v>0.30163542361688167</v>
          </cell>
          <cell r="AC8">
            <v>2.3667539903240772E-3</v>
          </cell>
        </row>
        <row r="9">
          <cell r="R9">
            <v>0.31144041347031215</v>
          </cell>
          <cell r="S9">
            <v>0.24775056781402754</v>
          </cell>
          <cell r="T9">
            <v>11.494167903101689</v>
          </cell>
          <cell r="U9">
            <v>1.5738474286710699E-2</v>
          </cell>
          <cell r="V9">
            <v>6.6204485256430559</v>
          </cell>
          <cell r="W9">
            <v>5.2476551203949874E-2</v>
          </cell>
          <cell r="X9">
            <v>1.9846062414753195E-2</v>
          </cell>
          <cell r="Y9">
            <v>1.5787524738167712E-2</v>
          </cell>
          <cell r="Z9">
            <v>0.73305456889883336</v>
          </cell>
          <cell r="AA9">
            <v>1.0029101218003073E-3</v>
          </cell>
          <cell r="AB9">
            <v>0.42171930246587369</v>
          </cell>
          <cell r="AC9">
            <v>3.3456777623282756E-3</v>
          </cell>
        </row>
        <row r="10">
          <cell r="R10">
            <v>0.51620344731144574</v>
          </cell>
          <cell r="S10">
            <v>0.41063937641850112</v>
          </cell>
          <cell r="T10">
            <v>19.417866243283136</v>
          </cell>
          <cell r="U10">
            <v>2.6086064398951388E-2</v>
          </cell>
          <cell r="V10">
            <v>10.877296322558998</v>
          </cell>
          <cell r="W10">
            <v>8.8000209717446848E-2</v>
          </cell>
          <cell r="X10">
            <v>3.4102746479731882E-2</v>
          </cell>
          <cell r="Y10">
            <v>2.7128704043981731E-2</v>
          </cell>
          <cell r="Z10">
            <v>1.2847443038233894</v>
          </cell>
          <cell r="AA10">
            <v>1.7233640059646179E-3</v>
          </cell>
          <cell r="AB10">
            <v>0.71810353264101656</v>
          </cell>
          <cell r="AC10">
            <v>5.8190225197225619E-3</v>
          </cell>
        </row>
        <row r="11">
          <cell r="R11">
            <v>0.78196941005883325</v>
          </cell>
          <cell r="S11">
            <v>0.6220559599075397</v>
          </cell>
          <cell r="T11">
            <v>29.918592728521048</v>
          </cell>
          <cell r="U11">
            <v>3.9516404811023149E-2</v>
          </cell>
          <cell r="V11">
            <v>16.345732818731392</v>
          </cell>
          <cell r="W11">
            <v>0.13471023072717855</v>
          </cell>
          <cell r="X11">
            <v>5.2965570513709523E-2</v>
          </cell>
          <cell r="Y11">
            <v>4.2134063537699211E-2</v>
          </cell>
          <cell r="Z11">
            <v>2.0300367177667109</v>
          </cell>
          <cell r="AA11">
            <v>2.6765867034479838E-3</v>
          </cell>
          <cell r="AB11">
            <v>1.1062275583889116</v>
          </cell>
          <cell r="AC11">
            <v>9.1342811699337018E-3</v>
          </cell>
        </row>
        <row r="12">
          <cell r="R12">
            <v>1.0037765612907219</v>
          </cell>
          <cell r="S12">
            <v>0.79850334851258542</v>
          </cell>
          <cell r="T12">
            <v>38.862720906315154</v>
          </cell>
          <cell r="U12">
            <v>5.0725310255802236E-2</v>
          </cell>
          <cell r="V12">
            <v>20.862510152101873</v>
          </cell>
          <cell r="W12">
            <v>0.17419666261567929</v>
          </cell>
          <cell r="X12">
            <v>6.7812847639028548E-2</v>
          </cell>
          <cell r="Y12">
            <v>5.3945059089953229E-2</v>
          </cell>
          <cell r="Z12">
            <v>2.6287367549952307</v>
          </cell>
          <cell r="AA12">
            <v>3.4268858912146869E-3</v>
          </cell>
          <cell r="AB12">
            <v>1.4085705820897165</v>
          </cell>
          <cell r="AC12">
            <v>1.1777415053050444E-2</v>
          </cell>
        </row>
        <row r="13">
          <cell r="R13">
            <v>1.3714938181654615</v>
          </cell>
          <cell r="S13">
            <v>1.0910220944601714</v>
          </cell>
          <cell r="T13">
            <v>53.988795850198606</v>
          </cell>
          <cell r="U13">
            <v>6.9307704645843571E-2</v>
          </cell>
          <cell r="V13">
            <v>28.272503491032516</v>
          </cell>
          <cell r="W13">
            <v>0.2404896109619073</v>
          </cell>
          <cell r="X13">
            <v>9.3761053326984006E-2</v>
          </cell>
          <cell r="Y13">
            <v>7.4586833294247201E-2</v>
          </cell>
          <cell r="Z13">
            <v>3.6961180012036938</v>
          </cell>
          <cell r="AA13">
            <v>4.7381645510893664E-3</v>
          </cell>
          <cell r="AB13">
            <v>1.9314615471184524</v>
          </cell>
          <cell r="AC13">
            <v>1.6455419762345061E-2</v>
          </cell>
        </row>
        <row r="14">
          <cell r="R14">
            <v>1.8569511274491128</v>
          </cell>
          <cell r="S14">
            <v>1.4772029458285809</v>
          </cell>
          <cell r="T14">
            <v>74.351161065720618</v>
          </cell>
          <cell r="U14">
            <v>9.3840029446988313E-2</v>
          </cell>
          <cell r="V14">
            <v>37.952297429199874</v>
          </cell>
          <cell r="W14">
            <v>0.32910452978552451</v>
          </cell>
          <cell r="X14">
            <v>0.11773421647043934</v>
          </cell>
          <cell r="Y14">
            <v>9.365746293703614E-2</v>
          </cell>
          <cell r="Z14">
            <v>4.7016653355689986</v>
          </cell>
          <cell r="AA14">
            <v>5.9496354950821844E-3</v>
          </cell>
          <cell r="AB14">
            <v>2.4094753185397555</v>
          </cell>
          <cell r="AC14">
            <v>2.0831458324906613E-2</v>
          </cell>
        </row>
        <row r="15">
          <cell r="R15">
            <v>2.4961536675816993</v>
          </cell>
          <cell r="S15">
            <v>1.9856879895691</v>
          </cell>
          <cell r="T15">
            <v>101.06648358622101</v>
          </cell>
          <cell r="U15">
            <v>0.12614178704414694</v>
          </cell>
          <cell r="V15">
            <v>50.675224458003626</v>
          </cell>
          <cell r="W15">
            <v>0.45031179537678961</v>
          </cell>
          <cell r="X15">
            <v>0.16471931208158125</v>
          </cell>
          <cell r="Y15">
            <v>0.13103406408763282</v>
          </cell>
          <cell r="Z15">
            <v>6.6653965539209148</v>
          </cell>
          <cell r="AA15">
            <v>8.324002106321898E-3</v>
          </cell>
          <cell r="AB15">
            <v>3.3446842787199351</v>
          </cell>
          <cell r="AC15">
            <v>2.97408956393913E-2</v>
          </cell>
        </row>
        <row r="16">
          <cell r="R16">
            <v>4.1724843963459382</v>
          </cell>
          <cell r="S16">
            <v>3.3192075712692191</v>
          </cell>
          <cell r="T16">
            <v>170.880742875875</v>
          </cell>
          <cell r="U16">
            <v>0.21085426150017611</v>
          </cell>
          <cell r="V16">
            <v>83.98347649712278</v>
          </cell>
          <cell r="W16">
            <v>0.77987921402199167</v>
          </cell>
          <cell r="X16">
            <v>0.28567635232749755</v>
          </cell>
          <cell r="Y16">
            <v>0.22725528042918686</v>
          </cell>
          <cell r="Z16">
            <v>11.702902593592853</v>
          </cell>
          <cell r="AA16">
            <v>1.4436501272678332E-2</v>
          </cell>
          <cell r="AB16">
            <v>5.7480689529285076</v>
          </cell>
          <cell r="AC16">
            <v>5.3521107286646094E-2</v>
          </cell>
        </row>
        <row r="17">
          <cell r="R17">
            <v>5.7604849452367137</v>
          </cell>
          <cell r="S17">
            <v>4.5824605746055402</v>
          </cell>
          <cell r="T17">
            <v>236.78523417018295</v>
          </cell>
          <cell r="U17">
            <v>0.29110301768281704</v>
          </cell>
          <cell r="V17">
            <v>115.48244207133411</v>
          </cell>
          <cell r="W17">
            <v>1.1029975425630556</v>
          </cell>
          <cell r="X17">
            <v>0.42012853790603222</v>
          </cell>
          <cell r="Y17">
            <v>0.33421187270231617</v>
          </cell>
          <cell r="Z17">
            <v>17.282877298356439</v>
          </cell>
          <cell r="AA17">
            <v>2.1230970371729725E-2</v>
          </cell>
          <cell r="AB17">
            <v>8.4150105782786842</v>
          </cell>
          <cell r="AC17">
            <v>8.0878758707594811E-2</v>
          </cell>
        </row>
        <row r="18">
          <cell r="R18">
            <v>8.3253038315336703</v>
          </cell>
          <cell r="S18">
            <v>6.6227716836863966</v>
          </cell>
          <cell r="T18">
            <v>342.86147840240278</v>
          </cell>
          <cell r="U18">
            <v>0.42071476473343716</v>
          </cell>
          <cell r="V18">
            <v>166.27096409591903</v>
          </cell>
          <cell r="W18">
            <v>1.6422464159091277</v>
          </cell>
          <cell r="X18">
            <v>0.62942544286340052</v>
          </cell>
          <cell r="Y18">
            <v>0.50070737168754798</v>
          </cell>
          <cell r="Z18">
            <v>25.939016617167972</v>
          </cell>
          <cell r="AA18">
            <v>3.1807677229568759E-2</v>
          </cell>
          <cell r="AB18">
            <v>12.559506130731513</v>
          </cell>
          <cell r="AC18">
            <v>0.12488308228618115</v>
          </cell>
        </row>
        <row r="19">
          <cell r="R19">
            <v>11.064705842869721</v>
          </cell>
          <cell r="S19">
            <v>8.8019635111596504</v>
          </cell>
          <cell r="T19">
            <v>455.77113976808198</v>
          </cell>
          <cell r="U19">
            <v>0.55914897638877781</v>
          </cell>
          <cell r="V19">
            <v>220.42581959593826</v>
          </cell>
          <cell r="W19">
            <v>2.2364852248633955</v>
          </cell>
          <cell r="X19">
            <v>0.87974184380890819</v>
          </cell>
          <cell r="Y19">
            <v>0.69983384270774174</v>
          </cell>
          <cell r="Z19">
            <v>36.256282921301434</v>
          </cell>
          <cell r="AA19">
            <v>4.4457282320715281E-2</v>
          </cell>
          <cell r="AB19">
            <v>17.507976076505351</v>
          </cell>
          <cell r="AC19">
            <v>0.17918242182964264</v>
          </cell>
        </row>
        <row r="20">
          <cell r="R20">
            <v>15.141051931836712</v>
          </cell>
          <cell r="S20">
            <v>12.044693145681959</v>
          </cell>
          <cell r="T20">
            <v>623.21793206750181</v>
          </cell>
          <cell r="U20">
            <v>0.76514494007913647</v>
          </cell>
          <cell r="V20">
            <v>300.87743816369209</v>
          </cell>
          <cell r="W20">
            <v>3.147550953904783</v>
          </cell>
          <cell r="X20">
            <v>1.22251235363748</v>
          </cell>
          <cell r="Y20">
            <v>0.97250747389667369</v>
          </cell>
          <cell r="Z20">
            <v>50.336496208632013</v>
          </cell>
          <cell r="AA20">
            <v>6.1779006226318621E-2</v>
          </cell>
          <cell r="AB20">
            <v>24.272966514299871</v>
          </cell>
          <cell r="AC20">
            <v>0.25579183075006973</v>
          </cell>
        </row>
        <row r="21">
          <cell r="R21">
            <v>18.490292462229071</v>
          </cell>
          <cell r="S21">
            <v>14.709010964633094</v>
          </cell>
          <cell r="T21">
            <v>760.33730932970172</v>
          </cell>
          <cell r="U21">
            <v>0.93439701427282229</v>
          </cell>
          <cell r="V21">
            <v>366.87096621586807</v>
          </cell>
          <cell r="W21">
            <v>3.9178216929720966</v>
          </cell>
          <cell r="X21">
            <v>1.5643545649982187</v>
          </cell>
          <cell r="Y21">
            <v>1.2444426444923131</v>
          </cell>
          <cell r="Z21">
            <v>64.331666372844339</v>
          </cell>
          <cell r="AA21">
            <v>7.9053819066644382E-2</v>
          </cell>
          <cell r="AB21">
            <v>31.008634902443376</v>
          </cell>
          <cell r="AC21">
            <v>0.33440996832479764</v>
          </cell>
        </row>
        <row r="22">
          <cell r="B22">
            <v>4.6702375189334422</v>
          </cell>
          <cell r="C22">
            <v>3.71516973102282</v>
          </cell>
          <cell r="D22">
            <v>190.56983568094981</v>
          </cell>
          <cell r="E22">
            <v>0.2360079486330765</v>
          </cell>
          <cell r="F22">
            <v>91.874341592973522</v>
          </cell>
          <cell r="G22">
            <v>1.1039236872098479</v>
          </cell>
          <cell r="R22">
            <v>23.160529981162512</v>
          </cell>
          <cell r="S22">
            <v>18.424180695655913</v>
          </cell>
          <cell r="T22">
            <v>950.90714501065156</v>
          </cell>
          <cell r="U22">
            <v>1.1704049629058988</v>
          </cell>
          <cell r="V22">
            <v>458.74530780884157</v>
          </cell>
          <cell r="W22">
            <v>5.0217453801819447</v>
          </cell>
          <cell r="X22">
            <v>1.9767997677824396</v>
          </cell>
          <cell r="Y22">
            <v>1.5725424310400955</v>
          </cell>
          <cell r="Z22">
            <v>81.161562968753458</v>
          </cell>
          <cell r="AA22">
            <v>9.9896516218134696E-2</v>
          </cell>
          <cell r="AB22">
            <v>39.122383142304749</v>
          </cell>
          <cell r="AC22">
            <v>0.43190137581397198</v>
          </cell>
        </row>
        <row r="23">
          <cell r="B23">
            <v>5.0332012002673494</v>
          </cell>
          <cell r="C23">
            <v>4.003907011918181</v>
          </cell>
          <cell r="D23">
            <v>203.39092424465551</v>
          </cell>
          <cell r="E23">
            <v>0.25435012363223769</v>
          </cell>
          <cell r="F23">
            <v>99.738577420559082</v>
          </cell>
          <cell r="G23">
            <v>1.2158209091294709</v>
          </cell>
          <cell r="R23">
            <v>28.193731181429861</v>
          </cell>
          <cell r="S23">
            <v>22.428087707574093</v>
          </cell>
          <cell r="T23">
            <v>1154.2980692553072</v>
          </cell>
          <cell r="U23">
            <v>1.4247550865381364</v>
          </cell>
          <cell r="V23">
            <v>558.4838852294007</v>
          </cell>
          <cell r="W23">
            <v>6.2375662893114159</v>
          </cell>
          <cell r="X23">
            <v>2.4799538508830583</v>
          </cell>
          <cell r="Y23">
            <v>1.972801050007051</v>
          </cell>
          <cell r="Z23">
            <v>101.49394586532259</v>
          </cell>
          <cell r="AA23">
            <v>0.12532313799433348</v>
          </cell>
          <cell r="AB23">
            <v>49.092950674780084</v>
          </cell>
          <cell r="AC23">
            <v>0.55344335881975881</v>
          </cell>
        </row>
        <row r="24">
          <cell r="B24">
            <v>6.6321775244351029</v>
          </cell>
          <cell r="C24">
            <v>5.2758912345807616</v>
          </cell>
          <cell r="D24">
            <v>265.46226030664201</v>
          </cell>
          <cell r="E24">
            <v>0.33515353473280851</v>
          </cell>
          <cell r="F24">
            <v>132.34933064477519</v>
          </cell>
          <cell r="G24">
            <v>1.6354310811928261</v>
          </cell>
          <cell r="R24">
            <v>34.825908705864961</v>
          </cell>
          <cell r="S24">
            <v>27.703978942154855</v>
          </cell>
          <cell r="T24">
            <v>1419.7603295619492</v>
          </cell>
          <cell r="U24">
            <v>1.7599086212709449</v>
          </cell>
          <cell r="V24">
            <v>690.83321587417595</v>
          </cell>
          <cell r="W24">
            <v>7.8729973705042422</v>
          </cell>
          <cell r="X24">
            <v>3.0936706566071845</v>
          </cell>
          <cell r="Y24">
            <v>2.4610122150286946</v>
          </cell>
          <cell r="Z24">
            <v>126.05882668093005</v>
          </cell>
          <cell r="AA24">
            <v>0.15633698766972934</v>
          </cell>
          <cell r="AB24">
            <v>61.340060789637278</v>
          </cell>
          <cell r="AC24">
            <v>0.70478001038460136</v>
          </cell>
        </row>
        <row r="25">
          <cell r="B25">
            <v>6.5902051183224346</v>
          </cell>
          <cell r="C25">
            <v>5.2425022234018206</v>
          </cell>
          <cell r="D25">
            <v>261.33005914870893</v>
          </cell>
          <cell r="E25">
            <v>0.33303248169735022</v>
          </cell>
          <cell r="F25">
            <v>132.40391288487839</v>
          </cell>
          <cell r="G25">
            <v>1.6572502407677381</v>
          </cell>
          <cell r="R25">
            <v>41.416113824187399</v>
          </cell>
          <cell r="S25">
            <v>32.946481165556676</v>
          </cell>
          <cell r="T25">
            <v>1681.0903887106581</v>
          </cell>
          <cell r="U25">
            <v>2.0929411029682949</v>
          </cell>
          <cell r="V25">
            <v>823.23712875905437</v>
          </cell>
          <cell r="W25">
            <v>9.5302476112719798</v>
          </cell>
          <cell r="X25">
            <v>3.7955408164063358</v>
          </cell>
          <cell r="Y25">
            <v>3.01934929365108</v>
          </cell>
          <cell r="Z25">
            <v>153.89100596546746</v>
          </cell>
          <cell r="AA25">
            <v>0.19180561982161112</v>
          </cell>
          <cell r="AB25">
            <v>75.441345017676355</v>
          </cell>
          <cell r="AC25">
            <v>0.88128050929637503</v>
          </cell>
        </row>
        <row r="26">
          <cell r="R26">
            <v>50.226986509766</v>
          </cell>
          <cell r="S26">
            <v>39.955522434368397</v>
          </cell>
          <cell r="T26">
            <v>2027.2965913920148</v>
          </cell>
          <cell r="U26">
            <v>2.538193829357573</v>
          </cell>
          <cell r="V26">
            <v>1001.4145255712335</v>
          </cell>
          <cell r="W26">
            <v>11.787687896647201</v>
          </cell>
          <cell r="X26">
            <v>4.6275684361980245</v>
          </cell>
          <cell r="Y26">
            <v>3.6812265142192913</v>
          </cell>
          <cell r="Z26">
            <v>186.58392221263622</v>
          </cell>
          <cell r="AA26">
            <v>0.23385168941807619</v>
          </cell>
          <cell r="AB26">
            <v>92.266978602527246</v>
          </cell>
          <cell r="AC26">
            <v>1.0944549285042349</v>
          </cell>
        </row>
        <row r="27">
          <cell r="R27">
            <v>59.013916965742524</v>
          </cell>
          <cell r="S27">
            <v>46.945517681141574</v>
          </cell>
          <cell r="T27">
            <v>2371.4052931766082</v>
          </cell>
          <cell r="U27">
            <v>2.9822366480127838</v>
          </cell>
          <cell r="V27">
            <v>1179.2879843866037</v>
          </cell>
          <cell r="W27">
            <v>14.019739313964116</v>
          </cell>
          <cell r="X27">
            <v>5.5899605391939708</v>
          </cell>
          <cell r="Y27">
            <v>4.4468085635113948</v>
          </cell>
          <cell r="Z27">
            <v>224.27256659520702</v>
          </cell>
          <cell r="AA27">
            <v>0.28248565826611388</v>
          </cell>
          <cell r="AB27">
            <v>111.74864093661964</v>
          </cell>
          <cell r="AC27">
            <v>1.3389212604353871</v>
          </cell>
        </row>
        <row r="28">
          <cell r="R28">
            <v>70.539343822742197</v>
          </cell>
          <cell r="S28">
            <v>56.11398434320148</v>
          </cell>
          <cell r="T28">
            <v>2821.2848176498374</v>
          </cell>
          <cell r="U28">
            <v>3.5646679137918005</v>
          </cell>
          <cell r="V28">
            <v>1412.8261555237468</v>
          </cell>
          <cell r="W28">
            <v>16.922909898252367</v>
          </cell>
          <cell r="X28">
            <v>6.6446765365603371</v>
          </cell>
          <cell r="Y28">
            <v>5.2858341874449586</v>
          </cell>
          <cell r="Z28">
            <v>265.44198593530865</v>
          </cell>
          <cell r="AA28">
            <v>0.33578516560803867</v>
          </cell>
          <cell r="AB28">
            <v>133.12020904860111</v>
          </cell>
          <cell r="AC28">
            <v>1.6045964927997867</v>
          </cell>
        </row>
        <row r="29">
          <cell r="R29">
            <v>83.375601080870481</v>
          </cell>
          <cell r="S29">
            <v>66.325215406222668</v>
          </cell>
          <cell r="T29">
            <v>3320.7383273492119</v>
          </cell>
          <cell r="U29">
            <v>4.2133412909670893</v>
          </cell>
          <cell r="V29">
            <v>1673.173637871653</v>
          </cell>
          <cell r="W29">
            <v>20.129760651894088</v>
          </cell>
          <cell r="X29">
            <v>8.0205403321483306</v>
          </cell>
          <cell r="Y29">
            <v>6.3803325950004757</v>
          </cell>
          <cell r="Z29">
            <v>318.97628240163914</v>
          </cell>
          <cell r="AA29">
            <v>0.4053137047195563</v>
          </cell>
          <cell r="AB29">
            <v>161.0257478697512</v>
          </cell>
          <cell r="AC29">
            <v>1.9483251795239318</v>
          </cell>
        </row>
        <row r="30">
          <cell r="R30">
            <v>100.14393337854192</v>
          </cell>
          <cell r="S30">
            <v>79.664408614166462</v>
          </cell>
          <cell r="T30">
            <v>3971.1663896924974</v>
          </cell>
          <cell r="U30">
            <v>5.0607199717145681</v>
          </cell>
          <cell r="V30">
            <v>2013.5871106322656</v>
          </cell>
          <cell r="W30">
            <v>24.285313360374733</v>
          </cell>
          <cell r="X30">
            <v>9.6298540148274014</v>
          </cell>
          <cell r="Y30">
            <v>7.6605401770284578</v>
          </cell>
          <cell r="Z30">
            <v>381.4000680080851</v>
          </cell>
          <cell r="AA30">
            <v>0.4866395086891514</v>
          </cell>
          <cell r="AB30">
            <v>193.69638259697621</v>
          </cell>
          <cell r="AC30">
            <v>2.3471476571641596</v>
          </cell>
        </row>
        <row r="31">
          <cell r="R31">
            <v>119.66857063118142</v>
          </cell>
          <cell r="S31">
            <v>95.196239925986433</v>
          </cell>
          <cell r="T31">
            <v>4726.2222225564574</v>
          </cell>
          <cell r="U31">
            <v>6.0473870453097325</v>
          </cell>
          <cell r="V31">
            <v>2410.3125575882709</v>
          </cell>
          <cell r="W31">
            <v>29.085873345946307</v>
          </cell>
          <cell r="X31">
            <v>11.555937640958078</v>
          </cell>
          <cell r="Y31">
            <v>9.19273796316023</v>
          </cell>
          <cell r="Z31">
            <v>455.88548136945906</v>
          </cell>
          <cell r="AA31">
            <v>0.58397311188513412</v>
          </cell>
          <cell r="AB31">
            <v>232.83290419089388</v>
          </cell>
          <cell r="AC31">
            <v>2.8207175301828009</v>
          </cell>
        </row>
        <row r="32">
          <cell r="R32">
            <v>143.92038305545881</v>
          </cell>
          <cell r="S32">
            <v>114.4885348201645</v>
          </cell>
          <cell r="T32">
            <v>5661.32568979802</v>
          </cell>
          <cell r="U32">
            <v>7.2729393812849246</v>
          </cell>
          <cell r="V32">
            <v>2903.5207936947522</v>
          </cell>
          <cell r="W32">
            <v>35.002746790763958</v>
          </cell>
          <cell r="X32">
            <v>13.950110921409722</v>
          </cell>
          <cell r="Y32">
            <v>11.097300646813391</v>
          </cell>
          <cell r="Z32">
            <v>548.20022043144684</v>
          </cell>
          <cell r="AA32">
            <v>0.70496137475202081</v>
          </cell>
          <cell r="AB32">
            <v>281.52311999524971</v>
          </cell>
          <cell r="AC32">
            <v>3.4048396591835735</v>
          </cell>
        </row>
        <row r="33">
          <cell r="R33">
            <v>154.87744535494255</v>
          </cell>
          <cell r="S33">
            <v>123.20486798971811</v>
          </cell>
          <cell r="T33">
            <v>6082.5956006433335</v>
          </cell>
          <cell r="U33">
            <v>7.8266486489318821</v>
          </cell>
          <cell r="V33">
            <v>3126.5432423432599</v>
          </cell>
          <cell r="W33">
            <v>37.655814569024031</v>
          </cell>
          <cell r="X33">
            <v>15.77322532587711</v>
          </cell>
          <cell r="Y33">
            <v>12.547586510050545</v>
          </cell>
          <cell r="Z33">
            <v>618.29412166508041</v>
          </cell>
          <cell r="AA33">
            <v>0.79709148354786274</v>
          </cell>
          <cell r="AB33">
            <v>318.63119034635463</v>
          </cell>
          <cell r="AC33">
            <v>3.846276054302193</v>
          </cell>
        </row>
        <row r="34">
          <cell r="R34">
            <v>169.25818054670324</v>
          </cell>
          <cell r="S34">
            <v>134.64472985492046</v>
          </cell>
          <cell r="T34">
            <v>6633.9471007278253</v>
          </cell>
          <cell r="U34">
            <v>8.5533713902664648</v>
          </cell>
          <cell r="V34">
            <v>3419.4933136575473</v>
          </cell>
          <cell r="W34">
            <v>41.112074086531564</v>
          </cell>
          <cell r="X34">
            <v>17.685252308916183</v>
          </cell>
          <cell r="Y34">
            <v>14.06860224929027</v>
          </cell>
          <cell r="Z34">
            <v>691.60045345155345</v>
          </cell>
          <cell r="AA34">
            <v>0.89371474182300004</v>
          </cell>
          <cell r="AB34">
            <v>357.58110727112069</v>
          </cell>
          <cell r="AC34">
            <v>4.3058117713388482</v>
          </cell>
        </row>
        <row r="35">
          <cell r="R35">
            <v>193.34948135279726</v>
          </cell>
          <cell r="S35">
            <v>153.80933790170911</v>
          </cell>
          <cell r="T35">
            <v>7565.1569846516213</v>
          </cell>
          <cell r="U35">
            <v>9.7708123576901311</v>
          </cell>
          <cell r="V35">
            <v>3909.9715994606236</v>
          </cell>
          <cell r="W35">
            <v>47.078575810225821</v>
          </cell>
          <cell r="X35">
            <v>20.205340169909185</v>
          </cell>
          <cell r="Y35">
            <v>16.073329868115405</v>
          </cell>
          <cell r="Z35">
            <v>789.0103336154109</v>
          </cell>
          <cell r="AA35">
            <v>1.0210660304966228</v>
          </cell>
          <cell r="AB35">
            <v>408.88794138861772</v>
          </cell>
          <cell r="AC35">
            <v>4.929941978648877</v>
          </cell>
        </row>
        <row r="36">
          <cell r="R36">
            <v>223.56879838278402</v>
          </cell>
          <cell r="S36">
            <v>177.84877732354579</v>
          </cell>
          <cell r="T36">
            <v>8742.6619049852397</v>
          </cell>
          <cell r="U36">
            <v>11.297929338877104</v>
          </cell>
          <cell r="V36">
            <v>4524.8546632812431</v>
          </cell>
          <cell r="W36">
            <v>54.782740864518267</v>
          </cell>
          <cell r="X36">
            <v>23.029783515523977</v>
          </cell>
          <cell r="Y36">
            <v>18.32017200025032</v>
          </cell>
          <cell r="Z36">
            <v>899.06563146892495</v>
          </cell>
          <cell r="AA36">
            <v>1.1637977603768459</v>
          </cell>
          <cell r="AB36">
            <v>466.35788275810819</v>
          </cell>
          <cell r="AC36">
            <v>5.650010459995487</v>
          </cell>
        </row>
        <row r="37">
          <cell r="R37">
            <v>245.75036974184164</v>
          </cell>
          <cell r="S37">
            <v>195.49419731891112</v>
          </cell>
          <cell r="T37">
            <v>9613.852507078198</v>
          </cell>
          <cell r="U37">
            <v>12.418863152775488</v>
          </cell>
          <cell r="V37">
            <v>4975.9308191867913</v>
          </cell>
          <cell r="W37">
            <v>60.598280488599087</v>
          </cell>
          <cell r="X37">
            <v>25.755526173631328</v>
          </cell>
          <cell r="Y37">
            <v>20.488497824558877</v>
          </cell>
          <cell r="Z37">
            <v>1006.1203278665878</v>
          </cell>
          <cell r="AA37">
            <v>1.3015417039415187</v>
          </cell>
          <cell r="AB37">
            <v>521.78756807229911</v>
          </cell>
          <cell r="AC37">
            <v>6.3646426281442876</v>
          </cell>
        </row>
        <row r="38">
          <cell r="R38">
            <v>272.83794484864075</v>
          </cell>
          <cell r="S38">
            <v>217.04233886751686</v>
          </cell>
          <cell r="T38">
            <v>10686.079918738646</v>
          </cell>
          <cell r="U38">
            <v>13.787719235251569</v>
          </cell>
          <cell r="V38">
            <v>5526.4578915678039</v>
          </cell>
          <cell r="W38">
            <v>67.89496640842647</v>
          </cell>
          <cell r="X38">
            <v>28.601975383554535</v>
          </cell>
          <cell r="Y38">
            <v>22.752845601888964</v>
          </cell>
          <cell r="Z38">
            <v>1118.793420852782</v>
          </cell>
          <cell r="AA38">
            <v>1.4453854883740578</v>
          </cell>
          <cell r="AB38">
            <v>579.63871731846905</v>
          </cell>
          <cell r="AC38">
            <v>7.1314017710229436</v>
          </cell>
        </row>
        <row r="39">
          <cell r="R39">
            <v>304.26646212822777</v>
          </cell>
          <cell r="S39">
            <v>242.04369599650389</v>
          </cell>
          <cell r="T39">
            <v>11939.771598174493</v>
          </cell>
          <cell r="U39">
            <v>15.375942502625872</v>
          </cell>
          <cell r="V39">
            <v>6164.8459256796223</v>
          </cell>
          <cell r="W39">
            <v>76.585805250333692</v>
          </cell>
          <cell r="X39">
            <v>31.9979524339394</v>
          </cell>
          <cell r="Y39">
            <v>25.454342280310431</v>
          </cell>
          <cell r="Z39">
            <v>1254.2598233479412</v>
          </cell>
          <cell r="AA39">
            <v>1.6169993675433927</v>
          </cell>
          <cell r="AB39">
            <v>648.61909885533976</v>
          </cell>
          <cell r="AC39">
            <v>8.0704816834844753</v>
          </cell>
        </row>
        <row r="40">
          <cell r="R40">
            <v>342.58750104503429</v>
          </cell>
          <cell r="S40">
            <v>272.52804786680883</v>
          </cell>
          <cell r="T40">
            <v>13480.086042616833</v>
          </cell>
          <cell r="U40">
            <v>17.31247565486461</v>
          </cell>
          <cell r="V40">
            <v>6942.7959651809651</v>
          </cell>
          <cell r="W40">
            <v>87.45514748401537</v>
          </cell>
          <cell r="X40">
            <v>35.758884353229497</v>
          </cell>
          <cell r="Y40">
            <v>28.446160227543036</v>
          </cell>
          <cell r="Z40">
            <v>1405.4305098322823</v>
          </cell>
          <cell r="AA40">
            <v>1.8070560453080438</v>
          </cell>
          <cell r="AB40">
            <v>724.96925057031365</v>
          </cell>
          <cell r="AC40">
            <v>9.137228757776688</v>
          </cell>
        </row>
        <row r="41">
          <cell r="R41">
            <v>377.65088195933527</v>
          </cell>
          <cell r="S41">
            <v>300.42093573643558</v>
          </cell>
          <cell r="T41">
            <v>14900.082762912381</v>
          </cell>
          <cell r="U41">
            <v>19.084384806845854</v>
          </cell>
          <cell r="V41">
            <v>7654.2110874739128</v>
          </cell>
          <cell r="W41">
            <v>97.648417633521689</v>
          </cell>
          <cell r="X41">
            <v>39.810679366333559</v>
          </cell>
          <cell r="Y41">
            <v>31.669359503375826</v>
          </cell>
          <cell r="Z41">
            <v>1569.5200950317226</v>
          </cell>
          <cell r="AA41">
            <v>2.0118113335450332</v>
          </cell>
          <cell r="AB41">
            <v>807.17775897965862</v>
          </cell>
          <cell r="AC41">
            <v>10.315125471728397</v>
          </cell>
        </row>
        <row r="42">
          <cell r="B42">
            <v>41.250921611681669</v>
          </cell>
          <cell r="C42">
            <v>32.815070909608458</v>
          </cell>
          <cell r="D42">
            <v>1683.006438304416</v>
          </cell>
          <cell r="E42">
            <v>2.0845932030926289</v>
          </cell>
          <cell r="F42">
            <v>836.48681972466682</v>
          </cell>
          <cell r="G42">
            <v>12.28204865768746</v>
          </cell>
          <cell r="R42">
            <v>418.90180357101696</v>
          </cell>
          <cell r="S42">
            <v>333.23600664604402</v>
          </cell>
          <cell r="T42">
            <v>16583.089201216797</v>
          </cell>
          <cell r="U42">
            <v>21.168978009938485</v>
          </cell>
          <cell r="V42">
            <v>8490.6979071985788</v>
          </cell>
          <cell r="W42">
            <v>109.93046629120914</v>
          </cell>
          <cell r="X42">
            <v>44.029120982299467</v>
          </cell>
          <cell r="Y42">
            <v>35.025126001372406</v>
          </cell>
          <cell r="Z42">
            <v>1741.6293260960629</v>
          </cell>
          <cell r="AA42">
            <v>2.2249880184944271</v>
          </cell>
          <cell r="AB42">
            <v>892.71938262508615</v>
          </cell>
          <cell r="AC42">
            <v>11.571124202487296</v>
          </cell>
        </row>
        <row r="43">
          <cell r="B43">
            <v>36.827960516036832</v>
          </cell>
          <cell r="C43">
            <v>29.29660935012361</v>
          </cell>
          <cell r="D43">
            <v>1513.5836175982531</v>
          </cell>
          <cell r="E43">
            <v>1.861081235909976</v>
          </cell>
          <cell r="F43">
            <v>746.38090871793668</v>
          </cell>
          <cell r="G43">
            <v>11.222576271485449</v>
          </cell>
          <cell r="R43">
            <v>455.72976408705381</v>
          </cell>
          <cell r="S43">
            <v>362.53261599616764</v>
          </cell>
          <cell r="T43">
            <v>18096.672818815052</v>
          </cell>
          <cell r="U43">
            <v>23.030059245848459</v>
          </cell>
          <cell r="V43">
            <v>9237.0788159165149</v>
          </cell>
          <cell r="W43">
            <v>121.15304256269459</v>
          </cell>
          <cell r="X43">
            <v>48.447121134821501</v>
          </cell>
          <cell r="Y43">
            <v>38.539641135080743</v>
          </cell>
          <cell r="Z43">
            <v>1923.2036668878116</v>
          </cell>
          <cell r="AA43">
            <v>2.4482492870766439</v>
          </cell>
          <cell r="AB43">
            <v>982.25762808723903</v>
          </cell>
          <cell r="AC43">
            <v>12.917420412876751</v>
          </cell>
        </row>
        <row r="44">
          <cell r="B44">
            <v>43.621749699717149</v>
          </cell>
          <cell r="C44">
            <v>34.701062513765599</v>
          </cell>
          <cell r="D44">
            <v>1805.7907127145761</v>
          </cell>
          <cell r="E44">
            <v>2.2044017291794811</v>
          </cell>
          <cell r="F44">
            <v>883.57739251399107</v>
          </cell>
          <cell r="G44">
            <v>13.596008877364561</v>
          </cell>
          <cell r="R44">
            <v>499.35151378677097</v>
          </cell>
          <cell r="S44">
            <v>397.23367850993321</v>
          </cell>
          <cell r="T44">
            <v>19902.463531529629</v>
          </cell>
          <cell r="U44">
            <v>25.23446097502794</v>
          </cell>
          <cell r="V44">
            <v>10120.656208430506</v>
          </cell>
          <cell r="W44">
            <v>134.74905144005916</v>
          </cell>
          <cell r="X44">
            <v>53.058521133420236</v>
          </cell>
          <cell r="Y44">
            <v>42.208005671783198</v>
          </cell>
          <cell r="Z44">
            <v>2114.0997989183797</v>
          </cell>
          <cell r="AA44">
            <v>2.6812839131708652</v>
          </cell>
          <cell r="AB44">
            <v>1075.6635280029709</v>
          </cell>
          <cell r="AC44">
            <v>14.354699654301445</v>
          </cell>
        </row>
        <row r="45">
          <cell r="B45">
            <v>46.741208738796402</v>
          </cell>
          <cell r="C45">
            <v>37.182589363774618</v>
          </cell>
          <cell r="D45">
            <v>1948.7659526075711</v>
          </cell>
          <cell r="E45">
            <v>2.3620419189285751</v>
          </cell>
          <cell r="F45">
            <v>946.24011864400791</v>
          </cell>
          <cell r="G45">
            <v>14.89126974236143</v>
          </cell>
          <cell r="R45">
            <v>546.09272252556741</v>
          </cell>
          <cell r="S45">
            <v>434.41626787370785</v>
          </cell>
          <cell r="T45">
            <v>21851.229484137199</v>
          </cell>
          <cell r="U45">
            <v>27.596502893956515</v>
          </cell>
          <cell r="V45">
            <v>11066.896327074513</v>
          </cell>
          <cell r="W45">
            <v>149.64032118242059</v>
          </cell>
          <cell r="X45">
            <v>58.07855376008704</v>
          </cell>
          <cell r="Y45">
            <v>46.201437095287915</v>
          </cell>
          <cell r="Z45">
            <v>2323.3983799306288</v>
          </cell>
          <cell r="AA45">
            <v>2.9349685699977663</v>
          </cell>
          <cell r="AB45">
            <v>1177.2902594552802</v>
          </cell>
          <cell r="AC45">
            <v>15.954030565423182</v>
          </cell>
        </row>
      </sheetData>
      <sheetData sheetId="4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1.3885312561876871E-3</v>
          </cell>
          <cell r="S2">
            <v>1.407541104186225E-5</v>
          </cell>
          <cell r="T2">
            <v>7.0912909334960015E-4</v>
          </cell>
          <cell r="U2">
            <v>9.8557698079141393E-5</v>
          </cell>
          <cell r="V2">
            <v>2.13141938633914E-4</v>
          </cell>
          <cell r="W2">
            <v>7.6409374227252196E-4</v>
          </cell>
          <cell r="X2">
            <v>1.134539724699067E-4</v>
          </cell>
          <cell r="Y2">
            <v>1.150072272215532E-6</v>
          </cell>
          <cell r="Z2">
            <v>5.7941448761755898E-5</v>
          </cell>
          <cell r="AA2">
            <v>8.0529424993057905E-6</v>
          </cell>
          <cell r="AB2">
            <v>1.7415380122120909E-5</v>
          </cell>
          <cell r="AC2">
            <v>6.2432494777414583E-5</v>
          </cell>
        </row>
        <row r="3">
          <cell r="R3">
            <v>2.484676752525011E-3</v>
          </cell>
          <cell r="S3">
            <v>2.5186935074093662E-5</v>
          </cell>
          <cell r="T3">
            <v>1.2689354776373339E-3</v>
          </cell>
          <cell r="U3">
            <v>1.7636190766923631E-4</v>
          </cell>
          <cell r="V3">
            <v>3.8140215969341808E-4</v>
          </cell>
          <cell r="W3">
            <v>1.367290761165084E-3</v>
          </cell>
          <cell r="X3">
            <v>1.8817557476373921E-4</v>
          </cell>
          <cell r="Y3">
            <v>1.9075181426670697E-6</v>
          </cell>
          <cell r="Z3">
            <v>9.6102103663925841E-5</v>
          </cell>
          <cell r="AA3">
            <v>1.3356668350666666E-5</v>
          </cell>
          <cell r="AB3">
            <v>2.8885274731815617E-5</v>
          </cell>
          <cell r="AC3">
            <v>1.0355098488764092E-4</v>
          </cell>
        </row>
        <row r="4">
          <cell r="R4">
            <v>4.3144054316794382E-3</v>
          </cell>
          <cell r="S4">
            <v>4.37347229898603E-5</v>
          </cell>
          <cell r="T4">
            <v>2.2033860588125524E-3</v>
          </cell>
          <cell r="U4">
            <v>3.0623571924044132E-4</v>
          </cell>
          <cell r="V4">
            <v>6.6226866241788414E-4</v>
          </cell>
          <cell r="W4">
            <v>2.3741706765924159E-3</v>
          </cell>
          <cell r="X4">
            <v>2.9693102699275602E-4</v>
          </cell>
          <cell r="Y4">
            <v>3.0099619561177558E-6</v>
          </cell>
          <cell r="Z4">
            <v>1.5164399722398262E-4</v>
          </cell>
          <cell r="AA4">
            <v>2.1076110730866919E-5</v>
          </cell>
          <cell r="AB4">
            <v>4.5579423906925999E-5</v>
          </cell>
          <cell r="AC4">
            <v>1.6339793476067817E-4</v>
          </cell>
        </row>
        <row r="5">
          <cell r="R5">
            <v>7.3287306777277787E-3</v>
          </cell>
          <cell r="S5">
            <v>7.429065513969302E-5</v>
          </cell>
          <cell r="T5">
            <v>3.7428153797338954E-3</v>
          </cell>
          <cell r="U5">
            <v>5.2019198143365562E-4</v>
          </cell>
          <cell r="V5">
            <v>1.1249727778296368E-3</v>
          </cell>
          <cell r="W5">
            <v>4.0329212790119057E-3</v>
          </cell>
          <cell r="X5">
            <v>4.5112454458387513E-4</v>
          </cell>
          <cell r="Y5">
            <v>4.5730071741594701E-6</v>
          </cell>
          <cell r="Z5">
            <v>2.3039131302441001E-4</v>
          </cell>
          <cell r="AA5">
            <v>3.202073879363782E-5</v>
          </cell>
          <cell r="AB5">
            <v>6.9248394351557673E-5</v>
          </cell>
          <cell r="AC5">
            <v>2.4824896088294267E-4</v>
          </cell>
        </row>
        <row r="6">
          <cell r="R6">
            <v>1.2133113862407108E-2</v>
          </cell>
          <cell r="S6">
            <v>1.229922366313754E-4</v>
          </cell>
          <cell r="T6">
            <v>6.1964352580574722E-3</v>
          </cell>
          <cell r="U6">
            <v>8.61206233192152E-4</v>
          </cell>
          <cell r="V6">
            <v>1.8624538689893983E-3</v>
          </cell>
          <cell r="W6">
            <v>6.6767214171318057E-3</v>
          </cell>
          <cell r="X6">
            <v>6.649114957645155E-4</v>
          </cell>
          <cell r="Y6">
            <v>6.7401454361499572E-6</v>
          </cell>
          <cell r="Z6">
            <v>3.395732606292039E-4</v>
          </cell>
          <cell r="AA6">
            <v>4.7195298022194093E-5</v>
          </cell>
          <cell r="AB6">
            <v>1.0206505946169932E-4</v>
          </cell>
          <cell r="AC6">
            <v>3.6589360939099768E-4</v>
          </cell>
        </row>
        <row r="7">
          <cell r="R7">
            <v>2.5542014094383329E-2</v>
          </cell>
          <cell r="S7">
            <v>2.589169999691306E-4</v>
          </cell>
          <cell r="T7">
            <v>1.3203030801755571E-2</v>
          </cell>
          <cell r="U7">
            <v>1.8129675527499508E-3</v>
          </cell>
          <cell r="V7">
            <v>3.9003330873344224E-3</v>
          </cell>
          <cell r="W7">
            <v>1.4158158675690743E-2</v>
          </cell>
          <cell r="X7">
            <v>1.4902460608563258E-3</v>
          </cell>
          <cell r="Y7">
            <v>1.5106484471699616E-5</v>
          </cell>
          <cell r="Z7">
            <v>7.7083797181275583E-4</v>
          </cell>
          <cell r="AA7">
            <v>1.0577739656560854E-4</v>
          </cell>
          <cell r="AB7">
            <v>2.2749907189260131E-4</v>
          </cell>
          <cell r="AC7">
            <v>8.263854214882807E-4</v>
          </cell>
        </row>
        <row r="8">
          <cell r="R8">
            <v>5.3464691252568003E-2</v>
          </cell>
          <cell r="S8">
            <v>5.419665580105829E-4</v>
          </cell>
          <cell r="T8">
            <v>2.8123217843102521E-2</v>
          </cell>
          <cell r="U8">
            <v>3.7949141403071538E-3</v>
          </cell>
          <cell r="V8">
            <v>8.1015893185528848E-3</v>
          </cell>
          <cell r="W8">
            <v>2.9950875299464663E-2</v>
          </cell>
          <cell r="X8">
            <v>3.4710101129677268E-3</v>
          </cell>
          <cell r="Y8">
            <v>3.5185303789717241E-5</v>
          </cell>
          <cell r="Z8">
            <v>1.8292382811690429E-3</v>
          </cell>
          <cell r="AA8">
            <v>2.4637167166316845E-4</v>
          </cell>
          <cell r="AB8">
            <v>5.2552555657970094E-4</v>
          </cell>
          <cell r="AC8">
            <v>1.9466807712622278E-3</v>
          </cell>
        </row>
        <row r="9">
          <cell r="R9">
            <v>7.6513042755682228E-2</v>
          </cell>
          <cell r="S9">
            <v>7.7560553430151738E-4</v>
          </cell>
          <cell r="T9">
            <v>4.0710456586127833E-2</v>
          </cell>
          <cell r="U9">
            <v>5.4308819721748201E-3</v>
          </cell>
          <cell r="V9">
            <v>1.153450365519703E-2</v>
          </cell>
          <cell r="W9">
            <v>4.3162531293292089E-2</v>
          </cell>
          <cell r="X9">
            <v>4.8756762333822742E-3</v>
          </cell>
          <cell r="Y9">
            <v>4.9424272436124333E-5</v>
          </cell>
          <cell r="Z9">
            <v>2.5963589930129271E-3</v>
          </cell>
          <cell r="AA9">
            <v>3.4607461949447236E-4</v>
          </cell>
          <cell r="AB9">
            <v>7.3474218807362192E-4</v>
          </cell>
          <cell r="AC9">
            <v>2.7518561681487978E-3</v>
          </cell>
        </row>
        <row r="10">
          <cell r="R10">
            <v>0.12681814795540711</v>
          </cell>
          <cell r="S10">
            <v>1.2855436649953076E-3</v>
          </cell>
          <cell r="T10">
            <v>6.8774895873854158E-2</v>
          </cell>
          <cell r="U10">
            <v>9.0015292644268895E-3</v>
          </cell>
          <cell r="V10">
            <v>1.8951014225887575E-2</v>
          </cell>
          <cell r="W10">
            <v>7.2381124875822059E-2</v>
          </cell>
          <cell r="X10">
            <v>8.3781833912144089E-3</v>
          </cell>
          <cell r="Y10">
            <v>8.4928858813896325E-5</v>
          </cell>
          <cell r="Z10">
            <v>4.5503535050121675E-3</v>
          </cell>
          <cell r="AA10">
            <v>5.9468194572018522E-4</v>
          </cell>
          <cell r="AB10">
            <v>1.2511188312959759E-3</v>
          </cell>
          <cell r="AC10">
            <v>4.7862089989060032E-3</v>
          </cell>
        </row>
        <row r="11">
          <cell r="R11">
            <v>0.192110131882966</v>
          </cell>
          <cell r="S11">
            <v>1.947402378959203E-3</v>
          </cell>
          <cell r="T11">
            <v>0.10596674597591532</v>
          </cell>
          <cell r="U11">
            <v>1.3635942505212217E-2</v>
          </cell>
          <cell r="V11">
            <v>2.8478420187734652E-2</v>
          </cell>
          <cell r="W11">
            <v>0.11080062267603429</v>
          </cell>
          <cell r="X11">
            <v>1.3012302790565318E-2</v>
          </cell>
          <cell r="Y11">
            <v>1.3190449229154497E-4</v>
          </cell>
          <cell r="Z11">
            <v>7.1900569370128842E-3</v>
          </cell>
          <cell r="AA11">
            <v>9.2361090471092429E-4</v>
          </cell>
          <cell r="AB11">
            <v>1.9273295104242517E-3</v>
          </cell>
          <cell r="AC11">
            <v>7.5130451181272869E-3</v>
          </cell>
        </row>
        <row r="12">
          <cell r="R12">
            <v>0.24660254619945077</v>
          </cell>
          <cell r="S12">
            <v>2.4997868692254463E-3</v>
          </cell>
          <cell r="T12">
            <v>0.13764538030181483</v>
          </cell>
          <cell r="U12">
            <v>1.7503804243199368E-2</v>
          </cell>
          <cell r="V12">
            <v>3.6347794061676597E-2</v>
          </cell>
          <cell r="W12">
            <v>0.14327864024666259</v>
          </cell>
          <cell r="X12">
            <v>1.6659903745228469E-2</v>
          </cell>
          <cell r="Y12">
            <v>1.6887988087194665E-4</v>
          </cell>
          <cell r="Z12">
            <v>9.3105542256532951E-3</v>
          </cell>
          <cell r="AA12">
            <v>1.1825169624614064E-3</v>
          </cell>
          <cell r="AB12">
            <v>2.4540878861585491E-3</v>
          </cell>
          <cell r="AC12">
            <v>9.6870513423358614E-3</v>
          </cell>
        </row>
        <row r="13">
          <cell r="R13">
            <v>0.33694138785379857</v>
          </cell>
          <cell r="S13">
            <v>3.4155432295264756E-3</v>
          </cell>
          <cell r="T13">
            <v>0.19121945565139392</v>
          </cell>
          <cell r="U13">
            <v>2.3916038927086873E-2</v>
          </cell>
          <cell r="V13">
            <v>4.9257885413014346E-2</v>
          </cell>
          <cell r="W13">
            <v>0.19780530771758603</v>
          </cell>
          <cell r="X13">
            <v>2.303472244365351E-2</v>
          </cell>
          <cell r="Y13">
            <v>2.3350081979415502E-4</v>
          </cell>
          <cell r="Z13">
            <v>1.3091043448617466E-2</v>
          </cell>
          <cell r="AA13">
            <v>1.635000443685768E-3</v>
          </cell>
          <cell r="AB13">
            <v>3.3650968191685114E-3</v>
          </cell>
          <cell r="AC13">
            <v>1.3534760843487276E-2</v>
          </cell>
        </row>
        <row r="14">
          <cell r="R14">
            <v>0.45620598632832887</v>
          </cell>
          <cell r="S14">
            <v>4.6245172722719436E-3</v>
          </cell>
          <cell r="T14">
            <v>0.26333961189808436</v>
          </cell>
          <cell r="U14">
            <v>3.2381418611988934E-2</v>
          </cell>
          <cell r="V14">
            <v>6.612254618771625E-2</v>
          </cell>
          <cell r="W14">
            <v>0.27069203748592918</v>
          </cell>
          <cell r="X14">
            <v>2.8924323077512783E-2</v>
          </cell>
          <cell r="Y14">
            <v>2.932031487295408E-4</v>
          </cell>
          <cell r="Z14">
            <v>1.6652527102421471E-2</v>
          </cell>
          <cell r="AA14">
            <v>2.053043234218501E-3</v>
          </cell>
          <cell r="AB14">
            <v>4.1979182771614935E-3</v>
          </cell>
          <cell r="AC14">
            <v>1.7134099920918855E-2</v>
          </cell>
        </row>
        <row r="15">
          <cell r="R15">
            <v>0.61324190449238991</v>
          </cell>
          <cell r="S15">
            <v>6.2163756381859126E-3</v>
          </cell>
          <cell r="T15">
            <v>0.35796090043535628</v>
          </cell>
          <cell r="U15">
            <v>4.3527799754670436E-2</v>
          </cell>
          <cell r="V15">
            <v>8.8289118097477845E-2</v>
          </cell>
          <cell r="W15">
            <v>0.37038632520168835</v>
          </cell>
          <cell r="X15">
            <v>4.0467374248416149E-2</v>
          </cell>
          <cell r="Y15">
            <v>4.1021397522961992E-4</v>
          </cell>
          <cell r="Z15">
            <v>2.3607740840857178E-2</v>
          </cell>
          <cell r="AA15">
            <v>2.8723669240124871E-3</v>
          </cell>
          <cell r="AB15">
            <v>5.8272899319352185E-3</v>
          </cell>
          <cell r="AC15">
            <v>2.4462208534564267E-2</v>
          </cell>
        </row>
        <row r="16">
          <cell r="R16">
            <v>1.0250740212476182</v>
          </cell>
          <cell r="S16">
            <v>1.0391079158714012E-2</v>
          </cell>
          <cell r="T16">
            <v>0.60523155072202672</v>
          </cell>
          <cell r="U16">
            <v>7.275956910921573E-2</v>
          </cell>
          <cell r="V16">
            <v>0.14632055711635103</v>
          </cell>
          <cell r="W16">
            <v>0.64145909378432209</v>
          </cell>
          <cell r="X16">
            <v>7.0183463720596279E-2</v>
          </cell>
          <cell r="Y16">
            <v>7.1144318560121124E-4</v>
          </cell>
          <cell r="Z16">
            <v>4.1449760607688735E-2</v>
          </cell>
          <cell r="AA16">
            <v>4.9816095940932283E-3</v>
          </cell>
          <cell r="AB16">
            <v>1.0014596758976917E-2</v>
          </cell>
          <cell r="AC16">
            <v>4.4021689976029246E-2</v>
          </cell>
        </row>
        <row r="17">
          <cell r="R17">
            <v>1.4152056439854905</v>
          </cell>
          <cell r="S17">
            <v>1.4345806807799094E-2</v>
          </cell>
          <cell r="T17">
            <v>0.83865444433955938</v>
          </cell>
          <cell r="U17">
            <v>0.10045104131308479</v>
          </cell>
          <cell r="V17">
            <v>0.20119975935520171</v>
          </cell>
          <cell r="W17">
            <v>0.90722741596095458</v>
          </cell>
          <cell r="X17">
            <v>0.10321496952016709</v>
          </cell>
          <cell r="Y17">
            <v>1.0462804601593084E-3</v>
          </cell>
          <cell r="Z17">
            <v>6.1213115370295744E-2</v>
          </cell>
          <cell r="AA17">
            <v>7.3261799170053279E-3</v>
          </cell>
          <cell r="AB17">
            <v>1.4661086767417963E-2</v>
          </cell>
          <cell r="AC17">
            <v>6.6523654348238134E-2</v>
          </cell>
        </row>
        <row r="18">
          <cell r="R18">
            <v>2.0453168582660579</v>
          </cell>
          <cell r="S18">
            <v>2.0733185056263311E-2</v>
          </cell>
          <cell r="T18">
            <v>1.2143590949102161</v>
          </cell>
          <cell r="U18">
            <v>0.14517622163336921</v>
          </cell>
          <cell r="V18">
            <v>0.28968627060373198</v>
          </cell>
          <cell r="W18">
            <v>1.3507654503148665</v>
          </cell>
          <cell r="X18">
            <v>0.15463393232976277</v>
          </cell>
          <cell r="Y18">
            <v>1.5675096609180843E-3</v>
          </cell>
          <cell r="Z18">
            <v>9.1871740414989717E-2</v>
          </cell>
          <cell r="AA18">
            <v>1.0975888621470911E-2</v>
          </cell>
          <cell r="AB18">
            <v>2.1881851178401981E-2</v>
          </cell>
          <cell r="AC18">
            <v>0.10271768672889356</v>
          </cell>
        </row>
        <row r="19">
          <cell r="R19">
            <v>2.7183187364835648</v>
          </cell>
          <cell r="S19">
            <v>2.7555341940124125E-2</v>
          </cell>
          <cell r="T19">
            <v>1.6142665876432472</v>
          </cell>
          <cell r="U19">
            <v>0.19294577354260647</v>
          </cell>
          <cell r="V19">
            <v>0.38403779018615569</v>
          </cell>
          <cell r="W19">
            <v>1.839533301835693</v>
          </cell>
          <cell r="X19">
            <v>0.21613034917104668</v>
          </cell>
          <cell r="Y19">
            <v>2.19089306751082E-3</v>
          </cell>
          <cell r="Z19">
            <v>0.12841380466033647</v>
          </cell>
          <cell r="AA19">
            <v>1.5340893195176401E-2</v>
          </cell>
          <cell r="AB19">
            <v>3.0503343280648468E-2</v>
          </cell>
          <cell r="AC19">
            <v>0.14737948115858049</v>
          </cell>
        </row>
        <row r="20">
          <cell r="R20">
            <v>3.7197740040152478</v>
          </cell>
          <cell r="S20">
            <v>3.7707000008843347E-2</v>
          </cell>
          <cell r="T20">
            <v>2.2073356489149534</v>
          </cell>
          <cell r="U20">
            <v>0.26402888777378658</v>
          </cell>
          <cell r="V20">
            <v>0.52420495330840633</v>
          </cell>
          <cell r="W20">
            <v>2.5888947239909466</v>
          </cell>
          <cell r="X20">
            <v>0.30034040521889649</v>
          </cell>
          <cell r="Y20">
            <v>3.0445225032543458E-3</v>
          </cell>
          <cell r="Z20">
            <v>0.17828360964227094</v>
          </cell>
          <cell r="AA20">
            <v>2.1318107782321218E-2</v>
          </cell>
          <cell r="AB20">
            <v>4.2289675676388166E-2</v>
          </cell>
          <cell r="AC20">
            <v>0.21039154910178892</v>
          </cell>
        </row>
        <row r="21">
          <cell r="R21">
            <v>4.5425978021393218</v>
          </cell>
          <cell r="S21">
            <v>4.6047887635255663E-2</v>
          </cell>
          <cell r="T21">
            <v>2.6929899826787156</v>
          </cell>
          <cell r="U21">
            <v>0.32243277253076269</v>
          </cell>
          <cell r="V21">
            <v>0.63918244880418695</v>
          </cell>
          <cell r="W21">
            <v>3.2224507431372214</v>
          </cell>
          <cell r="X21">
            <v>0.38432240178156934</v>
          </cell>
          <cell r="Y21">
            <v>3.8958401213981188E-3</v>
          </cell>
          <cell r="Z21">
            <v>0.22785220583720656</v>
          </cell>
          <cell r="AA21">
            <v>2.7279134748349122E-2</v>
          </cell>
          <cell r="AB21">
            <v>5.4024921610603766E-2</v>
          </cell>
          <cell r="AC21">
            <v>0.27505581810264734</v>
          </cell>
        </row>
        <row r="22">
          <cell r="B22">
            <v>1.1473593904646171</v>
          </cell>
          <cell r="C22">
            <v>1.1630674471001671E-2</v>
          </cell>
          <cell r="D22">
            <v>0.67496708657103244</v>
          </cell>
          <cell r="E22">
            <v>8.1439362556484179E-2</v>
          </cell>
          <cell r="F22">
            <v>0.16006844926266389</v>
          </cell>
          <cell r="G22">
            <v>0.90798917995615192</v>
          </cell>
          <cell r="R22">
            <v>5.6899571926039387</v>
          </cell>
          <cell r="S22">
            <v>5.7678562106257332E-2</v>
          </cell>
          <cell r="T22">
            <v>3.3679570692497478</v>
          </cell>
          <cell r="U22">
            <v>0.40387213508724684</v>
          </cell>
          <cell r="V22">
            <v>0.7992508980668509</v>
          </cell>
          <cell r="W22">
            <v>4.1304399230933733</v>
          </cell>
          <cell r="X22">
            <v>0.48564976993963055</v>
          </cell>
          <cell r="Y22">
            <v>4.9229861436854514E-3</v>
          </cell>
          <cell r="Z22">
            <v>0.28746093789095456</v>
          </cell>
          <cell r="AA22">
            <v>3.4471333061187333E-2</v>
          </cell>
          <cell r="AB22">
            <v>6.8161132830664439E-2</v>
          </cell>
          <cell r="AC22">
            <v>0.35524355586430589</v>
          </cell>
        </row>
        <row r="23">
          <cell r="B23">
            <v>1.2365303986815981</v>
          </cell>
          <cell r="C23">
            <v>1.2534592613339571E-2</v>
          </cell>
          <cell r="D23">
            <v>0.7203772783969925</v>
          </cell>
          <cell r="E23">
            <v>8.7768704633659489E-2</v>
          </cell>
          <cell r="F23">
            <v>0.17376994645689009</v>
          </cell>
          <cell r="G23">
            <v>1.000025855993937</v>
          </cell>
          <cell r="R23">
            <v>6.9264875912855368</v>
          </cell>
          <cell r="S23">
            <v>7.021315471959691E-2</v>
          </cell>
          <cell r="T23">
            <v>4.0883343476467404</v>
          </cell>
          <cell r="U23">
            <v>0.49164083972090633</v>
          </cell>
          <cell r="V23">
            <v>0.97302084452374094</v>
          </cell>
          <cell r="W23">
            <v>5.1304657790873103</v>
          </cell>
          <cell r="X23">
            <v>0.60926201872905594</v>
          </cell>
          <cell r="Y23">
            <v>6.1760319096821814E-3</v>
          </cell>
          <cell r="Z23">
            <v>0.35947490168383955</v>
          </cell>
          <cell r="AA23">
            <v>4.3245308181143249E-2</v>
          </cell>
          <cell r="AB23">
            <v>8.5532395095188257E-2</v>
          </cell>
          <cell r="AC23">
            <v>0.45521315227599202</v>
          </cell>
        </row>
        <row r="24">
          <cell r="B24">
            <v>1.629358492162257</v>
          </cell>
          <cell r="C24">
            <v>1.6516654133302919E-2</v>
          </cell>
          <cell r="D24">
            <v>0.94022376518030792</v>
          </cell>
          <cell r="E24">
            <v>0.1156515718444199</v>
          </cell>
          <cell r="F24">
            <v>0.23058616529863599</v>
          </cell>
          <cell r="G24">
            <v>1.345159763751675</v>
          </cell>
          <cell r="R24">
            <v>8.5558460834477934</v>
          </cell>
          <cell r="S24">
            <v>8.6729808852899826E-2</v>
          </cell>
          <cell r="T24">
            <v>5.0285581128270485</v>
          </cell>
          <cell r="U24">
            <v>0.60729241156532621</v>
          </cell>
          <cell r="V24">
            <v>1.203607009822377</v>
          </cell>
          <cell r="W24">
            <v>6.4756255428389853</v>
          </cell>
          <cell r="X24">
            <v>0.7600367357062634</v>
          </cell>
          <cell r="Y24">
            <v>7.7044210667266836E-3</v>
          </cell>
          <cell r="Z24">
            <v>0.4464796785774614</v>
          </cell>
          <cell r="AA24">
            <v>5.3947270393075619E-2</v>
          </cell>
          <cell r="AB24">
            <v>0.10686997303092177</v>
          </cell>
          <cell r="AC24">
            <v>0.57968918603062436</v>
          </cell>
        </row>
        <row r="25">
          <cell r="B25">
            <v>1.619046932183021</v>
          </cell>
          <cell r="C25">
            <v>1.641212681744756E-2</v>
          </cell>
          <cell r="D25">
            <v>0.92558818674928578</v>
          </cell>
          <cell r="E25">
            <v>0.1149196591772547</v>
          </cell>
          <cell r="F25">
            <v>0.23068126143079989</v>
          </cell>
          <cell r="G25">
            <v>1.363106258640131</v>
          </cell>
          <cell r="R25">
            <v>10.174893015630815</v>
          </cell>
          <cell r="S25">
            <v>0.10314193567034738</v>
          </cell>
          <cell r="T25">
            <v>5.9541462995763341</v>
          </cell>
          <cell r="U25">
            <v>0.72221207074258087</v>
          </cell>
          <cell r="V25">
            <v>1.4342882712531768</v>
          </cell>
          <cell r="W25">
            <v>7.8387318014791161</v>
          </cell>
          <cell r="X25">
            <v>0.93246850506868462</v>
          </cell>
          <cell r="Y25">
            <v>9.4523457314658159E-3</v>
          </cell>
          <cell r="Z25">
            <v>0.54505669050319905</v>
          </cell>
          <cell r="AA25">
            <v>6.6186446276471453E-2</v>
          </cell>
          <cell r="AB25">
            <v>0.13143799343638068</v>
          </cell>
          <cell r="AC25">
            <v>0.72486275656411769</v>
          </cell>
        </row>
        <row r="26">
          <cell r="R26">
            <v>12.339501876101682</v>
          </cell>
          <cell r="S26">
            <v>0.12508437255839838</v>
          </cell>
          <cell r="T26">
            <v>7.1803518590326423</v>
          </cell>
          <cell r="U26">
            <v>0.8758556171726839</v>
          </cell>
          <cell r="V26">
            <v>1.744718573194683</v>
          </cell>
          <cell r="W26">
            <v>9.6955008673721554</v>
          </cell>
          <cell r="X26">
            <v>1.136876674636885</v>
          </cell>
          <cell r="Y26">
            <v>1.1524412164371665E-2</v>
          </cell>
          <cell r="Z26">
            <v>0.6608496351316766</v>
          </cell>
          <cell r="AA26">
            <v>8.0695301278068551E-2</v>
          </cell>
          <cell r="AB26">
            <v>0.16075252270637719</v>
          </cell>
          <cell r="AC26">
            <v>0.90020102344504138</v>
          </cell>
        </row>
        <row r="27">
          <cell r="R27">
            <v>14.498228735528441</v>
          </cell>
          <cell r="S27">
            <v>0.14696718415384216</v>
          </cell>
          <cell r="T27">
            <v>8.3991284145004137</v>
          </cell>
          <cell r="U27">
            <v>1.0290816602297637</v>
          </cell>
          <cell r="V27">
            <v>2.0546193379120017</v>
          </cell>
          <cell r="W27">
            <v>11.531387314515937</v>
          </cell>
          <cell r="X27">
            <v>1.3733121047846781</v>
          </cell>
          <cell r="Y27">
            <v>1.3921135932280755E-2</v>
          </cell>
          <cell r="Z27">
            <v>0.79433662904557467</v>
          </cell>
          <cell r="AA27">
            <v>9.7477445458025225E-2</v>
          </cell>
          <cell r="AB27">
            <v>0.19469452898156023</v>
          </cell>
          <cell r="AC27">
            <v>1.1012772271979372</v>
          </cell>
        </row>
        <row r="28">
          <cell r="R28">
            <v>17.329734987594104</v>
          </cell>
          <cell r="S28">
            <v>0.17566989731771485</v>
          </cell>
          <cell r="T28">
            <v>9.9925278675493807</v>
          </cell>
          <cell r="U28">
            <v>1.2300614632098468</v>
          </cell>
          <cell r="V28">
            <v>2.461502176465264</v>
          </cell>
          <cell r="W28">
            <v>13.91927653968809</v>
          </cell>
          <cell r="X28">
            <v>1.6324291837224361</v>
          </cell>
          <cell r="Y28">
            <v>1.6547781445489587E-2</v>
          </cell>
          <cell r="Z28">
            <v>0.94015195668395235</v>
          </cell>
          <cell r="AA28">
            <v>0.11586952897742181</v>
          </cell>
          <cell r="AB28">
            <v>0.23192923136616922</v>
          </cell>
          <cell r="AC28">
            <v>1.3197979810907334</v>
          </cell>
        </row>
        <row r="29">
          <cell r="R29">
            <v>20.48327915827614</v>
          </cell>
          <cell r="S29">
            <v>0.20763707864202091</v>
          </cell>
          <cell r="T29">
            <v>11.761510241464306</v>
          </cell>
          <cell r="U29">
            <v>1.4538994595590662</v>
          </cell>
          <cell r="V29">
            <v>2.9150936476672222</v>
          </cell>
          <cell r="W29">
            <v>16.55694599073539</v>
          </cell>
          <cell r="X29">
            <v>1.9704441646454378</v>
          </cell>
          <cell r="Y29">
            <v>1.9974207587210795E-2</v>
          </cell>
          <cell r="Z29">
            <v>1.1297616500984129</v>
          </cell>
          <cell r="AA29">
            <v>0.13986177134688915</v>
          </cell>
          <cell r="AB29">
            <v>0.28054777107478118</v>
          </cell>
          <cell r="AC29">
            <v>1.602518545928775</v>
          </cell>
        </row>
        <row r="30">
          <cell r="R30">
            <v>24.602834843863238</v>
          </cell>
          <cell r="S30">
            <v>0.24939662804077162</v>
          </cell>
          <cell r="T30">
            <v>14.065219706790646</v>
          </cell>
          <cell r="U30">
            <v>1.7463047789719286</v>
          </cell>
          <cell r="V30">
            <v>3.5081804197532893</v>
          </cell>
          <cell r="W30">
            <v>19.974933066974881</v>
          </cell>
          <cell r="X30">
            <v>2.3658118859956594</v>
          </cell>
          <cell r="Y30">
            <v>2.3982013076564942E-2</v>
          </cell>
          <cell r="Z30">
            <v>1.3508564553332663</v>
          </cell>
          <cell r="AA30">
            <v>0.16792490088569309</v>
          </cell>
          <cell r="AB30">
            <v>0.33746831871126942</v>
          </cell>
          <cell r="AC30">
            <v>1.9305543500484428</v>
          </cell>
        </row>
        <row r="31">
          <cell r="R31">
            <v>29.399545033958066</v>
          </cell>
          <cell r="S31">
            <v>0.29802042910639764</v>
          </cell>
          <cell r="T31">
            <v>16.739503566487532</v>
          </cell>
          <cell r="U31">
            <v>2.0867744029589925</v>
          </cell>
          <cell r="V31">
            <v>4.1993769603349929</v>
          </cell>
          <cell r="W31">
            <v>23.923445609219897</v>
          </cell>
          <cell r="X31">
            <v>2.8390019809966214</v>
          </cell>
          <cell r="Y31">
            <v>2.8778696664634E-2</v>
          </cell>
          <cell r="Z31">
            <v>1.6146715668325273</v>
          </cell>
          <cell r="AA31">
            <v>0.20151184846740547</v>
          </cell>
          <cell r="AB31">
            <v>0.40565408431736844</v>
          </cell>
          <cell r="AC31">
            <v>2.3200706958213511</v>
          </cell>
        </row>
        <row r="32">
          <cell r="R32">
            <v>35.357602757569467</v>
          </cell>
          <cell r="S32">
            <v>0.35841670113647212</v>
          </cell>
          <cell r="T32">
            <v>20.05148660237154</v>
          </cell>
          <cell r="U32">
            <v>2.5096762653729674</v>
          </cell>
          <cell r="V32">
            <v>5.0586710368780796</v>
          </cell>
          <cell r="W32">
            <v>28.790138053009301</v>
          </cell>
          <cell r="X32">
            <v>3.4271898803463334</v>
          </cell>
          <cell r="Y32">
            <v>3.4741102203798641E-2</v>
          </cell>
          <cell r="Z32">
            <v>1.9416352242738486</v>
          </cell>
          <cell r="AA32">
            <v>0.24326131945668331</v>
          </cell>
          <cell r="AB32">
            <v>0.49048481292923746</v>
          </cell>
          <cell r="AC32">
            <v>2.8005174685925489</v>
          </cell>
        </row>
        <row r="33">
          <cell r="R33">
            <v>38.049476194466855</v>
          </cell>
          <cell r="S33">
            <v>0.38570396955636266</v>
          </cell>
          <cell r="T33">
            <v>21.543555498623018</v>
          </cell>
          <cell r="U33">
            <v>2.7007449563215653</v>
          </cell>
          <cell r="V33">
            <v>5.4472328147037494</v>
          </cell>
          <cell r="W33">
            <v>30.972315013482955</v>
          </cell>
          <cell r="X33">
            <v>3.8750830385372832</v>
          </cell>
          <cell r="Y33">
            <v>3.9281353117331774E-2</v>
          </cell>
          <cell r="Z33">
            <v>2.1898963204384647</v>
          </cell>
          <cell r="AA33">
            <v>0.27505269502707946</v>
          </cell>
          <cell r="AB33">
            <v>0.55513650102019707</v>
          </cell>
          <cell r="AC33">
            <v>3.163603681027777</v>
          </cell>
        </row>
        <row r="34">
          <cell r="R34">
            <v>41.582459580677956</v>
          </cell>
          <cell r="S34">
            <v>0.42151749060127164</v>
          </cell>
          <cell r="T34">
            <v>23.496352038321135</v>
          </cell>
          <cell r="U34">
            <v>2.9515154797398369</v>
          </cell>
          <cell r="V34">
            <v>5.9576262805356839</v>
          </cell>
          <cell r="W34">
            <v>33.815125872038934</v>
          </cell>
          <cell r="X34">
            <v>4.3448197713946337</v>
          </cell>
          <cell r="Y34">
            <v>4.4043030297420363E-2</v>
          </cell>
          <cell r="Z34">
            <v>2.4495353184799127</v>
          </cell>
          <cell r="AA34">
            <v>0.30839452358680991</v>
          </cell>
          <cell r="AB34">
            <v>0.6229971538744834</v>
          </cell>
          <cell r="AC34">
            <v>3.5415767816206971</v>
          </cell>
        </row>
        <row r="35">
          <cell r="R35">
            <v>47.501083654147422</v>
          </cell>
          <cell r="S35">
            <v>0.48151402742037747</v>
          </cell>
          <cell r="T35">
            <v>26.79454464100818</v>
          </cell>
          <cell r="U35">
            <v>3.3716183487803977</v>
          </cell>
          <cell r="V35">
            <v>6.8121640899420095</v>
          </cell>
          <cell r="W35">
            <v>38.722638112306939</v>
          </cell>
          <cell r="X35">
            <v>4.9639417026420496</v>
          </cell>
          <cell r="Y35">
            <v>5.0319011215030358E-2</v>
          </cell>
          <cell r="Z35">
            <v>2.794545129620789</v>
          </cell>
          <cell r="AA35">
            <v>0.35233968657982057</v>
          </cell>
          <cell r="AB35">
            <v>0.71238669649725839</v>
          </cell>
          <cell r="AC35">
            <v>4.0549306317891194</v>
          </cell>
        </row>
        <row r="36">
          <cell r="R36">
            <v>54.925206523106112</v>
          </cell>
          <cell r="S36">
            <v>0.55677166425081426</v>
          </cell>
          <cell r="T36">
            <v>30.965073847063888</v>
          </cell>
          <cell r="U36">
            <v>3.8985812507392823</v>
          </cell>
          <cell r="V36">
            <v>7.8834466351784425</v>
          </cell>
          <cell r="W36">
            <v>45.059397247872155</v>
          </cell>
          <cell r="X36">
            <v>5.6578360885889367</v>
          </cell>
          <cell r="Y36">
            <v>5.735295348915577E-2</v>
          </cell>
          <cell r="Z36">
            <v>3.1843429351783206</v>
          </cell>
          <cell r="AA36">
            <v>0.40159218491877074</v>
          </cell>
          <cell r="AB36">
            <v>0.81251393806144834</v>
          </cell>
          <cell r="AC36">
            <v>4.6471947506456388</v>
          </cell>
        </row>
        <row r="37">
          <cell r="R37">
            <v>60.374658310279436</v>
          </cell>
          <cell r="S37">
            <v>0.61201224563165391</v>
          </cell>
          <cell r="T37">
            <v>34.05068800232408</v>
          </cell>
          <cell r="U37">
            <v>4.2853823555352033</v>
          </cell>
          <cell r="V37">
            <v>8.6693359218200001</v>
          </cell>
          <cell r="W37">
            <v>49.84274152741915</v>
          </cell>
          <cell r="X37">
            <v>6.3274822087467975</v>
          </cell>
          <cell r="Y37">
            <v>6.414109336847594E-2</v>
          </cell>
          <cell r="Z37">
            <v>3.5635131027606191</v>
          </cell>
          <cell r="AA37">
            <v>0.44912354572629865</v>
          </cell>
          <cell r="AB37">
            <v>0.90908653512742355</v>
          </cell>
          <cell r="AC37">
            <v>5.2349874430624013</v>
          </cell>
        </row>
        <row r="38">
          <cell r="R38">
            <v>67.029391294994781</v>
          </cell>
          <cell r="S38">
            <v>0.67947064940635882</v>
          </cell>
          <cell r="T38">
            <v>37.848341548091383</v>
          </cell>
          <cell r="U38">
            <v>4.7577341023051183</v>
          </cell>
          <cell r="V38">
            <v>9.6284939764545108</v>
          </cell>
          <cell r="W38">
            <v>55.844344664939513</v>
          </cell>
          <cell r="X38">
            <v>7.0267828796967899</v>
          </cell>
          <cell r="Y38">
            <v>7.1229838646342941E-2</v>
          </cell>
          <cell r="Z38">
            <v>3.9625827091130206</v>
          </cell>
          <cell r="AA38">
            <v>0.49875978119949876</v>
          </cell>
          <cell r="AB38">
            <v>1.0098779376816005</v>
          </cell>
          <cell r="AC38">
            <v>5.8656551363392175</v>
          </cell>
        </row>
        <row r="39">
          <cell r="R39">
            <v>74.75058412146771</v>
          </cell>
          <cell r="S39">
            <v>0.75773965651857222</v>
          </cell>
          <cell r="T39">
            <v>42.28871175307944</v>
          </cell>
          <cell r="U39">
            <v>5.3057829762582225</v>
          </cell>
          <cell r="V39">
            <v>10.740728152791014</v>
          </cell>
          <cell r="W39">
            <v>62.992653669105621</v>
          </cell>
          <cell r="X39">
            <v>7.8610886602411689</v>
          </cell>
          <cell r="Y39">
            <v>7.9687118051061309E-2</v>
          </cell>
          <cell r="Z39">
            <v>4.44238247749555</v>
          </cell>
          <cell r="AA39">
            <v>0.55797865499736787</v>
          </cell>
          <cell r="AB39">
            <v>1.1300592909376683</v>
          </cell>
          <cell r="AC39">
            <v>6.6380585275413431</v>
          </cell>
        </row>
        <row r="40">
          <cell r="R40">
            <v>84.165095412447855</v>
          </cell>
          <cell r="S40">
            <v>0.85317367400163779</v>
          </cell>
          <cell r="T40">
            <v>47.7442527585779</v>
          </cell>
          <cell r="U40">
            <v>5.9740232893546885</v>
          </cell>
          <cell r="V40">
            <v>12.096114806645758</v>
          </cell>
          <cell r="W40">
            <v>71.932805289882751</v>
          </cell>
          <cell r="X40">
            <v>8.7850546334923703</v>
          </cell>
          <cell r="Y40">
            <v>8.90532744153852E-2</v>
          </cell>
          <cell r="Z40">
            <v>4.9778042427853366</v>
          </cell>
          <cell r="AA40">
            <v>0.62356159309925452</v>
          </cell>
          <cell r="AB40">
            <v>1.2630806565777968</v>
          </cell>
          <cell r="AC40">
            <v>7.5154695410284447</v>
          </cell>
        </row>
        <row r="41">
          <cell r="R41">
            <v>92.779282419075429</v>
          </cell>
          <cell r="S41">
            <v>0.94049487931800058</v>
          </cell>
          <cell r="T41">
            <v>52.773648128593003</v>
          </cell>
          <cell r="U41">
            <v>6.5854567291228641</v>
          </cell>
          <cell r="V41">
            <v>13.335580727522078</v>
          </cell>
          <cell r="W41">
            <v>80.316880304628214</v>
          </cell>
          <cell r="X41">
            <v>9.7804783218328133</v>
          </cell>
          <cell r="Y41">
            <v>9.9143790931856365E-2</v>
          </cell>
          <cell r="Z41">
            <v>5.5589826274072376</v>
          </cell>
          <cell r="AA41">
            <v>0.69421658692751143</v>
          </cell>
          <cell r="AB41">
            <v>1.4063087682477355</v>
          </cell>
          <cell r="AC41">
            <v>8.4843023360536591</v>
          </cell>
        </row>
        <row r="42">
          <cell r="B42">
            <v>10.13430946169342</v>
          </cell>
          <cell r="C42">
            <v>0.10273054399251309</v>
          </cell>
          <cell r="D42">
            <v>5.960932632824739</v>
          </cell>
          <cell r="E42">
            <v>0.71933145740520299</v>
          </cell>
          <cell r="F42">
            <v>1.4573725997969511</v>
          </cell>
          <cell r="G42">
            <v>10.10211794355245</v>
          </cell>
          <cell r="R42">
            <v>102.91359188076885</v>
          </cell>
          <cell r="S42">
            <v>1.0432254233105136</v>
          </cell>
          <cell r="T42">
            <v>58.734580761417739</v>
          </cell>
          <cell r="U42">
            <v>7.3047881865280671</v>
          </cell>
          <cell r="V42">
            <v>14.792953327319029</v>
          </cell>
          <cell r="W42">
            <v>90.418998248180657</v>
          </cell>
          <cell r="X42">
            <v>10.816842871083953</v>
          </cell>
          <cell r="Y42">
            <v>0.10964932111341991</v>
          </cell>
          <cell r="Z42">
            <v>6.1685652817049821</v>
          </cell>
          <cell r="AA42">
            <v>0.76777755567765449</v>
          </cell>
          <cell r="AB42">
            <v>1.5553440136375234</v>
          </cell>
          <cell r="AC42">
            <v>9.5173748851627096</v>
          </cell>
        </row>
        <row r="43">
          <cell r="B43">
            <v>9.0476996423481495</v>
          </cell>
          <cell r="C43">
            <v>9.1715682223106124E-2</v>
          </cell>
          <cell r="D43">
            <v>5.3608648031912107</v>
          </cell>
          <cell r="E43">
            <v>0.64220408844780885</v>
          </cell>
          <cell r="F43">
            <v>1.30038520599178</v>
          </cell>
          <cell r="G43">
            <v>9.230690439749937</v>
          </cell>
          <cell r="R43">
            <v>111.961291523117</v>
          </cell>
          <cell r="S43">
            <v>1.1349411055336198</v>
          </cell>
          <cell r="T43">
            <v>64.095445564608951</v>
          </cell>
          <cell r="U43">
            <v>7.9469922749758757</v>
          </cell>
          <cell r="V43">
            <v>16.09333853331081</v>
          </cell>
          <cell r="W43">
            <v>99.649688687930592</v>
          </cell>
          <cell r="X43">
            <v>11.902233912014971</v>
          </cell>
          <cell r="Y43">
            <v>0.12065182824041382</v>
          </cell>
          <cell r="Z43">
            <v>6.8116718014872921</v>
          </cell>
          <cell r="AA43">
            <v>0.84481841596306739</v>
          </cell>
          <cell r="AB43">
            <v>1.7113423898144329</v>
          </cell>
          <cell r="AC43">
            <v>10.624718088513344</v>
          </cell>
        </row>
        <row r="44">
          <cell r="B44">
            <v>10.71676203695473</v>
          </cell>
          <cell r="C44">
            <v>0.1086348110896061</v>
          </cell>
          <cell r="D44">
            <v>6.3958143845942734</v>
          </cell>
          <cell r="E44">
            <v>0.76067383612531414</v>
          </cell>
          <cell r="F44">
            <v>1.539416343791022</v>
          </cell>
          <cell r="G44">
            <v>11.18286444458557</v>
          </cell>
          <cell r="R44">
            <v>122.67805356007173</v>
          </cell>
          <cell r="S44">
            <v>1.2435759166232259</v>
          </cell>
          <cell r="T44">
            <v>70.491259949203226</v>
          </cell>
          <cell r="U44">
            <v>8.7076661111011902</v>
          </cell>
          <cell r="V44">
            <v>17.632754877101831</v>
          </cell>
          <cell r="W44">
            <v>110.83255313251617</v>
          </cell>
          <cell r="X44">
            <v>13.035138409940611</v>
          </cell>
          <cell r="Y44">
            <v>0.13213597482221937</v>
          </cell>
          <cell r="Z44">
            <v>7.4877945761853244</v>
          </cell>
          <cell r="AA44">
            <v>0.92523177285473546</v>
          </cell>
          <cell r="AB44">
            <v>1.8740792028599402</v>
          </cell>
          <cell r="AC44">
            <v>11.806895819555299</v>
          </cell>
        </row>
        <row r="45">
          <cell r="B45">
            <v>11.48313432683234</v>
          </cell>
          <cell r="C45">
            <v>0.11640345507442861</v>
          </cell>
          <cell r="D45">
            <v>6.9022092228830294</v>
          </cell>
          <cell r="E45">
            <v>0.81507080301056456</v>
          </cell>
          <cell r="F45">
            <v>1.6485907359476439</v>
          </cell>
          <cell r="G45">
            <v>12.24823052402022</v>
          </cell>
          <cell r="R45">
            <v>134.16118788690406</v>
          </cell>
          <cell r="S45">
            <v>1.3599793716976545</v>
          </cell>
          <cell r="T45">
            <v>77.393469172086256</v>
          </cell>
          <cell r="U45">
            <v>9.5227369141117553</v>
          </cell>
          <cell r="V45">
            <v>19.281345613049474</v>
          </cell>
          <cell r="W45">
            <v>123.08078365653638</v>
          </cell>
          <cell r="X45">
            <v>14.268433622720346</v>
          </cell>
          <cell r="Y45">
            <v>0.14463777265966704</v>
          </cell>
          <cell r="Z45">
            <v>8.2290958054407319</v>
          </cell>
          <cell r="AA45">
            <v>1.0127708445766943</v>
          </cell>
          <cell r="AB45">
            <v>2.0511387934393457</v>
          </cell>
          <cell r="AC45">
            <v>13.122362802729022</v>
          </cell>
        </row>
      </sheetData>
      <sheetData sheetId="5">
        <row r="3">
          <cell r="B3">
            <v>1322.7930890501441</v>
          </cell>
          <cell r="C3">
            <v>125.03401307699041</v>
          </cell>
        </row>
        <row r="4">
          <cell r="B4">
            <v>2295.7481642586331</v>
          </cell>
          <cell r="C4">
            <v>210.58576831205761</v>
          </cell>
        </row>
        <row r="5">
          <cell r="B5">
            <v>3901.6231218835992</v>
          </cell>
          <cell r="C5">
            <v>343.93141988796731</v>
          </cell>
        </row>
        <row r="6">
          <cell r="B6">
            <v>6512.994310014743</v>
          </cell>
          <cell r="C6">
            <v>535.59307644004184</v>
          </cell>
        </row>
        <row r="7">
          <cell r="B7">
            <v>10651.55301931489</v>
          </cell>
          <cell r="C7">
            <v>810.15238566561197</v>
          </cell>
        </row>
        <row r="8">
          <cell r="B8">
            <v>28770.75811919403</v>
          </cell>
          <cell r="C8">
            <v>2337.333688958945</v>
          </cell>
        </row>
        <row r="9">
          <cell r="B9">
            <v>75839.048435006916</v>
          </cell>
          <cell r="C9">
            <v>6476.5448856238836</v>
          </cell>
        </row>
        <row r="10">
          <cell r="B10">
            <v>108570.750313603</v>
          </cell>
          <cell r="C10">
            <v>8849.3771219556675</v>
          </cell>
        </row>
        <row r="11">
          <cell r="B11">
            <v>210015.3105794357</v>
          </cell>
          <cell r="C11">
            <v>17572.742972534539</v>
          </cell>
        </row>
        <row r="12">
          <cell r="B12">
            <v>356109.49393832783</v>
          </cell>
          <cell r="C12">
            <v>29856.556897673359</v>
          </cell>
        </row>
        <row r="13">
          <cell r="B13">
            <v>463152.39390569448</v>
          </cell>
          <cell r="C13">
            <v>37662.28471281744</v>
          </cell>
        </row>
        <row r="14">
          <cell r="B14">
            <v>703287.37142611283</v>
          </cell>
          <cell r="C14">
            <v>56954.124538076787</v>
          </cell>
        </row>
        <row r="15">
          <cell r="B15">
            <v>930041.92790445976</v>
          </cell>
          <cell r="C15">
            <v>67842.726998166458</v>
          </cell>
        </row>
        <row r="16">
          <cell r="B16">
            <v>1455342.185553404</v>
          </cell>
          <cell r="C16">
            <v>112191.8405757248</v>
          </cell>
        </row>
        <row r="17">
          <cell r="B17">
            <v>3121754.4208681458</v>
          </cell>
          <cell r="C17">
            <v>254764.83164339501</v>
          </cell>
        </row>
        <row r="18">
          <cell r="B18">
            <v>5057360.8990240078</v>
          </cell>
          <cell r="C18">
            <v>433943.99831201072</v>
          </cell>
        </row>
        <row r="19">
          <cell r="B19">
            <v>8284809.8585969871</v>
          </cell>
          <cell r="C19">
            <v>722947.63326543185</v>
          </cell>
        </row>
        <row r="20">
          <cell r="B20">
            <v>12215453.80100809</v>
          </cell>
          <cell r="C20">
            <v>1075742.9261557341</v>
          </cell>
        </row>
        <row r="21">
          <cell r="B21">
            <v>18223124.352494061</v>
          </cell>
          <cell r="C21">
            <v>1633209.6055688891</v>
          </cell>
        </row>
        <row r="22">
          <cell r="B22">
            <v>23690410.83971085</v>
          </cell>
          <cell r="C22">
            <v>2116556.3038700512</v>
          </cell>
        </row>
        <row r="23">
          <cell r="B23">
            <v>31245942.760904338</v>
          </cell>
          <cell r="C23">
            <v>2779052.2799052359</v>
          </cell>
        </row>
        <row r="24">
          <cell r="B24">
            <v>40678097.058586553</v>
          </cell>
          <cell r="C24">
            <v>3641864.7800246342</v>
          </cell>
        </row>
        <row r="25">
          <cell r="B25">
            <v>53139648.387775831</v>
          </cell>
          <cell r="C25">
            <v>4780470.7226796458</v>
          </cell>
        </row>
        <row r="26">
          <cell r="B26">
            <v>67075300.746200413</v>
          </cell>
          <cell r="C26">
            <v>6008298.0161759686</v>
          </cell>
        </row>
        <row r="27">
          <cell r="B27">
            <v>85823862.187859297</v>
          </cell>
          <cell r="C27">
            <v>7632071.3870461099</v>
          </cell>
        </row>
        <row r="28">
          <cell r="B28">
            <v>106558845.59441251</v>
          </cell>
          <cell r="C28">
            <v>9520114.6166432705</v>
          </cell>
        </row>
        <row r="29">
          <cell r="B29">
            <v>133745814.2355289</v>
          </cell>
          <cell r="C29">
            <v>11968716.446143189</v>
          </cell>
        </row>
        <row r="30">
          <cell r="B30">
            <v>169334076.26057899</v>
          </cell>
          <cell r="C30">
            <v>15024224.654809849</v>
          </cell>
        </row>
        <row r="31">
          <cell r="B31">
            <v>216283783.45126119</v>
          </cell>
          <cell r="C31">
            <v>19187216.050368451</v>
          </cell>
        </row>
        <row r="32">
          <cell r="B32">
            <v>279759228.95584768</v>
          </cell>
          <cell r="C32">
            <v>25134824.242167369</v>
          </cell>
        </row>
        <row r="33">
          <cell r="B33">
            <v>361654199.29737413</v>
          </cell>
          <cell r="C33">
            <v>32559683.246082511</v>
          </cell>
        </row>
        <row r="34">
          <cell r="B34">
            <v>388014376.76151729</v>
          </cell>
          <cell r="C34">
            <v>34736854.432633951</v>
          </cell>
        </row>
        <row r="35">
          <cell r="B35">
            <v>420997266.98241681</v>
          </cell>
          <cell r="C35">
            <v>36362479.01045379</v>
          </cell>
        </row>
        <row r="36">
          <cell r="B36">
            <v>516513695.96851069</v>
          </cell>
          <cell r="C36">
            <v>44868085.376278989</v>
          </cell>
        </row>
        <row r="37">
          <cell r="B37">
            <v>640712142.08918035</v>
          </cell>
          <cell r="C37">
            <v>55546853.315957516</v>
          </cell>
        </row>
        <row r="38">
          <cell r="B38">
            <v>730336153.26003826</v>
          </cell>
          <cell r="C38">
            <v>62725765.425822482</v>
          </cell>
        </row>
        <row r="39">
          <cell r="B39">
            <v>840511758.27981269</v>
          </cell>
          <cell r="C39">
            <v>71276789.175627008</v>
          </cell>
        </row>
        <row r="40">
          <cell r="B40">
            <v>1005217819.264721</v>
          </cell>
          <cell r="C40">
            <v>85952103.611354038</v>
          </cell>
        </row>
        <row r="41">
          <cell r="B41">
            <v>1211177797.1150949</v>
          </cell>
          <cell r="C41">
            <v>102492832.2845428</v>
          </cell>
        </row>
        <row r="42">
          <cell r="B42">
            <v>1418914285.1610069</v>
          </cell>
          <cell r="C42">
            <v>120794298.8316275</v>
          </cell>
        </row>
        <row r="43">
          <cell r="B43">
            <v>1661506219.1879051</v>
          </cell>
          <cell r="C43">
            <v>139808663.36317641</v>
          </cell>
        </row>
        <row r="44">
          <cell r="B44">
            <v>1905511547.8504601</v>
          </cell>
          <cell r="C44">
            <v>160081935.37518439</v>
          </cell>
        </row>
        <row r="45">
          <cell r="B45">
            <v>2202264057.5929041</v>
          </cell>
          <cell r="C45">
            <v>184544802.2447696</v>
          </cell>
        </row>
        <row r="46">
          <cell r="B46">
            <v>2540960555.3864722</v>
          </cell>
          <cell r="C46">
            <v>209820058.92746529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2">
          <cell r="R2">
            <v>0.19566539211172629</v>
          </cell>
          <cell r="S2">
            <v>4.6069684138993761E-3</v>
          </cell>
          <cell r="T2">
            <v>0.22367591464541961</v>
          </cell>
          <cell r="U2">
            <v>1.329784332570955E-2</v>
          </cell>
          <cell r="V2">
            <v>0.15518185465830539</v>
          </cell>
          <cell r="W2">
            <v>8.6405804968112732E-2</v>
          </cell>
          <cell r="X2">
            <v>1.559697610992453E-2</v>
          </cell>
          <cell r="Y2">
            <v>3.6723293534574519E-4</v>
          </cell>
          <cell r="Z2">
            <v>1.782976467855937E-2</v>
          </cell>
          <cell r="AA2">
            <v>1.060004236958679E-3</v>
          </cell>
          <cell r="AB2">
            <v>1.236993243249334E-2</v>
          </cell>
          <cell r="AC2">
            <v>6.8876220843230368E-3</v>
          </cell>
        </row>
        <row r="3">
          <cell r="R3">
            <v>0.35025148891854663</v>
          </cell>
          <cell r="S3">
            <v>8.2467192023799284E-3</v>
          </cell>
          <cell r="T3">
            <v>0.4003918183704232</v>
          </cell>
          <cell r="U3">
            <v>2.380384887673857E-2</v>
          </cell>
          <cell r="V3">
            <v>0.27778379743402559</v>
          </cell>
          <cell r="W3">
            <v>0.15467099988743138</v>
          </cell>
          <cell r="X3">
            <v>2.6080508682424841E-2</v>
          </cell>
          <cell r="Y3">
            <v>6.1406914335546884E-4</v>
          </cell>
          <cell r="Z3">
            <v>2.9814069677831262E-2</v>
          </cell>
          <cell r="AA3">
            <v>1.772487789336091E-3</v>
          </cell>
          <cell r="AB3">
            <v>2.0684402408064746E-2</v>
          </cell>
          <cell r="AC3">
            <v>1.1517148343719381E-2</v>
          </cell>
        </row>
        <row r="4">
          <cell r="R4">
            <v>0.60799230131019411</v>
          </cell>
          <cell r="S4">
            <v>1.4315261875389106E-2</v>
          </cell>
          <cell r="T4">
            <v>0.69502957383121755</v>
          </cell>
          <cell r="U4">
            <v>4.1320472050795642E-2</v>
          </cell>
          <cell r="V4">
            <v>0.48219755122261487</v>
          </cell>
          <cell r="W4">
            <v>0.2684893002392848</v>
          </cell>
          <cell r="X4">
            <v>4.0768423592126124E-2</v>
          </cell>
          <cell r="Y4">
            <v>9.5989810843068917E-4</v>
          </cell>
          <cell r="Z4">
            <v>4.6604636298757163E-2</v>
          </cell>
          <cell r="AA4">
            <v>2.7707102605794131E-3</v>
          </cell>
          <cell r="AB4">
            <v>3.2333360111577926E-2</v>
          </cell>
          <cell r="AC4">
            <v>1.8003329151571219E-2</v>
          </cell>
        </row>
        <row r="5">
          <cell r="R5">
            <v>1.0321395344956101</v>
          </cell>
          <cell r="S5">
            <v>2.4301866481543775E-2</v>
          </cell>
          <cell r="T5">
            <v>1.1798956981016748</v>
          </cell>
          <cell r="U5">
            <v>7.0146435564630738E-2</v>
          </cell>
          <cell r="V5">
            <v>0.81858792452030038</v>
          </cell>
          <cell r="W5">
            <v>0.45579264863856117</v>
          </cell>
          <cell r="X5">
            <v>6.1598473071066862E-2</v>
          </cell>
          <cell r="Y5">
            <v>1.4503444718562937E-3</v>
          </cell>
          <cell r="Z5">
            <v>7.0416616123227055E-2</v>
          </cell>
          <cell r="AA5">
            <v>4.1863654842664213E-3</v>
          </cell>
          <cell r="AB5">
            <v>4.8853633195540286E-2</v>
          </cell>
          <cell r="AC5">
            <v>2.7201875574771966E-2</v>
          </cell>
        </row>
        <row r="6">
          <cell r="R6">
            <v>1.7092411514428685</v>
          </cell>
          <cell r="S6">
            <v>4.0244316644089742E-2</v>
          </cell>
          <cell r="T6">
            <v>1.9539279469527684</v>
          </cell>
          <cell r="U6">
            <v>0.11616372620848617</v>
          </cell>
          <cell r="V6">
            <v>1.3555959440581402</v>
          </cell>
          <cell r="W6">
            <v>0.75480061129417231</v>
          </cell>
          <cell r="X6">
            <v>9.097546188829235E-2</v>
          </cell>
          <cell r="Y6">
            <v>2.1420296907689643E-3</v>
          </cell>
          <cell r="Z6">
            <v>0.10399907427949175</v>
          </cell>
          <cell r="AA6">
            <v>6.1828891947523397E-3</v>
          </cell>
          <cell r="AB6">
            <v>7.2152467801561232E-2</v>
          </cell>
          <cell r="AC6">
            <v>4.0174749003723587E-2</v>
          </cell>
        </row>
        <row r="7">
          <cell r="R7">
            <v>3.5964477128982253</v>
          </cell>
          <cell r="S7">
            <v>8.4678853203135271E-2</v>
          </cell>
          <cell r="T7">
            <v>4.1612661919237031</v>
          </cell>
          <cell r="U7">
            <v>0.24442236666931186</v>
          </cell>
          <cell r="V7">
            <v>2.8374942040142082</v>
          </cell>
          <cell r="W7">
            <v>1.599786073033876</v>
          </cell>
          <cell r="X7">
            <v>0.20467070666888176</v>
          </cell>
          <cell r="Y7">
            <v>4.8189997765961251E-3</v>
          </cell>
          <cell r="Z7">
            <v>0.23698073468766195</v>
          </cell>
          <cell r="AA7">
            <v>1.390986398397397E-2</v>
          </cell>
          <cell r="AB7">
            <v>0.16142980969237369</v>
          </cell>
          <cell r="AC7">
            <v>9.1081115519558498E-2</v>
          </cell>
        </row>
        <row r="8">
          <cell r="R8">
            <v>7.5317397817696019</v>
          </cell>
          <cell r="S8">
            <v>0.17733584310356149</v>
          </cell>
          <cell r="T8">
            <v>8.868109534112282</v>
          </cell>
          <cell r="U8">
            <v>0.51187332878364245</v>
          </cell>
          <cell r="V8">
            <v>5.8967286034049948</v>
          </cell>
          <cell r="W8">
            <v>3.385922707771694</v>
          </cell>
          <cell r="X8">
            <v>0.47511643890175415</v>
          </cell>
          <cell r="Y8">
            <v>1.1186681524624893E-2</v>
          </cell>
          <cell r="Z8">
            <v>0.56044991357091711</v>
          </cell>
          <cell r="AA8">
            <v>3.2289940994659629E-2</v>
          </cell>
          <cell r="AB8">
            <v>0.37167008480682406</v>
          </cell>
          <cell r="AC8">
            <v>0.21383008093196948</v>
          </cell>
        </row>
        <row r="9">
          <cell r="R9">
            <v>10.776407829450521</v>
          </cell>
          <cell r="S9">
            <v>0.25373199598438922</v>
          </cell>
          <cell r="T9">
            <v>12.834508846498478</v>
          </cell>
          <cell r="U9">
            <v>0.73238798840908848</v>
          </cell>
          <cell r="V9">
            <v>8.3936624649257645</v>
          </cell>
          <cell r="W9">
            <v>4.8784613387173268</v>
          </cell>
          <cell r="X9">
            <v>0.66643464984646861</v>
          </cell>
          <cell r="Y9">
            <v>1.5691294963483579E-2</v>
          </cell>
          <cell r="Z9">
            <v>0.79432419876334104</v>
          </cell>
          <cell r="AA9">
            <v>4.5292340484116372E-2</v>
          </cell>
          <cell r="AB9">
            <v>0.51889898841527393</v>
          </cell>
          <cell r="AC9">
            <v>0.30183594669148367</v>
          </cell>
        </row>
        <row r="10">
          <cell r="R10">
            <v>17.86162894903643</v>
          </cell>
          <cell r="S10">
            <v>0.42055449612680884</v>
          </cell>
          <cell r="T10">
            <v>21.682267707855097</v>
          </cell>
          <cell r="U10">
            <v>1.2139149429686491</v>
          </cell>
          <cell r="V10">
            <v>13.790690029562779</v>
          </cell>
          <cell r="W10">
            <v>8.1809290097366603</v>
          </cell>
          <cell r="X10">
            <v>1.1329406760393907</v>
          </cell>
          <cell r="Y10">
            <v>2.6675243143432087E-2</v>
          </cell>
          <cell r="Z10">
            <v>1.3768794581489394</v>
          </cell>
          <cell r="AA10">
            <v>7.6997099204404423E-2</v>
          </cell>
          <cell r="AB10">
            <v>0.87425076077881947</v>
          </cell>
          <cell r="AC10">
            <v>0.51927744129481157</v>
          </cell>
        </row>
        <row r="11">
          <cell r="R11">
            <v>27.055962367801769</v>
          </cell>
          <cell r="S11">
            <v>0.63703633376790103</v>
          </cell>
          <cell r="T11">
            <v>33.405401666421227</v>
          </cell>
          <cell r="U11">
            <v>1.8387817319676096</v>
          </cell>
          <cell r="V11">
            <v>20.722533124373015</v>
          </cell>
          <cell r="W11">
            <v>12.522530800003842</v>
          </cell>
          <cell r="X11">
            <v>1.7717697660645313</v>
          </cell>
          <cell r="Y11">
            <v>4.1716561425948769E-2</v>
          </cell>
          <cell r="Z11">
            <v>2.1914114810695628</v>
          </cell>
          <cell r="AA11">
            <v>0.12041330612468182</v>
          </cell>
          <cell r="AB11">
            <v>1.3558803487831805</v>
          </cell>
          <cell r="AC11">
            <v>0.82093514660134259</v>
          </cell>
        </row>
        <row r="12">
          <cell r="R12">
            <v>34.711457441694293</v>
          </cell>
          <cell r="S12">
            <v>0.81728601214764485</v>
          </cell>
          <cell r="T12">
            <v>43.367234353264202</v>
          </cell>
          <cell r="U12">
            <v>2.3590657381204947</v>
          </cell>
          <cell r="V12">
            <v>26.434571015269409</v>
          </cell>
          <cell r="W12">
            <v>16.184078229343655</v>
          </cell>
          <cell r="X12">
            <v>2.2940210193823889</v>
          </cell>
          <cell r="Y12">
            <v>5.4013038601538867E-2</v>
          </cell>
          <cell r="Z12">
            <v>2.8709990917766559</v>
          </cell>
          <cell r="AA12">
            <v>0.15590663107256417</v>
          </cell>
          <cell r="AB12">
            <v>1.7455506338171347</v>
          </cell>
          <cell r="AC12">
            <v>1.0707227456524893</v>
          </cell>
        </row>
        <row r="13">
          <cell r="R13">
            <v>47.421013136390371</v>
          </cell>
          <cell r="S13">
            <v>1.116534238971149</v>
          </cell>
          <cell r="T13">
            <v>60.238439110416131</v>
          </cell>
          <cell r="U13">
            <v>3.2228346373796053</v>
          </cell>
          <cell r="V13">
            <v>35.818805164006911</v>
          </cell>
          <cell r="W13">
            <v>22.340136567194783</v>
          </cell>
          <cell r="X13">
            <v>3.1724250094865427</v>
          </cell>
          <cell r="Y13">
            <v>7.469518066753221E-2</v>
          </cell>
          <cell r="Z13">
            <v>4.0370299061135384</v>
          </cell>
          <cell r="AA13">
            <v>0.21560486646829169</v>
          </cell>
          <cell r="AB13">
            <v>2.3941294605154346</v>
          </cell>
          <cell r="AC13">
            <v>1.4961905068535377</v>
          </cell>
        </row>
        <row r="14">
          <cell r="R14">
            <v>64.234758116066686</v>
          </cell>
          <cell r="S14">
            <v>1.5124161637445273</v>
          </cell>
          <cell r="T14">
            <v>82.997017252449766</v>
          </cell>
          <cell r="U14">
            <v>4.3655331189307098</v>
          </cell>
          <cell r="V14">
            <v>48.102928967868912</v>
          </cell>
          <cell r="W14">
            <v>30.58605986876438</v>
          </cell>
          <cell r="X14">
            <v>4.0166563097788552</v>
          </cell>
          <cell r="Y14">
            <v>9.4572722078897581E-2</v>
          </cell>
          <cell r="Z14">
            <v>5.1797559341862645</v>
          </cell>
          <cell r="AA14">
            <v>0.27298065193952537</v>
          </cell>
          <cell r="AB14">
            <v>3.0109249349574294</v>
          </cell>
          <cell r="AC14">
            <v>1.9102247722363825</v>
          </cell>
        </row>
        <row r="15">
          <cell r="R15">
            <v>86.295347408145446</v>
          </cell>
          <cell r="S15">
            <v>2.0318357553429269</v>
          </cell>
          <cell r="T15">
            <v>112.75082347456083</v>
          </cell>
          <cell r="U15">
            <v>5.8648184903129899</v>
          </cell>
          <cell r="V15">
            <v>64.19197574867556</v>
          </cell>
          <cell r="W15">
            <v>41.825024546230402</v>
          </cell>
          <cell r="X15">
            <v>5.5907867224068948</v>
          </cell>
          <cell r="Y15">
            <v>0.13163583790162237</v>
          </cell>
          <cell r="Z15">
            <v>7.3028348168743102</v>
          </cell>
          <cell r="AA15">
            <v>0.37996196005664795</v>
          </cell>
          <cell r="AB15">
            <v>4.1589567265178129</v>
          </cell>
          <cell r="AC15">
            <v>2.7121796008684549</v>
          </cell>
        </row>
        <row r="16">
          <cell r="R16">
            <v>144.30676722492461</v>
          </cell>
          <cell r="S16">
            <v>3.3977225678087328</v>
          </cell>
          <cell r="T16">
            <v>190.71613434455838</v>
          </cell>
          <cell r="U16">
            <v>9.8074000756400537</v>
          </cell>
          <cell r="V16">
            <v>106.42676115951323</v>
          </cell>
          <cell r="W16">
            <v>72.467023575189572</v>
          </cell>
          <cell r="X16">
            <v>9.4845289138579467</v>
          </cell>
          <cell r="Y16">
            <v>0.22331453025637155</v>
          </cell>
          <cell r="Z16">
            <v>12.535887573778227</v>
          </cell>
          <cell r="AA16">
            <v>0.64458910261773628</v>
          </cell>
          <cell r="AB16">
            <v>6.993766948719859</v>
          </cell>
          <cell r="AC16">
            <v>4.768878865018352</v>
          </cell>
        </row>
        <row r="17">
          <cell r="R17">
            <v>199.15454998084695</v>
          </cell>
          <cell r="S17">
            <v>4.6891211130592181</v>
          </cell>
          <cell r="T17">
            <v>264.17207611981553</v>
          </cell>
          <cell r="U17">
            <v>13.53497404249844</v>
          </cell>
          <cell r="V17">
            <v>146.28970614666585</v>
          </cell>
          <cell r="W17">
            <v>102.45098817765107</v>
          </cell>
          <cell r="X17">
            <v>14.180511541438271</v>
          </cell>
          <cell r="Y17">
            <v>0.33388208338364833</v>
          </cell>
          <cell r="Z17">
            <v>18.825072097502897</v>
          </cell>
          <cell r="AA17">
            <v>0.96373824068380609</v>
          </cell>
          <cell r="AB17">
            <v>10.406770861328265</v>
          </cell>
          <cell r="AC17">
            <v>7.3360597026783552</v>
          </cell>
        </row>
        <row r="18">
          <cell r="R18">
            <v>251.6375627735662</v>
          </cell>
          <cell r="S18">
            <v>5.9248408261512093</v>
          </cell>
          <cell r="T18">
            <v>334.21813113437656</v>
          </cell>
          <cell r="U18">
            <v>17.101833127012881</v>
          </cell>
          <cell r="V18">
            <v>184.36929849914938</v>
          </cell>
          <cell r="W18">
            <v>132.09727708671574</v>
          </cell>
          <cell r="X18">
            <v>19.127049302849201</v>
          </cell>
          <cell r="Y18">
            <v>0.4503489913995955</v>
          </cell>
          <cell r="Z18">
            <v>25.426931208294267</v>
          </cell>
          <cell r="AA18">
            <v>1.299915647664335</v>
          </cell>
          <cell r="AB18">
            <v>13.995782457416082</v>
          </cell>
          <cell r="AC18">
            <v>10.130230230836943</v>
          </cell>
        </row>
        <row r="19">
          <cell r="R19">
            <v>299.1454525009035</v>
          </cell>
          <cell r="S19">
            <v>7.0434205863363051</v>
          </cell>
          <cell r="T19">
            <v>397.40757976097751</v>
          </cell>
          <cell r="U19">
            <v>20.330572085451088</v>
          </cell>
          <cell r="V19">
            <v>218.78146628482767</v>
          </cell>
          <cell r="W19">
            <v>159.78517700096594</v>
          </cell>
          <cell r="X19">
            <v>23.7474328859469</v>
          </cell>
          <cell r="Y19">
            <v>0.55913655468659662</v>
          </cell>
          <cell r="Z19">
            <v>31.572426045783143</v>
          </cell>
          <cell r="AA19">
            <v>1.6139269111259409</v>
          </cell>
          <cell r="AB19">
            <v>17.342540564507082</v>
          </cell>
          <cell r="AC19">
            <v>12.823019132816736</v>
          </cell>
        </row>
        <row r="20">
          <cell r="R20">
            <v>409.7715432919702</v>
          </cell>
          <cell r="S20">
            <v>9.6481270217829724</v>
          </cell>
          <cell r="T20">
            <v>544.05243817244923</v>
          </cell>
          <cell r="U20">
            <v>27.848960530124653</v>
          </cell>
          <cell r="V20">
            <v>298.78072513569794</v>
          </cell>
          <cell r="W20">
            <v>226.21380189460126</v>
          </cell>
          <cell r="X20">
            <v>33.642357027953238</v>
          </cell>
          <cell r="Y20">
            <v>0.79211389670998256</v>
          </cell>
          <cell r="Z20">
            <v>44.689040213568113</v>
          </cell>
          <cell r="AA20">
            <v>2.2864073612458453</v>
          </cell>
          <cell r="AB20">
            <v>24.498055073657692</v>
          </cell>
          <cell r="AC20">
            <v>18.764711544435372</v>
          </cell>
        </row>
        <row r="21">
          <cell r="R21">
            <v>490.60868130612823</v>
          </cell>
          <cell r="S21">
            <v>11.551448490551447</v>
          </cell>
          <cell r="T21">
            <v>650.85137141985513</v>
          </cell>
          <cell r="U21">
            <v>33.342827302421426</v>
          </cell>
          <cell r="V21">
            <v>357.14278324142902</v>
          </cell>
          <cell r="W21">
            <v>276.16282821100805</v>
          </cell>
          <cell r="X21">
            <v>42.306147237227052</v>
          </cell>
          <cell r="Y21">
            <v>0.99610402193347658</v>
          </cell>
          <cell r="Z21">
            <v>56.13530828985386</v>
          </cell>
          <cell r="AA21">
            <v>2.8752172860175902</v>
          </cell>
          <cell r="AB21">
            <v>30.753059147663176</v>
          </cell>
          <cell r="AC21">
            <v>24.118041657224033</v>
          </cell>
        </row>
        <row r="22">
          <cell r="R22">
            <v>608.67350394103983</v>
          </cell>
          <cell r="S22">
            <v>14.331300884484694</v>
          </cell>
          <cell r="T22">
            <v>806.31872344496969</v>
          </cell>
          <cell r="U22">
            <v>41.366768055215644</v>
          </cell>
          <cell r="V22">
            <v>442.24491739812299</v>
          </cell>
          <cell r="W22">
            <v>351.14182721541511</v>
          </cell>
          <cell r="X22">
            <v>52.129226971311077</v>
          </cell>
          <cell r="Y22">
            <v>1.2273897775478342</v>
          </cell>
          <cell r="Z22">
            <v>69.070305869209292</v>
          </cell>
          <cell r="AA22">
            <v>3.5428150347559759</v>
          </cell>
          <cell r="AB22">
            <v>37.833619052851446</v>
          </cell>
          <cell r="AC22">
            <v>30.35634930182729</v>
          </cell>
        </row>
        <row r="23">
          <cell r="R23">
            <v>728.88836146118115</v>
          </cell>
          <cell r="S23">
            <v>17.161776143801202</v>
          </cell>
          <cell r="T23">
            <v>963.08365453526937</v>
          </cell>
          <cell r="U23">
            <v>49.536829829923995</v>
          </cell>
          <cell r="V23">
            <v>529.53033318710368</v>
          </cell>
          <cell r="W23">
            <v>429.16120776426635</v>
          </cell>
          <cell r="X23">
            <v>64.500194644413938</v>
          </cell>
          <cell r="Y23">
            <v>1.5186659031020757</v>
          </cell>
          <cell r="Z23">
            <v>85.202537232286616</v>
          </cell>
          <cell r="AA23">
            <v>4.3835727596090495</v>
          </cell>
          <cell r="AB23">
            <v>46.815911918589002</v>
          </cell>
          <cell r="AC23">
            <v>38.385100943309197</v>
          </cell>
        </row>
        <row r="24">
          <cell r="R24">
            <v>845.28583109506098</v>
          </cell>
          <cell r="S24">
            <v>19.90237048331986</v>
          </cell>
          <cell r="T24">
            <v>1113.4302770258996</v>
          </cell>
          <cell r="U24">
            <v>57.447453665827197</v>
          </cell>
          <cell r="V24">
            <v>614.63900379532822</v>
          </cell>
          <cell r="W24">
            <v>506.27617516763729</v>
          </cell>
          <cell r="X24">
            <v>76.793782011859292</v>
          </cell>
          <cell r="Y24">
            <v>1.8081200987780972</v>
          </cell>
          <cell r="Z24">
            <v>101.08174272363094</v>
          </cell>
          <cell r="AA24">
            <v>5.2190715514948582</v>
          </cell>
          <cell r="AB24">
            <v>55.804860571342132</v>
          </cell>
          <cell r="AC24">
            <v>46.529776184901401</v>
          </cell>
        </row>
        <row r="25">
          <cell r="R25">
            <v>955.55772570773843</v>
          </cell>
          <cell r="S25">
            <v>22.498737321311136</v>
          </cell>
          <cell r="T25">
            <v>1254.5405924192032</v>
          </cell>
          <cell r="U25">
            <v>64.941770171994165</v>
          </cell>
          <cell r="V25">
            <v>695.81570242908606</v>
          </cell>
          <cell r="W25">
            <v>580.77904987860893</v>
          </cell>
          <cell r="X25">
            <v>89.476566023020183</v>
          </cell>
          <cell r="Y25">
            <v>2.1067379826518216</v>
          </cell>
          <cell r="Z25">
            <v>117.31136912268903</v>
          </cell>
          <cell r="AA25">
            <v>6.0810209892264382</v>
          </cell>
          <cell r="AB25">
            <v>65.14129701443818</v>
          </cell>
          <cell r="AC25">
            <v>55.098631118325223</v>
          </cell>
        </row>
        <row r="26">
          <cell r="R26">
            <v>1116.1972085521948</v>
          </cell>
          <cell r="S26">
            <v>26.281015911829385</v>
          </cell>
          <cell r="T26">
            <v>1458.2315301133156</v>
          </cell>
          <cell r="U26">
            <v>75.85917693327174</v>
          </cell>
          <cell r="V26">
            <v>814.84411508903304</v>
          </cell>
          <cell r="W26">
            <v>691.35703642472799</v>
          </cell>
          <cell r="X26">
            <v>104.40595737876568</v>
          </cell>
          <cell r="Y26">
            <v>2.4582525436702998</v>
          </cell>
          <cell r="Z26">
            <v>136.24184418776809</v>
          </cell>
          <cell r="AA26">
            <v>7.0956547221225694</v>
          </cell>
          <cell r="AB26">
            <v>76.203470046793939</v>
          </cell>
          <cell r="AC26">
            <v>65.375444808492944</v>
          </cell>
        </row>
        <row r="27">
          <cell r="R27">
            <v>1240.6545556882115</v>
          </cell>
          <cell r="S27">
            <v>29.211381169298832</v>
          </cell>
          <cell r="T27">
            <v>1615.5147882527619</v>
          </cell>
          <cell r="U27">
            <v>84.317567479941189</v>
          </cell>
          <cell r="V27">
            <v>907.15632788762923</v>
          </cell>
          <cell r="W27">
            <v>776.29592627708985</v>
          </cell>
          <cell r="X27">
            <v>118.94954910794925</v>
          </cell>
          <cell r="Y27">
            <v>2.8006833997244884</v>
          </cell>
          <cell r="Z27">
            <v>154.62134162086036</v>
          </cell>
          <cell r="AA27">
            <v>8.084068677807366</v>
          </cell>
          <cell r="AB27">
            <v>86.990708931880022</v>
          </cell>
          <cell r="AC27">
            <v>75.301066432042361</v>
          </cell>
        </row>
        <row r="28">
          <cell r="R28">
            <v>1488.1902597699079</v>
          </cell>
          <cell r="S28">
            <v>35.039643171633656</v>
          </cell>
          <cell r="T28">
            <v>1927.3179750474292</v>
          </cell>
          <cell r="U28">
            <v>101.14062941681158</v>
          </cell>
          <cell r="V28">
            <v>1090.9384942308134</v>
          </cell>
          <cell r="W28">
            <v>943.81814674953011</v>
          </cell>
          <cell r="X28">
            <v>139.06291663766098</v>
          </cell>
          <cell r="Y28">
            <v>3.2742553886514867</v>
          </cell>
          <cell r="Z28">
            <v>179.95672552518266</v>
          </cell>
          <cell r="AA28">
            <v>9.4510166458455576</v>
          </cell>
          <cell r="AB28">
            <v>101.92382038252997</v>
          </cell>
          <cell r="AC28">
            <v>88.912985578233659</v>
          </cell>
        </row>
        <row r="29">
          <cell r="R29">
            <v>1759.3747641668024</v>
          </cell>
          <cell r="S29">
            <v>41.424719411289097</v>
          </cell>
          <cell r="T29">
            <v>2267.8241707117777</v>
          </cell>
          <cell r="U29">
            <v>119.57091498193056</v>
          </cell>
          <cell r="V29">
            <v>1292.4707197791226</v>
          </cell>
          <cell r="W29">
            <v>1125.8402974275828</v>
          </cell>
          <cell r="X29">
            <v>165.57486755964177</v>
          </cell>
          <cell r="Y29">
            <v>3.8984828985356739</v>
          </cell>
          <cell r="Z29">
            <v>213.24580879400892</v>
          </cell>
          <cell r="AA29">
            <v>11.252826183109521</v>
          </cell>
          <cell r="AB29">
            <v>121.62631955303762</v>
          </cell>
          <cell r="AC29">
            <v>106.70811121132346</v>
          </cell>
        </row>
        <row r="30">
          <cell r="R30">
            <v>2078.69050597665</v>
          </cell>
          <cell r="S30">
            <v>48.943052217628299</v>
          </cell>
          <cell r="T30">
            <v>2667.5233157166645</v>
          </cell>
          <cell r="U30">
            <v>141.27230356267384</v>
          </cell>
          <cell r="V30">
            <v>1529.9916352185596</v>
          </cell>
          <cell r="W30">
            <v>1338.4476540915127</v>
          </cell>
          <cell r="X30">
            <v>196.85958358097875</v>
          </cell>
          <cell r="Y30">
            <v>4.635085815344862</v>
          </cell>
          <cell r="Z30">
            <v>252.40602737444922</v>
          </cell>
          <cell r="AA30">
            <v>13.379003161322942</v>
          </cell>
          <cell r="AB30">
            <v>144.89724990721916</v>
          </cell>
          <cell r="AC30">
            <v>127.53815466479978</v>
          </cell>
        </row>
        <row r="31">
          <cell r="R31">
            <v>2513.2596085251389</v>
          </cell>
          <cell r="S31">
            <v>59.17504116309447</v>
          </cell>
          <cell r="T31">
            <v>3209.8468231287789</v>
          </cell>
          <cell r="U31">
            <v>170.80655986377926</v>
          </cell>
          <cell r="V31">
            <v>1853.5335789903379</v>
          </cell>
          <cell r="W31">
            <v>1625.5169918595275</v>
          </cell>
          <cell r="X31">
            <v>236.66168498352488</v>
          </cell>
          <cell r="Y31">
            <v>5.5722317356803615</v>
          </cell>
          <cell r="Z31">
            <v>302.07733421245194</v>
          </cell>
          <cell r="AA31">
            <v>16.08404007547912</v>
          </cell>
          <cell r="AB31">
            <v>174.53039496622461</v>
          </cell>
          <cell r="AC31">
            <v>153.83078068077242</v>
          </cell>
        </row>
        <row r="32">
          <cell r="R32">
            <v>3199.4838549628967</v>
          </cell>
          <cell r="S32">
            <v>75.332284884485233</v>
          </cell>
          <cell r="T32">
            <v>4063.7035756146383</v>
          </cell>
          <cell r="U32">
            <v>217.44384414255347</v>
          </cell>
          <cell r="V32">
            <v>2364.8819063359074</v>
          </cell>
          <cell r="W32">
            <v>2075.3312050570389</v>
          </cell>
          <cell r="X32">
            <v>297.38057600007284</v>
          </cell>
          <cell r="Y32">
            <v>7.0018663277829205</v>
          </cell>
          <cell r="Z32">
            <v>377.6287816686808</v>
          </cell>
          <cell r="AA32">
            <v>20.21062726054371</v>
          </cell>
          <cell r="AB32">
            <v>219.77581367703942</v>
          </cell>
          <cell r="AC32">
            <v>193.63150228251379</v>
          </cell>
        </row>
        <row r="33">
          <cell r="R33">
            <v>3325.5970066263098</v>
          </cell>
          <cell r="S33">
            <v>78.301636285978304</v>
          </cell>
          <cell r="T33">
            <v>4220.173250626035</v>
          </cell>
          <cell r="U33">
            <v>226.01476674686316</v>
          </cell>
          <cell r="V33">
            <v>2458.9363868285595</v>
          </cell>
          <cell r="W33">
            <v>2157.3727119560281</v>
          </cell>
          <cell r="X33">
            <v>334.67488097497375</v>
          </cell>
          <cell r="Y33">
            <v>7.879965838296215</v>
          </cell>
          <cell r="Z33">
            <v>423.90014751934956</v>
          </cell>
          <cell r="AA33">
            <v>22.745228904427066</v>
          </cell>
          <cell r="AB33">
            <v>247.58969695156603</v>
          </cell>
          <cell r="AC33">
            <v>217.89289721662345</v>
          </cell>
        </row>
        <row r="34">
          <cell r="R34">
            <v>3568.4227582389499</v>
          </cell>
          <cell r="S34">
            <v>84.019001813357974</v>
          </cell>
          <cell r="T34">
            <v>4520.6049155037472</v>
          </cell>
          <cell r="U34">
            <v>242.51773012502019</v>
          </cell>
          <cell r="V34">
            <v>2640.1838436505327</v>
          </cell>
          <cell r="W34">
            <v>2314.1701752874233</v>
          </cell>
          <cell r="X34">
            <v>371.44678418623431</v>
          </cell>
          <cell r="Y34">
            <v>8.7457653278477938</v>
          </cell>
          <cell r="Z34">
            <v>469.3955038772047</v>
          </cell>
          <cell r="AA34">
            <v>25.244326994355426</v>
          </cell>
          <cell r="AB34">
            <v>275.03659620044198</v>
          </cell>
          <cell r="AC34">
            <v>241.63725343544345</v>
          </cell>
        </row>
        <row r="35">
          <cell r="R35">
            <v>4157.811912141432</v>
          </cell>
          <cell r="S35">
            <v>97.896250039110441</v>
          </cell>
          <cell r="T35">
            <v>5255.7836863024631</v>
          </cell>
          <cell r="U35">
            <v>282.57389203428824</v>
          </cell>
          <cell r="V35">
            <v>3079.8533395932172</v>
          </cell>
          <cell r="W35">
            <v>2706.3458885448117</v>
          </cell>
          <cell r="X35">
            <v>428.6049540568215</v>
          </cell>
          <cell r="Y35">
            <v>10.091562253651254</v>
          </cell>
          <cell r="Z35">
            <v>540.69215531425368</v>
          </cell>
          <cell r="AA35">
            <v>29.128919867526115</v>
          </cell>
          <cell r="AB35">
            <v>317.67515439176799</v>
          </cell>
          <cell r="AC35">
            <v>279.66992826337787</v>
          </cell>
        </row>
        <row r="36">
          <cell r="R36">
            <v>4906.2357338384309</v>
          </cell>
          <cell r="S36">
            <v>115.51799126557691</v>
          </cell>
          <cell r="T36">
            <v>6196.8693975873884</v>
          </cell>
          <cell r="U36">
            <v>333.43839400238573</v>
          </cell>
          <cell r="V36">
            <v>3637.8352885377758</v>
          </cell>
          <cell r="W36">
            <v>3218.9800825152302</v>
          </cell>
          <cell r="X36">
            <v>492.98266612427005</v>
          </cell>
          <cell r="Y36">
            <v>11.607344287729573</v>
          </cell>
          <cell r="Z36">
            <v>621.64220419767753</v>
          </cell>
          <cell r="AA36">
            <v>33.504168446241259</v>
          </cell>
          <cell r="AB36">
            <v>365.67149043374064</v>
          </cell>
          <cell r="AC36">
            <v>323.76555373468631</v>
          </cell>
        </row>
        <row r="37">
          <cell r="R37">
            <v>5326.2562716654465</v>
          </cell>
          <cell r="S37">
            <v>125.40743226520539</v>
          </cell>
          <cell r="T37">
            <v>6729.2164961926228</v>
          </cell>
          <cell r="U37">
            <v>361.98389837249238</v>
          </cell>
          <cell r="V37">
            <v>3950.7981109136063</v>
          </cell>
          <cell r="W37">
            <v>3514.8407771357824</v>
          </cell>
          <cell r="X37">
            <v>547.4148957514202</v>
          </cell>
          <cell r="Y37">
            <v>12.88895857773753</v>
          </cell>
          <cell r="Z37">
            <v>690.63130568909389</v>
          </cell>
          <cell r="AA37">
            <v>37.203500523513135</v>
          </cell>
          <cell r="AB37">
            <v>406.22966004243278</v>
          </cell>
          <cell r="AC37">
            <v>362.10738661397897</v>
          </cell>
        </row>
        <row r="38">
          <cell r="R38">
            <v>5775.5811523176544</v>
          </cell>
          <cell r="S38">
            <v>135.98684802393001</v>
          </cell>
          <cell r="T38">
            <v>7303.1753193767545</v>
          </cell>
          <cell r="U38">
            <v>392.52098927431319</v>
          </cell>
          <cell r="V38">
            <v>4285.4040771903501</v>
          </cell>
          <cell r="W38">
            <v>3840.0291637021255</v>
          </cell>
          <cell r="X38">
            <v>603.35269738605302</v>
          </cell>
          <cell r="Y38">
            <v>14.206021766543916</v>
          </cell>
          <cell r="Z38">
            <v>762.08516052819948</v>
          </cell>
          <cell r="AA38">
            <v>41.005154531377862</v>
          </cell>
          <cell r="AB38">
            <v>447.88576005671359</v>
          </cell>
          <cell r="AC38">
            <v>402.59106389272353</v>
          </cell>
        </row>
        <row r="39">
          <cell r="R39">
            <v>6460.5736626490616</v>
          </cell>
          <cell r="S39">
            <v>152.11509035026069</v>
          </cell>
          <cell r="T39">
            <v>8184.9470380508037</v>
          </cell>
          <cell r="U39">
            <v>439.07456210271749</v>
          </cell>
          <cell r="V39">
            <v>4795.2175747101883</v>
          </cell>
          <cell r="W39">
            <v>4348.9411296393673</v>
          </cell>
          <cell r="X39">
            <v>674.57503224684126</v>
          </cell>
          <cell r="Y39">
            <v>15.882961380272119</v>
          </cell>
          <cell r="Z39">
            <v>853.76768211926276</v>
          </cell>
          <cell r="AA39">
            <v>45.845578481920846</v>
          </cell>
          <cell r="AB39">
            <v>500.89379604142869</v>
          </cell>
          <cell r="AC39">
            <v>455.50536281711339</v>
          </cell>
        </row>
        <row r="40">
          <cell r="R40">
            <v>7425.1259456268008</v>
          </cell>
          <cell r="S40">
            <v>174.82560575247149</v>
          </cell>
          <cell r="T40">
            <v>9436.0739853558498</v>
          </cell>
          <cell r="U40">
            <v>504.62762184447007</v>
          </cell>
          <cell r="V40">
            <v>5512.6894256335272</v>
          </cell>
          <cell r="W40">
            <v>5083.9808312569949</v>
          </cell>
          <cell r="X40">
            <v>759.25711203691424</v>
          </cell>
          <cell r="Y40">
            <v>17.876812528938242</v>
          </cell>
          <cell r="Z40">
            <v>963.60935047560781</v>
          </cell>
          <cell r="AA40">
            <v>51.600755814970221</v>
          </cell>
          <cell r="AB40">
            <v>563.88365112678935</v>
          </cell>
          <cell r="AC40">
            <v>520.03757300389066</v>
          </cell>
        </row>
        <row r="41">
          <cell r="R41">
            <v>8537.8616258683505</v>
          </cell>
          <cell r="S41">
            <v>201.02511950687358</v>
          </cell>
          <cell r="T41">
            <v>10890.290449169101</v>
          </cell>
          <cell r="U41">
            <v>580.25154582551716</v>
          </cell>
          <cell r="V41">
            <v>6339.9188578045696</v>
          </cell>
          <cell r="W41">
            <v>5953.0829207689358</v>
          </cell>
          <cell r="X41">
            <v>868.96088658345025</v>
          </cell>
          <cell r="Y41">
            <v>20.459802902283577</v>
          </cell>
          <cell r="Z41">
            <v>1106.9794588677455</v>
          </cell>
          <cell r="AA41">
            <v>59.056461652443005</v>
          </cell>
          <cell r="AB41">
            <v>645.43957922055847</v>
          </cell>
          <cell r="AC41">
            <v>605.72169491956834</v>
          </cell>
        </row>
        <row r="42">
          <cell r="R42">
            <v>9408.1584791906735</v>
          </cell>
          <cell r="S42">
            <v>221.51637792871318</v>
          </cell>
          <cell r="T42">
            <v>12036.127935861839</v>
          </cell>
          <cell r="U42">
            <v>639.39880266759565</v>
          </cell>
          <cell r="V42">
            <v>6986.5513459903887</v>
          </cell>
          <cell r="W42">
            <v>6649.2662290368653</v>
          </cell>
          <cell r="X42">
            <v>959.12850121502652</v>
          </cell>
          <cell r="Y42">
            <v>22.582811718922585</v>
          </cell>
          <cell r="Z42">
            <v>1225.6946220170946</v>
          </cell>
          <cell r="AA42">
            <v>65.184447800034192</v>
          </cell>
          <cell r="AB42">
            <v>712.43431645351302</v>
          </cell>
          <cell r="AC42">
            <v>677.85017385546757</v>
          </cell>
        </row>
        <row r="43">
          <cell r="R43">
            <v>10097.383150068134</v>
          </cell>
          <cell r="S43">
            <v>237.74426705383536</v>
          </cell>
          <cell r="T43">
            <v>12950.226561108098</v>
          </cell>
          <cell r="U43">
            <v>686.24000228203124</v>
          </cell>
          <cell r="V43">
            <v>7498.3608297632154</v>
          </cell>
          <cell r="W43">
            <v>7213.5463448927558</v>
          </cell>
          <cell r="X43">
            <v>1048.6504020868933</v>
          </cell>
          <cell r="Y43">
            <v>24.690617116789898</v>
          </cell>
          <cell r="Z43">
            <v>1344.4249141469804</v>
          </cell>
          <cell r="AA43">
            <v>71.268549843659926</v>
          </cell>
          <cell r="AB43">
            <v>778.91214263646236</v>
          </cell>
          <cell r="AC43">
            <v>751.1432968821066</v>
          </cell>
        </row>
        <row r="44">
          <cell r="R44">
            <v>10870.724208756536</v>
          </cell>
          <cell r="S44">
            <v>255.95268803261843</v>
          </cell>
          <cell r="T44">
            <v>13983.318311986906</v>
          </cell>
          <cell r="U44">
            <v>738.79793357886797</v>
          </cell>
          <cell r="V44">
            <v>8072.3150366441168</v>
          </cell>
          <cell r="W44">
            <v>7861.1338520100153</v>
          </cell>
          <cell r="X44">
            <v>1149.6149031974464</v>
          </cell>
          <cell r="Y44">
            <v>27.067840102016781</v>
          </cell>
          <cell r="Z44">
            <v>1479.3014890514737</v>
          </cell>
          <cell r="AA44">
            <v>78.130315752982938</v>
          </cell>
          <cell r="AB44">
            <v>853.84544600498612</v>
          </cell>
          <cell r="AC44">
            <v>835.68988709213886</v>
          </cell>
        </row>
        <row r="45">
          <cell r="R45">
            <v>11868.216361130766</v>
          </cell>
          <cell r="S45">
            <v>279.43877716419343</v>
          </cell>
          <cell r="T45">
            <v>15325.380755996357</v>
          </cell>
          <cell r="U45">
            <v>806.58965810275913</v>
          </cell>
          <cell r="V45">
            <v>8812.2193629743997</v>
          </cell>
          <cell r="W45">
            <v>8714.942038111647</v>
          </cell>
          <cell r="X45">
            <v>1253.7137492722313</v>
          </cell>
          <cell r="Y45">
            <v>29.518861668038344</v>
          </cell>
          <cell r="Z45">
            <v>1619.3598859512974</v>
          </cell>
          <cell r="AA45">
            <v>85.205098526521155</v>
          </cell>
          <cell r="AB45">
            <v>931.06228063711126</v>
          </cell>
          <cell r="AC45">
            <v>924.79379305353586</v>
          </cell>
        </row>
      </sheetData>
      <sheetData sheetId="1"/>
      <sheetData sheetId="2"/>
      <sheetData sheetId="3"/>
      <sheetData sheetId="4"/>
      <sheetData sheetId="5">
        <row r="3">
          <cell r="B3">
            <v>1327.9200912633651</v>
          </cell>
          <cell r="C3">
            <v>126.7761113196738</v>
          </cell>
        </row>
        <row r="4">
          <cell r="B4">
            <v>2307.0837540680091</v>
          </cell>
          <cell r="C4">
            <v>213.01175273436971</v>
          </cell>
        </row>
        <row r="5">
          <cell r="B5">
            <v>3918.9342981532791</v>
          </cell>
          <cell r="C5">
            <v>345.29701005614731</v>
          </cell>
        </row>
        <row r="6">
          <cell r="B6">
            <v>6534.9838104719374</v>
          </cell>
          <cell r="C6">
            <v>541.83006610499785</v>
          </cell>
        </row>
        <row r="7">
          <cell r="B7">
            <v>10690.852811492719</v>
          </cell>
          <cell r="C7">
            <v>814.88921993536599</v>
          </cell>
        </row>
        <row r="8">
          <cell r="B8">
            <v>28890.807532891369</v>
          </cell>
          <cell r="C8">
            <v>2368.2203825642491</v>
          </cell>
        </row>
        <row r="9">
          <cell r="B9">
            <v>76165.741315016174</v>
          </cell>
          <cell r="C9">
            <v>6545.1414757617631</v>
          </cell>
        </row>
        <row r="10">
          <cell r="B10">
            <v>108976.7401505593</v>
          </cell>
          <cell r="C10">
            <v>9005.0729314708078</v>
          </cell>
        </row>
        <row r="11">
          <cell r="B11">
            <v>210921.41463397641</v>
          </cell>
          <cell r="C11">
            <v>17704.670691805852</v>
          </cell>
        </row>
        <row r="12">
          <cell r="B12">
            <v>357496.35024579533</v>
          </cell>
          <cell r="C12">
            <v>29980.327777764662</v>
          </cell>
        </row>
        <row r="13">
          <cell r="B13">
            <v>465088.7451955725</v>
          </cell>
          <cell r="C13">
            <v>37928.776909747823</v>
          </cell>
        </row>
        <row r="14">
          <cell r="B14">
            <v>705816.44112558465</v>
          </cell>
          <cell r="C14">
            <v>57975.833810309763</v>
          </cell>
        </row>
        <row r="15">
          <cell r="B15">
            <v>934325.02127583395</v>
          </cell>
          <cell r="C15">
            <v>69099.161788137295</v>
          </cell>
        </row>
        <row r="16">
          <cell r="B16">
            <v>1460003.416486637</v>
          </cell>
          <cell r="C16">
            <v>112999.8909628126</v>
          </cell>
        </row>
        <row r="17">
          <cell r="B17">
            <v>3135411.3694453449</v>
          </cell>
          <cell r="C17">
            <v>256513.36054745459</v>
          </cell>
        </row>
        <row r="18">
          <cell r="B18">
            <v>5075673.667374826</v>
          </cell>
          <cell r="C18">
            <v>439319.85321999009</v>
          </cell>
        </row>
        <row r="19">
          <cell r="B19">
            <v>7052654.8682926251</v>
          </cell>
          <cell r="C19">
            <v>619101.46643765946</v>
          </cell>
        </row>
        <row r="20">
          <cell r="B20">
            <v>8752021.4407877475</v>
          </cell>
          <cell r="C20">
            <v>764192.09025420621</v>
          </cell>
        </row>
        <row r="21">
          <cell r="B21">
            <v>13955870.451402711</v>
          </cell>
          <cell r="C21">
            <v>1263462.392127811</v>
          </cell>
        </row>
        <row r="22">
          <cell r="B22">
            <v>17715843.008211631</v>
          </cell>
          <cell r="C22">
            <v>1611206.292668815</v>
          </cell>
        </row>
        <row r="23">
          <cell r="B23">
            <v>22943782.934552599</v>
          </cell>
          <cell r="C23">
            <v>2064233.9492284439</v>
          </cell>
        </row>
        <row r="24">
          <cell r="B24">
            <v>29281937.47615293</v>
          </cell>
          <cell r="C24">
            <v>2637680.7657841411</v>
          </cell>
        </row>
        <row r="25">
          <cell r="B25">
            <v>35640852.548523322</v>
          </cell>
          <cell r="C25">
            <v>3209142.735041603</v>
          </cell>
        </row>
        <row r="26">
          <cell r="B26">
            <v>41531631.726661377</v>
          </cell>
          <cell r="C26">
            <v>3688463.5826146598</v>
          </cell>
        </row>
        <row r="27">
          <cell r="B27">
            <v>49453026.755715787</v>
          </cell>
          <cell r="C27">
            <v>4339082.7386145787</v>
          </cell>
        </row>
        <row r="28">
          <cell r="B28">
            <v>55908902.468266293</v>
          </cell>
          <cell r="C28">
            <v>4821334.7390957549</v>
          </cell>
        </row>
        <row r="29">
          <cell r="B29">
            <v>70994846.341472507</v>
          </cell>
          <cell r="C29">
            <v>6038359.4041240579</v>
          </cell>
        </row>
        <row r="30">
          <cell r="B30">
            <v>91381962.314455748</v>
          </cell>
          <cell r="C30">
            <v>7834595.2333401982</v>
          </cell>
        </row>
        <row r="31">
          <cell r="B31">
            <v>117858019.2735741</v>
          </cell>
          <cell r="C31">
            <v>10195080.269950571</v>
          </cell>
        </row>
        <row r="32">
          <cell r="B32">
            <v>158829413.5245837</v>
          </cell>
          <cell r="C32">
            <v>13955968.4312161</v>
          </cell>
        </row>
        <row r="33">
          <cell r="B33">
            <v>228501654.12169439</v>
          </cell>
          <cell r="C33">
            <v>20267112.908868451</v>
          </cell>
        </row>
        <row r="34">
          <cell r="B34">
            <v>228588961.81729519</v>
          </cell>
          <cell r="C34">
            <v>20106832.794936031</v>
          </cell>
        </row>
        <row r="35">
          <cell r="B35">
            <v>233598858.78381139</v>
          </cell>
          <cell r="C35">
            <v>19358555.366858151</v>
          </cell>
        </row>
        <row r="36">
          <cell r="B36">
            <v>303233119.19904208</v>
          </cell>
          <cell r="C36">
            <v>25487252.09900599</v>
          </cell>
        </row>
        <row r="37">
          <cell r="B37">
            <v>390891860.50661141</v>
          </cell>
          <cell r="C37">
            <v>32731603.293648109</v>
          </cell>
        </row>
        <row r="38">
          <cell r="B38">
            <v>433333852.21193123</v>
          </cell>
          <cell r="C38">
            <v>35842438.957320563</v>
          </cell>
        </row>
        <row r="39">
          <cell r="B39">
            <v>481273885.0843429</v>
          </cell>
          <cell r="C39">
            <v>39247288.317799397</v>
          </cell>
        </row>
        <row r="40">
          <cell r="B40">
            <v>584320171.32528722</v>
          </cell>
          <cell r="C40">
            <v>48546813.539818503</v>
          </cell>
        </row>
        <row r="41">
          <cell r="B41">
            <v>734852735.45658422</v>
          </cell>
          <cell r="C41">
            <v>61195508.549508683</v>
          </cell>
        </row>
        <row r="42">
          <cell r="B42">
            <v>957605401.48504734</v>
          </cell>
          <cell r="C42">
            <v>81511882.265090719</v>
          </cell>
        </row>
        <row r="43">
          <cell r="B43">
            <v>1082817114.8172009</v>
          </cell>
          <cell r="C43">
            <v>90079934.444039568</v>
          </cell>
        </row>
        <row r="44">
          <cell r="B44">
            <v>1194553142.4594679</v>
          </cell>
          <cell r="C44">
            <v>98216696.934121981</v>
          </cell>
        </row>
        <row r="45">
          <cell r="B45">
            <v>1336717174.0482819</v>
          </cell>
          <cell r="C45">
            <v>109310210.2150453</v>
          </cell>
        </row>
        <row r="46">
          <cell r="B46">
            <v>1517745575.579423</v>
          </cell>
          <cell r="C46">
            <v>122252263.70327111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2">
          <cell r="R2">
            <v>0.19561953353134781</v>
          </cell>
          <cell r="S2">
            <v>4.6058886673533469E-3</v>
          </cell>
          <cell r="T2">
            <v>0.22362349116981259</v>
          </cell>
          <cell r="U2">
            <v>1.329472667738237E-2</v>
          </cell>
          <cell r="V2">
            <v>0.15514548430441541</v>
          </cell>
          <cell r="W2">
            <v>8.638555382656167E-2</v>
          </cell>
          <cell r="X2">
            <v>1.6368432358526471E-2</v>
          </cell>
          <cell r="Y2">
            <v>3.853969782133006E-4</v>
          </cell>
          <cell r="Z2">
            <v>1.8711658917252499E-2</v>
          </cell>
          <cell r="AA2">
            <v>1.11243407248468E-3</v>
          </cell>
          <cell r="AB2">
            <v>1.298177293302206E-2</v>
          </cell>
          <cell r="AC2">
            <v>7.2282970367953097E-3</v>
          </cell>
        </row>
        <row r="3">
          <cell r="R3">
            <v>0.35020298813667722</v>
          </cell>
          <cell r="S3">
            <v>8.2455772448384833E-3</v>
          </cell>
          <cell r="T3">
            <v>0.40033637444838577</v>
          </cell>
          <cell r="U3">
            <v>2.3800552658682261E-2</v>
          </cell>
          <cell r="V3">
            <v>0.27774533155510012</v>
          </cell>
          <cell r="W3">
            <v>0.15464958195013659</v>
          </cell>
          <cell r="X3">
            <v>2.6978580415927232E-2</v>
          </cell>
          <cell r="Y3">
            <v>6.3521436512927571E-4</v>
          </cell>
          <cell r="Z3">
            <v>3.0840705069202057E-2</v>
          </cell>
          <cell r="AA3">
            <v>1.8335226871198746E-3</v>
          </cell>
          <cell r="AB3">
            <v>2.1396661411647352E-2</v>
          </cell>
          <cell r="AC3">
            <v>1.1913736673494494E-2</v>
          </cell>
        </row>
        <row r="4">
          <cell r="R4">
            <v>0.60834784633084893</v>
          </cell>
          <cell r="S4">
            <v>1.4323633231520094E-2</v>
          </cell>
          <cell r="T4">
            <v>0.69543601697803203</v>
          </cell>
          <cell r="U4">
            <v>4.1344635659540531E-2</v>
          </cell>
          <cell r="V4">
            <v>0.48247953331011784</v>
          </cell>
          <cell r="W4">
            <v>0.26864630886191609</v>
          </cell>
          <cell r="X4">
            <v>4.248348264635704E-2</v>
          </cell>
          <cell r="Y4">
            <v>1.0002794083915035E-3</v>
          </cell>
          <cell r="Z4">
            <v>4.8565215011659849E-2</v>
          </cell>
          <cell r="AA4">
            <v>2.8872693840470915E-3</v>
          </cell>
          <cell r="AB4">
            <v>3.369357022340036E-2</v>
          </cell>
          <cell r="AC4">
            <v>1.8760698947779507E-2</v>
          </cell>
        </row>
        <row r="5">
          <cell r="R5">
            <v>1.0325169299714172</v>
          </cell>
          <cell r="S5">
            <v>2.4310752309629299E-2</v>
          </cell>
          <cell r="T5">
            <v>1.1803271197103871</v>
          </cell>
          <cell r="U5">
            <v>7.0172084177576269E-2</v>
          </cell>
          <cell r="V5">
            <v>0.81888723616270842</v>
          </cell>
          <cell r="W5">
            <v>0.45595930641859306</v>
          </cell>
          <cell r="X5">
            <v>6.3885063677205339E-2</v>
          </cell>
          <cell r="Y5">
            <v>1.5041825603619189E-3</v>
          </cell>
          <cell r="Z5">
            <v>7.3030544113904111E-2</v>
          </cell>
          <cell r="AA5">
            <v>4.3417671283809108E-3</v>
          </cell>
          <cell r="AB5">
            <v>5.0667123906775559E-2</v>
          </cell>
          <cell r="AC5">
            <v>2.8211633610281402E-2</v>
          </cell>
        </row>
        <row r="6">
          <cell r="R6">
            <v>1.711292110037208</v>
          </cell>
          <cell r="S6">
            <v>4.029260674465563E-2</v>
          </cell>
          <cell r="T6">
            <v>1.9562725109788217</v>
          </cell>
          <cell r="U6">
            <v>0.11630311379134224</v>
          </cell>
          <cell r="V6">
            <v>1.3572225554637753</v>
          </cell>
          <cell r="W6">
            <v>0.75570631427203461</v>
          </cell>
          <cell r="X6">
            <v>9.5191406599566236E-2</v>
          </cell>
          <cell r="Y6">
            <v>2.2412946855131267E-3</v>
          </cell>
          <cell r="Z6">
            <v>0.10881855348943931</v>
          </cell>
          <cell r="AA6">
            <v>6.4694139175728253E-3</v>
          </cell>
          <cell r="AB6">
            <v>7.549612562664447E-2</v>
          </cell>
          <cell r="AC6">
            <v>4.2036509494667591E-2</v>
          </cell>
        </row>
        <row r="7">
          <cell r="R7">
            <v>3.5955101176476281</v>
          </cell>
          <cell r="S7">
            <v>8.4656777394746738E-2</v>
          </cell>
          <cell r="T7">
            <v>4.1601152460602613</v>
          </cell>
          <cell r="U7">
            <v>0.24435864566780613</v>
          </cell>
          <cell r="V7">
            <v>2.8367741021172024</v>
          </cell>
          <cell r="W7">
            <v>1.5993536688844237</v>
          </cell>
          <cell r="X7">
            <v>0.21298987765032004</v>
          </cell>
          <cell r="Y7">
            <v>5.0148757949746332E-3</v>
          </cell>
          <cell r="Z7">
            <v>0.24659948095130121</v>
          </cell>
          <cell r="AA7">
            <v>1.4475252840516305E-2</v>
          </cell>
          <cell r="AB7">
            <v>0.16799545921362485</v>
          </cell>
          <cell r="AC7">
            <v>9.4780071055990067E-2</v>
          </cell>
        </row>
        <row r="8">
          <cell r="R8">
            <v>7.5326888659256603</v>
          </cell>
          <cell r="S8">
            <v>0.17735818941980014</v>
          </cell>
          <cell r="T8">
            <v>8.8692151690181067</v>
          </cell>
          <cell r="U8">
            <v>0.51193783059601705</v>
          </cell>
          <cell r="V8">
            <v>5.8974751765197677</v>
          </cell>
          <cell r="W8">
            <v>3.3863466230890715</v>
          </cell>
          <cell r="X8">
            <v>0.50142159279900811</v>
          </cell>
          <cell r="Y8">
            <v>1.1806039970283042E-2</v>
          </cell>
          <cell r="Z8">
            <v>0.59158096500999002</v>
          </cell>
          <cell r="AA8">
            <v>3.4077696158764596E-2</v>
          </cell>
          <cell r="AB8">
            <v>0.39221775565710426</v>
          </cell>
          <cell r="AC8">
            <v>0.22569245164457638</v>
          </cell>
        </row>
        <row r="9">
          <cell r="R9">
            <v>10.776784335264775</v>
          </cell>
          <cell r="S9">
            <v>0.25374086086527181</v>
          </cell>
          <cell r="T9">
            <v>12.834914540976545</v>
          </cell>
          <cell r="U9">
            <v>0.73241357655871031</v>
          </cell>
          <cell r="V9">
            <v>8.3939684104542902</v>
          </cell>
          <cell r="W9">
            <v>4.8786218695276213</v>
          </cell>
          <cell r="X9">
            <v>0.68595198397330659</v>
          </cell>
          <cell r="Y9">
            <v>1.6150833264434221E-2</v>
          </cell>
          <cell r="Z9">
            <v>0.8171575743618229</v>
          </cell>
          <cell r="AA9">
            <v>4.6618780732711876E-2</v>
          </cell>
          <cell r="AB9">
            <v>0.5342230934703518</v>
          </cell>
          <cell r="AC9">
            <v>0.31057593844933634</v>
          </cell>
        </row>
        <row r="10">
          <cell r="R10">
            <v>17.862644001510109</v>
          </cell>
          <cell r="S10">
            <v>0.42057839567610678</v>
          </cell>
          <cell r="T10">
            <v>21.683470795494074</v>
          </cell>
          <cell r="U10">
            <v>1.2139839281305966</v>
          </cell>
          <cell r="V10">
            <v>13.791482375425753</v>
          </cell>
          <cell r="W10">
            <v>8.1813871713002655</v>
          </cell>
          <cell r="X10">
            <v>1.1830448759665879</v>
          </cell>
          <cell r="Y10">
            <v>2.7854953382310161E-2</v>
          </cell>
          <cell r="Z10">
            <v>1.4379085665775735</v>
          </cell>
          <cell r="AA10">
            <v>8.0402289020554685E-2</v>
          </cell>
          <cell r="AB10">
            <v>0.9128738081045995</v>
          </cell>
          <cell r="AC10">
            <v>0.54227417024668945</v>
          </cell>
        </row>
        <row r="11">
          <cell r="R11">
            <v>27.06514780883726</v>
          </cell>
          <cell r="S11">
            <v>0.63725260623316182</v>
          </cell>
          <cell r="T11">
            <v>33.417022318362164</v>
          </cell>
          <cell r="U11">
            <v>1.8394059944110044</v>
          </cell>
          <cell r="V11">
            <v>20.729485335117388</v>
          </cell>
          <cell r="W11">
            <v>12.526847052414439</v>
          </cell>
          <cell r="X11">
            <v>1.8414097550570165</v>
          </cell>
          <cell r="Y11">
            <v>4.3356244489826945E-2</v>
          </cell>
          <cell r="Z11">
            <v>2.2773494830272529</v>
          </cell>
          <cell r="AA11">
            <v>0.12514619042696773</v>
          </cell>
          <cell r="AB11">
            <v>1.4092319270819076</v>
          </cell>
          <cell r="AC11">
            <v>0.85315675493458254</v>
          </cell>
        </row>
        <row r="12">
          <cell r="R12">
            <v>34.732882214125326</v>
          </cell>
          <cell r="S12">
            <v>0.81779046134430367</v>
          </cell>
          <cell r="T12">
            <v>43.394781626590735</v>
          </cell>
          <cell r="U12">
            <v>2.360521812002554</v>
          </cell>
          <cell r="V12">
            <v>26.450655427656621</v>
          </cell>
          <cell r="W12">
            <v>16.194248432671284</v>
          </cell>
          <cell r="X12">
            <v>2.3720458711696142</v>
          </cell>
          <cell r="Y12">
            <v>5.5850144406522903E-2</v>
          </cell>
          <cell r="Z12">
            <v>2.9678480275743002</v>
          </cell>
          <cell r="AA12">
            <v>0.16120936878913378</v>
          </cell>
          <cell r="AB12">
            <v>1.8051584572745658</v>
          </cell>
          <cell r="AC12">
            <v>1.1069547507680548</v>
          </cell>
        </row>
        <row r="13">
          <cell r="R13">
            <v>47.440583758098363</v>
          </cell>
          <cell r="S13">
            <v>1.1169950319354847</v>
          </cell>
          <cell r="T13">
            <v>60.263525105217234</v>
          </cell>
          <cell r="U13">
            <v>3.224164699167491</v>
          </cell>
          <cell r="V13">
            <v>35.83352054470253</v>
          </cell>
          <cell r="W13">
            <v>22.349408685625317</v>
          </cell>
          <cell r="X13">
            <v>3.2781477395458198</v>
          </cell>
          <cell r="Y13">
            <v>7.7184436804029699E-2</v>
          </cell>
          <cell r="Z13">
            <v>4.1706461834998017</v>
          </cell>
          <cell r="AA13">
            <v>0.22279001191032149</v>
          </cell>
          <cell r="AB13">
            <v>2.4741883037702479</v>
          </cell>
          <cell r="AC13">
            <v>1.5458383825607562</v>
          </cell>
        </row>
        <row r="14">
          <cell r="R14">
            <v>64.25589426047965</v>
          </cell>
          <cell r="S14">
            <v>1.5129138171550318</v>
          </cell>
          <cell r="T14">
            <v>83.024222291571874</v>
          </cell>
          <cell r="U14">
            <v>4.3669695770282804</v>
          </cell>
          <cell r="V14">
            <v>48.118788119613086</v>
          </cell>
          <cell r="W14">
            <v>30.596099762617204</v>
          </cell>
          <cell r="X14">
            <v>4.1144396175059574</v>
          </cell>
          <cell r="Y14">
            <v>9.6875043430892913E-2</v>
          </cell>
          <cell r="Z14">
            <v>5.3026256489377417</v>
          </cell>
          <cell r="AA14">
            <v>0.27962621706471702</v>
          </cell>
          <cell r="AB14">
            <v>3.0851832354433668</v>
          </cell>
          <cell r="AC14">
            <v>1.9559789367157325</v>
          </cell>
        </row>
        <row r="15">
          <cell r="R15">
            <v>86.4202365771324</v>
          </cell>
          <cell r="S15">
            <v>2.0347762879049269</v>
          </cell>
          <cell r="T15">
            <v>112.91796346044525</v>
          </cell>
          <cell r="U15">
            <v>5.8733062284067987</v>
          </cell>
          <cell r="V15">
            <v>64.283503199390339</v>
          </cell>
          <cell r="W15">
            <v>41.887922347137675</v>
          </cell>
          <cell r="X15">
            <v>5.7935172049491648</v>
          </cell>
          <cell r="Y15">
            <v>0.13640915483583785</v>
          </cell>
          <cell r="Z15">
            <v>7.5672500661383086</v>
          </cell>
          <cell r="AA15">
            <v>0.39373996221174151</v>
          </cell>
          <cell r="AB15">
            <v>4.3097542337656023</v>
          </cell>
          <cell r="AC15">
            <v>2.8114000429313792</v>
          </cell>
        </row>
        <row r="16">
          <cell r="R16">
            <v>144.4480899798904</v>
          </cell>
          <cell r="S16">
            <v>3.401050031399846</v>
          </cell>
          <cell r="T16">
            <v>190.90536049285006</v>
          </cell>
          <cell r="U16">
            <v>9.8170046757873273</v>
          </cell>
          <cell r="V16">
            <v>106.53025296103235</v>
          </cell>
          <cell r="W16">
            <v>72.538601700198484</v>
          </cell>
          <cell r="X16">
            <v>9.9209445660185054</v>
          </cell>
          <cell r="Y16">
            <v>0.23358999646496381</v>
          </cell>
          <cell r="Z16">
            <v>13.114367483975215</v>
          </cell>
          <cell r="AA16">
            <v>0.6742488544250701</v>
          </cell>
          <cell r="AB16">
            <v>7.3146972164430091</v>
          </cell>
          <cell r="AC16">
            <v>4.9915332923748874</v>
          </cell>
        </row>
        <row r="17">
          <cell r="R17">
            <v>199.29306784376473</v>
          </cell>
          <cell r="S17">
            <v>4.6923825350834996</v>
          </cell>
          <cell r="T17">
            <v>264.3575457628009</v>
          </cell>
          <cell r="U17">
            <v>13.544388016114382</v>
          </cell>
          <cell r="V17">
            <v>146.3911593743031</v>
          </cell>
          <cell r="W17">
            <v>102.52103293559107</v>
          </cell>
          <cell r="X17">
            <v>14.867888246631766</v>
          </cell>
          <cell r="Y17">
            <v>0.35006646190403812</v>
          </cell>
          <cell r="Z17">
            <v>19.739656396485849</v>
          </cell>
          <cell r="AA17">
            <v>1.0104538485527037</v>
          </cell>
          <cell r="AB17">
            <v>10.910097684541887</v>
          </cell>
          <cell r="AC17">
            <v>7.6959085060449848</v>
          </cell>
        </row>
        <row r="18">
          <cell r="R18">
            <v>251.49617324385906</v>
          </cell>
          <cell r="S18">
            <v>5.9215117903396797</v>
          </cell>
          <cell r="T18">
            <v>334.03002449849583</v>
          </cell>
          <cell r="U18">
            <v>17.092223988709733</v>
          </cell>
          <cell r="V18">
            <v>184.26766202517786</v>
          </cell>
          <cell r="W18">
            <v>132.00920943860322</v>
          </cell>
          <cell r="X18">
            <v>19.855886695957942</v>
          </cell>
          <cell r="Y18">
            <v>0.4675095674865688</v>
          </cell>
          <cell r="Z18">
            <v>26.396850699982764</v>
          </cell>
          <cell r="AA18">
            <v>1.3494490135747683</v>
          </cell>
          <cell r="AB18">
            <v>14.529191511249762</v>
          </cell>
          <cell r="AC18">
            <v>10.513499098466241</v>
          </cell>
        </row>
        <row r="19">
          <cell r="R19">
            <v>295.26324529313132</v>
          </cell>
          <cell r="S19">
            <v>6.9520134867496477</v>
          </cell>
          <cell r="T19">
            <v>392.24387416992886</v>
          </cell>
          <cell r="U19">
            <v>20.06672888533414</v>
          </cell>
          <cell r="V19">
            <v>215.97018208008922</v>
          </cell>
          <cell r="W19">
            <v>157.5169370475337</v>
          </cell>
          <cell r="X19">
            <v>24.31580549375273</v>
          </cell>
          <cell r="Y19">
            <v>0.57251896546055669</v>
          </cell>
          <cell r="Z19">
            <v>32.328914013455915</v>
          </cell>
          <cell r="AA19">
            <v>1.6525547430979386</v>
          </cell>
          <cell r="AB19">
            <v>17.759717532528729</v>
          </cell>
          <cell r="AC19">
            <v>13.112768104261884</v>
          </cell>
        </row>
        <row r="20">
          <cell r="R20">
            <v>385.38504036666745</v>
          </cell>
          <cell r="S20">
            <v>9.0739434756289157</v>
          </cell>
          <cell r="T20">
            <v>511.70843975153736</v>
          </cell>
          <cell r="U20">
            <v>26.191601036640677</v>
          </cell>
          <cell r="V20">
            <v>281.1417592427444</v>
          </cell>
          <cell r="W20">
            <v>211.6331665632967</v>
          </cell>
          <cell r="X20">
            <v>32.77524509089951</v>
          </cell>
          <cell r="Y20">
            <v>0.77169762757721438</v>
          </cell>
          <cell r="Z20">
            <v>43.542663980513076</v>
          </cell>
          <cell r="AA20">
            <v>2.2274765582032257</v>
          </cell>
          <cell r="AB20">
            <v>23.877161376256197</v>
          </cell>
          <cell r="AC20">
            <v>18.192482444620797</v>
          </cell>
        </row>
        <row r="21">
          <cell r="R21">
            <v>437.30761742646735</v>
          </cell>
          <cell r="S21">
            <v>10.296467652751492</v>
          </cell>
          <cell r="T21">
            <v>580.30656157608337</v>
          </cell>
          <cell r="U21">
            <v>29.720371696370034</v>
          </cell>
          <cell r="V21">
            <v>318.62834689052335</v>
          </cell>
          <cell r="W21">
            <v>243.71597196298038</v>
          </cell>
          <cell r="X21">
            <v>38.837780013247809</v>
          </cell>
          <cell r="Y21">
            <v>0.91444084135654413</v>
          </cell>
          <cell r="Z21">
            <v>51.552253117235644</v>
          </cell>
          <cell r="AA21">
            <v>2.639499546448365</v>
          </cell>
          <cell r="AB21">
            <v>28.254134931952166</v>
          </cell>
          <cell r="AC21">
            <v>21.938504679196623</v>
          </cell>
        </row>
        <row r="22">
          <cell r="R22">
            <v>494.37080295718908</v>
          </cell>
          <cell r="S22">
            <v>11.640028159284011</v>
          </cell>
          <cell r="T22">
            <v>655.44716785143521</v>
          </cell>
          <cell r="U22">
            <v>33.598509228326343</v>
          </cell>
          <cell r="V22">
            <v>359.75997917578479</v>
          </cell>
          <cell r="W22">
            <v>279.95488238193457</v>
          </cell>
          <cell r="X22">
            <v>45.505890199526142</v>
          </cell>
          <cell r="Y22">
            <v>1.0714424075356248</v>
          </cell>
          <cell r="Z22">
            <v>60.332797656552493</v>
          </cell>
          <cell r="AA22">
            <v>3.0926787396552307</v>
          </cell>
          <cell r="AB22">
            <v>33.060565797469557</v>
          </cell>
          <cell r="AC22">
            <v>26.173197247738198</v>
          </cell>
        </row>
        <row r="23">
          <cell r="R23">
            <v>559.30323456615224</v>
          </cell>
          <cell r="S23">
            <v>13.168871140823448</v>
          </cell>
          <cell r="T23">
            <v>740.12162803618617</v>
          </cell>
          <cell r="U23">
            <v>38.011457747093019</v>
          </cell>
          <cell r="V23">
            <v>406.90601759477408</v>
          </cell>
          <cell r="W23">
            <v>322.09599701756252</v>
          </cell>
          <cell r="X23">
            <v>52.625919783330232</v>
          </cell>
          <cell r="Y23">
            <v>1.2390844777280099</v>
          </cell>
          <cell r="Z23">
            <v>69.617597972344868</v>
          </cell>
          <cell r="AA23">
            <v>3.5765713527432941</v>
          </cell>
          <cell r="AB23">
            <v>38.230265745315506</v>
          </cell>
          <cell r="AC23">
            <v>30.794092776602582</v>
          </cell>
        </row>
        <row r="24">
          <cell r="R24">
            <v>616.37672535015793</v>
          </cell>
          <cell r="S24">
            <v>14.512674285953747</v>
          </cell>
          <cell r="T24">
            <v>813.84150012718351</v>
          </cell>
          <cell r="U24">
            <v>41.890295646355582</v>
          </cell>
          <cell r="V24">
            <v>448.6375856681716</v>
          </cell>
          <cell r="W24">
            <v>359.90799065667619</v>
          </cell>
          <cell r="X24">
            <v>60.006243827626406</v>
          </cell>
          <cell r="Y24">
            <v>1.4128552165871322</v>
          </cell>
          <cell r="Z24">
            <v>79.150509610686413</v>
          </cell>
          <cell r="AA24">
            <v>4.0781541404545596</v>
          </cell>
          <cell r="AB24">
            <v>43.626685186766437</v>
          </cell>
          <cell r="AC24">
            <v>35.683661681256474</v>
          </cell>
        </row>
        <row r="25">
          <cell r="R25">
            <v>678.38886441617967</v>
          </cell>
          <cell r="S25">
            <v>15.972758580228781</v>
          </cell>
          <cell r="T25">
            <v>893.19583182299277</v>
          </cell>
          <cell r="U25">
            <v>46.104774766511902</v>
          </cell>
          <cell r="V25">
            <v>494.28784625613463</v>
          </cell>
          <cell r="W25">
            <v>401.80518162834568</v>
          </cell>
          <cell r="X25">
            <v>67.746875893537734</v>
          </cell>
          <cell r="Y25">
            <v>1.5951094570861755</v>
          </cell>
          <cell r="Z25">
            <v>89.055871588920638</v>
          </cell>
          <cell r="AA25">
            <v>4.6042242407596579</v>
          </cell>
          <cell r="AB25">
            <v>49.324954529615347</v>
          </cell>
          <cell r="AC25">
            <v>40.913456118143024</v>
          </cell>
        </row>
        <row r="26">
          <cell r="R26">
            <v>746.3712911173086</v>
          </cell>
          <cell r="S26">
            <v>17.573414113290529</v>
          </cell>
          <cell r="T26">
            <v>979.39757996284675</v>
          </cell>
          <cell r="U26">
            <v>50.725007549716331</v>
          </cell>
          <cell r="V26">
            <v>544.66052049364907</v>
          </cell>
          <cell r="W26">
            <v>448.60164618375552</v>
          </cell>
          <cell r="X26">
            <v>75.395257079351524</v>
          </cell>
          <cell r="Y26">
            <v>1.7751916379983035</v>
          </cell>
          <cell r="Z26">
            <v>98.75402242951381</v>
          </cell>
          <cell r="AA26">
            <v>5.1240247716894247</v>
          </cell>
          <cell r="AB26">
            <v>54.99214578201196</v>
          </cell>
          <cell r="AC26">
            <v>46.178304939173039</v>
          </cell>
        </row>
        <row r="27">
          <cell r="R27">
            <v>816.55440443844907</v>
          </cell>
          <cell r="S27">
            <v>19.225885113757439</v>
          </cell>
          <cell r="T27">
            <v>1068.0916505302923</v>
          </cell>
          <cell r="U27">
            <v>55.494803756304222</v>
          </cell>
          <cell r="V27">
            <v>596.71657536591476</v>
          </cell>
          <cell r="W27">
            <v>496.49978855188124</v>
          </cell>
          <cell r="X27">
            <v>83.881277760335394</v>
          </cell>
          <cell r="Y27">
            <v>1.9749961553687854</v>
          </cell>
          <cell r="Z27">
            <v>109.47825054507207</v>
          </cell>
          <cell r="AA27">
            <v>5.7007530947544396</v>
          </cell>
          <cell r="AB27">
            <v>61.286377219069266</v>
          </cell>
          <cell r="AC27">
            <v>51.969792484855773</v>
          </cell>
        </row>
        <row r="28">
          <cell r="R28">
            <v>924.31772273011848</v>
          </cell>
          <cell r="S28">
            <v>21.763187179230634</v>
          </cell>
          <cell r="T28">
            <v>1203.8334667970114</v>
          </cell>
          <cell r="U28">
            <v>62.818631988958288</v>
          </cell>
          <cell r="V28">
            <v>676.72513882323597</v>
          </cell>
          <cell r="W28">
            <v>569.42967328374471</v>
          </cell>
          <cell r="X28">
            <v>94.66769035633277</v>
          </cell>
          <cell r="Y28">
            <v>2.2289637149496406</v>
          </cell>
          <cell r="Z28">
            <v>123.06513019942739</v>
          </cell>
          <cell r="AA28">
            <v>6.4338210287411002</v>
          </cell>
          <cell r="AB28">
            <v>69.294718000928967</v>
          </cell>
          <cell r="AC28">
            <v>59.269603216066528</v>
          </cell>
        </row>
        <row r="29">
          <cell r="R29">
            <v>1054.2272241337178</v>
          </cell>
          <cell r="S29">
            <v>24.821924154495314</v>
          </cell>
          <cell r="T29">
            <v>1366.9511574702642</v>
          </cell>
          <cell r="U29">
            <v>71.64756273415459</v>
          </cell>
          <cell r="V29">
            <v>773.26808472629989</v>
          </cell>
          <cell r="W29">
            <v>656.62642109050262</v>
          </cell>
          <cell r="X29">
            <v>106.61148243327627</v>
          </cell>
          <cell r="Y29">
            <v>2.5101819326773871</v>
          </cell>
          <cell r="Z29">
            <v>138.06206083516096</v>
          </cell>
          <cell r="AA29">
            <v>7.2455469759814513</v>
          </cell>
          <cell r="AB29">
            <v>78.170811434460163</v>
          </cell>
          <cell r="AC29">
            <v>67.286413490428345</v>
          </cell>
        </row>
        <row r="30">
          <cell r="R30">
            <v>1201.1830475266459</v>
          </cell>
          <cell r="S30">
            <v>28.282019112029811</v>
          </cell>
          <cell r="T30">
            <v>1550.9011144336168</v>
          </cell>
          <cell r="U30">
            <v>81.634998397605699</v>
          </cell>
          <cell r="V30">
            <v>882.58020790446278</v>
          </cell>
          <cell r="W30">
            <v>754.47280029139858</v>
          </cell>
          <cell r="X30">
            <v>120.54187633112261</v>
          </cell>
          <cell r="Y30">
            <v>2.8381749619398602</v>
          </cell>
          <cell r="Z30">
            <v>155.49924228757493</v>
          </cell>
          <cell r="AA30">
            <v>8.1922866805338295</v>
          </cell>
          <cell r="AB30">
            <v>88.532843360273517</v>
          </cell>
          <cell r="AC30">
            <v>76.561572325761134</v>
          </cell>
        </row>
        <row r="31">
          <cell r="R31">
            <v>1378.15121202725</v>
          </cell>
          <cell r="S31">
            <v>32.44875874503807</v>
          </cell>
          <cell r="T31">
            <v>1771.7497553273695</v>
          </cell>
          <cell r="U31">
            <v>93.662137687642641</v>
          </cell>
          <cell r="V31">
            <v>1014.3351430631596</v>
          </cell>
          <cell r="W31">
            <v>871.37511454081312</v>
          </cell>
          <cell r="X31">
            <v>137.25589758283459</v>
          </cell>
          <cell r="Y31">
            <v>3.2317088779014109</v>
          </cell>
          <cell r="Z31">
            <v>176.35762033385507</v>
          </cell>
          <cell r="AA31">
            <v>9.3282077218027606</v>
          </cell>
          <cell r="AB31">
            <v>100.97663398484586</v>
          </cell>
          <cell r="AC31">
            <v>87.602585099176409</v>
          </cell>
        </row>
        <row r="32">
          <cell r="R32">
            <v>1607.3620930072707</v>
          </cell>
          <cell r="S32">
            <v>37.845560281581847</v>
          </cell>
          <cell r="T32">
            <v>2056.9528204827989</v>
          </cell>
          <cell r="U32">
            <v>109.23980500491528</v>
          </cell>
          <cell r="V32">
            <v>1185.1344134284466</v>
          </cell>
          <cell r="W32">
            <v>1021.6209162879073</v>
          </cell>
          <cell r="X32">
            <v>159.63939836803283</v>
          </cell>
          <cell r="Y32">
            <v>3.7587314647624428</v>
          </cell>
          <cell r="Z32">
            <v>204.209016417464</v>
          </cell>
          <cell r="AA32">
            <v>10.849438856803381</v>
          </cell>
          <cell r="AB32">
            <v>117.65597130943792</v>
          </cell>
          <cell r="AC32">
            <v>102.27478131865676</v>
          </cell>
        </row>
        <row r="33">
          <cell r="R33">
            <v>1742.2307710655305</v>
          </cell>
          <cell r="S33">
            <v>41.021061749332361</v>
          </cell>
          <cell r="T33">
            <v>2224.2855526098542</v>
          </cell>
          <cell r="U33">
            <v>118.40577212361873</v>
          </cell>
          <cell r="V33">
            <v>1285.718716351553</v>
          </cell>
          <cell r="W33">
            <v>1109.358233414875</v>
          </cell>
          <cell r="X33">
            <v>177.3468437839669</v>
          </cell>
          <cell r="Y33">
            <v>4.1756556885182414</v>
          </cell>
          <cell r="Z33">
            <v>226.1787966740703</v>
          </cell>
          <cell r="AA33">
            <v>12.052875153321212</v>
          </cell>
          <cell r="AB33">
            <v>130.86208468841903</v>
          </cell>
          <cell r="AC33">
            <v>113.79416281133486</v>
          </cell>
        </row>
        <row r="34">
          <cell r="R34">
            <v>1979.1510611277431</v>
          </cell>
          <cell r="S34">
            <v>46.599382376953862</v>
          </cell>
          <cell r="T34">
            <v>2517.4107945333135</v>
          </cell>
          <cell r="U34">
            <v>134.50738755967905</v>
          </cell>
          <cell r="V34">
            <v>1462.5582803521652</v>
          </cell>
          <cell r="W34">
            <v>1262.3424216518511</v>
          </cell>
          <cell r="X34">
            <v>195.99315770366567</v>
          </cell>
          <cell r="Y34">
            <v>4.6146856995825036</v>
          </cell>
          <cell r="Z34">
            <v>249.24860330505675</v>
          </cell>
          <cell r="AA34">
            <v>13.320118984384433</v>
          </cell>
          <cell r="AB34">
            <v>144.77987122714146</v>
          </cell>
          <cell r="AC34">
            <v>125.83446209455741</v>
          </cell>
        </row>
        <row r="35">
          <cell r="R35">
            <v>2243.6198600978091</v>
          </cell>
          <cell r="S35">
            <v>52.826336413982979</v>
          </cell>
          <cell r="T35">
            <v>2847.2978398819555</v>
          </cell>
          <cell r="U35">
            <v>152.48125925608187</v>
          </cell>
          <cell r="V35">
            <v>1659.8453576012575</v>
          </cell>
          <cell r="W35">
            <v>1438.3182420137769</v>
          </cell>
          <cell r="X35">
            <v>221.44120241919566</v>
          </cell>
          <cell r="Y35">
            <v>5.2138633923499693</v>
          </cell>
          <cell r="Z35">
            <v>280.99140364218272</v>
          </cell>
          <cell r="AA35">
            <v>15.049623154337684</v>
          </cell>
          <cell r="AB35">
            <v>163.76347300997168</v>
          </cell>
          <cell r="AC35">
            <v>142.7674256912546</v>
          </cell>
        </row>
        <row r="36">
          <cell r="R36">
            <v>2518.4793092496602</v>
          </cell>
          <cell r="S36">
            <v>59.29793973043104</v>
          </cell>
          <cell r="T36">
            <v>3192.9125740868935</v>
          </cell>
          <cell r="U36">
            <v>171.16130201665902</v>
          </cell>
          <cell r="V36">
            <v>1864.7648252577378</v>
          </cell>
          <cell r="W36">
            <v>1626.5836981448042</v>
          </cell>
          <cell r="X36">
            <v>249.62172090907973</v>
          </cell>
          <cell r="Y36">
            <v>5.8773775537918214</v>
          </cell>
          <cell r="Z36">
            <v>316.42625020719134</v>
          </cell>
          <cell r="AA36">
            <v>16.964832153084689</v>
          </cell>
          <cell r="AB36">
            <v>184.77325406370684</v>
          </cell>
          <cell r="AC36">
            <v>162.06972067830381</v>
          </cell>
        </row>
        <row r="37">
          <cell r="R37">
            <v>2719.3710281013405</v>
          </cell>
          <cell r="S37">
            <v>64.027962722106423</v>
          </cell>
          <cell r="T37">
            <v>3447.5289893169393</v>
          </cell>
          <cell r="U37">
            <v>184.81433781359104</v>
          </cell>
          <cell r="V37">
            <v>2014.4518849644401</v>
          </cell>
          <cell r="W37">
            <v>1768.090977266125</v>
          </cell>
          <cell r="X37">
            <v>275.3374066427458</v>
          </cell>
          <cell r="Y37">
            <v>6.4828568909303703</v>
          </cell>
          <cell r="Z37">
            <v>349.0191104510854</v>
          </cell>
          <cell r="AA37">
            <v>18.712525785611245</v>
          </cell>
          <cell r="AB37">
            <v>203.93434944293463</v>
          </cell>
          <cell r="AC37">
            <v>180.18374120493746</v>
          </cell>
        </row>
        <row r="38">
          <cell r="R38">
            <v>2932.4647357865801</v>
          </cell>
          <cell r="S38">
            <v>69.045283209451668</v>
          </cell>
          <cell r="T38">
            <v>3719.7307278750877</v>
          </cell>
          <cell r="U38">
            <v>199.29664716789327</v>
          </cell>
          <cell r="V38">
            <v>2173.1397943987367</v>
          </cell>
          <cell r="W38">
            <v>1922.3125705351613</v>
          </cell>
          <cell r="X38">
            <v>302.09076739464416</v>
          </cell>
          <cell r="Y38">
            <v>7.1127684282720036</v>
          </cell>
          <cell r="Z38">
            <v>383.19333074151632</v>
          </cell>
          <cell r="AA38">
            <v>20.53074205715194</v>
          </cell>
          <cell r="AB38">
            <v>223.85720373167428</v>
          </cell>
          <cell r="AC38">
            <v>199.54586111583362</v>
          </cell>
        </row>
        <row r="39">
          <cell r="R39">
            <v>3198.8554202001214</v>
          </cell>
          <cell r="S39">
            <v>75.317488302059218</v>
          </cell>
          <cell r="T39">
            <v>4062.6480125041408</v>
          </cell>
          <cell r="U39">
            <v>217.4011343565989</v>
          </cell>
          <cell r="V39">
            <v>2371.4041031017105</v>
          </cell>
          <cell r="W39">
            <v>2120.2262774261644</v>
          </cell>
          <cell r="X39">
            <v>331.30135352434507</v>
          </cell>
          <cell r="Y39">
            <v>7.8005356731518631</v>
          </cell>
          <cell r="Z39">
            <v>420.79530207197826</v>
          </cell>
          <cell r="AA39">
            <v>22.515956681019134</v>
          </cell>
          <cell r="AB39">
            <v>245.59751600484412</v>
          </cell>
          <cell r="AC39">
            <v>221.2477287847999</v>
          </cell>
        </row>
        <row r="40">
          <cell r="R40">
            <v>3635.3259837389046</v>
          </cell>
          <cell r="S40">
            <v>85.594247406560697</v>
          </cell>
          <cell r="T40">
            <v>4628.7967774657955</v>
          </cell>
          <cell r="U40">
            <v>247.06461805998526</v>
          </cell>
          <cell r="V40">
            <v>2696.0680416172663</v>
          </cell>
          <cell r="W40">
            <v>2452.8398624544311</v>
          </cell>
          <cell r="X40">
            <v>363.06521688646086</v>
          </cell>
          <cell r="Y40">
            <v>8.5484201796215853</v>
          </cell>
          <cell r="Z40">
            <v>461.99641278851959</v>
          </cell>
          <cell r="AA40">
            <v>24.674697549038722</v>
          </cell>
          <cell r="AB40">
            <v>269.22472444245994</v>
          </cell>
          <cell r="AC40">
            <v>245.45346761300971</v>
          </cell>
        </row>
        <row r="41">
          <cell r="R41">
            <v>3999.084847234838</v>
          </cell>
          <cell r="S41">
            <v>94.158999590456304</v>
          </cell>
          <cell r="T41">
            <v>5104.1874183401433</v>
          </cell>
          <cell r="U41">
            <v>271.78645733315119</v>
          </cell>
          <cell r="V41">
            <v>2966.493483561937</v>
          </cell>
          <cell r="W41">
            <v>2736.9536856709001</v>
          </cell>
          <cell r="X41">
            <v>401.0063723628104</v>
          </cell>
          <cell r="Y41">
            <v>9.4417498736462662</v>
          </cell>
          <cell r="Z41">
            <v>511.58110206336045</v>
          </cell>
          <cell r="AA41">
            <v>27.253260552315204</v>
          </cell>
          <cell r="AB41">
            <v>297.43092026948756</v>
          </cell>
          <cell r="AC41">
            <v>275.08740322639346</v>
          </cell>
        </row>
        <row r="42">
          <cell r="R42">
            <v>4306.2942064930876</v>
          </cell>
          <cell r="S42">
            <v>101.39228596410828</v>
          </cell>
          <cell r="T42">
            <v>5508.6609020223686</v>
          </cell>
          <cell r="U42">
            <v>292.6650699662689</v>
          </cell>
          <cell r="V42">
            <v>3194.7507174158668</v>
          </cell>
          <cell r="W42">
            <v>2982.70204985586</v>
          </cell>
          <cell r="X42">
            <v>438.09868742839438</v>
          </cell>
          <cell r="Y42">
            <v>10.315093504123208</v>
          </cell>
          <cell r="Z42">
            <v>560.41704224643149</v>
          </cell>
          <cell r="AA42">
            <v>29.774134525001919</v>
          </cell>
          <cell r="AB42">
            <v>324.99059245705064</v>
          </cell>
          <cell r="AC42">
            <v>304.75894634997957</v>
          </cell>
        </row>
        <row r="43">
          <cell r="R43">
            <v>4595.4763476606722</v>
          </cell>
          <cell r="S43">
            <v>108.20111902265</v>
          </cell>
          <cell r="T43">
            <v>5892.1947609460822</v>
          </cell>
          <cell r="U43">
            <v>312.31851386013824</v>
          </cell>
          <cell r="V43">
            <v>3409.4937012949458</v>
          </cell>
          <cell r="W43">
            <v>3219.46045247333</v>
          </cell>
          <cell r="X43">
            <v>474.44379003404561</v>
          </cell>
          <cell r="Y43">
            <v>11.170843915052071</v>
          </cell>
          <cell r="Z43">
            <v>608.62049422670293</v>
          </cell>
          <cell r="AA43">
            <v>32.24422632248654</v>
          </cell>
          <cell r="AB43">
            <v>351.98000387580709</v>
          </cell>
          <cell r="AC43">
            <v>334.5153082094601</v>
          </cell>
        </row>
        <row r="44">
          <cell r="R44">
            <v>5096.4187623812177</v>
          </cell>
          <cell r="S44">
            <v>119.99587667954954</v>
          </cell>
          <cell r="T44">
            <v>6561.3942952250791</v>
          </cell>
          <cell r="U44">
            <v>346.36364404009714</v>
          </cell>
          <cell r="V44">
            <v>3781.280512694264</v>
          </cell>
          <cell r="W44">
            <v>3638.9442570813153</v>
          </cell>
          <cell r="X44">
            <v>514.77541034518299</v>
          </cell>
          <cell r="Y44">
            <v>12.120457430500403</v>
          </cell>
          <cell r="Z44">
            <v>662.49874596944471</v>
          </cell>
          <cell r="AA44">
            <v>34.985250487164912</v>
          </cell>
          <cell r="AB44">
            <v>381.91311409649126</v>
          </cell>
          <cell r="AC44">
            <v>368.28857443120484</v>
          </cell>
        </row>
        <row r="45">
          <cell r="R45">
            <v>5451.8276936025031</v>
          </cell>
          <cell r="S45">
            <v>128.36402856621152</v>
          </cell>
          <cell r="T45">
            <v>7039.5744771165519</v>
          </cell>
          <cell r="U45">
            <v>370.51800385268916</v>
          </cell>
          <cell r="V45">
            <v>4044.9102617615963</v>
          </cell>
          <cell r="W45">
            <v>3943.1582342721044</v>
          </cell>
          <cell r="X45">
            <v>556.93007584929092</v>
          </cell>
          <cell r="Y45">
            <v>13.112994794312939</v>
          </cell>
          <cell r="Z45">
            <v>719.21517554554327</v>
          </cell>
          <cell r="AA45">
            <v>37.850172746903276</v>
          </cell>
          <cell r="AB45">
            <v>413.18195095626606</v>
          </cell>
          <cell r="AC45">
            <v>404.37106230252823</v>
          </cell>
        </row>
      </sheetData>
      <sheetData sheetId="1"/>
      <sheetData sheetId="2"/>
      <sheetData sheetId="3"/>
      <sheetData sheetId="4"/>
      <sheetData sheetId="5">
        <row r="3">
          <cell r="B3">
            <v>1328.241540230596</v>
          </cell>
          <cell r="C3">
            <v>129.02215375721741</v>
          </cell>
        </row>
        <row r="4">
          <cell r="B4">
            <v>2305.599182493891</v>
          </cell>
          <cell r="C4">
            <v>215.01613519555539</v>
          </cell>
        </row>
        <row r="5">
          <cell r="B5">
            <v>3920.3188279194042</v>
          </cell>
          <cell r="C5">
            <v>351.53888702805961</v>
          </cell>
        </row>
        <row r="6">
          <cell r="B6">
            <v>6539.0936051036606</v>
          </cell>
          <cell r="C6">
            <v>541.29514099845687</v>
          </cell>
        </row>
        <row r="7">
          <cell r="B7">
            <v>10693.455895280191</v>
          </cell>
          <cell r="C7">
            <v>819.83037748627157</v>
          </cell>
        </row>
        <row r="8">
          <cell r="B8">
            <v>28892.62013676545</v>
          </cell>
          <cell r="C8">
            <v>2379.8543445257519</v>
          </cell>
        </row>
        <row r="9">
          <cell r="B9">
            <v>76204.284524343369</v>
          </cell>
          <cell r="C9">
            <v>6592.1989819105474</v>
          </cell>
        </row>
        <row r="10">
          <cell r="B10">
            <v>109033.96855916669</v>
          </cell>
          <cell r="C10">
            <v>8976.4848243564957</v>
          </cell>
        </row>
        <row r="11">
          <cell r="B11">
            <v>211097.70718277761</v>
          </cell>
          <cell r="C11">
            <v>17758.751120419711</v>
          </cell>
        </row>
        <row r="12">
          <cell r="B12">
            <v>357617.9747032515</v>
          </cell>
          <cell r="C12">
            <v>30659.371071124209</v>
          </cell>
        </row>
        <row r="13">
          <cell r="B13">
            <v>465416.88190980948</v>
          </cell>
          <cell r="C13">
            <v>37999.053414741997</v>
          </cell>
        </row>
        <row r="14">
          <cell r="B14">
            <v>706416.86870330363</v>
          </cell>
          <cell r="C14">
            <v>57874.739606035073</v>
          </cell>
        </row>
        <row r="15">
          <cell r="B15">
            <v>932953.48772654822</v>
          </cell>
          <cell r="C15">
            <v>69586.398608410178</v>
          </cell>
        </row>
        <row r="16">
          <cell r="B16">
            <v>1460203.734197547</v>
          </cell>
          <cell r="C16">
            <v>112914.0684276215</v>
          </cell>
        </row>
        <row r="17">
          <cell r="B17">
            <v>3139139.0832981979</v>
          </cell>
          <cell r="C17">
            <v>261295.70587061759</v>
          </cell>
        </row>
        <row r="18">
          <cell r="B18">
            <v>5079876.0969552426</v>
          </cell>
          <cell r="C18">
            <v>436713.97421663412</v>
          </cell>
        </row>
        <row r="19">
          <cell r="B19">
            <v>7041237.2287132852</v>
          </cell>
          <cell r="C19">
            <v>624992.19266542105</v>
          </cell>
        </row>
        <row r="20">
          <cell r="B20">
            <v>8559111.0579933617</v>
          </cell>
          <cell r="C20">
            <v>747525.360721629</v>
          </cell>
        </row>
        <row r="21">
          <cell r="B21">
            <v>12638659.304758079</v>
          </cell>
          <cell r="C21">
            <v>1135862.335290048</v>
          </cell>
        </row>
        <row r="22">
          <cell r="B22">
            <v>14685667.941493601</v>
          </cell>
          <cell r="C22">
            <v>1303834.449805947</v>
          </cell>
        </row>
        <row r="23">
          <cell r="B23">
            <v>17066229.43832811</v>
          </cell>
          <cell r="C23">
            <v>1518509.0010869331</v>
          </cell>
        </row>
        <row r="24">
          <cell r="B24">
            <v>19886251.7758798</v>
          </cell>
          <cell r="C24">
            <v>1757245.359509324</v>
          </cell>
        </row>
        <row r="25">
          <cell r="B25">
            <v>22155770.753576741</v>
          </cell>
          <cell r="C25">
            <v>1914951.9846476819</v>
          </cell>
        </row>
        <row r="26">
          <cell r="B26">
            <v>24673772.324617479</v>
          </cell>
          <cell r="C26">
            <v>2114562.3123654821</v>
          </cell>
        </row>
        <row r="27">
          <cell r="B27">
            <v>27477015.153723039</v>
          </cell>
          <cell r="C27">
            <v>2286606.737550498</v>
          </cell>
        </row>
        <row r="28">
          <cell r="B28">
            <v>30250511.175711229</v>
          </cell>
          <cell r="C28">
            <v>2477375.5295378058</v>
          </cell>
        </row>
        <row r="29">
          <cell r="B29">
            <v>36337192.949249342</v>
          </cell>
          <cell r="C29">
            <v>2968893.2096366771</v>
          </cell>
        </row>
        <row r="30">
          <cell r="B30">
            <v>44636208.142702498</v>
          </cell>
          <cell r="C30">
            <v>3686661.5331846098</v>
          </cell>
        </row>
        <row r="31">
          <cell r="B31">
            <v>54763690.2530898</v>
          </cell>
          <cell r="C31">
            <v>4524806.6754364036</v>
          </cell>
        </row>
        <row r="32">
          <cell r="B32">
            <v>68655655.369201437</v>
          </cell>
          <cell r="C32">
            <v>5713115.7182550011</v>
          </cell>
        </row>
        <row r="33">
          <cell r="B33">
            <v>90104440.30798465</v>
          </cell>
          <cell r="C33">
            <v>7637100.0373803293</v>
          </cell>
        </row>
        <row r="34">
          <cell r="B34">
            <v>99129286.559609622</v>
          </cell>
          <cell r="C34">
            <v>8317877.205190667</v>
          </cell>
        </row>
        <row r="35">
          <cell r="B35">
            <v>113148537.02345879</v>
          </cell>
          <cell r="C35">
            <v>9069157.3396386914</v>
          </cell>
        </row>
        <row r="36">
          <cell r="B36">
            <v>140996130.86947829</v>
          </cell>
          <cell r="C36">
            <v>11330071.22136981</v>
          </cell>
        </row>
        <row r="37">
          <cell r="B37">
            <v>171254532.60474101</v>
          </cell>
          <cell r="C37">
            <v>13814967.937263049</v>
          </cell>
        </row>
        <row r="38">
          <cell r="B38">
            <v>189768398.753499</v>
          </cell>
          <cell r="C38">
            <v>15159403.552592991</v>
          </cell>
        </row>
        <row r="39">
          <cell r="B39">
            <v>210073447.87968469</v>
          </cell>
          <cell r="C39">
            <v>16409603.74107277</v>
          </cell>
        </row>
        <row r="40">
          <cell r="B40">
            <v>242745377.08005199</v>
          </cell>
          <cell r="C40">
            <v>19070475.376683172</v>
          </cell>
        </row>
        <row r="41">
          <cell r="B41">
            <v>292701591.77730763</v>
          </cell>
          <cell r="C41">
            <v>22118164.070389941</v>
          </cell>
        </row>
        <row r="42">
          <cell r="B42">
            <v>347882154.47983378</v>
          </cell>
          <cell r="C42">
            <v>26693529.09900685</v>
          </cell>
        </row>
        <row r="43">
          <cell r="B43">
            <v>385694950.04952109</v>
          </cell>
          <cell r="C43">
            <v>28898082.203192148</v>
          </cell>
        </row>
        <row r="44">
          <cell r="B44">
            <v>423172529.1367566</v>
          </cell>
          <cell r="C44">
            <v>31134029.85521514</v>
          </cell>
        </row>
        <row r="45">
          <cell r="B45">
            <v>487827082.75477493</v>
          </cell>
          <cell r="C45">
            <v>33863184.554381751</v>
          </cell>
        </row>
        <row r="46">
          <cell r="B46">
            <v>541566306.49129796</v>
          </cell>
          <cell r="C46">
            <v>37387205.958557203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C741-6B9B-E643-9E5F-729231B39239}">
  <dimension ref="A1:AP142"/>
  <sheetViews>
    <sheetView topLeftCell="A35" zoomScale="90" zoomScaleNormal="90" workbookViewId="0">
      <selection activeCell="E145" sqref="E145"/>
    </sheetView>
  </sheetViews>
  <sheetFormatPr baseColWidth="10" defaultRowHeight="16" x14ac:dyDescent="0.2"/>
  <sheetData>
    <row r="1" spans="1:42" x14ac:dyDescent="0.2">
      <c r="B1" s="1" t="s">
        <v>0</v>
      </c>
      <c r="I1" s="1" t="s">
        <v>4</v>
      </c>
      <c r="P1" s="1" t="s">
        <v>5</v>
      </c>
      <c r="W1" s="1" t="s">
        <v>6</v>
      </c>
      <c r="AD1" s="1" t="s">
        <v>7</v>
      </c>
      <c r="AK1" s="1" t="s">
        <v>8</v>
      </c>
    </row>
    <row r="2" spans="1:42" x14ac:dyDescent="0.2">
      <c r="B2" t="s">
        <v>1</v>
      </c>
      <c r="D2" t="s">
        <v>2</v>
      </c>
      <c r="F2" t="s">
        <v>3</v>
      </c>
      <c r="I2" t="s">
        <v>1</v>
      </c>
      <c r="K2" t="s">
        <v>2</v>
      </c>
      <c r="M2" t="s">
        <v>3</v>
      </c>
      <c r="P2" t="s">
        <v>1</v>
      </c>
      <c r="R2" t="s">
        <v>2</v>
      </c>
      <c r="T2" t="s">
        <v>3</v>
      </c>
      <c r="W2" t="s">
        <v>1</v>
      </c>
      <c r="Y2" t="s">
        <v>2</v>
      </c>
      <c r="AA2" t="s">
        <v>3</v>
      </c>
      <c r="AD2" t="s">
        <v>1</v>
      </c>
      <c r="AF2" t="s">
        <v>2</v>
      </c>
      <c r="AH2" t="s">
        <v>3</v>
      </c>
      <c r="AK2" t="s">
        <v>1</v>
      </c>
      <c r="AM2" t="s">
        <v>2</v>
      </c>
      <c r="AO2" t="s">
        <v>3</v>
      </c>
    </row>
    <row r="3" spans="1:42" x14ac:dyDescent="0.2">
      <c r="A3">
        <v>2020</v>
      </c>
      <c r="B3">
        <f>[1]Usage!$R2</f>
        <v>0.1955754480458673</v>
      </c>
      <c r="C3">
        <f>[1]Usage!$X2</f>
        <v>1.5787000748101E-2</v>
      </c>
      <c r="D3">
        <f>[2]Usage!$R2</f>
        <v>0.19566539211172629</v>
      </c>
      <c r="E3">
        <f>[2]Usage!$X2</f>
        <v>1.559697610992453E-2</v>
      </c>
      <c r="F3">
        <f>[3]Usage!$R2</f>
        <v>0.19561953353134781</v>
      </c>
      <c r="G3">
        <f>[3]Usage!$X2</f>
        <v>1.6368432358526471E-2</v>
      </c>
      <c r="I3">
        <f>[1]Usage!$S2</f>
        <v>4.6048506685691564E-3</v>
      </c>
      <c r="J3">
        <f>[1]Usage!$Y2</f>
        <v>3.717070914368836E-4</v>
      </c>
      <c r="K3">
        <f>[2]Usage!$S2</f>
        <v>4.6069684138993761E-3</v>
      </c>
      <c r="L3">
        <f>[2]Usage!$Y2</f>
        <v>3.6723293534574519E-4</v>
      </c>
      <c r="M3">
        <f>[3]Usage!$S2</f>
        <v>4.6058886673533469E-3</v>
      </c>
      <c r="N3">
        <f>[3]Usage!$Y2</f>
        <v>3.853969782133006E-4</v>
      </c>
      <c r="P3">
        <f>[1]Usage!$T2</f>
        <v>0.22357309461689631</v>
      </c>
      <c r="Q3">
        <f>[1]Usage!$Z2</f>
        <v>1.804699233589091E-2</v>
      </c>
      <c r="R3">
        <f>[2]Usage!$T2</f>
        <v>0.22367591464541961</v>
      </c>
      <c r="S3">
        <f>[2]Usage!$Z2</f>
        <v>1.782976467855937E-2</v>
      </c>
      <c r="T3">
        <f>[3]Usage!$T2</f>
        <v>0.22362349116981259</v>
      </c>
      <c r="U3">
        <f>[3]Usage!$Z2</f>
        <v>1.8711658917252499E-2</v>
      </c>
      <c r="W3">
        <f>[1]Usage!$U2</f>
        <v>1.3291730532420141E-2</v>
      </c>
      <c r="X3">
        <f>[1]Usage!$AA2</f>
        <v>1.072918722444454E-3</v>
      </c>
      <c r="Y3">
        <f>[2]Usage!$U2</f>
        <v>1.329784332570955E-2</v>
      </c>
      <c r="Z3">
        <f>[2]Usage!$AA2</f>
        <v>1.060004236958679E-3</v>
      </c>
      <c r="AA3">
        <f>[3]Usage!$U2</f>
        <v>1.329472667738237E-2</v>
      </c>
      <c r="AB3">
        <f>[3]Usage!$AA2</f>
        <v>1.11243407248468E-3</v>
      </c>
      <c r="AD3">
        <f>[1]Usage!$V2</f>
        <v>0.15511052018875579</v>
      </c>
      <c r="AE3">
        <f>[1]Usage!$AB2</f>
        <v>1.2520640615809479E-2</v>
      </c>
      <c r="AF3">
        <f>[2]Usage!$V2</f>
        <v>0.15518185465830539</v>
      </c>
      <c r="AG3">
        <f>[2]Usage!$AB2</f>
        <v>1.236993243249334E-2</v>
      </c>
      <c r="AH3">
        <f>[3]Usage!$V2</f>
        <v>0.15514548430441541</v>
      </c>
      <c r="AI3">
        <f>[3]Usage!$AB2</f>
        <v>1.298177293302206E-2</v>
      </c>
      <c r="AK3">
        <f>[1]Usage!$W2</f>
        <v>8.6366085683425853E-2</v>
      </c>
      <c r="AL3">
        <f>[1]Usage!$AC2</f>
        <v>6.9715369332812869E-3</v>
      </c>
      <c r="AM3">
        <f>[2]Usage!$W2</f>
        <v>8.6405804968112732E-2</v>
      </c>
      <c r="AN3">
        <f>[2]Usage!$AC2</f>
        <v>6.8876220843230368E-3</v>
      </c>
      <c r="AO3">
        <f>[3]Usage!$W2</f>
        <v>8.638555382656167E-2</v>
      </c>
      <c r="AP3">
        <f>[3]Usage!$AC2</f>
        <v>7.2282970367953097E-3</v>
      </c>
    </row>
    <row r="4" spans="1:42" x14ac:dyDescent="0.2">
      <c r="A4">
        <v>2020.25</v>
      </c>
      <c r="B4">
        <f>[1]Usage!$R3</f>
        <v>0.35014117951103407</v>
      </c>
      <c r="C4">
        <f>[1]Usage!$X3</f>
        <v>2.653980603411113E-2</v>
      </c>
      <c r="D4">
        <f>[2]Usage!$R3</f>
        <v>0.35025148891854663</v>
      </c>
      <c r="E4">
        <f>[2]Usage!$X3</f>
        <v>2.6080508682424841E-2</v>
      </c>
      <c r="F4">
        <f>[3]Usage!$R3</f>
        <v>0.35020298813667722</v>
      </c>
      <c r="G4">
        <f>[3]Usage!$X3</f>
        <v>2.6978580415927232E-2</v>
      </c>
      <c r="I4">
        <f>[1]Usage!$S3</f>
        <v>8.244121952295581E-3</v>
      </c>
      <c r="J4">
        <f>[1]Usage!$Y3</f>
        <v>6.2488336230839489E-4</v>
      </c>
      <c r="K4">
        <f>[2]Usage!$S3</f>
        <v>8.2467192023799284E-3</v>
      </c>
      <c r="L4">
        <f>[2]Usage!$Y3</f>
        <v>6.1406914335546884E-4</v>
      </c>
      <c r="M4">
        <f>[3]Usage!$S3</f>
        <v>8.2455772448384833E-3</v>
      </c>
      <c r="N4">
        <f>[3]Usage!$Y3</f>
        <v>6.3521436512927571E-4</v>
      </c>
      <c r="P4">
        <f>[1]Usage!$T3</f>
        <v>0.40026571759525265</v>
      </c>
      <c r="Q4">
        <f>[1]Usage!$Z3</f>
        <v>3.0339117843599821E-2</v>
      </c>
      <c r="R4">
        <f>[2]Usage!$T3</f>
        <v>0.4003918183704232</v>
      </c>
      <c r="S4">
        <f>[2]Usage!$Z3</f>
        <v>2.9814069677831262E-2</v>
      </c>
      <c r="T4">
        <f>[3]Usage!$T3</f>
        <v>0.40033637444838577</v>
      </c>
      <c r="U4">
        <f>[3]Usage!$Z3</f>
        <v>3.0840705069202057E-2</v>
      </c>
      <c r="W4">
        <f>[1]Usage!$U3</f>
        <v>2.3796352010774582E-2</v>
      </c>
      <c r="X4">
        <f>[1]Usage!$AA3</f>
        <v>1.803702630942572E-3</v>
      </c>
      <c r="Y4">
        <f>[2]Usage!$U3</f>
        <v>2.380384887673857E-2</v>
      </c>
      <c r="Z4">
        <f>[2]Usage!$AA3</f>
        <v>1.772487789336091E-3</v>
      </c>
      <c r="AA4">
        <f>[3]Usage!$U3</f>
        <v>2.3800552658682261E-2</v>
      </c>
      <c r="AB4">
        <f>[3]Usage!$AA3</f>
        <v>1.8335226871198746E-3</v>
      </c>
      <c r="AD4">
        <f>[1]Usage!$V3</f>
        <v>0.27769631125029481</v>
      </c>
      <c r="AE4">
        <f>[1]Usage!$AB3</f>
        <v>2.1048670274267815E-2</v>
      </c>
      <c r="AF4">
        <f>[2]Usage!$V3</f>
        <v>0.27778379743402559</v>
      </c>
      <c r="AG4">
        <f>[2]Usage!$AB3</f>
        <v>2.0684402408064746E-2</v>
      </c>
      <c r="AH4">
        <f>[3]Usage!$V3</f>
        <v>0.27774533155510012</v>
      </c>
      <c r="AI4">
        <f>[3]Usage!$AB3</f>
        <v>2.1396661411647352E-2</v>
      </c>
      <c r="AK4">
        <f>[1]Usage!$W3</f>
        <v>0.15462228727122057</v>
      </c>
      <c r="AL4">
        <f>[1]Usage!$AC3</f>
        <v>1.1719973978666181E-2</v>
      </c>
      <c r="AM4">
        <f>[2]Usage!$W3</f>
        <v>0.15467099988743138</v>
      </c>
      <c r="AN4">
        <f>[2]Usage!$AC3</f>
        <v>1.1517148343719381E-2</v>
      </c>
      <c r="AO4">
        <f>[3]Usage!$W3</f>
        <v>0.15464958195013659</v>
      </c>
      <c r="AP4">
        <f>[3]Usage!$AC3</f>
        <v>1.1913736673494494E-2</v>
      </c>
    </row>
    <row r="5" spans="1:42" x14ac:dyDescent="0.2">
      <c r="A5">
        <v>2020.5</v>
      </c>
      <c r="B5">
        <f>[1]Usage!$R4</f>
        <v>0.60773895401291489</v>
      </c>
      <c r="C5">
        <f>[1]Usage!$X4</f>
        <v>4.104644263125172E-2</v>
      </c>
      <c r="D5">
        <f>[2]Usage!$R4</f>
        <v>0.60799230131019411</v>
      </c>
      <c r="E5">
        <f>[2]Usage!$X4</f>
        <v>4.0768423592126124E-2</v>
      </c>
      <c r="F5">
        <f>[3]Usage!$R4</f>
        <v>0.60834784633084893</v>
      </c>
      <c r="G5">
        <f>[3]Usage!$X4</f>
        <v>4.248348264635704E-2</v>
      </c>
      <c r="I5">
        <f>[1]Usage!$S4</f>
        <v>1.4309296778630222E-2</v>
      </c>
      <c r="J5">
        <f>[1]Usage!$Y4</f>
        <v>9.6644410472513319E-4</v>
      </c>
      <c r="K5">
        <f>[2]Usage!$S4</f>
        <v>1.4315261875389106E-2</v>
      </c>
      <c r="L5">
        <f>[2]Usage!$Y4</f>
        <v>9.5989810843068917E-4</v>
      </c>
      <c r="M5">
        <f>[3]Usage!$S4</f>
        <v>1.4323633231520094E-2</v>
      </c>
      <c r="N5">
        <f>[3]Usage!$Y4</f>
        <v>1.0002794083915035E-3</v>
      </c>
      <c r="P5">
        <f>[1]Usage!$T4</f>
        <v>0.69473995854549808</v>
      </c>
      <c r="Q5">
        <f>[1]Usage!$Z4</f>
        <v>4.692245521499018E-2</v>
      </c>
      <c r="R5">
        <f>[2]Usage!$T4</f>
        <v>0.69502957383121755</v>
      </c>
      <c r="S5">
        <f>[2]Usage!$Z4</f>
        <v>4.6604636298757163E-2</v>
      </c>
      <c r="T5">
        <f>[3]Usage!$T4</f>
        <v>0.69543601697803203</v>
      </c>
      <c r="U5">
        <f>[3]Usage!$Z4</f>
        <v>4.8565215011659849E-2</v>
      </c>
      <c r="W5">
        <f>[1]Usage!$U4</f>
        <v>4.1303254020413002E-2</v>
      </c>
      <c r="X5">
        <f>[1]Usage!$AA4</f>
        <v>2.7896050359096638E-3</v>
      </c>
      <c r="Y5">
        <f>[2]Usage!$U4</f>
        <v>4.1320472050795642E-2</v>
      </c>
      <c r="Z5">
        <f>[2]Usage!$AA4</f>
        <v>2.7707102605794131E-3</v>
      </c>
      <c r="AA5">
        <f>[3]Usage!$U4</f>
        <v>4.1344635659540531E-2</v>
      </c>
      <c r="AB5">
        <f>[3]Usage!$AA4</f>
        <v>2.8872693840470915E-3</v>
      </c>
      <c r="AD5">
        <f>[1]Usage!$V4</f>
        <v>0.48199662195740273</v>
      </c>
      <c r="AE5">
        <f>[1]Usage!$AB4</f>
        <v>3.2553856488868778E-2</v>
      </c>
      <c r="AF5">
        <f>[2]Usage!$V4</f>
        <v>0.48219755122261487</v>
      </c>
      <c r="AG5">
        <f>[2]Usage!$AB4</f>
        <v>3.2333360111577926E-2</v>
      </c>
      <c r="AH5">
        <f>[3]Usage!$V4</f>
        <v>0.48247953331011784</v>
      </c>
      <c r="AI5">
        <f>[3]Usage!$AB4</f>
        <v>3.369357022340036E-2</v>
      </c>
      <c r="AK5">
        <f>[1]Usage!$W4</f>
        <v>0.26837742211448379</v>
      </c>
      <c r="AL5">
        <f>[1]Usage!$AC4</f>
        <v>1.8126102313512863E-2</v>
      </c>
      <c r="AM5">
        <f>[2]Usage!$W4</f>
        <v>0.2684893002392848</v>
      </c>
      <c r="AN5">
        <f>[2]Usage!$AC4</f>
        <v>1.8003329151571219E-2</v>
      </c>
      <c r="AO5">
        <f>[3]Usage!$W4</f>
        <v>0.26864630886191609</v>
      </c>
      <c r="AP5">
        <f>[3]Usage!$AC4</f>
        <v>1.8760698947779507E-2</v>
      </c>
    </row>
    <row r="6" spans="1:42" x14ac:dyDescent="0.2">
      <c r="A6">
        <v>2020.75</v>
      </c>
      <c r="B6">
        <f>[1]Usage!$R5</f>
        <v>1.0323890649310914</v>
      </c>
      <c r="C6">
        <f>[1]Usage!$X5</f>
        <v>6.2793510417936196E-2</v>
      </c>
      <c r="D6">
        <f>[2]Usage!$R5</f>
        <v>1.0321395344956101</v>
      </c>
      <c r="E6">
        <f>[2]Usage!$X5</f>
        <v>6.1598473071066862E-2</v>
      </c>
      <c r="F6">
        <f>[3]Usage!$R5</f>
        <v>1.0325169299714172</v>
      </c>
      <c r="G6">
        <f>[3]Usage!$X5</f>
        <v>6.3885063677205339E-2</v>
      </c>
      <c r="I6">
        <f>[1]Usage!$S5</f>
        <v>2.4307741709769688E-2</v>
      </c>
      <c r="J6">
        <f>[1]Usage!$Y5</f>
        <v>1.4784817896059421E-3</v>
      </c>
      <c r="K6">
        <f>[2]Usage!$S5</f>
        <v>2.4301866481543775E-2</v>
      </c>
      <c r="L6">
        <f>[2]Usage!$Y5</f>
        <v>1.4503444718562937E-3</v>
      </c>
      <c r="M6">
        <f>[3]Usage!$S5</f>
        <v>2.4310752309629299E-2</v>
      </c>
      <c r="N6">
        <f>[3]Usage!$Y5</f>
        <v>1.5041825603619189E-3</v>
      </c>
      <c r="P6">
        <f>[1]Usage!$T5</f>
        <v>1.1801809501219007</v>
      </c>
      <c r="Q6">
        <f>[1]Usage!$Z5</f>
        <v>7.1782729306103063E-2</v>
      </c>
      <c r="R6">
        <f>[2]Usage!$T5</f>
        <v>1.1798956981016748</v>
      </c>
      <c r="S6">
        <f>[2]Usage!$Z5</f>
        <v>7.0416616123227055E-2</v>
      </c>
      <c r="T6">
        <f>[3]Usage!$T5</f>
        <v>1.1803271197103871</v>
      </c>
      <c r="U6">
        <f>[3]Usage!$Z5</f>
        <v>7.3030544113904111E-2</v>
      </c>
      <c r="W6">
        <f>[1]Usage!$U5</f>
        <v>7.016339419282866E-2</v>
      </c>
      <c r="X6">
        <f>[1]Usage!$AA5</f>
        <v>4.2675828075525229E-3</v>
      </c>
      <c r="Y6">
        <f>[2]Usage!$U5</f>
        <v>7.0146435564630738E-2</v>
      </c>
      <c r="Z6">
        <f>[2]Usage!$AA5</f>
        <v>4.1863654842664213E-3</v>
      </c>
      <c r="AA6">
        <f>[3]Usage!$U5</f>
        <v>7.0172084177576269E-2</v>
      </c>
      <c r="AB6">
        <f>[3]Usage!$AA5</f>
        <v>4.3417671283809108E-3</v>
      </c>
      <c r="AD6">
        <f>[1]Usage!$V5</f>
        <v>0.81878582663959576</v>
      </c>
      <c r="AE6">
        <f>[1]Usage!$AB5</f>
        <v>4.9801415068827466E-2</v>
      </c>
      <c r="AF6">
        <f>[2]Usage!$V5</f>
        <v>0.81858792452030038</v>
      </c>
      <c r="AG6">
        <f>[2]Usage!$AB5</f>
        <v>4.8853633195540286E-2</v>
      </c>
      <c r="AH6">
        <f>[3]Usage!$V5</f>
        <v>0.81888723616270842</v>
      </c>
      <c r="AI6">
        <f>[3]Usage!$AB5</f>
        <v>5.0667123906775559E-2</v>
      </c>
      <c r="AK6">
        <f>[1]Usage!$W5</f>
        <v>0.45590284123781999</v>
      </c>
      <c r="AL6">
        <f>[1]Usage!$AC5</f>
        <v>2.7729603870556854E-2</v>
      </c>
      <c r="AM6">
        <f>[2]Usage!$W5</f>
        <v>0.45579264863856117</v>
      </c>
      <c r="AN6">
        <f>[2]Usage!$AC5</f>
        <v>2.7201875574771966E-2</v>
      </c>
      <c r="AO6">
        <f>[3]Usage!$W5</f>
        <v>0.45595930641859306</v>
      </c>
      <c r="AP6">
        <f>[3]Usage!$AC5</f>
        <v>2.8211633610281402E-2</v>
      </c>
    </row>
    <row r="7" spans="1:42" x14ac:dyDescent="0.2">
      <c r="A7">
        <v>2021</v>
      </c>
      <c r="B7">
        <f>[1]Usage!$R6</f>
        <v>1.7093098033562697</v>
      </c>
      <c r="C7">
        <f>[1]Usage!$X6</f>
        <v>9.1702407854586956E-2</v>
      </c>
      <c r="D7">
        <f>[2]Usage!$R6</f>
        <v>1.7092411514428685</v>
      </c>
      <c r="E7">
        <f>[2]Usage!$X6</f>
        <v>9.097546188829235E-2</v>
      </c>
      <c r="F7">
        <f>[3]Usage!$R6</f>
        <v>1.711292110037208</v>
      </c>
      <c r="G7">
        <f>[3]Usage!$X6</f>
        <v>9.5191406599566236E-2</v>
      </c>
      <c r="I7">
        <f>[1]Usage!$S6</f>
        <v>4.0245933062778717E-2</v>
      </c>
      <c r="J7">
        <f>[1]Usage!$Y6</f>
        <v>2.1591457329529526E-3</v>
      </c>
      <c r="K7">
        <f>[2]Usage!$S6</f>
        <v>4.0244316644089742E-2</v>
      </c>
      <c r="L7">
        <f>[2]Usage!$Y6</f>
        <v>2.1420296907689643E-3</v>
      </c>
      <c r="M7">
        <f>[3]Usage!$S6</f>
        <v>4.029260674465563E-2</v>
      </c>
      <c r="N7">
        <f>[3]Usage!$Y6</f>
        <v>2.2412946855131267E-3</v>
      </c>
      <c r="P7">
        <f>[1]Usage!$T6</f>
        <v>1.9540064267460342</v>
      </c>
      <c r="Q7">
        <f>[1]Usage!$Z6</f>
        <v>0.10483008635655798</v>
      </c>
      <c r="R7">
        <f>[2]Usage!$T6</f>
        <v>1.9539279469527684</v>
      </c>
      <c r="S7">
        <f>[2]Usage!$Z6</f>
        <v>0.10399907427949175</v>
      </c>
      <c r="T7">
        <f>[3]Usage!$T6</f>
        <v>1.9562725109788217</v>
      </c>
      <c r="U7">
        <f>[3]Usage!$Z6</f>
        <v>0.10881855348943931</v>
      </c>
      <c r="W7">
        <f>[1]Usage!$U6</f>
        <v>0.11616839194103376</v>
      </c>
      <c r="X7">
        <f>[1]Usage!$AA6</f>
        <v>6.2322940152048107E-3</v>
      </c>
      <c r="Y7">
        <f>[2]Usage!$U6</f>
        <v>0.11616372620848617</v>
      </c>
      <c r="Z7">
        <f>[2]Usage!$AA6</f>
        <v>6.1828891947523397E-3</v>
      </c>
      <c r="AA7">
        <f>[3]Usage!$U6</f>
        <v>0.11630311379134224</v>
      </c>
      <c r="AB7">
        <f>[3]Usage!$AA6</f>
        <v>6.4694139175728253E-3</v>
      </c>
      <c r="AD7">
        <f>[1]Usage!$V6</f>
        <v>1.3556503917616021</v>
      </c>
      <c r="AE7">
        <f>[1]Usage!$AB6</f>
        <v>7.2729007280865551E-2</v>
      </c>
      <c r="AF7">
        <f>[2]Usage!$V6</f>
        <v>1.3555959440581402</v>
      </c>
      <c r="AG7">
        <f>[2]Usage!$AB6</f>
        <v>7.2152467801561232E-2</v>
      </c>
      <c r="AH7">
        <f>[3]Usage!$V6</f>
        <v>1.3572225554637753</v>
      </c>
      <c r="AI7">
        <f>[3]Usage!$AB6</f>
        <v>7.549612562664447E-2</v>
      </c>
      <c r="AK7">
        <f>[1]Usage!$W6</f>
        <v>0.75483092796783646</v>
      </c>
      <c r="AL7">
        <f>[1]Usage!$AC6</f>
        <v>4.0495768222851211E-2</v>
      </c>
      <c r="AM7">
        <f>[2]Usage!$W6</f>
        <v>0.75480061129417231</v>
      </c>
      <c r="AN7">
        <f>[2]Usage!$AC6</f>
        <v>4.0174749003723587E-2</v>
      </c>
      <c r="AO7">
        <f>[3]Usage!$W6</f>
        <v>0.75570631427203461</v>
      </c>
      <c r="AP7">
        <f>[3]Usage!$AC6</f>
        <v>4.2036509494667591E-2</v>
      </c>
    </row>
    <row r="8" spans="1:42" x14ac:dyDescent="0.2">
      <c r="A8">
        <v>2021.25</v>
      </c>
      <c r="B8">
        <f>[1]Usage!$R7</f>
        <v>3.5953842336891428</v>
      </c>
      <c r="C8">
        <f>[1]Usage!$X7</f>
        <v>0.20637883257833017</v>
      </c>
      <c r="D8">
        <f>[2]Usage!$R7</f>
        <v>3.5964477128982253</v>
      </c>
      <c r="E8">
        <f>[2]Usage!$X7</f>
        <v>0.20467070666888176</v>
      </c>
      <c r="F8">
        <f>[3]Usage!$R7</f>
        <v>3.5955101176476281</v>
      </c>
      <c r="G8">
        <f>[3]Usage!$X7</f>
        <v>0.21298987765032004</v>
      </c>
      <c r="I8">
        <f>[1]Usage!$S7</f>
        <v>8.4653813439729969E-2</v>
      </c>
      <c r="J8">
        <f>[1]Usage!$Y7</f>
        <v>4.8592178347149515E-3</v>
      </c>
      <c r="K8">
        <f>[2]Usage!$S7</f>
        <v>8.4678853203135271E-2</v>
      </c>
      <c r="L8">
        <f>[2]Usage!$Y7</f>
        <v>4.8189997765961251E-3</v>
      </c>
      <c r="M8">
        <f>[3]Usage!$S7</f>
        <v>8.4656777394746738E-2</v>
      </c>
      <c r="N8">
        <f>[3]Usage!$Y7</f>
        <v>5.0148757949746332E-3</v>
      </c>
      <c r="P8">
        <f>[1]Usage!$T7</f>
        <v>4.1600204942919738</v>
      </c>
      <c r="Q8">
        <f>[1]Usage!$Z7</f>
        <v>0.23895936677514817</v>
      </c>
      <c r="R8">
        <f>[2]Usage!$T7</f>
        <v>4.1612661919237031</v>
      </c>
      <c r="S8">
        <f>[2]Usage!$Z7</f>
        <v>0.23698073468766195</v>
      </c>
      <c r="T8">
        <f>[3]Usage!$T7</f>
        <v>4.1601152460602613</v>
      </c>
      <c r="U8">
        <f>[3]Usage!$Z7</f>
        <v>0.24659948095130121</v>
      </c>
      <c r="W8">
        <f>[1]Usage!$U7</f>
        <v>0.24435009032166596</v>
      </c>
      <c r="X8">
        <f>[1]Usage!$AA7</f>
        <v>1.4025951915923946E-2</v>
      </c>
      <c r="Y8">
        <f>[2]Usage!$U7</f>
        <v>0.24442236666931186</v>
      </c>
      <c r="Z8">
        <f>[2]Usage!$AA7</f>
        <v>1.390986398397397E-2</v>
      </c>
      <c r="AA8">
        <f>[3]Usage!$U7</f>
        <v>0.24435864566780613</v>
      </c>
      <c r="AB8">
        <f>[3]Usage!$AA7</f>
        <v>1.4475252840516305E-2</v>
      </c>
      <c r="AD8">
        <f>[1]Usage!$V7</f>
        <v>2.8366596641660591</v>
      </c>
      <c r="AE8">
        <f>[1]Usage!$AB7</f>
        <v>0.16277680476470133</v>
      </c>
      <c r="AF8">
        <f>[2]Usage!$V7</f>
        <v>2.8374942040142082</v>
      </c>
      <c r="AG8">
        <f>[2]Usage!$AB7</f>
        <v>0.16142980969237369</v>
      </c>
      <c r="AH8">
        <f>[3]Usage!$V7</f>
        <v>2.8367741021172024</v>
      </c>
      <c r="AI8">
        <f>[3]Usage!$AB7</f>
        <v>0.16799545921362485</v>
      </c>
      <c r="AK8">
        <f>[1]Usage!$W7</f>
        <v>1.5993094847619869</v>
      </c>
      <c r="AL8">
        <f>[1]Usage!$AC7</f>
        <v>9.1841452195634915E-2</v>
      </c>
      <c r="AM8">
        <f>[2]Usage!$W7</f>
        <v>1.599786073033876</v>
      </c>
      <c r="AN8">
        <f>[2]Usage!$AC7</f>
        <v>9.1081115519558498E-2</v>
      </c>
      <c r="AO8">
        <f>[3]Usage!$W7</f>
        <v>1.5993536688844237</v>
      </c>
      <c r="AP8">
        <f>[3]Usage!$AC7</f>
        <v>9.4780071055990067E-2</v>
      </c>
    </row>
    <row r="9" spans="1:42" x14ac:dyDescent="0.2">
      <c r="A9">
        <v>2021.5</v>
      </c>
      <c r="B9">
        <f>[1]Usage!$R8</f>
        <v>7.5285685202818939</v>
      </c>
      <c r="C9">
        <f>[1]Usage!$X8</f>
        <v>0.48143761599507418</v>
      </c>
      <c r="D9">
        <f>[2]Usage!$R8</f>
        <v>7.5317397817696019</v>
      </c>
      <c r="E9">
        <f>[2]Usage!$X8</f>
        <v>0.47511643890175415</v>
      </c>
      <c r="F9">
        <f>[3]Usage!$R8</f>
        <v>7.5326888659256603</v>
      </c>
      <c r="G9">
        <f>[3]Usage!$X8</f>
        <v>0.50142159279900811</v>
      </c>
      <c r="I9">
        <f>[1]Usage!$S8</f>
        <v>0.17726117531817329</v>
      </c>
      <c r="J9">
        <f>[1]Usage!$Y8</f>
        <v>1.1335514503688256E-2</v>
      </c>
      <c r="K9">
        <f>[2]Usage!$S8</f>
        <v>0.17733584310356149</v>
      </c>
      <c r="L9">
        <f>[2]Usage!$Y8</f>
        <v>1.1186681524624893E-2</v>
      </c>
      <c r="M9">
        <f>[3]Usage!$S8</f>
        <v>0.17735818941980014</v>
      </c>
      <c r="N9">
        <f>[3]Usage!$Y8</f>
        <v>1.1806039970283042E-2</v>
      </c>
      <c r="P9">
        <f>[1]Usage!$T8</f>
        <v>8.8643428035276486</v>
      </c>
      <c r="Q9">
        <f>[1]Usage!$Z8</f>
        <v>0.56794602920777781</v>
      </c>
      <c r="R9">
        <f>[2]Usage!$T8</f>
        <v>8.868109534112282</v>
      </c>
      <c r="S9">
        <f>[2]Usage!$Z8</f>
        <v>0.56044991357091711</v>
      </c>
      <c r="T9">
        <f>[3]Usage!$T8</f>
        <v>8.8692151690181067</v>
      </c>
      <c r="U9">
        <f>[3]Usage!$Z8</f>
        <v>0.59158096500999002</v>
      </c>
      <c r="W9">
        <f>[1]Usage!$U8</f>
        <v>0.51165780299263131</v>
      </c>
      <c r="X9">
        <f>[1]Usage!$AA8</f>
        <v>3.2719541864357812E-2</v>
      </c>
      <c r="Y9">
        <f>[2]Usage!$U8</f>
        <v>0.51187332878364245</v>
      </c>
      <c r="Z9">
        <f>[2]Usage!$AA8</f>
        <v>3.2289940994659629E-2</v>
      </c>
      <c r="AA9">
        <f>[3]Usage!$U8</f>
        <v>0.51193783059601705</v>
      </c>
      <c r="AB9">
        <f>[3]Usage!$AA8</f>
        <v>3.4077696158764596E-2</v>
      </c>
      <c r="AD9">
        <f>[1]Usage!$V8</f>
        <v>5.8942555066364566</v>
      </c>
      <c r="AE9">
        <f>[1]Usage!$AB8</f>
        <v>0.37660319359596617</v>
      </c>
      <c r="AF9">
        <f>[2]Usage!$V8</f>
        <v>5.8967286034049948</v>
      </c>
      <c r="AG9">
        <f>[2]Usage!$AB8</f>
        <v>0.37167008480682406</v>
      </c>
      <c r="AH9">
        <f>[3]Usage!$V8</f>
        <v>5.8974751765197677</v>
      </c>
      <c r="AI9">
        <f>[3]Usage!$AB8</f>
        <v>0.39221775565710426</v>
      </c>
      <c r="AK9">
        <f>[1]Usage!$W8</f>
        <v>3.3844894466328319</v>
      </c>
      <c r="AL9">
        <f>[1]Usage!$AC8</f>
        <v>0.21668417318532812</v>
      </c>
      <c r="AM9">
        <f>[2]Usage!$W8</f>
        <v>3.385922707771694</v>
      </c>
      <c r="AN9">
        <f>[2]Usage!$AC8</f>
        <v>0.21383008093196948</v>
      </c>
      <c r="AO9">
        <f>[3]Usage!$W8</f>
        <v>3.3863466230890715</v>
      </c>
      <c r="AP9">
        <f>[3]Usage!$AC8</f>
        <v>0.22569245164457638</v>
      </c>
    </row>
    <row r="10" spans="1:42" x14ac:dyDescent="0.2">
      <c r="A10">
        <v>2021.75</v>
      </c>
      <c r="B10">
        <f>[1]Usage!$R9</f>
        <v>10.776662043575669</v>
      </c>
      <c r="C10">
        <f>[1]Usage!$X9</f>
        <v>0.66908463759063319</v>
      </c>
      <c r="D10">
        <f>[2]Usage!$R9</f>
        <v>10.776407829450521</v>
      </c>
      <c r="E10">
        <f>[2]Usage!$X9</f>
        <v>0.66643464984646861</v>
      </c>
      <c r="F10">
        <f>[3]Usage!$R9</f>
        <v>10.776784335264775</v>
      </c>
      <c r="G10">
        <f>[3]Usage!$X9</f>
        <v>0.68595198397330659</v>
      </c>
      <c r="I10">
        <f>[1]Usage!$S9</f>
        <v>0.25373798149072879</v>
      </c>
      <c r="J10">
        <f>[1]Usage!$Y9</f>
        <v>1.5753689287297451E-2</v>
      </c>
      <c r="K10">
        <f>[2]Usage!$S9</f>
        <v>0.25373199598438922</v>
      </c>
      <c r="L10">
        <f>[2]Usage!$Y9</f>
        <v>1.5691294963483579E-2</v>
      </c>
      <c r="M10">
        <f>[3]Usage!$S9</f>
        <v>0.25374086086527181</v>
      </c>
      <c r="N10">
        <f>[3]Usage!$Y9</f>
        <v>1.6150833264434221E-2</v>
      </c>
      <c r="P10">
        <f>[1]Usage!$T9</f>
        <v>12.834929540918736</v>
      </c>
      <c r="Q10">
        <f>[1]Usage!$Z9</f>
        <v>0.79733252005694455</v>
      </c>
      <c r="R10">
        <f>[2]Usage!$T9</f>
        <v>12.834508846498478</v>
      </c>
      <c r="S10">
        <f>[2]Usage!$Z9</f>
        <v>0.79432419876334104</v>
      </c>
      <c r="T10">
        <f>[3]Usage!$T9</f>
        <v>12.834914540976545</v>
      </c>
      <c r="U10">
        <f>[3]Usage!$Z9</f>
        <v>0.8171575743618229</v>
      </c>
      <c r="W10">
        <f>[1]Usage!$U9</f>
        <v>0.73240526535096828</v>
      </c>
      <c r="X10">
        <f>[1]Usage!$AA9</f>
        <v>4.547243938385858E-2</v>
      </c>
      <c r="Y10">
        <f>[2]Usage!$U9</f>
        <v>0.73238798840908848</v>
      </c>
      <c r="Z10">
        <f>[2]Usage!$AA9</f>
        <v>4.5292340484116372E-2</v>
      </c>
      <c r="AA10">
        <f>[3]Usage!$U9</f>
        <v>0.73241357655871031</v>
      </c>
      <c r="AB10">
        <f>[3]Usage!$AA9</f>
        <v>4.6618780732711876E-2</v>
      </c>
      <c r="AD10">
        <f>[1]Usage!$V9</f>
        <v>8.393825442456313</v>
      </c>
      <c r="AE10">
        <f>[1]Usage!$AB9</f>
        <v>0.52100693393247133</v>
      </c>
      <c r="AF10">
        <f>[2]Usage!$V9</f>
        <v>8.3936624649257645</v>
      </c>
      <c r="AG10">
        <f>[2]Usage!$AB9</f>
        <v>0.51889898841527393</v>
      </c>
      <c r="AH10">
        <f>[3]Usage!$V9</f>
        <v>8.3939684104542902</v>
      </c>
      <c r="AI10">
        <f>[3]Usage!$AB9</f>
        <v>0.5342230934703518</v>
      </c>
      <c r="AK10">
        <f>[1]Usage!$W9</f>
        <v>4.8786037872062051</v>
      </c>
      <c r="AL10">
        <f>[1]Usage!$AC9</f>
        <v>0.30300130165504563</v>
      </c>
      <c r="AM10">
        <f>[2]Usage!$W9</f>
        <v>4.8784613387173268</v>
      </c>
      <c r="AN10">
        <f>[2]Usage!$AC9</f>
        <v>0.30183594669148367</v>
      </c>
      <c r="AO10">
        <f>[3]Usage!$W9</f>
        <v>4.8786218695276213</v>
      </c>
      <c r="AP10">
        <f>[3]Usage!$AC9</f>
        <v>0.31057593844933634</v>
      </c>
    </row>
    <row r="11" spans="1:42" x14ac:dyDescent="0.2">
      <c r="A11">
        <v>2022</v>
      </c>
      <c r="B11">
        <f>[1]Usage!$R10</f>
        <v>17.849729895357797</v>
      </c>
      <c r="C11">
        <f>[1]Usage!$X10</f>
        <v>1.147887549853609</v>
      </c>
      <c r="D11">
        <f>[2]Usage!$R10</f>
        <v>17.86162894903643</v>
      </c>
      <c r="E11">
        <f>[2]Usage!$X10</f>
        <v>1.1329406760393907</v>
      </c>
      <c r="F11">
        <f>[3]Usage!$R10</f>
        <v>17.862644001510109</v>
      </c>
      <c r="G11">
        <f>[3]Usage!$X10</f>
        <v>1.1830448759665879</v>
      </c>
      <c r="I11">
        <f>[1]Usage!$S10</f>
        <v>0.42027433128078717</v>
      </c>
      <c r="J11">
        <f>[1]Usage!$Y10</f>
        <v>2.7027169331325981E-2</v>
      </c>
      <c r="K11">
        <f>[2]Usage!$S10</f>
        <v>0.42055449612680884</v>
      </c>
      <c r="L11">
        <f>[2]Usage!$Y10</f>
        <v>2.6675243143432087E-2</v>
      </c>
      <c r="M11">
        <f>[3]Usage!$S10</f>
        <v>0.42057839567610678</v>
      </c>
      <c r="N11">
        <f>[3]Usage!$Y10</f>
        <v>2.7854953382310161E-2</v>
      </c>
      <c r="P11">
        <f>[1]Usage!$T10</f>
        <v>21.667511856463946</v>
      </c>
      <c r="Q11">
        <f>[1]Usage!$Z10</f>
        <v>1.3952436703677606</v>
      </c>
      <c r="R11">
        <f>[2]Usage!$T10</f>
        <v>21.682267707855097</v>
      </c>
      <c r="S11">
        <f>[2]Usage!$Z10</f>
        <v>1.3768794581489394</v>
      </c>
      <c r="T11">
        <f>[3]Usage!$T10</f>
        <v>21.683470795494074</v>
      </c>
      <c r="U11">
        <f>[3]Usage!$Z10</f>
        <v>1.4379085665775735</v>
      </c>
      <c r="W11">
        <f>[1]Usage!$U10</f>
        <v>1.2131062575397393</v>
      </c>
      <c r="X11">
        <f>[1]Usage!$AA10</f>
        <v>7.8012921082997691E-2</v>
      </c>
      <c r="Y11">
        <f>[2]Usage!$U10</f>
        <v>1.2139149429686491</v>
      </c>
      <c r="Z11">
        <f>[2]Usage!$AA10</f>
        <v>7.6997099204404423E-2</v>
      </c>
      <c r="AA11">
        <f>[3]Usage!$U10</f>
        <v>1.2139839281305966</v>
      </c>
      <c r="AB11">
        <f>[3]Usage!$AA10</f>
        <v>8.0402289020554685E-2</v>
      </c>
      <c r="AD11">
        <f>[1]Usage!$V10</f>
        <v>13.781595494839248</v>
      </c>
      <c r="AE11">
        <f>[1]Usage!$AB10</f>
        <v>0.88572561693424956</v>
      </c>
      <c r="AF11">
        <f>[2]Usage!$V10</f>
        <v>13.790690029562779</v>
      </c>
      <c r="AG11">
        <f>[2]Usage!$AB10</f>
        <v>0.87425076077881947</v>
      </c>
      <c r="AH11">
        <f>[3]Usage!$V10</f>
        <v>13.791482375425753</v>
      </c>
      <c r="AI11">
        <f>[3]Usage!$AB10</f>
        <v>0.9128738081045995</v>
      </c>
      <c r="AK11">
        <f>[1]Usage!$W10</f>
        <v>8.1754067410146298</v>
      </c>
      <c r="AL11">
        <f>[1]Usage!$AC10</f>
        <v>0.52617445487779191</v>
      </c>
      <c r="AM11">
        <f>[2]Usage!$W10</f>
        <v>8.1809290097366603</v>
      </c>
      <c r="AN11">
        <f>[2]Usage!$AC10</f>
        <v>0.51927744129481157</v>
      </c>
      <c r="AO11">
        <f>[3]Usage!$W10</f>
        <v>8.1813871713002655</v>
      </c>
      <c r="AP11">
        <f>[3]Usage!$AC10</f>
        <v>0.54227417024668945</v>
      </c>
    </row>
    <row r="12" spans="1:42" x14ac:dyDescent="0.2">
      <c r="A12">
        <v>2022.25</v>
      </c>
      <c r="B12">
        <f>[1]Usage!$R11</f>
        <v>27.066332354514323</v>
      </c>
      <c r="C12">
        <f>[1]Usage!$X11</f>
        <v>1.7910806641151376</v>
      </c>
      <c r="D12">
        <f>[2]Usage!$R11</f>
        <v>27.055962367801769</v>
      </c>
      <c r="E12">
        <f>[2]Usage!$X11</f>
        <v>1.7717697660645313</v>
      </c>
      <c r="F12">
        <f>[3]Usage!$R11</f>
        <v>27.06514780883726</v>
      </c>
      <c r="G12">
        <f>[3]Usage!$X11</f>
        <v>1.8414097550570165</v>
      </c>
      <c r="I12">
        <f>[1]Usage!$S11</f>
        <v>0.63728049652311136</v>
      </c>
      <c r="J12">
        <f>[1]Usage!$Y11</f>
        <v>4.2171239161255043E-2</v>
      </c>
      <c r="K12">
        <f>[2]Usage!$S11</f>
        <v>0.63703633376790103</v>
      </c>
      <c r="L12">
        <f>[2]Usage!$Y11</f>
        <v>4.1716561425948769E-2</v>
      </c>
      <c r="M12">
        <f>[3]Usage!$S11</f>
        <v>0.63725260623316182</v>
      </c>
      <c r="N12">
        <f>[3]Usage!$Y11</f>
        <v>4.3356244489826945E-2</v>
      </c>
      <c r="P12">
        <f>[1]Usage!$T11</f>
        <v>33.419039710676905</v>
      </c>
      <c r="Q12">
        <f>[1]Usage!$Z11</f>
        <v>2.2153399945151797</v>
      </c>
      <c r="R12">
        <f>[2]Usage!$T11</f>
        <v>33.405401666421227</v>
      </c>
      <c r="S12">
        <f>[2]Usage!$Z11</f>
        <v>2.1914114810695628</v>
      </c>
      <c r="T12">
        <f>[3]Usage!$T11</f>
        <v>33.417022318362164</v>
      </c>
      <c r="U12">
        <f>[3]Usage!$Z11</f>
        <v>2.2773494830272529</v>
      </c>
      <c r="W12">
        <f>[1]Usage!$U11</f>
        <v>1.8394864986977142</v>
      </c>
      <c r="X12">
        <f>[1]Usage!$AA11</f>
        <v>0.12172571653095884</v>
      </c>
      <c r="Y12">
        <f>[2]Usage!$U11</f>
        <v>1.8387817319676096</v>
      </c>
      <c r="Z12">
        <f>[2]Usage!$AA11</f>
        <v>0.12041330612468182</v>
      </c>
      <c r="AA12">
        <f>[3]Usage!$U11</f>
        <v>1.8394059944110044</v>
      </c>
      <c r="AB12">
        <f>[3]Usage!$AA11</f>
        <v>0.12514619042696773</v>
      </c>
      <c r="AD12">
        <f>[1]Usage!$V11</f>
        <v>20.730227788695569</v>
      </c>
      <c r="AE12">
        <f>[1]Usage!$AB11</f>
        <v>1.3706453544133781</v>
      </c>
      <c r="AF12">
        <f>[2]Usage!$V11</f>
        <v>20.722533124373015</v>
      </c>
      <c r="AG12">
        <f>[2]Usage!$AB11</f>
        <v>1.3558803487831805</v>
      </c>
      <c r="AH12">
        <f>[3]Usage!$V11</f>
        <v>20.729485335117388</v>
      </c>
      <c r="AI12">
        <f>[3]Usage!$AB11</f>
        <v>1.4092319270819076</v>
      </c>
      <c r="AK12">
        <f>[1]Usage!$W11</f>
        <v>12.527524063101943</v>
      </c>
      <c r="AL12">
        <f>[1]Usage!$AC11</f>
        <v>0.82989287025154779</v>
      </c>
      <c r="AM12">
        <f>[2]Usage!$W11</f>
        <v>12.522530800003842</v>
      </c>
      <c r="AN12">
        <f>[2]Usage!$AC11</f>
        <v>0.82093514660134259</v>
      </c>
      <c r="AO12">
        <f>[3]Usage!$W11</f>
        <v>12.526847052414439</v>
      </c>
      <c r="AP12">
        <f>[3]Usage!$AC11</f>
        <v>0.85315675493458254</v>
      </c>
    </row>
    <row r="13" spans="1:42" x14ac:dyDescent="0.2">
      <c r="A13">
        <v>2022.5</v>
      </c>
      <c r="B13">
        <f>[1]Usage!$R12</f>
        <v>34.703977142237456</v>
      </c>
      <c r="C13">
        <f>[1]Usage!$X12</f>
        <v>2.3178694086079057</v>
      </c>
      <c r="D13">
        <f>[2]Usage!$R12</f>
        <v>34.711457441694293</v>
      </c>
      <c r="E13">
        <f>[2]Usage!$X12</f>
        <v>2.2940210193823889</v>
      </c>
      <c r="F13">
        <f>[3]Usage!$R12</f>
        <v>34.732882214125326</v>
      </c>
      <c r="G13">
        <f>[3]Usage!$X12</f>
        <v>2.3720458711696142</v>
      </c>
      <c r="I13">
        <f>[1]Usage!$S12</f>
        <v>0.81710988747402613</v>
      </c>
      <c r="J13">
        <f>[1]Usage!$Y12</f>
        <v>5.4574552187046099E-2</v>
      </c>
      <c r="K13">
        <f>[2]Usage!$S12</f>
        <v>0.81728601214764485</v>
      </c>
      <c r="L13">
        <f>[2]Usage!$Y12</f>
        <v>5.4013038601538867E-2</v>
      </c>
      <c r="M13">
        <f>[3]Usage!$S12</f>
        <v>0.81779046134430367</v>
      </c>
      <c r="N13">
        <f>[3]Usage!$Y12</f>
        <v>5.5850144406522903E-2</v>
      </c>
      <c r="P13">
        <f>[1]Usage!$T12</f>
        <v>43.357644433486804</v>
      </c>
      <c r="Q13">
        <f>[1]Usage!$Z12</f>
        <v>2.9008320865740589</v>
      </c>
      <c r="R13">
        <f>[2]Usage!$T12</f>
        <v>43.367234353264202</v>
      </c>
      <c r="S13">
        <f>[2]Usage!$Z12</f>
        <v>2.8709990917766559</v>
      </c>
      <c r="T13">
        <f>[3]Usage!$T12</f>
        <v>43.394781626590735</v>
      </c>
      <c r="U13">
        <f>[3]Usage!$Z12</f>
        <v>2.9678480275743002</v>
      </c>
      <c r="W13">
        <f>[1]Usage!$U12</f>
        <v>2.3585573607874726</v>
      </c>
      <c r="X13">
        <f>[1]Usage!$AA12</f>
        <v>0.15752741919492344</v>
      </c>
      <c r="Y13">
        <f>[2]Usage!$U12</f>
        <v>2.3590657381204947</v>
      </c>
      <c r="Z13">
        <f>[2]Usage!$AA12</f>
        <v>0.15590663107256417</v>
      </c>
      <c r="AA13">
        <f>[3]Usage!$U12</f>
        <v>2.360521812002554</v>
      </c>
      <c r="AB13">
        <f>[3]Usage!$AA12</f>
        <v>0.16120936878913378</v>
      </c>
      <c r="AD13">
        <f>[1]Usage!$V12</f>
        <v>26.428946944490082</v>
      </c>
      <c r="AE13">
        <f>[1]Usage!$AB12</f>
        <v>1.7637012234324994</v>
      </c>
      <c r="AF13">
        <f>[2]Usage!$V12</f>
        <v>26.434571015269409</v>
      </c>
      <c r="AG13">
        <f>[2]Usage!$AB12</f>
        <v>1.7455506338171347</v>
      </c>
      <c r="AH13">
        <f>[3]Usage!$V12</f>
        <v>26.450655427656621</v>
      </c>
      <c r="AI13">
        <f>[3]Usage!$AB12</f>
        <v>1.8051584572745658</v>
      </c>
      <c r="AK13">
        <f>[1]Usage!$W12</f>
        <v>16.180533877459879</v>
      </c>
      <c r="AL13">
        <f>[1]Usage!$AC12</f>
        <v>1.0818507063659779</v>
      </c>
      <c r="AM13">
        <f>[2]Usage!$W12</f>
        <v>16.184078229343655</v>
      </c>
      <c r="AN13">
        <f>[2]Usage!$AC12</f>
        <v>1.0707227456524893</v>
      </c>
      <c r="AO13">
        <f>[3]Usage!$W12</f>
        <v>16.194248432671284</v>
      </c>
      <c r="AP13">
        <f>[3]Usage!$AC12</f>
        <v>1.1069547507680548</v>
      </c>
    </row>
    <row r="14" spans="1:42" x14ac:dyDescent="0.2">
      <c r="A14">
        <v>2022.75</v>
      </c>
      <c r="B14">
        <f>[1]Usage!$R13</f>
        <v>47.445154164091925</v>
      </c>
      <c r="C14">
        <f>[1]Usage!$X13</f>
        <v>3.2043633340032289</v>
      </c>
      <c r="D14">
        <f>[2]Usage!$R13</f>
        <v>47.421013136390371</v>
      </c>
      <c r="E14">
        <f>[2]Usage!$X13</f>
        <v>3.1724250094865427</v>
      </c>
      <c r="F14">
        <f>[3]Usage!$R13</f>
        <v>47.440583758098363</v>
      </c>
      <c r="G14">
        <f>[3]Usage!$X13</f>
        <v>3.2781477395458198</v>
      </c>
      <c r="I14">
        <f>[1]Usage!$S13</f>
        <v>1.1171026427695923</v>
      </c>
      <c r="J14">
        <f>[1]Usage!$Y13</f>
        <v>7.5447172885743305E-2</v>
      </c>
      <c r="K14">
        <f>[2]Usage!$S13</f>
        <v>1.116534238971149</v>
      </c>
      <c r="L14">
        <f>[2]Usage!$Y13</f>
        <v>7.469518066753221E-2</v>
      </c>
      <c r="M14">
        <f>[3]Usage!$S13</f>
        <v>1.1169950319354847</v>
      </c>
      <c r="N14">
        <f>[3]Usage!$Y13</f>
        <v>7.7184436804029699E-2</v>
      </c>
      <c r="P14">
        <f>[1]Usage!$T13</f>
        <v>60.270824685140468</v>
      </c>
      <c r="Q14">
        <f>[1]Usage!$Z13</f>
        <v>4.0776018250754111</v>
      </c>
      <c r="R14">
        <f>[2]Usage!$T13</f>
        <v>60.238439110416131</v>
      </c>
      <c r="S14">
        <f>[2]Usage!$Z13</f>
        <v>4.0370299061135384</v>
      </c>
      <c r="T14">
        <f>[3]Usage!$T13</f>
        <v>60.263525105217234</v>
      </c>
      <c r="U14">
        <f>[3]Usage!$Z13</f>
        <v>4.1706461834998017</v>
      </c>
      <c r="W14">
        <f>[1]Usage!$U13</f>
        <v>3.2244753138458533</v>
      </c>
      <c r="X14">
        <f>[1]Usage!$AA13</f>
        <v>0.21777546409378307</v>
      </c>
      <c r="Y14">
        <f>[2]Usage!$U13</f>
        <v>3.2228346373796053</v>
      </c>
      <c r="Z14">
        <f>[2]Usage!$AA13</f>
        <v>0.21560486646829169</v>
      </c>
      <c r="AA14">
        <f>[3]Usage!$U13</f>
        <v>3.224164699167491</v>
      </c>
      <c r="AB14">
        <f>[3]Usage!$AA13</f>
        <v>0.22279001191032149</v>
      </c>
      <c r="AD14">
        <f>[1]Usage!$V13</f>
        <v>35.836529032783965</v>
      </c>
      <c r="AE14">
        <f>[1]Usage!$AB13</f>
        <v>2.4182533389572649</v>
      </c>
      <c r="AF14">
        <f>[2]Usage!$V13</f>
        <v>35.818805164006911</v>
      </c>
      <c r="AG14">
        <f>[2]Usage!$AB13</f>
        <v>2.3941294605154346</v>
      </c>
      <c r="AH14">
        <f>[3]Usage!$V13</f>
        <v>35.83352054470253</v>
      </c>
      <c r="AI14">
        <f>[3]Usage!$AB13</f>
        <v>2.4741883037702479</v>
      </c>
      <c r="AK14">
        <f>[1]Usage!$W13</f>
        <v>22.351908465491853</v>
      </c>
      <c r="AL14">
        <f>[1]Usage!$AC13</f>
        <v>1.5112369455058472</v>
      </c>
      <c r="AM14">
        <f>[2]Usage!$W13</f>
        <v>22.340136567194783</v>
      </c>
      <c r="AN14">
        <f>[2]Usage!$AC13</f>
        <v>1.4961905068535377</v>
      </c>
      <c r="AO14">
        <f>[3]Usage!$W13</f>
        <v>22.349408685625317</v>
      </c>
      <c r="AP14">
        <f>[3]Usage!$AC13</f>
        <v>1.5458383825607562</v>
      </c>
    </row>
    <row r="15" spans="1:42" x14ac:dyDescent="0.2">
      <c r="A15">
        <v>2023</v>
      </c>
      <c r="B15">
        <f>[1]Usage!$R14</f>
        <v>64.25625616985252</v>
      </c>
      <c r="C15">
        <f>[1]Usage!$X14</f>
        <v>4.0301719540086971</v>
      </c>
      <c r="D15">
        <f>[2]Usage!$R14</f>
        <v>64.234758116066686</v>
      </c>
      <c r="E15">
        <f>[2]Usage!$X14</f>
        <v>4.0166563097788552</v>
      </c>
      <c r="F15">
        <f>[3]Usage!$R14</f>
        <v>64.25589426047965</v>
      </c>
      <c r="G15">
        <f>[3]Usage!$X14</f>
        <v>4.1144396175059574</v>
      </c>
      <c r="I15">
        <f>[1]Usage!$S14</f>
        <v>1.5129223383607067</v>
      </c>
      <c r="J15">
        <f>[1]Usage!$Y14</f>
        <v>9.4890949770511171E-2</v>
      </c>
      <c r="K15">
        <f>[2]Usage!$S14</f>
        <v>1.5124161637445273</v>
      </c>
      <c r="L15">
        <f>[2]Usage!$Y14</f>
        <v>9.4572722078897581E-2</v>
      </c>
      <c r="M15">
        <f>[3]Usage!$S14</f>
        <v>1.5129138171550318</v>
      </c>
      <c r="N15">
        <f>[3]Usage!$Y14</f>
        <v>9.6875043430892913E-2</v>
      </c>
      <c r="P15">
        <f>[1]Usage!$T14</f>
        <v>83.025825377387562</v>
      </c>
      <c r="Q15">
        <f>[1]Usage!$Z14</f>
        <v>5.1953914686959735</v>
      </c>
      <c r="R15">
        <f>[2]Usage!$T14</f>
        <v>82.997017252449766</v>
      </c>
      <c r="S15">
        <f>[2]Usage!$Z14</f>
        <v>5.1797559341862645</v>
      </c>
      <c r="T15">
        <f>[3]Usage!$T14</f>
        <v>83.024222291571874</v>
      </c>
      <c r="U15">
        <f>[3]Usage!$Z14</f>
        <v>5.3026256489377417</v>
      </c>
      <c r="W15">
        <f>[1]Usage!$U14</f>
        <v>4.36699417317217</v>
      </c>
      <c r="X15">
        <f>[1]Usage!$AA14</f>
        <v>0.27389920435942305</v>
      </c>
      <c r="Y15">
        <f>[2]Usage!$U14</f>
        <v>4.3655331189307098</v>
      </c>
      <c r="Z15">
        <f>[2]Usage!$AA14</f>
        <v>0.27298065193952537</v>
      </c>
      <c r="AA15">
        <f>[3]Usage!$U14</f>
        <v>4.3669695770282804</v>
      </c>
      <c r="AB15">
        <f>[3]Usage!$AA14</f>
        <v>0.27962621706471702</v>
      </c>
      <c r="AD15">
        <f>[1]Usage!$V14</f>
        <v>48.118721879632503</v>
      </c>
      <c r="AE15">
        <f>[1]Usage!$AB14</f>
        <v>3.0215892012952277</v>
      </c>
      <c r="AF15">
        <f>[2]Usage!$V14</f>
        <v>48.102928967868912</v>
      </c>
      <c r="AG15">
        <f>[2]Usage!$AB14</f>
        <v>3.0109249349574294</v>
      </c>
      <c r="AH15">
        <f>[3]Usage!$V14</f>
        <v>48.118788119613086</v>
      </c>
      <c r="AI15">
        <f>[3]Usage!$AB14</f>
        <v>3.0851832354433668</v>
      </c>
      <c r="AK15">
        <f>[1]Usage!$W14</f>
        <v>30.596535579910793</v>
      </c>
      <c r="AL15">
        <f>[1]Usage!$AC14</f>
        <v>1.9162362214298725</v>
      </c>
      <c r="AM15">
        <f>[2]Usage!$W14</f>
        <v>30.58605986876438</v>
      </c>
      <c r="AN15">
        <f>[2]Usage!$AC14</f>
        <v>1.9102247722363825</v>
      </c>
      <c r="AO15">
        <f>[3]Usage!$W14</f>
        <v>30.596099762617204</v>
      </c>
      <c r="AP15">
        <f>[3]Usage!$AC14</f>
        <v>1.9559789367157325</v>
      </c>
    </row>
    <row r="16" spans="1:42" x14ac:dyDescent="0.2">
      <c r="A16">
        <v>2023.25</v>
      </c>
      <c r="B16">
        <f>[1]Usage!$R15</f>
        <v>86.432469281313089</v>
      </c>
      <c r="C16">
        <f>[1]Usage!$X15</f>
        <v>5.6558178610017498</v>
      </c>
      <c r="D16">
        <f>[2]Usage!$R15</f>
        <v>86.295347408145446</v>
      </c>
      <c r="E16">
        <f>[2]Usage!$X15</f>
        <v>5.5907867224068948</v>
      </c>
      <c r="F16">
        <f>[3]Usage!$R15</f>
        <v>86.4202365771324</v>
      </c>
      <c r="G16">
        <f>[3]Usage!$X15</f>
        <v>5.7935172049491648</v>
      </c>
      <c r="I16">
        <f>[1]Usage!$S15</f>
        <v>2.0350643085976459</v>
      </c>
      <c r="J16">
        <f>[1]Usage!$Y15</f>
        <v>0.1331670049526425</v>
      </c>
      <c r="K16">
        <f>[2]Usage!$S15</f>
        <v>2.0318357553429269</v>
      </c>
      <c r="L16">
        <f>[2]Usage!$Y15</f>
        <v>0.13163583790162237</v>
      </c>
      <c r="M16">
        <f>[3]Usage!$S15</f>
        <v>2.0347762879049269</v>
      </c>
      <c r="N16">
        <f>[3]Usage!$Y15</f>
        <v>0.13640915483583785</v>
      </c>
      <c r="P16">
        <f>[1]Usage!$T15</f>
        <v>112.93557705820776</v>
      </c>
      <c r="Q16">
        <f>[1]Usage!$Z15</f>
        <v>7.3879509086111668</v>
      </c>
      <c r="R16">
        <f>[2]Usage!$T15</f>
        <v>112.75082347456083</v>
      </c>
      <c r="S16">
        <f>[2]Usage!$Z15</f>
        <v>7.3028348168743102</v>
      </c>
      <c r="T16">
        <f>[3]Usage!$T15</f>
        <v>112.91796346044525</v>
      </c>
      <c r="U16">
        <f>[3]Usage!$Z15</f>
        <v>7.5672500661383086</v>
      </c>
      <c r="W16">
        <f>[1]Usage!$U15</f>
        <v>5.8741375894456063</v>
      </c>
      <c r="X16">
        <f>[1]Usage!$AA15</f>
        <v>0.38438161691570605</v>
      </c>
      <c r="Y16">
        <f>[2]Usage!$U15</f>
        <v>5.8648184903129899</v>
      </c>
      <c r="Z16">
        <f>[2]Usage!$AA15</f>
        <v>0.37996196005664795</v>
      </c>
      <c r="AA16">
        <f>[3]Usage!$U15</f>
        <v>5.8733062284067987</v>
      </c>
      <c r="AB16">
        <f>[3]Usage!$AA15</f>
        <v>0.39373996221174151</v>
      </c>
      <c r="AD16">
        <f>[1]Usage!$V15</f>
        <v>64.292094469436336</v>
      </c>
      <c r="AE16">
        <f>[1]Usage!$AB15</f>
        <v>4.2071918477317629</v>
      </c>
      <c r="AF16">
        <f>[2]Usage!$V15</f>
        <v>64.19197574867556</v>
      </c>
      <c r="AG16">
        <f>[2]Usage!$AB15</f>
        <v>4.1589567265178129</v>
      </c>
      <c r="AH16">
        <f>[3]Usage!$V15</f>
        <v>64.283503199390339</v>
      </c>
      <c r="AI16">
        <f>[3]Usage!$AB15</f>
        <v>4.3097542337656023</v>
      </c>
      <c r="AK16">
        <f>[1]Usage!$W15</f>
        <v>41.894405847100671</v>
      </c>
      <c r="AL16">
        <f>[1]Usage!$AC15</f>
        <v>2.7444360797773779</v>
      </c>
      <c r="AM16">
        <f>[2]Usage!$W15</f>
        <v>41.825024546230402</v>
      </c>
      <c r="AN16">
        <f>[2]Usage!$AC15</f>
        <v>2.7121796008684549</v>
      </c>
      <c r="AO16">
        <f>[3]Usage!$W15</f>
        <v>41.887922347137675</v>
      </c>
      <c r="AP16">
        <f>[3]Usage!$AC15</f>
        <v>2.8114000429313792</v>
      </c>
    </row>
    <row r="17" spans="1:42" x14ac:dyDescent="0.2">
      <c r="A17">
        <v>2023.5</v>
      </c>
      <c r="B17">
        <f>[1]Usage!$R16</f>
        <v>144.47637665503507</v>
      </c>
      <c r="C17">
        <f>[1]Usage!$X16</f>
        <v>9.6993788837415238</v>
      </c>
      <c r="D17">
        <f>[2]Usage!$R16</f>
        <v>144.30676722492461</v>
      </c>
      <c r="E17">
        <f>[2]Usage!$X16</f>
        <v>9.4845289138579467</v>
      </c>
      <c r="F17">
        <f>[3]Usage!$R16</f>
        <v>144.4480899798904</v>
      </c>
      <c r="G17">
        <f>[3]Usage!$X16</f>
        <v>9.9209445660185054</v>
      </c>
      <c r="I17">
        <f>[1]Usage!$S16</f>
        <v>3.4017160450342416</v>
      </c>
      <c r="J17">
        <f>[1]Usage!$Y16</f>
        <v>0.22837320217734003</v>
      </c>
      <c r="K17">
        <f>[2]Usage!$S16</f>
        <v>3.3977225678087328</v>
      </c>
      <c r="L17">
        <f>[2]Usage!$Y16</f>
        <v>0.22331453025637155</v>
      </c>
      <c r="M17">
        <f>[3]Usage!$S16</f>
        <v>3.401050031399846</v>
      </c>
      <c r="N17">
        <f>[3]Usage!$Y16</f>
        <v>0.23358999646496381</v>
      </c>
      <c r="P17">
        <f>[1]Usage!$T16</f>
        <v>190.94455006377194</v>
      </c>
      <c r="Q17">
        <f>[1]Usage!$Z16</f>
        <v>12.822354913122826</v>
      </c>
      <c r="R17">
        <f>[2]Usage!$T16</f>
        <v>190.71613434455838</v>
      </c>
      <c r="S17">
        <f>[2]Usage!$Z16</f>
        <v>12.535887573778227</v>
      </c>
      <c r="T17">
        <f>[3]Usage!$T16</f>
        <v>190.90536049285006</v>
      </c>
      <c r="U17">
        <f>[3]Usage!$Z16</f>
        <v>13.114367483975215</v>
      </c>
      <c r="W17">
        <f>[1]Usage!$U16</f>
        <v>9.8189270994219804</v>
      </c>
      <c r="X17">
        <f>[1]Usage!$AA16</f>
        <v>0.65919077135031334</v>
      </c>
      <c r="Y17">
        <f>[2]Usage!$U16</f>
        <v>9.8074000756400537</v>
      </c>
      <c r="Z17">
        <f>[2]Usage!$AA16</f>
        <v>0.64458910261773628</v>
      </c>
      <c r="AA17">
        <f>[3]Usage!$U16</f>
        <v>9.8170046757873273</v>
      </c>
      <c r="AB17">
        <f>[3]Usage!$AA16</f>
        <v>0.6742488544250701</v>
      </c>
      <c r="AD17">
        <f>[1]Usage!$V16</f>
        <v>106.55053220597704</v>
      </c>
      <c r="AE17">
        <f>[1]Usage!$AB16</f>
        <v>7.1510765626796573</v>
      </c>
      <c r="AF17">
        <f>[2]Usage!$V16</f>
        <v>106.42676115951323</v>
      </c>
      <c r="AG17">
        <f>[2]Usage!$AB16</f>
        <v>6.993766948719859</v>
      </c>
      <c r="AH17">
        <f>[3]Usage!$V16</f>
        <v>106.53025296103235</v>
      </c>
      <c r="AI17">
        <f>[3]Usage!$AB16</f>
        <v>7.3146972164430091</v>
      </c>
      <c r="AK17">
        <f>[1]Usage!$W16</f>
        <v>72.55356500921016</v>
      </c>
      <c r="AL17">
        <f>[1]Usage!$AC16</f>
        <v>4.8802705986300214</v>
      </c>
      <c r="AM17">
        <f>[2]Usage!$W16</f>
        <v>72.467023575189572</v>
      </c>
      <c r="AN17">
        <f>[2]Usage!$AC16</f>
        <v>4.768878865018352</v>
      </c>
      <c r="AO17">
        <f>[3]Usage!$W16</f>
        <v>72.538601700198484</v>
      </c>
      <c r="AP17">
        <f>[3]Usage!$AC16</f>
        <v>4.9915332923748874</v>
      </c>
    </row>
    <row r="18" spans="1:42" x14ac:dyDescent="0.2">
      <c r="A18">
        <v>2023.75</v>
      </c>
      <c r="B18">
        <f>[1]Usage!$R17</f>
        <v>199.38174104436374</v>
      </c>
      <c r="C18">
        <f>[1]Usage!$X17</f>
        <v>14.294252601279339</v>
      </c>
      <c r="D18">
        <f>[2]Usage!$R17</f>
        <v>199.15454998084695</v>
      </c>
      <c r="E18">
        <f>[2]Usage!$X17</f>
        <v>14.180511541438271</v>
      </c>
      <c r="F18">
        <f>[3]Usage!$R17</f>
        <v>199.29306784376473</v>
      </c>
      <c r="G18">
        <f>[3]Usage!$X17</f>
        <v>14.867888246631766</v>
      </c>
      <c r="I18">
        <f>[1]Usage!$S17</f>
        <v>4.6944703577173854</v>
      </c>
      <c r="J18">
        <f>[1]Usage!$Y17</f>
        <v>0.33656013219133951</v>
      </c>
      <c r="K18">
        <f>[2]Usage!$S17</f>
        <v>4.6891211130592181</v>
      </c>
      <c r="L18">
        <f>[2]Usage!$Y17</f>
        <v>0.33388208338364833</v>
      </c>
      <c r="M18">
        <f>[3]Usage!$S17</f>
        <v>4.6923825350834996</v>
      </c>
      <c r="N18">
        <f>[3]Usage!$Y17</f>
        <v>0.35006646190403812</v>
      </c>
      <c r="P18">
        <f>[1]Usage!$T17</f>
        <v>264.47760914256065</v>
      </c>
      <c r="Q18">
        <f>[1]Usage!$Z17</f>
        <v>18.976127395815801</v>
      </c>
      <c r="R18">
        <f>[2]Usage!$T17</f>
        <v>264.17207611981553</v>
      </c>
      <c r="S18">
        <f>[2]Usage!$Z17</f>
        <v>18.825072097502897</v>
      </c>
      <c r="T18">
        <f>[3]Usage!$T17</f>
        <v>264.3575457628009</v>
      </c>
      <c r="U18">
        <f>[3]Usage!$Z17</f>
        <v>19.739656396485849</v>
      </c>
      <c r="W18">
        <f>[1]Usage!$U17</f>
        <v>13.550414438651494</v>
      </c>
      <c r="X18">
        <f>[1]Usage!$AA17</f>
        <v>0.97146832916364823</v>
      </c>
      <c r="Y18">
        <f>[2]Usage!$U17</f>
        <v>13.53497404249844</v>
      </c>
      <c r="Z18">
        <f>[2]Usage!$AA17</f>
        <v>0.96373824068380609</v>
      </c>
      <c r="AA18">
        <f>[3]Usage!$U17</f>
        <v>13.544388016114382</v>
      </c>
      <c r="AB18">
        <f>[3]Usage!$AA17</f>
        <v>1.0104538485527037</v>
      </c>
      <c r="AD18">
        <f>[1]Usage!$V17</f>
        <v>146.45532707965947</v>
      </c>
      <c r="AE18">
        <f>[1]Usage!$AB17</f>
        <v>10.490595300205023</v>
      </c>
      <c r="AF18">
        <f>[2]Usage!$V17</f>
        <v>146.28970614666585</v>
      </c>
      <c r="AG18">
        <f>[2]Usage!$AB17</f>
        <v>10.406770861328265</v>
      </c>
      <c r="AH18">
        <f>[3]Usage!$V17</f>
        <v>146.3911593743031</v>
      </c>
      <c r="AI18">
        <f>[3]Usage!$AB17</f>
        <v>10.910097684541887</v>
      </c>
      <c r="AK18">
        <f>[1]Usage!$W17</f>
        <v>102.5690081067184</v>
      </c>
      <c r="AL18">
        <f>[1]Usage!$AC17</f>
        <v>7.3921776252555986</v>
      </c>
      <c r="AM18">
        <f>[2]Usage!$W17</f>
        <v>102.45098817765107</v>
      </c>
      <c r="AN18">
        <f>[2]Usage!$AC17</f>
        <v>7.3360597026783552</v>
      </c>
      <c r="AO18">
        <f>[3]Usage!$W17</f>
        <v>102.52103293559107</v>
      </c>
      <c r="AP18">
        <f>[3]Usage!$AC17</f>
        <v>7.6959085060449848</v>
      </c>
    </row>
    <row r="19" spans="1:42" x14ac:dyDescent="0.2">
      <c r="A19">
        <v>2024</v>
      </c>
      <c r="B19">
        <f>[1]Usage!$R18</f>
        <v>288.19672328049114</v>
      </c>
      <c r="C19">
        <f>[1]Usage!$X18</f>
        <v>21.503263643731238</v>
      </c>
      <c r="D19">
        <f>[2]Usage!$R18</f>
        <v>251.6375627735662</v>
      </c>
      <c r="E19">
        <f>[2]Usage!$X18</f>
        <v>19.127049302849201</v>
      </c>
      <c r="F19">
        <f>[3]Usage!$R18</f>
        <v>251.49617324385906</v>
      </c>
      <c r="G19">
        <f>[3]Usage!$X18</f>
        <v>19.855886695957942</v>
      </c>
      <c r="I19">
        <f>[1]Usage!$S18</f>
        <v>6.7856312596373085</v>
      </c>
      <c r="J19">
        <f>[1]Usage!$Y18</f>
        <v>0.50629728299552257</v>
      </c>
      <c r="K19">
        <f>[2]Usage!$S18</f>
        <v>5.9248408261512093</v>
      </c>
      <c r="L19">
        <f>[2]Usage!$Y18</f>
        <v>0.4503489913995955</v>
      </c>
      <c r="M19">
        <f>[3]Usage!$S18</f>
        <v>5.9215117903396797</v>
      </c>
      <c r="N19">
        <f>[3]Usage!$Y18</f>
        <v>0.4675095674865688</v>
      </c>
      <c r="P19">
        <f>[1]Usage!$T18</f>
        <v>383.01385164828957</v>
      </c>
      <c r="Q19">
        <f>[1]Usage!$Z18</f>
        <v>28.5975793134964</v>
      </c>
      <c r="R19">
        <f>[2]Usage!$T18</f>
        <v>334.21813113437656</v>
      </c>
      <c r="S19">
        <f>[2]Usage!$Z18</f>
        <v>25.426931208294267</v>
      </c>
      <c r="T19">
        <f>[3]Usage!$T18</f>
        <v>334.03002449849583</v>
      </c>
      <c r="U19">
        <f>[3]Usage!$Z18</f>
        <v>26.396850699982764</v>
      </c>
      <c r="W19">
        <f>[1]Usage!$U18</f>
        <v>19.586472762533894</v>
      </c>
      <c r="X19">
        <f>[1]Usage!$AA18</f>
        <v>1.461408314672666</v>
      </c>
      <c r="Y19">
        <f>[2]Usage!$U18</f>
        <v>17.101833127012881</v>
      </c>
      <c r="Z19">
        <f>[2]Usage!$AA18</f>
        <v>1.299915647664335</v>
      </c>
      <c r="AA19">
        <f>[3]Usage!$U18</f>
        <v>17.092223988709733</v>
      </c>
      <c r="AB19">
        <f>[3]Usage!$AA18</f>
        <v>1.3494490135747683</v>
      </c>
      <c r="AD19">
        <f>[1]Usage!$V18</f>
        <v>210.89595535879619</v>
      </c>
      <c r="AE19">
        <f>[1]Usage!$AB18</f>
        <v>15.721167768392352</v>
      </c>
      <c r="AF19">
        <f>[2]Usage!$V18</f>
        <v>184.36929849914938</v>
      </c>
      <c r="AG19">
        <f>[2]Usage!$AB18</f>
        <v>13.995782457416082</v>
      </c>
      <c r="AH19">
        <f>[3]Usage!$V18</f>
        <v>184.26766202517786</v>
      </c>
      <c r="AI19">
        <f>[3]Usage!$AB18</f>
        <v>14.529191511249762</v>
      </c>
      <c r="AK19">
        <f>[1]Usage!$W18</f>
        <v>152.73828160526548</v>
      </c>
      <c r="AL19">
        <f>[1]Usage!$AC18</f>
        <v>11.464360465772996</v>
      </c>
      <c r="AM19">
        <f>[2]Usage!$W18</f>
        <v>132.09727708671574</v>
      </c>
      <c r="AN19">
        <f>[2]Usage!$AC18</f>
        <v>10.130230230836943</v>
      </c>
      <c r="AO19">
        <f>[3]Usage!$W18</f>
        <v>132.00920943860322</v>
      </c>
      <c r="AP19">
        <f>[3]Usage!$AC18</f>
        <v>10.513499098466241</v>
      </c>
    </row>
    <row r="20" spans="1:42" x14ac:dyDescent="0.2">
      <c r="A20">
        <v>2024.25</v>
      </c>
      <c r="B20">
        <f>[1]Usage!$R19</f>
        <v>382.75110213292373</v>
      </c>
      <c r="C20">
        <f>[1]Usage!$X19</f>
        <v>30.131893009312126</v>
      </c>
      <c r="D20">
        <f>[2]Usage!$R19</f>
        <v>299.1454525009035</v>
      </c>
      <c r="E20">
        <f>[2]Usage!$X19</f>
        <v>23.7474328859469</v>
      </c>
      <c r="F20">
        <f>[3]Usage!$R19</f>
        <v>295.26324529313132</v>
      </c>
      <c r="G20">
        <f>[3]Usage!$X19</f>
        <v>24.31580549375273</v>
      </c>
      <c r="I20">
        <f>[1]Usage!$S19</f>
        <v>9.0119270397326261</v>
      </c>
      <c r="J20">
        <f>[1]Usage!$Y19</f>
        <v>0.70945954134613154</v>
      </c>
      <c r="K20">
        <f>[2]Usage!$S19</f>
        <v>7.0434205863363051</v>
      </c>
      <c r="L20">
        <f>[2]Usage!$Y19</f>
        <v>0.55913655468659662</v>
      </c>
      <c r="M20">
        <f>[3]Usage!$S19</f>
        <v>6.9520134867496477</v>
      </c>
      <c r="N20">
        <f>[3]Usage!$Y19</f>
        <v>0.57251896546055669</v>
      </c>
      <c r="P20">
        <f>[1]Usage!$T19</f>
        <v>508.77904768640929</v>
      </c>
      <c r="Q20">
        <f>[1]Usage!$Z19</f>
        <v>40.07437474986807</v>
      </c>
      <c r="R20">
        <f>[2]Usage!$T19</f>
        <v>397.40757976097751</v>
      </c>
      <c r="S20">
        <f>[2]Usage!$Z19</f>
        <v>31.572426045783143</v>
      </c>
      <c r="T20">
        <f>[3]Usage!$T19</f>
        <v>392.24387416992886</v>
      </c>
      <c r="U20">
        <f>[3]Usage!$Z19</f>
        <v>32.328914013455915</v>
      </c>
      <c r="W20">
        <f>[1]Usage!$U19</f>
        <v>26.012592896346145</v>
      </c>
      <c r="X20">
        <f>[1]Usage!$AA19</f>
        <v>2.047828632444511</v>
      </c>
      <c r="Y20">
        <f>[2]Usage!$U19</f>
        <v>20.330572085451088</v>
      </c>
      <c r="Z20">
        <f>[2]Usage!$AA19</f>
        <v>1.6139269111259409</v>
      </c>
      <c r="AA20">
        <f>[3]Usage!$U19</f>
        <v>20.06672888533414</v>
      </c>
      <c r="AB20">
        <f>[3]Usage!$AA19</f>
        <v>1.6525547430979386</v>
      </c>
      <c r="AD20">
        <f>[1]Usage!$V19</f>
        <v>279.38607707574056</v>
      </c>
      <c r="AE20">
        <f>[1]Usage!$AB19</f>
        <v>21.971284184696547</v>
      </c>
      <c r="AF20">
        <f>[2]Usage!$V19</f>
        <v>218.78146628482767</v>
      </c>
      <c r="AG20">
        <f>[2]Usage!$AB19</f>
        <v>17.342540564507082</v>
      </c>
      <c r="AH20">
        <f>[3]Usage!$V19</f>
        <v>215.97018208008922</v>
      </c>
      <c r="AI20">
        <f>[3]Usage!$AB19</f>
        <v>17.759717532528729</v>
      </c>
      <c r="AK20">
        <f>[1]Usage!$W19</f>
        <v>207.84517423185534</v>
      </c>
      <c r="AL20">
        <f>[1]Usage!$AC19</f>
        <v>16.493180471092856</v>
      </c>
      <c r="AM20">
        <f>[2]Usage!$W19</f>
        <v>159.78517700096594</v>
      </c>
      <c r="AN20">
        <f>[2]Usage!$AC19</f>
        <v>12.823019132816736</v>
      </c>
      <c r="AO20">
        <f>[3]Usage!$W19</f>
        <v>157.5169370475337</v>
      </c>
      <c r="AP20">
        <f>[3]Usage!$AC19</f>
        <v>13.112768104261884</v>
      </c>
    </row>
    <row r="21" spans="1:42" x14ac:dyDescent="0.2">
      <c r="A21">
        <v>2024.5</v>
      </c>
      <c r="B21">
        <f>[1]Usage!$R20</f>
        <v>524.02573438184618</v>
      </c>
      <c r="C21">
        <f>[1]Usage!$X20</f>
        <v>41.713418656651243</v>
      </c>
      <c r="D21">
        <f>[2]Usage!$R20</f>
        <v>409.7715432919702</v>
      </c>
      <c r="E21">
        <f>[2]Usage!$X20</f>
        <v>33.642357027953238</v>
      </c>
      <c r="F21">
        <f>[3]Usage!$R20</f>
        <v>385.38504036666745</v>
      </c>
      <c r="G21">
        <f>[3]Usage!$X20</f>
        <v>32.77524509089951</v>
      </c>
      <c r="I21">
        <f>[1]Usage!$S20</f>
        <v>12.338257574896438</v>
      </c>
      <c r="J21">
        <f>[1]Usage!$Y20</f>
        <v>0.98214814645004456</v>
      </c>
      <c r="K21">
        <f>[2]Usage!$S20</f>
        <v>9.6481270217829724</v>
      </c>
      <c r="L21">
        <f>[2]Usage!$Y20</f>
        <v>0.79211389670998256</v>
      </c>
      <c r="M21">
        <f>[3]Usage!$S20</f>
        <v>9.0739434756289157</v>
      </c>
      <c r="N21">
        <f>[3]Usage!$Y20</f>
        <v>0.77169762757721438</v>
      </c>
      <c r="P21">
        <f>[1]Usage!$T20</f>
        <v>696.05131135523379</v>
      </c>
      <c r="Q21">
        <f>[1]Usage!$Z20</f>
        <v>55.42673129250764</v>
      </c>
      <c r="R21">
        <f>[2]Usage!$T20</f>
        <v>544.05243817244923</v>
      </c>
      <c r="S21">
        <f>[2]Usage!$Z20</f>
        <v>44.689040213568113</v>
      </c>
      <c r="T21">
        <f>[3]Usage!$T20</f>
        <v>511.70843975153736</v>
      </c>
      <c r="U21">
        <f>[3]Usage!$Z20</f>
        <v>43.542663980513076</v>
      </c>
      <c r="W21">
        <f>[1]Usage!$U20</f>
        <v>35.613922519679249</v>
      </c>
      <c r="X21">
        <f>[1]Usage!$AA20</f>
        <v>2.834934169447509</v>
      </c>
      <c r="Y21">
        <f>[2]Usage!$U20</f>
        <v>27.848960530124653</v>
      </c>
      <c r="Z21">
        <f>[2]Usage!$AA20</f>
        <v>2.2864073612458453</v>
      </c>
      <c r="AA21">
        <f>[3]Usage!$U20</f>
        <v>26.191601036640677</v>
      </c>
      <c r="AB21">
        <f>[3]Usage!$AA20</f>
        <v>2.2274765582032257</v>
      </c>
      <c r="AD21">
        <f>[1]Usage!$V20</f>
        <v>381.54882904072008</v>
      </c>
      <c r="AE21">
        <f>[1]Usage!$AB20</f>
        <v>30.346464592176808</v>
      </c>
      <c r="AF21">
        <f>[2]Usage!$V20</f>
        <v>298.78072513569794</v>
      </c>
      <c r="AG21">
        <f>[2]Usage!$AB20</f>
        <v>24.498055073657692</v>
      </c>
      <c r="AH21">
        <f>[3]Usage!$V20</f>
        <v>281.1417592427444</v>
      </c>
      <c r="AI21">
        <f>[3]Usage!$AB20</f>
        <v>23.877161376256197</v>
      </c>
      <c r="AK21">
        <f>[1]Usage!$W20</f>
        <v>292.67759925511916</v>
      </c>
      <c r="AL21">
        <f>[1]Usage!$AC20</f>
        <v>23.447641371063781</v>
      </c>
      <c r="AM21">
        <f>[2]Usage!$W20</f>
        <v>226.21380189460126</v>
      </c>
      <c r="AN21">
        <f>[2]Usage!$AC20</f>
        <v>18.764711544435372</v>
      </c>
      <c r="AO21">
        <f>[3]Usage!$W20</f>
        <v>211.6331665632967</v>
      </c>
      <c r="AP21">
        <f>[3]Usage!$AC20</f>
        <v>18.192482444620797</v>
      </c>
    </row>
    <row r="22" spans="1:42" x14ac:dyDescent="0.2">
      <c r="A22">
        <v>2024.75</v>
      </c>
      <c r="B22">
        <f>[1]Usage!$R21</f>
        <v>639.8681205263315</v>
      </c>
      <c r="C22">
        <f>[1]Usage!$X21</f>
        <v>53.379137512405642</v>
      </c>
      <c r="D22">
        <f>[2]Usage!$R21</f>
        <v>490.60868130612823</v>
      </c>
      <c r="E22">
        <f>[2]Usage!$X21</f>
        <v>42.306147237227052</v>
      </c>
      <c r="F22">
        <f>[3]Usage!$R21</f>
        <v>437.30761742646735</v>
      </c>
      <c r="G22">
        <f>[3]Usage!$X21</f>
        <v>38.837780013247809</v>
      </c>
      <c r="I22">
        <f>[1]Usage!$S21</f>
        <v>15.065782397751377</v>
      </c>
      <c r="J22">
        <f>[1]Usage!$Y21</f>
        <v>1.2568190921592526</v>
      </c>
      <c r="K22">
        <f>[2]Usage!$S21</f>
        <v>11.551448490551447</v>
      </c>
      <c r="L22">
        <f>[2]Usage!$Y21</f>
        <v>0.99610402193347658</v>
      </c>
      <c r="M22">
        <f>[3]Usage!$S21</f>
        <v>10.296467652751492</v>
      </c>
      <c r="N22">
        <f>[3]Usage!$Y21</f>
        <v>0.91444084135654413</v>
      </c>
      <c r="P22">
        <f>[1]Usage!$T21</f>
        <v>849.09783884236799</v>
      </c>
      <c r="Q22">
        <f>[1]Usage!$Z21</f>
        <v>70.839032617927032</v>
      </c>
      <c r="R22">
        <f>[2]Usage!$T21</f>
        <v>650.85137141985513</v>
      </c>
      <c r="S22">
        <f>[2]Usage!$Z21</f>
        <v>56.13530828985386</v>
      </c>
      <c r="T22">
        <f>[3]Usage!$T21</f>
        <v>580.30656157608337</v>
      </c>
      <c r="U22">
        <f>[3]Usage!$Z21</f>
        <v>51.552253117235644</v>
      </c>
      <c r="W22">
        <f>[1]Usage!$U21</f>
        <v>43.486821680845686</v>
      </c>
      <c r="X22">
        <f>[1]Usage!$AA21</f>
        <v>3.6277616590273629</v>
      </c>
      <c r="Y22">
        <f>[2]Usage!$U21</f>
        <v>33.342827302421426</v>
      </c>
      <c r="Z22">
        <f>[2]Usage!$AA21</f>
        <v>2.8752172860175902</v>
      </c>
      <c r="AA22">
        <f>[3]Usage!$U21</f>
        <v>29.720371696370034</v>
      </c>
      <c r="AB22">
        <f>[3]Usage!$AA21</f>
        <v>2.639499546448365</v>
      </c>
      <c r="AD22">
        <f>[1]Usage!$V21</f>
        <v>465.18365626687546</v>
      </c>
      <c r="AE22">
        <f>[1]Usage!$AB21</f>
        <v>38.768773674735087</v>
      </c>
      <c r="AF22">
        <f>[2]Usage!$V21</f>
        <v>357.14278324142902</v>
      </c>
      <c r="AG22">
        <f>[2]Usage!$AB21</f>
        <v>30.753059147663176</v>
      </c>
      <c r="AH22">
        <f>[3]Usage!$V21</f>
        <v>318.62834689052335</v>
      </c>
      <c r="AI22">
        <f>[3]Usage!$AB21</f>
        <v>28.254134931952166</v>
      </c>
      <c r="AK22">
        <f>[1]Usage!$W21</f>
        <v>364.25626391631533</v>
      </c>
      <c r="AL22">
        <f>[1]Usage!$AC21</f>
        <v>30.655854235104382</v>
      </c>
      <c r="AM22">
        <f>[2]Usage!$W21</f>
        <v>276.16282821100805</v>
      </c>
      <c r="AN22">
        <f>[2]Usage!$AC21</f>
        <v>24.118041657224033</v>
      </c>
      <c r="AO22">
        <f>[3]Usage!$W21</f>
        <v>243.71597196298038</v>
      </c>
      <c r="AP22">
        <f>[3]Usage!$AC21</f>
        <v>21.938504679196623</v>
      </c>
    </row>
    <row r="23" spans="1:42" x14ac:dyDescent="0.2">
      <c r="A23">
        <v>2025</v>
      </c>
      <c r="B23">
        <f>[1]Usage!$R22</f>
        <v>801.371222018004</v>
      </c>
      <c r="C23">
        <f>[1]Usage!$X22</f>
        <v>67.469523481942929</v>
      </c>
      <c r="D23">
        <f>[2]Usage!$R22</f>
        <v>608.67350394103983</v>
      </c>
      <c r="E23">
        <f>[2]Usage!$X22</f>
        <v>52.129226971311077</v>
      </c>
      <c r="F23">
        <f>[3]Usage!$R22</f>
        <v>494.37080295718908</v>
      </c>
      <c r="G23">
        <f>[3]Usage!$X22</f>
        <v>45.505890199526142</v>
      </c>
      <c r="I23">
        <f>[1]Usage!$S22</f>
        <v>18.868395007415476</v>
      </c>
      <c r="J23">
        <f>[1]Usage!$Y22</f>
        <v>1.5885791566281031</v>
      </c>
      <c r="K23">
        <f>[2]Usage!$S22</f>
        <v>14.331300884484694</v>
      </c>
      <c r="L23">
        <f>[2]Usage!$Y22</f>
        <v>1.2273897775478342</v>
      </c>
      <c r="M23">
        <f>[3]Usage!$S22</f>
        <v>11.640028159284011</v>
      </c>
      <c r="N23">
        <f>[3]Usage!$Y22</f>
        <v>1.0714424075356248</v>
      </c>
      <c r="P23">
        <f>[1]Usage!$T22</f>
        <v>1061.7645669362712</v>
      </c>
      <c r="Q23">
        <f>[1]Usage!$Z22</f>
        <v>89.393204358562272</v>
      </c>
      <c r="R23">
        <f>[2]Usage!$T22</f>
        <v>806.31872344496969</v>
      </c>
      <c r="S23">
        <f>[2]Usage!$Z22</f>
        <v>69.070305869209292</v>
      </c>
      <c r="T23">
        <f>[3]Usage!$T22</f>
        <v>655.44716785143521</v>
      </c>
      <c r="U23">
        <f>[3]Usage!$Z22</f>
        <v>60.332797656552493</v>
      </c>
      <c r="W23">
        <f>[1]Usage!$U22</f>
        <v>54.462921833631576</v>
      </c>
      <c r="X23">
        <f>[1]Usage!$AA22</f>
        <v>4.5853747708784995</v>
      </c>
      <c r="Y23">
        <f>[2]Usage!$U22</f>
        <v>41.366768055215644</v>
      </c>
      <c r="Z23">
        <f>[2]Usage!$AA22</f>
        <v>3.5428150347559759</v>
      </c>
      <c r="AA23">
        <f>[3]Usage!$U22</f>
        <v>33.598509228326343</v>
      </c>
      <c r="AB23">
        <f>[3]Usage!$AA22</f>
        <v>3.0926787396552307</v>
      </c>
      <c r="AD23">
        <f>[1]Usage!$V22</f>
        <v>581.59647342213805</v>
      </c>
      <c r="AE23">
        <f>[1]Usage!$AB22</f>
        <v>48.925244419684837</v>
      </c>
      <c r="AF23">
        <f>[2]Usage!$V22</f>
        <v>442.24491739812299</v>
      </c>
      <c r="AG23">
        <f>[2]Usage!$AB22</f>
        <v>37.833619052851446</v>
      </c>
      <c r="AH23">
        <f>[3]Usage!$V22</f>
        <v>359.75997917578479</v>
      </c>
      <c r="AI23">
        <f>[3]Usage!$AB22</f>
        <v>33.060565797469557</v>
      </c>
      <c r="AK23">
        <f>[1]Usage!$W22</f>
        <v>466.82145323945622</v>
      </c>
      <c r="AL23">
        <f>[1]Usage!$AC22</f>
        <v>39.604184584514037</v>
      </c>
      <c r="AM23">
        <f>[2]Usage!$W22</f>
        <v>351.14182721541511</v>
      </c>
      <c r="AN23">
        <f>[2]Usage!$AC22</f>
        <v>30.35634930182729</v>
      </c>
      <c r="AO23">
        <f>[3]Usage!$W22</f>
        <v>279.95488238193457</v>
      </c>
      <c r="AP23">
        <f>[3]Usage!$AC22</f>
        <v>26.173197247738198</v>
      </c>
    </row>
    <row r="24" spans="1:42" x14ac:dyDescent="0.2">
      <c r="A24">
        <v>2025.25</v>
      </c>
      <c r="B24">
        <f>[1]Usage!$R23</f>
        <v>975.30673589585717</v>
      </c>
      <c r="C24">
        <f>[1]Usage!$X23</f>
        <v>84.83725707674985</v>
      </c>
      <c r="D24">
        <f>[2]Usage!$R23</f>
        <v>728.88836146118115</v>
      </c>
      <c r="E24">
        <f>[2]Usage!$X23</f>
        <v>64.500194644413938</v>
      </c>
      <c r="F24">
        <f>[3]Usage!$R23</f>
        <v>559.30323456615224</v>
      </c>
      <c r="G24">
        <f>[3]Usage!$X23</f>
        <v>52.625919783330232</v>
      </c>
      <c r="I24">
        <f>[1]Usage!$S23</f>
        <v>22.963730466805604</v>
      </c>
      <c r="J24">
        <f>[1]Usage!$Y23</f>
        <v>1.9975048191009375</v>
      </c>
      <c r="K24">
        <f>[2]Usage!$S23</f>
        <v>17.161776143801202</v>
      </c>
      <c r="L24">
        <f>[2]Usage!$Y23</f>
        <v>1.5186659031020757</v>
      </c>
      <c r="M24">
        <f>[3]Usage!$S23</f>
        <v>13.168871140823448</v>
      </c>
      <c r="N24">
        <f>[3]Usage!$Y23</f>
        <v>1.2390844777280099</v>
      </c>
      <c r="P24">
        <f>[1]Usage!$T23</f>
        <v>1288.5833596354105</v>
      </c>
      <c r="Q24">
        <f>[1]Usage!$Z23</f>
        <v>112.04141620482616</v>
      </c>
      <c r="R24">
        <f>[2]Usage!$T23</f>
        <v>963.08365453526937</v>
      </c>
      <c r="S24">
        <f>[2]Usage!$Z23</f>
        <v>85.202537232286616</v>
      </c>
      <c r="T24">
        <f>[3]Usage!$T23</f>
        <v>740.12162803618617</v>
      </c>
      <c r="U24">
        <f>[3]Usage!$Z23</f>
        <v>69.617597972344868</v>
      </c>
      <c r="W24">
        <f>[1]Usage!$U23</f>
        <v>66.283955626893032</v>
      </c>
      <c r="X24">
        <f>[1]Usage!$AA23</f>
        <v>5.7657235171428818</v>
      </c>
      <c r="Y24">
        <f>[2]Usage!$U23</f>
        <v>49.536829829923995</v>
      </c>
      <c r="Z24">
        <f>[2]Usage!$AA23</f>
        <v>4.3835727596090495</v>
      </c>
      <c r="AA24">
        <f>[3]Usage!$U23</f>
        <v>38.011457747093019</v>
      </c>
      <c r="AB24">
        <f>[3]Usage!$AA23</f>
        <v>3.5765713527432941</v>
      </c>
      <c r="AD24">
        <f>[1]Usage!$V23</f>
        <v>707.88729938559902</v>
      </c>
      <c r="AE24">
        <f>[1]Usage!$AB23</f>
        <v>61.53558127327203</v>
      </c>
      <c r="AF24">
        <f>[2]Usage!$V23</f>
        <v>529.53033318710368</v>
      </c>
      <c r="AG24">
        <f>[2]Usage!$AB23</f>
        <v>46.815911918589002</v>
      </c>
      <c r="AH24">
        <f>[3]Usage!$V23</f>
        <v>406.90601759477408</v>
      </c>
      <c r="AI24">
        <f>[3]Usage!$AB23</f>
        <v>38.230265745315506</v>
      </c>
      <c r="AK24">
        <f>[1]Usage!$W23</f>
        <v>579.70551206656569</v>
      </c>
      <c r="AL24">
        <f>[1]Usage!$AC23</f>
        <v>50.875834732893438</v>
      </c>
      <c r="AM24">
        <f>[2]Usage!$W23</f>
        <v>429.16120776426635</v>
      </c>
      <c r="AN24">
        <f>[2]Usage!$AC23</f>
        <v>38.385100943309197</v>
      </c>
      <c r="AO24">
        <f>[3]Usage!$W23</f>
        <v>322.09599701756252</v>
      </c>
      <c r="AP24">
        <f>[3]Usage!$AC23</f>
        <v>30.794092776602582</v>
      </c>
    </row>
    <row r="25" spans="1:42" x14ac:dyDescent="0.2">
      <c r="A25">
        <v>2025.5</v>
      </c>
      <c r="B25">
        <f>[1]Usage!$R24</f>
        <v>1205.4739490310542</v>
      </c>
      <c r="C25">
        <f>[1]Usage!$X24</f>
        <v>105.98322932473431</v>
      </c>
      <c r="D25">
        <f>[2]Usage!$R24</f>
        <v>845.28583109506098</v>
      </c>
      <c r="E25">
        <f>[2]Usage!$X24</f>
        <v>76.793782011859292</v>
      </c>
      <c r="F25">
        <f>[3]Usage!$R24</f>
        <v>616.37672535015793</v>
      </c>
      <c r="G25">
        <f>[3]Usage!$X24</f>
        <v>60.006243827626406</v>
      </c>
      <c r="I25">
        <f>[1]Usage!$S24</f>
        <v>28.383048974718427</v>
      </c>
      <c r="J25">
        <f>[1]Usage!$Y24</f>
        <v>2.4953896273251241</v>
      </c>
      <c r="K25">
        <f>[2]Usage!$S24</f>
        <v>19.90237048331986</v>
      </c>
      <c r="L25">
        <f>[2]Usage!$Y24</f>
        <v>1.8081200987780972</v>
      </c>
      <c r="M25">
        <f>[3]Usage!$S24</f>
        <v>14.512674285953747</v>
      </c>
      <c r="N25">
        <f>[3]Usage!$Y24</f>
        <v>1.4128552165871322</v>
      </c>
      <c r="P25">
        <f>[1]Usage!$T24</f>
        <v>1585.8824608255406</v>
      </c>
      <c r="Q25">
        <f>[1]Usage!$Z24</f>
        <v>139.35494386797126</v>
      </c>
      <c r="R25">
        <f>[2]Usage!$T24</f>
        <v>1113.4302770258996</v>
      </c>
      <c r="S25">
        <f>[2]Usage!$Z24</f>
        <v>101.08174272363094</v>
      </c>
      <c r="T25">
        <f>[3]Usage!$T24</f>
        <v>813.84150012718351</v>
      </c>
      <c r="U25">
        <f>[3]Usage!$Z24</f>
        <v>79.150509610686413</v>
      </c>
      <c r="W25">
        <f>[1]Usage!$U24</f>
        <v>81.926617346239652</v>
      </c>
      <c r="X25">
        <f>[1]Usage!$AA24</f>
        <v>7.2028495356415165</v>
      </c>
      <c r="Y25">
        <f>[2]Usage!$U24</f>
        <v>57.447453665827197</v>
      </c>
      <c r="Z25">
        <f>[2]Usage!$AA24</f>
        <v>5.2190715514948582</v>
      </c>
      <c r="AA25">
        <f>[3]Usage!$U24</f>
        <v>41.890295646355582</v>
      </c>
      <c r="AB25">
        <f>[3]Usage!$AA24</f>
        <v>4.0781541404545596</v>
      </c>
      <c r="AD25">
        <f>[1]Usage!$V24</f>
        <v>876.18327342311954</v>
      </c>
      <c r="AE25">
        <f>[1]Usage!$AB24</f>
        <v>76.997305590864315</v>
      </c>
      <c r="AF25">
        <f>[2]Usage!$V24</f>
        <v>614.63900379532822</v>
      </c>
      <c r="AG25">
        <f>[2]Usage!$AB24</f>
        <v>55.804860571342132</v>
      </c>
      <c r="AH25">
        <f>[3]Usage!$V24</f>
        <v>448.6375856681716</v>
      </c>
      <c r="AI25">
        <f>[3]Usage!$AB24</f>
        <v>43.626685186766437</v>
      </c>
      <c r="AK25">
        <f>[1]Usage!$W24</f>
        <v>732.19454120160412</v>
      </c>
      <c r="AL25">
        <f>[1]Usage!$AC24</f>
        <v>64.885339971667705</v>
      </c>
      <c r="AM25">
        <f>[2]Usage!$W24</f>
        <v>506.27617516763729</v>
      </c>
      <c r="AN25">
        <f>[2]Usage!$AC24</f>
        <v>46.529776184901401</v>
      </c>
      <c r="AO25">
        <f>[3]Usage!$W24</f>
        <v>359.90799065667619</v>
      </c>
      <c r="AP25">
        <f>[3]Usage!$AC24</f>
        <v>35.683661681256474</v>
      </c>
    </row>
    <row r="26" spans="1:42" x14ac:dyDescent="0.2">
      <c r="A26">
        <v>2025.75</v>
      </c>
      <c r="B26">
        <f>[1]Usage!$R25</f>
        <v>1433.0630497830782</v>
      </c>
      <c r="C26">
        <f>[1]Usage!$X25</f>
        <v>130.17976531469589</v>
      </c>
      <c r="D26">
        <f>[2]Usage!$R25</f>
        <v>955.55772570773843</v>
      </c>
      <c r="E26">
        <f>[2]Usage!$X25</f>
        <v>89.476566023020183</v>
      </c>
      <c r="F26">
        <f>[3]Usage!$R25</f>
        <v>678.38886441617967</v>
      </c>
      <c r="G26">
        <f>[3]Usage!$X25</f>
        <v>67.746875893537734</v>
      </c>
      <c r="I26">
        <f>[1]Usage!$S25</f>
        <v>33.741665474020664</v>
      </c>
      <c r="J26">
        <f>[1]Usage!$Y25</f>
        <v>3.0651003760091875</v>
      </c>
      <c r="K26">
        <f>[2]Usage!$S25</f>
        <v>22.498737321311136</v>
      </c>
      <c r="L26">
        <f>[2]Usage!$Y25</f>
        <v>2.1067379826518216</v>
      </c>
      <c r="M26">
        <f>[3]Usage!$S25</f>
        <v>15.972758580228781</v>
      </c>
      <c r="N26">
        <f>[3]Usage!$Y25</f>
        <v>1.5951094570861755</v>
      </c>
      <c r="P26">
        <f>[1]Usage!$T25</f>
        <v>1877.1186810791132</v>
      </c>
      <c r="Q26">
        <f>[1]Usage!$Z25</f>
        <v>170.31823543888044</v>
      </c>
      <c r="R26">
        <f>[2]Usage!$T25</f>
        <v>1254.5405924192032</v>
      </c>
      <c r="S26">
        <f>[2]Usage!$Z25</f>
        <v>117.31136912268903</v>
      </c>
      <c r="T26">
        <f>[3]Usage!$T25</f>
        <v>893.19583182299277</v>
      </c>
      <c r="U26">
        <f>[3]Usage!$Z25</f>
        <v>89.055871588920638</v>
      </c>
      <c r="W26">
        <f>[1]Usage!$U25</f>
        <v>97.394064970863127</v>
      </c>
      <c r="X26">
        <f>[1]Usage!$AA25</f>
        <v>8.8472984652492279</v>
      </c>
      <c r="Y26">
        <f>[2]Usage!$U25</f>
        <v>64.941770171994165</v>
      </c>
      <c r="Z26">
        <f>[2]Usage!$AA25</f>
        <v>6.0810209892264382</v>
      </c>
      <c r="AA26">
        <f>[3]Usage!$U25</f>
        <v>46.104774766511902</v>
      </c>
      <c r="AB26">
        <f>[3]Usage!$AA25</f>
        <v>4.6042242407596579</v>
      </c>
      <c r="AD26">
        <f>[1]Usage!$V25</f>
        <v>1043.7230795447695</v>
      </c>
      <c r="AE26">
        <f>[1]Usage!$AB25</f>
        <v>94.809595086180281</v>
      </c>
      <c r="AF26">
        <f>[2]Usage!$V25</f>
        <v>695.81570242908606</v>
      </c>
      <c r="AG26">
        <f>[2]Usage!$AB25</f>
        <v>65.14129701443818</v>
      </c>
      <c r="AH26">
        <f>[3]Usage!$V25</f>
        <v>494.28784625613463</v>
      </c>
      <c r="AI26">
        <f>[3]Usage!$AB25</f>
        <v>49.324954529615347</v>
      </c>
      <c r="AK26">
        <f>[1]Usage!$W25</f>
        <v>885.96030643550785</v>
      </c>
      <c r="AL26">
        <f>[1]Usage!$AC25</f>
        <v>81.233218056392033</v>
      </c>
      <c r="AM26">
        <f>[2]Usage!$W25</f>
        <v>580.77904987860893</v>
      </c>
      <c r="AN26">
        <f>[2]Usage!$AC25</f>
        <v>55.098631118325223</v>
      </c>
      <c r="AO26">
        <f>[3]Usage!$W25</f>
        <v>401.80518162834568</v>
      </c>
      <c r="AP26">
        <f>[3]Usage!$AC25</f>
        <v>40.913456118143024</v>
      </c>
    </row>
    <row r="27" spans="1:42" x14ac:dyDescent="0.2">
      <c r="A27">
        <v>2026</v>
      </c>
      <c r="B27">
        <f>[1]Usage!$R26</f>
        <v>1738.8014207357664</v>
      </c>
      <c r="C27">
        <f>[1]Usage!$X26</f>
        <v>158.54769562377192</v>
      </c>
      <c r="D27">
        <f>[2]Usage!$R26</f>
        <v>1116.1972085521948</v>
      </c>
      <c r="E27">
        <f>[2]Usage!$X26</f>
        <v>104.40595737876568</v>
      </c>
      <c r="F27">
        <f>[3]Usage!$R26</f>
        <v>746.3712911173086</v>
      </c>
      <c r="G27">
        <f>[3]Usage!$X26</f>
        <v>75.395257079351524</v>
      </c>
      <c r="I27">
        <f>[1]Usage!$S26</f>
        <v>40.940317226865162</v>
      </c>
      <c r="J27">
        <f>[1]Usage!$Y26</f>
        <v>3.7330271743618928</v>
      </c>
      <c r="K27">
        <f>[2]Usage!$S26</f>
        <v>26.281015911829385</v>
      </c>
      <c r="L27">
        <f>[2]Usage!$Y26</f>
        <v>2.4582525436702998</v>
      </c>
      <c r="M27">
        <f>[3]Usage!$S26</f>
        <v>17.573414113290529</v>
      </c>
      <c r="N27">
        <f>[3]Usage!$Y26</f>
        <v>1.7751916379983035</v>
      </c>
      <c r="P27">
        <f>[1]Usage!$T26</f>
        <v>2264.7950752363581</v>
      </c>
      <c r="Q27">
        <f>[1]Usage!$Z26</f>
        <v>206.28878404113109</v>
      </c>
      <c r="R27">
        <f>[2]Usage!$T26</f>
        <v>1458.2315301133156</v>
      </c>
      <c r="S27">
        <f>[2]Usage!$Z26</f>
        <v>136.24184418776809</v>
      </c>
      <c r="T27">
        <f>[3]Usage!$T26</f>
        <v>979.39757996284675</v>
      </c>
      <c r="U27">
        <f>[3]Usage!$Z26</f>
        <v>98.75402242951381</v>
      </c>
      <c r="W27">
        <f>[1]Usage!$U26</f>
        <v>118.17270605658459</v>
      </c>
      <c r="X27">
        <f>[1]Usage!$AA26</f>
        <v>10.775244376651578</v>
      </c>
      <c r="Y27">
        <f>[2]Usage!$U26</f>
        <v>75.85917693327174</v>
      </c>
      <c r="Z27">
        <f>[2]Usage!$AA26</f>
        <v>7.0956547221225694</v>
      </c>
      <c r="AA27">
        <f>[3]Usage!$U26</f>
        <v>50.725007549716331</v>
      </c>
      <c r="AB27">
        <f>[3]Usage!$AA26</f>
        <v>5.1240247716894247</v>
      </c>
      <c r="AD27">
        <f>[1]Usage!$V26</f>
        <v>1270.2648508412674</v>
      </c>
      <c r="AE27">
        <f>[1]Usage!$AB26</f>
        <v>115.82927004620737</v>
      </c>
      <c r="AF27">
        <f>[2]Usage!$V26</f>
        <v>814.84411508903304</v>
      </c>
      <c r="AG27">
        <f>[2]Usage!$AB26</f>
        <v>76.203470046793939</v>
      </c>
      <c r="AH27">
        <f>[3]Usage!$V26</f>
        <v>544.66052049364907</v>
      </c>
      <c r="AI27">
        <f>[3]Usage!$AB26</f>
        <v>54.99214578201196</v>
      </c>
      <c r="AK27">
        <f>[1]Usage!$W26</f>
        <v>1096.4187371475527</v>
      </c>
      <c r="AL27">
        <f>[1]Usage!$AC26</f>
        <v>100.76060049384431</v>
      </c>
      <c r="AM27">
        <f>[2]Usage!$W26</f>
        <v>691.35703642472799</v>
      </c>
      <c r="AN27">
        <f>[2]Usage!$AC26</f>
        <v>65.375444808492944</v>
      </c>
      <c r="AO27">
        <f>[3]Usage!$W26</f>
        <v>448.60164618375552</v>
      </c>
      <c r="AP27">
        <f>[3]Usage!$AC26</f>
        <v>46.178304939173039</v>
      </c>
    </row>
    <row r="28" spans="1:42" x14ac:dyDescent="0.2">
      <c r="A28">
        <v>2026.25</v>
      </c>
      <c r="B28">
        <f>[1]Usage!$R27</f>
        <v>2040.7541219531845</v>
      </c>
      <c r="C28">
        <f>[1]Usage!$X27</f>
        <v>190.68277525487571</v>
      </c>
      <c r="D28">
        <f>[2]Usage!$R27</f>
        <v>1240.6545556882115</v>
      </c>
      <c r="E28">
        <f>[2]Usage!$X27</f>
        <v>118.94954910794925</v>
      </c>
      <c r="F28">
        <f>[3]Usage!$R27</f>
        <v>816.55440443844907</v>
      </c>
      <c r="G28">
        <f>[3]Usage!$X27</f>
        <v>83.881277760335394</v>
      </c>
      <c r="I28">
        <f>[1]Usage!$S27</f>
        <v>48.04983486811426</v>
      </c>
      <c r="J28">
        <f>[1]Usage!$Y27</f>
        <v>4.4896520186475986</v>
      </c>
      <c r="K28">
        <f>[2]Usage!$S27</f>
        <v>29.211381169298832</v>
      </c>
      <c r="L28">
        <f>[2]Usage!$Y27</f>
        <v>2.8006833997244884</v>
      </c>
      <c r="M28">
        <f>[3]Usage!$S27</f>
        <v>19.225885113757439</v>
      </c>
      <c r="N28">
        <f>[3]Usage!$Y27</f>
        <v>1.9749961553687854</v>
      </c>
      <c r="P28">
        <f>[1]Usage!$T27</f>
        <v>2646.3884945431278</v>
      </c>
      <c r="Q28">
        <f>[1]Usage!$Z27</f>
        <v>246.89956469216662</v>
      </c>
      <c r="R28">
        <f>[2]Usage!$T27</f>
        <v>1615.5147882527619</v>
      </c>
      <c r="S28">
        <f>[2]Usage!$Z27</f>
        <v>154.62134162086036</v>
      </c>
      <c r="T28">
        <f>[3]Usage!$T27</f>
        <v>1068.0916505302923</v>
      </c>
      <c r="U28">
        <f>[3]Usage!$Z27</f>
        <v>109.47825054507207</v>
      </c>
      <c r="W28">
        <f>[1]Usage!$U27</f>
        <v>138.69406483765732</v>
      </c>
      <c r="X28">
        <f>[1]Usage!$AA27</f>
        <v>12.959213905353986</v>
      </c>
      <c r="Y28">
        <f>[2]Usage!$U27</f>
        <v>84.317567479941189</v>
      </c>
      <c r="Z28">
        <f>[2]Usage!$AA27</f>
        <v>8.084068677807366</v>
      </c>
      <c r="AA28">
        <f>[3]Usage!$U27</f>
        <v>55.494803756304222</v>
      </c>
      <c r="AB28">
        <f>[3]Usage!$AA27</f>
        <v>5.7007530947544396</v>
      </c>
      <c r="AD28">
        <f>[1]Usage!$V27</f>
        <v>1494.2285030588453</v>
      </c>
      <c r="AE28">
        <f>[1]Usage!$AB27</f>
        <v>139.66442624606037</v>
      </c>
      <c r="AF28">
        <f>[2]Usage!$V27</f>
        <v>907.15632788762923</v>
      </c>
      <c r="AG28">
        <f>[2]Usage!$AB27</f>
        <v>86.990708931880022</v>
      </c>
      <c r="AH28">
        <f>[3]Usage!$V27</f>
        <v>596.71657536591476</v>
      </c>
      <c r="AI28">
        <f>[3]Usage!$AB27</f>
        <v>61.286377219069266</v>
      </c>
      <c r="AK28">
        <f>[1]Usage!$W27</f>
        <v>1302.4935717758351</v>
      </c>
      <c r="AL28">
        <f>[1]Usage!$AC27</f>
        <v>122.69195329859411</v>
      </c>
      <c r="AM28">
        <f>[2]Usage!$W27</f>
        <v>776.29592627708985</v>
      </c>
      <c r="AN28">
        <f>[2]Usage!$AC27</f>
        <v>75.301066432042361</v>
      </c>
      <c r="AO28">
        <f>[3]Usage!$W27</f>
        <v>496.49978855188124</v>
      </c>
      <c r="AP28">
        <f>[3]Usage!$AC27</f>
        <v>51.969792484855773</v>
      </c>
    </row>
    <row r="29" spans="1:42" x14ac:dyDescent="0.2">
      <c r="A29">
        <v>2026.5</v>
      </c>
      <c r="B29">
        <f>[1]Usage!$R28</f>
        <v>2438.4683965354448</v>
      </c>
      <c r="C29">
        <f>[1]Usage!$X28</f>
        <v>228.60669591959598</v>
      </c>
      <c r="D29">
        <f>[2]Usage!$R28</f>
        <v>1488.1902597699079</v>
      </c>
      <c r="E29">
        <f>[2]Usage!$X28</f>
        <v>139.06291663766098</v>
      </c>
      <c r="F29">
        <f>[3]Usage!$R28</f>
        <v>924.31772273011848</v>
      </c>
      <c r="G29">
        <f>[3]Usage!$X28</f>
        <v>94.66769035633277</v>
      </c>
      <c r="I29">
        <f>[1]Usage!$S28</f>
        <v>57.414071849333432</v>
      </c>
      <c r="J29">
        <f>[1]Usage!$Y28</f>
        <v>5.3825759166756617</v>
      </c>
      <c r="K29">
        <f>[2]Usage!$S28</f>
        <v>35.039643171633656</v>
      </c>
      <c r="L29">
        <f>[2]Usage!$Y28</f>
        <v>3.2742553886514867</v>
      </c>
      <c r="M29">
        <f>[3]Usage!$S28</f>
        <v>21.763187179230634</v>
      </c>
      <c r="N29">
        <f>[3]Usage!$Y28</f>
        <v>2.2289637149496406</v>
      </c>
      <c r="P29">
        <f>[1]Usage!$T28</f>
        <v>3147.3609853945909</v>
      </c>
      <c r="Q29">
        <f>[1]Usage!$Z28</f>
        <v>294.66964037832008</v>
      </c>
      <c r="R29">
        <f>[2]Usage!$T28</f>
        <v>1927.3179750474292</v>
      </c>
      <c r="S29">
        <f>[2]Usage!$Z28</f>
        <v>179.95672552518266</v>
      </c>
      <c r="T29">
        <f>[3]Usage!$T28</f>
        <v>1203.8334667970114</v>
      </c>
      <c r="U29">
        <f>[3]Usage!$Z28</f>
        <v>123.06513019942739</v>
      </c>
      <c r="W29">
        <f>[1]Usage!$U28</f>
        <v>165.72358730309782</v>
      </c>
      <c r="X29">
        <f>[1]Usage!$AA28</f>
        <v>15.536605593548526</v>
      </c>
      <c r="Y29">
        <f>[2]Usage!$U28</f>
        <v>101.14062941681158</v>
      </c>
      <c r="Z29">
        <f>[2]Usage!$AA28</f>
        <v>9.4510166458455576</v>
      </c>
      <c r="AA29">
        <f>[3]Usage!$U28</f>
        <v>62.818631988958288</v>
      </c>
      <c r="AB29">
        <f>[3]Usage!$AA28</f>
        <v>6.4338210287411002</v>
      </c>
      <c r="AD29">
        <f>[1]Usage!$V28</f>
        <v>1789.5103139777757</v>
      </c>
      <c r="AE29">
        <f>[1]Usage!$AB28</f>
        <v>167.82093127165075</v>
      </c>
      <c r="AF29">
        <f>[2]Usage!$V28</f>
        <v>1090.9384942308134</v>
      </c>
      <c r="AG29">
        <f>[2]Usage!$AB28</f>
        <v>101.92382038252997</v>
      </c>
      <c r="AH29">
        <f>[3]Usage!$V28</f>
        <v>676.72513882323597</v>
      </c>
      <c r="AI29">
        <f>[3]Usage!$AB28</f>
        <v>69.294718000928967</v>
      </c>
      <c r="AK29">
        <f>[1]Usage!$W28</f>
        <v>1571.650615761768</v>
      </c>
      <c r="AL29">
        <f>[1]Usage!$AC28</f>
        <v>148.35733931772705</v>
      </c>
      <c r="AM29">
        <f>[2]Usage!$W28</f>
        <v>943.81814674953011</v>
      </c>
      <c r="AN29">
        <f>[2]Usage!$AC28</f>
        <v>88.912985578233659</v>
      </c>
      <c r="AO29">
        <f>[3]Usage!$W28</f>
        <v>569.42967328374471</v>
      </c>
      <c r="AP29">
        <f>[3]Usage!$AC28</f>
        <v>59.269603216066528</v>
      </c>
    </row>
    <row r="30" spans="1:42" x14ac:dyDescent="0.2">
      <c r="A30">
        <v>2026.75</v>
      </c>
      <c r="B30">
        <f>[1]Usage!$R29</f>
        <v>2884.2716269514108</v>
      </c>
      <c r="C30">
        <f>[1]Usage!$X29</f>
        <v>275.09104614916407</v>
      </c>
      <c r="D30">
        <f>[2]Usage!$R29</f>
        <v>1759.3747641668024</v>
      </c>
      <c r="E30">
        <f>[2]Usage!$X29</f>
        <v>165.57486755964177</v>
      </c>
      <c r="F30">
        <f>[3]Usage!$R29</f>
        <v>1054.2272241337178</v>
      </c>
      <c r="G30">
        <f>[3]Usage!$X29</f>
        <v>106.61148243327627</v>
      </c>
      <c r="I30">
        <f>[1]Usage!$S29</f>
        <v>67.9105698716711</v>
      </c>
      <c r="J30">
        <f>[1]Usage!$Y29</f>
        <v>6.4770562994199645</v>
      </c>
      <c r="K30">
        <f>[2]Usage!$S29</f>
        <v>41.424719411289097</v>
      </c>
      <c r="L30">
        <f>[2]Usage!$Y29</f>
        <v>3.8984828985356739</v>
      </c>
      <c r="M30">
        <f>[3]Usage!$S29</f>
        <v>24.821924154495314</v>
      </c>
      <c r="N30">
        <f>[3]Usage!$Y29</f>
        <v>2.5101819326773871</v>
      </c>
      <c r="P30">
        <f>[1]Usage!$T29</f>
        <v>3707.1229170042643</v>
      </c>
      <c r="Q30">
        <f>[1]Usage!$Z29</f>
        <v>353.03657874672297</v>
      </c>
      <c r="R30">
        <f>[2]Usage!$T29</f>
        <v>2267.8241707117777</v>
      </c>
      <c r="S30">
        <f>[2]Usage!$Z29</f>
        <v>213.24580879400892</v>
      </c>
      <c r="T30">
        <f>[3]Usage!$T29</f>
        <v>1366.9511574702642</v>
      </c>
      <c r="U30">
        <f>[3]Usage!$Z29</f>
        <v>138.06206083516096</v>
      </c>
      <c r="W30">
        <f>[1]Usage!$U29</f>
        <v>196.02133923657033</v>
      </c>
      <c r="X30">
        <f>[1]Usage!$AA29</f>
        <v>18.695782593522257</v>
      </c>
      <c r="Y30">
        <f>[2]Usage!$U29</f>
        <v>119.57091498193056</v>
      </c>
      <c r="Z30">
        <f>[2]Usage!$AA29</f>
        <v>11.252826183109521</v>
      </c>
      <c r="AA30">
        <f>[3]Usage!$U29</f>
        <v>71.64756273415459</v>
      </c>
      <c r="AB30">
        <f>[3]Usage!$AA29</f>
        <v>7.2455469759814513</v>
      </c>
      <c r="AD30">
        <f>[1]Usage!$V29</f>
        <v>2120.8113865894461</v>
      </c>
      <c r="AE30">
        <f>[1]Usage!$AB29</f>
        <v>202.36602659620206</v>
      </c>
      <c r="AF30">
        <f>[2]Usage!$V29</f>
        <v>1292.4707197791226</v>
      </c>
      <c r="AG30">
        <f>[2]Usage!$AB29</f>
        <v>121.62631955303762</v>
      </c>
      <c r="AH30">
        <f>[3]Usage!$V29</f>
        <v>773.26808472629989</v>
      </c>
      <c r="AI30">
        <f>[3]Usage!$AB29</f>
        <v>78.170811434460163</v>
      </c>
      <c r="AK30">
        <f>[1]Usage!$W29</f>
        <v>1870.8788587618751</v>
      </c>
      <c r="AL30">
        <f>[1]Usage!$AC29</f>
        <v>179.55816851139801</v>
      </c>
      <c r="AM30">
        <f>[2]Usage!$W29</f>
        <v>1125.8402974275828</v>
      </c>
      <c r="AN30">
        <f>[2]Usage!$AC29</f>
        <v>106.70811121132346</v>
      </c>
      <c r="AO30">
        <f>[3]Usage!$W29</f>
        <v>656.62642109050262</v>
      </c>
      <c r="AP30">
        <f>[3]Usage!$AC29</f>
        <v>67.286413490428345</v>
      </c>
    </row>
    <row r="31" spans="1:42" x14ac:dyDescent="0.2">
      <c r="A31">
        <v>2027</v>
      </c>
      <c r="B31">
        <f>[1]Usage!$R30</f>
        <v>3467.020038636575</v>
      </c>
      <c r="C31">
        <f>[1]Usage!$X30</f>
        <v>330.35662907209058</v>
      </c>
      <c r="D31">
        <f>[2]Usage!$R30</f>
        <v>2078.69050597665</v>
      </c>
      <c r="E31">
        <f>[2]Usage!$X30</f>
        <v>196.85958358097875</v>
      </c>
      <c r="F31">
        <f>[3]Usage!$R30</f>
        <v>1201.1830475266459</v>
      </c>
      <c r="G31">
        <f>[3]Usage!$X30</f>
        <v>120.54187633112261</v>
      </c>
      <c r="I31">
        <f>[1]Usage!$S30</f>
        <v>81.631460913816142</v>
      </c>
      <c r="J31">
        <f>[1]Usage!$Y30</f>
        <v>7.7782920067354251</v>
      </c>
      <c r="K31">
        <f>[2]Usage!$S30</f>
        <v>48.943052217628299</v>
      </c>
      <c r="L31">
        <f>[2]Usage!$Y30</f>
        <v>4.635085815344862</v>
      </c>
      <c r="M31">
        <f>[3]Usage!$S30</f>
        <v>28.282019112029811</v>
      </c>
      <c r="N31">
        <f>[3]Usage!$Y30</f>
        <v>2.8381749619398602</v>
      </c>
      <c r="P31">
        <f>[1]Usage!$T30</f>
        <v>4436.570330349211</v>
      </c>
      <c r="Q31">
        <f>[1]Usage!$Z30</f>
        <v>422.21452192387068</v>
      </c>
      <c r="R31">
        <f>[2]Usage!$T30</f>
        <v>2667.5233157166645</v>
      </c>
      <c r="S31">
        <f>[2]Usage!$Z30</f>
        <v>252.40602737444922</v>
      </c>
      <c r="T31">
        <f>[3]Usage!$T30</f>
        <v>1550.9011144336168</v>
      </c>
      <c r="U31">
        <f>[3]Usage!$Z30</f>
        <v>155.49924228757493</v>
      </c>
      <c r="W31">
        <f>[1]Usage!$U30</f>
        <v>235.62618193900644</v>
      </c>
      <c r="X31">
        <f>[1]Usage!$AA30</f>
        <v>22.451751163546362</v>
      </c>
      <c r="Y31">
        <f>[2]Usage!$U30</f>
        <v>141.27230356267384</v>
      </c>
      <c r="Z31">
        <f>[2]Usage!$AA30</f>
        <v>13.379003161322942</v>
      </c>
      <c r="AA31">
        <f>[3]Usage!$U30</f>
        <v>81.634998397605699</v>
      </c>
      <c r="AB31">
        <f>[3]Usage!$AA30</f>
        <v>8.1922866805338295</v>
      </c>
      <c r="AD31">
        <f>[1]Usage!$V30</f>
        <v>2554.2849617718566</v>
      </c>
      <c r="AE31">
        <f>[1]Usage!$AB30</f>
        <v>243.47496715060979</v>
      </c>
      <c r="AF31">
        <f>[2]Usage!$V30</f>
        <v>1529.9916352185596</v>
      </c>
      <c r="AG31">
        <f>[2]Usage!$AB30</f>
        <v>144.89724990721916</v>
      </c>
      <c r="AH31">
        <f>[3]Usage!$V30</f>
        <v>882.58020790446278</v>
      </c>
      <c r="AI31">
        <f>[3]Usage!$AB30</f>
        <v>88.532843360273517</v>
      </c>
      <c r="AK31">
        <f>[1]Usage!$W30</f>
        <v>2258.8854089753213</v>
      </c>
      <c r="AL31">
        <f>[1]Usage!$AC30</f>
        <v>216.35519402958147</v>
      </c>
      <c r="AM31">
        <f>[2]Usage!$W30</f>
        <v>1338.4476540915127</v>
      </c>
      <c r="AN31">
        <f>[2]Usage!$AC30</f>
        <v>127.53815466479978</v>
      </c>
      <c r="AO31">
        <f>[3]Usage!$W30</f>
        <v>754.47280029139858</v>
      </c>
      <c r="AP31">
        <f>[3]Usage!$AC30</f>
        <v>76.561572325761134</v>
      </c>
    </row>
    <row r="32" spans="1:42" x14ac:dyDescent="0.2">
      <c r="A32">
        <v>2027.25</v>
      </c>
      <c r="B32">
        <f>[1]Usage!$R31</f>
        <v>4138.8857921295976</v>
      </c>
      <c r="C32">
        <f>[1]Usage!$X31</f>
        <v>399.44266617049499</v>
      </c>
      <c r="D32">
        <f>[2]Usage!$R31</f>
        <v>2513.2596085251389</v>
      </c>
      <c r="E32">
        <f>[2]Usage!$X31</f>
        <v>236.66168498352488</v>
      </c>
      <c r="F32">
        <f>[3]Usage!$R31</f>
        <v>1378.15121202725</v>
      </c>
      <c r="G32">
        <f>[3]Usage!$X31</f>
        <v>137.25589758283459</v>
      </c>
      <c r="I32">
        <f>[1]Usage!$S31</f>
        <v>97.450631955344221</v>
      </c>
      <c r="J32">
        <f>[1]Usage!$Y31</f>
        <v>9.4049321975162812</v>
      </c>
      <c r="K32">
        <f>[2]Usage!$S31</f>
        <v>59.17504116309447</v>
      </c>
      <c r="L32">
        <f>[2]Usage!$Y31</f>
        <v>5.5722317356803615</v>
      </c>
      <c r="M32">
        <f>[3]Usage!$S31</f>
        <v>32.44875874503807</v>
      </c>
      <c r="N32">
        <f>[3]Usage!$Y31</f>
        <v>3.2317088779014109</v>
      </c>
      <c r="P32">
        <f>[1]Usage!$T31</f>
        <v>5275.0298292128309</v>
      </c>
      <c r="Q32">
        <f>[1]Usage!$Z31</f>
        <v>508.43091819477121</v>
      </c>
      <c r="R32">
        <f>[2]Usage!$T31</f>
        <v>3209.8468231287789</v>
      </c>
      <c r="S32">
        <f>[2]Usage!$Z31</f>
        <v>302.07733421245194</v>
      </c>
      <c r="T32">
        <f>[3]Usage!$T31</f>
        <v>1771.7497553273695</v>
      </c>
      <c r="U32">
        <f>[3]Usage!$Z31</f>
        <v>176.35762033385507</v>
      </c>
      <c r="W32">
        <f>[1]Usage!$U31</f>
        <v>281.28763197590627</v>
      </c>
      <c r="X32">
        <f>[1]Usage!$AA31</f>
        <v>27.146987696760974</v>
      </c>
      <c r="Y32">
        <f>[2]Usage!$U31</f>
        <v>170.80655986377926</v>
      </c>
      <c r="Z32">
        <f>[2]Usage!$AA31</f>
        <v>16.08404007547912</v>
      </c>
      <c r="AA32">
        <f>[3]Usage!$U31</f>
        <v>93.662137687642641</v>
      </c>
      <c r="AB32">
        <f>[3]Usage!$AA31</f>
        <v>9.3282077218027606</v>
      </c>
      <c r="AD32">
        <f>[1]Usage!$V31</f>
        <v>3054.4971272572479</v>
      </c>
      <c r="AE32">
        <f>[1]Usage!$AB31</f>
        <v>294.91035590518163</v>
      </c>
      <c r="AF32">
        <f>[2]Usage!$V31</f>
        <v>1853.5335789903379</v>
      </c>
      <c r="AG32">
        <f>[2]Usage!$AB31</f>
        <v>174.53039496622461</v>
      </c>
      <c r="AH32">
        <f>[3]Usage!$V31</f>
        <v>1014.3351430631596</v>
      </c>
      <c r="AI32">
        <f>[3]Usage!$AB31</f>
        <v>100.97663398484586</v>
      </c>
      <c r="AK32">
        <f>[1]Usage!$W31</f>
        <v>2702.7090857925878</v>
      </c>
      <c r="AL32">
        <f>[1]Usage!$AC31</f>
        <v>261.99231549668474</v>
      </c>
      <c r="AM32">
        <f>[2]Usage!$W31</f>
        <v>1625.5169918595275</v>
      </c>
      <c r="AN32">
        <f>[2]Usage!$AC31</f>
        <v>153.83078068077242</v>
      </c>
      <c r="AO32">
        <f>[3]Usage!$W31</f>
        <v>871.37511454081312</v>
      </c>
      <c r="AP32">
        <f>[3]Usage!$AC31</f>
        <v>87.602585099176409</v>
      </c>
    </row>
    <row r="33" spans="1:42" x14ac:dyDescent="0.2">
      <c r="A33">
        <v>2027.5</v>
      </c>
      <c r="B33">
        <f>[1]Usage!$R32</f>
        <v>4980.1898732430991</v>
      </c>
      <c r="C33">
        <f>[1]Usage!$X32</f>
        <v>481.07665980153087</v>
      </c>
      <c r="D33">
        <f>[2]Usage!$R32</f>
        <v>3199.4838549628967</v>
      </c>
      <c r="E33">
        <f>[2]Usage!$X32</f>
        <v>297.38057600007284</v>
      </c>
      <c r="F33">
        <f>[3]Usage!$R32</f>
        <v>1607.3620930072707</v>
      </c>
      <c r="G33">
        <f>[3]Usage!$X32</f>
        <v>159.63939836803283</v>
      </c>
      <c r="I33">
        <f>[1]Usage!$S32</f>
        <v>117.25925159085645</v>
      </c>
      <c r="J33">
        <f>[1]Usage!$Y32</f>
        <v>11.327015740751651</v>
      </c>
      <c r="K33">
        <f>[2]Usage!$S32</f>
        <v>75.332284884485233</v>
      </c>
      <c r="L33">
        <f>[2]Usage!$Y32</f>
        <v>7.0018663277829205</v>
      </c>
      <c r="M33">
        <f>[3]Usage!$S32</f>
        <v>37.845560281581847</v>
      </c>
      <c r="N33">
        <f>[3]Usage!$Y32</f>
        <v>3.7587314647624428</v>
      </c>
      <c r="P33">
        <f>[1]Usage!$T32</f>
        <v>6321.8496906235878</v>
      </c>
      <c r="Q33">
        <f>[1]Usage!$Z32</f>
        <v>610.00665973419518</v>
      </c>
      <c r="R33">
        <f>[2]Usage!$T32</f>
        <v>4063.7035756146383</v>
      </c>
      <c r="S33">
        <f>[2]Usage!$Z32</f>
        <v>377.6287816686808</v>
      </c>
      <c r="T33">
        <f>[3]Usage!$T32</f>
        <v>2056.9528204827989</v>
      </c>
      <c r="U33">
        <f>[3]Usage!$Z32</f>
        <v>204.209016417464</v>
      </c>
      <c r="W33">
        <f>[1]Usage!$U32</f>
        <v>338.46447729937171</v>
      </c>
      <c r="X33">
        <f>[1]Usage!$AA32</f>
        <v>32.695010500597569</v>
      </c>
      <c r="Y33">
        <f>[2]Usage!$U32</f>
        <v>217.44384414255347</v>
      </c>
      <c r="Z33">
        <f>[2]Usage!$AA32</f>
        <v>20.21062726054371</v>
      </c>
      <c r="AA33">
        <f>[3]Usage!$U32</f>
        <v>109.23980500491528</v>
      </c>
      <c r="AB33">
        <f>[3]Usage!$AA32</f>
        <v>10.849438856803381</v>
      </c>
      <c r="AD33">
        <f>[1]Usage!$V32</f>
        <v>3681.4050759337752</v>
      </c>
      <c r="AE33">
        <f>[1]Usage!$AB32</f>
        <v>355.74091721872054</v>
      </c>
      <c r="AF33">
        <f>[2]Usage!$V32</f>
        <v>2364.8819063359074</v>
      </c>
      <c r="AG33">
        <f>[2]Usage!$AB32</f>
        <v>219.77581367703942</v>
      </c>
      <c r="AH33">
        <f>[3]Usage!$V32</f>
        <v>1185.1344134284466</v>
      </c>
      <c r="AI33">
        <f>[3]Usage!$AB32</f>
        <v>117.65597130943792</v>
      </c>
      <c r="AK33">
        <f>[1]Usage!$W32</f>
        <v>3254.1768243203164</v>
      </c>
      <c r="AL33">
        <f>[1]Usage!$AC32</f>
        <v>315.50271068591343</v>
      </c>
      <c r="AM33">
        <f>[2]Usage!$W32</f>
        <v>2075.3312050570389</v>
      </c>
      <c r="AN33">
        <f>[2]Usage!$AC32</f>
        <v>193.63150228251379</v>
      </c>
      <c r="AO33">
        <f>[3]Usage!$W32</f>
        <v>1021.6209162879073</v>
      </c>
      <c r="AP33">
        <f>[3]Usage!$AC32</f>
        <v>102.27478131865676</v>
      </c>
    </row>
    <row r="34" spans="1:42" x14ac:dyDescent="0.2">
      <c r="A34">
        <v>2027.75</v>
      </c>
      <c r="B34">
        <f>[1]Usage!$R33</f>
        <v>5359.371679497166</v>
      </c>
      <c r="C34">
        <f>[1]Usage!$X33</f>
        <v>546.25796865481072</v>
      </c>
      <c r="D34">
        <f>[2]Usage!$R33</f>
        <v>3325.5970066263098</v>
      </c>
      <c r="E34">
        <f>[2]Usage!$X33</f>
        <v>334.67488097497375</v>
      </c>
      <c r="F34">
        <f>[3]Usage!$R33</f>
        <v>1742.2307710655305</v>
      </c>
      <c r="G34">
        <f>[3]Usage!$X33</f>
        <v>177.3468437839669</v>
      </c>
      <c r="I34">
        <f>[1]Usage!$S33</f>
        <v>126.18713907103138</v>
      </c>
      <c r="J34">
        <f>[1]Usage!$Y33</f>
        <v>12.861718571041708</v>
      </c>
      <c r="K34">
        <f>[2]Usage!$S33</f>
        <v>78.301636285978304</v>
      </c>
      <c r="L34">
        <f>[2]Usage!$Y33</f>
        <v>7.879965838296215</v>
      </c>
      <c r="M34">
        <f>[3]Usage!$S33</f>
        <v>41.021061749332361</v>
      </c>
      <c r="N34">
        <f>[3]Usage!$Y33</f>
        <v>4.1756556885182414</v>
      </c>
      <c r="P34">
        <f>[1]Usage!$T33</f>
        <v>6792.3038281362005</v>
      </c>
      <c r="Q34">
        <f>[1]Usage!$Z33</f>
        <v>690.87767182586265</v>
      </c>
      <c r="R34">
        <f>[2]Usage!$T33</f>
        <v>4220.173250626035</v>
      </c>
      <c r="S34">
        <f>[2]Usage!$Z33</f>
        <v>423.90014751934956</v>
      </c>
      <c r="T34">
        <f>[3]Usage!$T33</f>
        <v>2224.2855526098542</v>
      </c>
      <c r="U34">
        <f>[3]Usage!$Z33</f>
        <v>226.1787966740703</v>
      </c>
      <c r="W34">
        <f>[1]Usage!$U33</f>
        <v>364.23449312642686</v>
      </c>
      <c r="X34">
        <f>[1]Usage!$AA33</f>
        <v>37.124873255277599</v>
      </c>
      <c r="Y34">
        <f>[2]Usage!$U33</f>
        <v>226.01476674686316</v>
      </c>
      <c r="Z34">
        <f>[2]Usage!$AA33</f>
        <v>22.745228904427066</v>
      </c>
      <c r="AA34">
        <f>[3]Usage!$U33</f>
        <v>118.40577212361873</v>
      </c>
      <c r="AB34">
        <f>[3]Usage!$AA33</f>
        <v>12.052875153321212</v>
      </c>
      <c r="AD34">
        <f>[1]Usage!$V33</f>
        <v>3964.1967382552098</v>
      </c>
      <c r="AE34">
        <f>[1]Usage!$AB33</f>
        <v>404.35277142397001</v>
      </c>
      <c r="AF34">
        <f>[2]Usage!$V33</f>
        <v>2458.9363868285595</v>
      </c>
      <c r="AG34">
        <f>[2]Usage!$AB33</f>
        <v>247.58969695156603</v>
      </c>
      <c r="AH34">
        <f>[3]Usage!$V33</f>
        <v>1285.718716351553</v>
      </c>
      <c r="AI34">
        <f>[3]Usage!$AB33</f>
        <v>130.86208468841903</v>
      </c>
      <c r="AK34">
        <f>[1]Usage!$W33</f>
        <v>3500.8493272547521</v>
      </c>
      <c r="AL34">
        <f>[1]Usage!$AC33</f>
        <v>357.90568554965944</v>
      </c>
      <c r="AM34">
        <f>[2]Usage!$W33</f>
        <v>2157.3727119560281</v>
      </c>
      <c r="AN34">
        <f>[2]Usage!$AC33</f>
        <v>217.89289721662345</v>
      </c>
      <c r="AO34">
        <f>[3]Usage!$W33</f>
        <v>1109.358233414875</v>
      </c>
      <c r="AP34">
        <f>[3]Usage!$AC33</f>
        <v>113.79416281133486</v>
      </c>
    </row>
    <row r="35" spans="1:42" x14ac:dyDescent="0.2">
      <c r="A35">
        <v>2028</v>
      </c>
      <c r="B35">
        <f>[1]Usage!$R34</f>
        <v>5857.3316834816997</v>
      </c>
      <c r="C35">
        <f>[1]Usage!$X34</f>
        <v>613.22606717121266</v>
      </c>
      <c r="D35">
        <f>[2]Usage!$R34</f>
        <v>3568.4227582389499</v>
      </c>
      <c r="E35">
        <f>[2]Usage!$X34</f>
        <v>371.44678418623431</v>
      </c>
      <c r="F35">
        <f>[3]Usage!$R34</f>
        <v>1979.1510611277431</v>
      </c>
      <c r="G35">
        <f>[3]Usage!$X34</f>
        <v>195.99315770366567</v>
      </c>
      <c r="I35">
        <f>[1]Usage!$S34</f>
        <v>137.9116754593162</v>
      </c>
      <c r="J35">
        <f>[1]Usage!$Y34</f>
        <v>14.438491608287856</v>
      </c>
      <c r="K35">
        <f>[2]Usage!$S34</f>
        <v>84.019001813357974</v>
      </c>
      <c r="L35">
        <f>[2]Usage!$Y34</f>
        <v>8.7457653278477938</v>
      </c>
      <c r="M35">
        <f>[3]Usage!$S34</f>
        <v>46.599382376953862</v>
      </c>
      <c r="N35">
        <f>[3]Usage!$Y34</f>
        <v>4.6146856995825036</v>
      </c>
      <c r="P35">
        <f>[1]Usage!$T34</f>
        <v>7408.3956225445409</v>
      </c>
      <c r="Q35">
        <f>[1]Usage!$Z34</f>
        <v>773.73271169441819</v>
      </c>
      <c r="R35">
        <f>[2]Usage!$T34</f>
        <v>4520.6049155037472</v>
      </c>
      <c r="S35">
        <f>[2]Usage!$Z34</f>
        <v>469.3955038772047</v>
      </c>
      <c r="T35">
        <f>[3]Usage!$T34</f>
        <v>2517.4107945333135</v>
      </c>
      <c r="U35">
        <f>[3]Usage!$Z34</f>
        <v>249.24860330505675</v>
      </c>
      <c r="W35">
        <f>[1]Usage!$U34</f>
        <v>398.07693222099567</v>
      </c>
      <c r="X35">
        <f>[1]Usage!$AA34</f>
        <v>41.676170100778492</v>
      </c>
      <c r="Y35">
        <f>[2]Usage!$U34</f>
        <v>242.51773012502019</v>
      </c>
      <c r="Z35">
        <f>[2]Usage!$AA34</f>
        <v>25.244326994355426</v>
      </c>
      <c r="AA35">
        <f>[3]Usage!$U34</f>
        <v>134.50738755967905</v>
      </c>
      <c r="AB35">
        <f>[3]Usage!$AA34</f>
        <v>13.320118984384433</v>
      </c>
      <c r="AD35">
        <f>[1]Usage!$V34</f>
        <v>4335.8788342514817</v>
      </c>
      <c r="AE35">
        <f>[1]Usage!$AB34</f>
        <v>454.33839882836332</v>
      </c>
      <c r="AF35">
        <f>[2]Usage!$V34</f>
        <v>2640.1838436505327</v>
      </c>
      <c r="AG35">
        <f>[2]Usage!$AB34</f>
        <v>275.03659620044198</v>
      </c>
      <c r="AH35">
        <f>[3]Usage!$V34</f>
        <v>1462.5582803521652</v>
      </c>
      <c r="AI35">
        <f>[3]Usage!$AB34</f>
        <v>144.77987122714146</v>
      </c>
      <c r="AK35">
        <f>[1]Usage!$W34</f>
        <v>3822.3920999908951</v>
      </c>
      <c r="AL35">
        <f>[1]Usage!$AC34</f>
        <v>401.14833136363904</v>
      </c>
      <c r="AM35">
        <f>[2]Usage!$W34</f>
        <v>2314.1701752874233</v>
      </c>
      <c r="AN35">
        <f>[2]Usage!$AC34</f>
        <v>241.63725343544345</v>
      </c>
      <c r="AO35">
        <f>[3]Usage!$W34</f>
        <v>1262.3424216518511</v>
      </c>
      <c r="AP35">
        <f>[3]Usage!$AC34</f>
        <v>125.83446209455741</v>
      </c>
    </row>
    <row r="36" spans="1:42" x14ac:dyDescent="0.2">
      <c r="A36">
        <v>2028.25</v>
      </c>
      <c r="B36">
        <f>[1]Usage!$R35</f>
        <v>6693.0845226680831</v>
      </c>
      <c r="C36">
        <f>[1]Usage!$X35</f>
        <v>702.87958811560304</v>
      </c>
      <c r="D36">
        <f>[2]Usage!$R35</f>
        <v>4157.811912141432</v>
      </c>
      <c r="E36">
        <f>[2]Usage!$X35</f>
        <v>428.6049540568215</v>
      </c>
      <c r="F36">
        <f>[3]Usage!$R35</f>
        <v>2243.6198600978091</v>
      </c>
      <c r="G36">
        <f>[3]Usage!$X35</f>
        <v>221.44120241919566</v>
      </c>
      <c r="I36">
        <f>[1]Usage!$S35</f>
        <v>157.58959034453949</v>
      </c>
      <c r="J36">
        <f>[1]Usage!$Y35</f>
        <v>16.549396018761371</v>
      </c>
      <c r="K36">
        <f>[2]Usage!$S35</f>
        <v>97.896250039110441</v>
      </c>
      <c r="L36">
        <f>[2]Usage!$Y35</f>
        <v>10.091562253651254</v>
      </c>
      <c r="M36">
        <f>[3]Usage!$S35</f>
        <v>52.826336413982979</v>
      </c>
      <c r="N36">
        <f>[3]Usage!$Y35</f>
        <v>5.2138633923499693</v>
      </c>
      <c r="P36">
        <f>[1]Usage!$T35</f>
        <v>8450.8778958207185</v>
      </c>
      <c r="Q36">
        <f>[1]Usage!$Z35</f>
        <v>885.56267138956935</v>
      </c>
      <c r="R36">
        <f>[2]Usage!$T35</f>
        <v>5255.7836863024631</v>
      </c>
      <c r="S36">
        <f>[2]Usage!$Z35</f>
        <v>540.69215531425368</v>
      </c>
      <c r="T36">
        <f>[3]Usage!$T35</f>
        <v>2847.2978398819555</v>
      </c>
      <c r="U36">
        <f>[3]Usage!$Z35</f>
        <v>280.99140364218272</v>
      </c>
      <c r="W36">
        <f>[1]Usage!$U35</f>
        <v>454.87650313423848</v>
      </c>
      <c r="X36">
        <f>[1]Usage!$AA35</f>
        <v>47.769217329263178</v>
      </c>
      <c r="Y36">
        <f>[2]Usage!$U35</f>
        <v>282.57389203428824</v>
      </c>
      <c r="Z36">
        <f>[2]Usage!$AA35</f>
        <v>29.128919867526115</v>
      </c>
      <c r="AA36">
        <f>[3]Usage!$U35</f>
        <v>152.48125925608187</v>
      </c>
      <c r="AB36">
        <f>[3]Usage!$AA35</f>
        <v>15.049623154337684</v>
      </c>
      <c r="AD36">
        <f>[1]Usage!$V35</f>
        <v>4959.3294476615511</v>
      </c>
      <c r="AE36">
        <f>[1]Usage!$AB35</f>
        <v>521.2176722288184</v>
      </c>
      <c r="AF36">
        <f>[2]Usage!$V35</f>
        <v>3079.8533395932172</v>
      </c>
      <c r="AG36">
        <f>[2]Usage!$AB35</f>
        <v>317.67515439176799</v>
      </c>
      <c r="AH36">
        <f>[3]Usage!$V35</f>
        <v>1659.8453576012575</v>
      </c>
      <c r="AI36">
        <f>[3]Usage!$AB35</f>
        <v>163.76347300997168</v>
      </c>
      <c r="AK36">
        <f>[1]Usage!$W35</f>
        <v>4378.4966086073491</v>
      </c>
      <c r="AL36">
        <f>[1]Usage!$AC35</f>
        <v>460.80320164688135</v>
      </c>
      <c r="AM36">
        <f>[2]Usage!$W35</f>
        <v>2706.3458885448117</v>
      </c>
      <c r="AN36">
        <f>[2]Usage!$AC35</f>
        <v>279.66992826337787</v>
      </c>
      <c r="AO36">
        <f>[3]Usage!$W35</f>
        <v>1438.3182420137769</v>
      </c>
      <c r="AP36">
        <f>[3]Usage!$AC35</f>
        <v>142.7674256912546</v>
      </c>
    </row>
    <row r="37" spans="1:42" x14ac:dyDescent="0.2">
      <c r="A37">
        <v>2028.5</v>
      </c>
      <c r="B37">
        <f>[1]Usage!$R36</f>
        <v>7740.2674070489247</v>
      </c>
      <c r="C37">
        <f>[1]Usage!$X36</f>
        <v>802.05149638917578</v>
      </c>
      <c r="D37">
        <f>[2]Usage!$R36</f>
        <v>4906.2357338384309</v>
      </c>
      <c r="E37">
        <f>[2]Usage!$X36</f>
        <v>492.98266612427005</v>
      </c>
      <c r="F37">
        <f>[3]Usage!$R36</f>
        <v>2518.4793092496602</v>
      </c>
      <c r="G37">
        <f>[3]Usage!$X36</f>
        <v>249.62172090907973</v>
      </c>
      <c r="I37">
        <f>[1]Usage!$S36</f>
        <v>182.24565455626197</v>
      </c>
      <c r="J37">
        <f>[1]Usage!$Y36</f>
        <v>18.884412160510102</v>
      </c>
      <c r="K37">
        <f>[2]Usage!$S36</f>
        <v>115.51799126557691</v>
      </c>
      <c r="L37">
        <f>[2]Usage!$Y36</f>
        <v>11.607344287729573</v>
      </c>
      <c r="M37">
        <f>[3]Usage!$S36</f>
        <v>59.29793973043104</v>
      </c>
      <c r="N37">
        <f>[3]Usage!$Y36</f>
        <v>5.8773775537918214</v>
      </c>
      <c r="P37">
        <f>[1]Usage!$T36</f>
        <v>9767.6302773235093</v>
      </c>
      <c r="Q37">
        <f>[1]Usage!$Z36</f>
        <v>1010.2637607075187</v>
      </c>
      <c r="R37">
        <f>[2]Usage!$T36</f>
        <v>6196.8693975873884</v>
      </c>
      <c r="S37">
        <f>[2]Usage!$Z36</f>
        <v>621.64220419767753</v>
      </c>
      <c r="T37">
        <f>[3]Usage!$T36</f>
        <v>3192.9125740868935</v>
      </c>
      <c r="U37">
        <f>[3]Usage!$Z36</f>
        <v>316.42625020719134</v>
      </c>
      <c r="W37">
        <f>[1]Usage!$U36</f>
        <v>526.04531729995267</v>
      </c>
      <c r="X37">
        <f>[1]Usage!$AA36</f>
        <v>54.509154751516064</v>
      </c>
      <c r="Y37">
        <f>[2]Usage!$U36</f>
        <v>333.43839400238573</v>
      </c>
      <c r="Z37">
        <f>[2]Usage!$AA36</f>
        <v>33.504168446241259</v>
      </c>
      <c r="AA37">
        <f>[3]Usage!$U36</f>
        <v>171.16130201665902</v>
      </c>
      <c r="AB37">
        <f>[3]Usage!$AA36</f>
        <v>16.964832153084689</v>
      </c>
      <c r="AD37">
        <f>[1]Usage!$V36</f>
        <v>5740.0490476915529</v>
      </c>
      <c r="AE37">
        <f>[1]Usage!$AB36</f>
        <v>595.1545687503218</v>
      </c>
      <c r="AF37">
        <f>[2]Usage!$V36</f>
        <v>3637.8352885377758</v>
      </c>
      <c r="AG37">
        <f>[2]Usage!$AB36</f>
        <v>365.67149043374064</v>
      </c>
      <c r="AH37">
        <f>[3]Usage!$V36</f>
        <v>1864.7648252577378</v>
      </c>
      <c r="AI37">
        <f>[3]Usage!$AB36</f>
        <v>184.77325406370684</v>
      </c>
      <c r="AK37">
        <f>[1]Usage!$W36</f>
        <v>5095.7663404245232</v>
      </c>
      <c r="AL37">
        <f>[1]Usage!$AC36</f>
        <v>528.73117212096042</v>
      </c>
      <c r="AM37">
        <f>[2]Usage!$W36</f>
        <v>3218.9800825152302</v>
      </c>
      <c r="AN37">
        <f>[2]Usage!$AC36</f>
        <v>323.76555373468631</v>
      </c>
      <c r="AO37">
        <f>[3]Usage!$W36</f>
        <v>1626.5836981448042</v>
      </c>
      <c r="AP37">
        <f>[3]Usage!$AC36</f>
        <v>162.06972067830381</v>
      </c>
    </row>
    <row r="38" spans="1:42" x14ac:dyDescent="0.2">
      <c r="A38">
        <v>2028.75</v>
      </c>
      <c r="B38">
        <f>[1]Usage!$R37</f>
        <v>8501.4961025237717</v>
      </c>
      <c r="C38">
        <f>[1]Usage!$X37</f>
        <v>899.71003589927341</v>
      </c>
      <c r="D38">
        <f>[2]Usage!$R37</f>
        <v>5326.2562716654465</v>
      </c>
      <c r="E38">
        <f>[2]Usage!$X37</f>
        <v>547.4148957514202</v>
      </c>
      <c r="F38">
        <f>[3]Usage!$R37</f>
        <v>2719.3710281013405</v>
      </c>
      <c r="G38">
        <f>[3]Usage!$X37</f>
        <v>275.3374066427458</v>
      </c>
      <c r="I38">
        <f>[1]Usage!$S37</f>
        <v>200.16888828685418</v>
      </c>
      <c r="J38">
        <f>[1]Usage!$Y37</f>
        <v>21.183795827774379</v>
      </c>
      <c r="K38">
        <f>[2]Usage!$S37</f>
        <v>125.40743226520539</v>
      </c>
      <c r="L38">
        <f>[2]Usage!$Y37</f>
        <v>12.88895857773753</v>
      </c>
      <c r="M38">
        <f>[3]Usage!$S37</f>
        <v>64.027962722106423</v>
      </c>
      <c r="N38">
        <f>[3]Usage!$Y37</f>
        <v>6.4828568909303703</v>
      </c>
      <c r="P38">
        <f>[1]Usage!$T37</f>
        <v>10732.435211643122</v>
      </c>
      <c r="Q38">
        <f>[1]Usage!$Z37</f>
        <v>1134.0392323337094</v>
      </c>
      <c r="R38">
        <f>[2]Usage!$T37</f>
        <v>6729.2164961926228</v>
      </c>
      <c r="S38">
        <f>[2]Usage!$Z37</f>
        <v>690.63130568909389</v>
      </c>
      <c r="T38">
        <f>[3]Usage!$T37</f>
        <v>3447.5289893169393</v>
      </c>
      <c r="U38">
        <f>[3]Usage!$Z37</f>
        <v>349.0191104510854</v>
      </c>
      <c r="W38">
        <f>[1]Usage!$U37</f>
        <v>577.78006619043936</v>
      </c>
      <c r="X38">
        <f>[1]Usage!$AA37</f>
        <v>61.146240358772339</v>
      </c>
      <c r="Y38">
        <f>[2]Usage!$U37</f>
        <v>361.98389837249238</v>
      </c>
      <c r="Z38">
        <f>[2]Usage!$AA37</f>
        <v>37.203500523513135</v>
      </c>
      <c r="AA38">
        <f>[3]Usage!$U37</f>
        <v>184.81433781359104</v>
      </c>
      <c r="AB38">
        <f>[3]Usage!$AA37</f>
        <v>18.712525785611245</v>
      </c>
      <c r="AD38">
        <f>[1]Usage!$V37</f>
        <v>6307.2505522698748</v>
      </c>
      <c r="AE38">
        <f>[1]Usage!$AB37</f>
        <v>667.9212299052798</v>
      </c>
      <c r="AF38">
        <f>[2]Usage!$V37</f>
        <v>3950.7981109136063</v>
      </c>
      <c r="AG38">
        <f>[2]Usage!$AB37</f>
        <v>406.22966004243278</v>
      </c>
      <c r="AH38">
        <f>[3]Usage!$V37</f>
        <v>2014.4518849644401</v>
      </c>
      <c r="AI38">
        <f>[3]Usage!$AB37</f>
        <v>203.93434944293463</v>
      </c>
      <c r="AK38">
        <f>[1]Usage!$W37</f>
        <v>5631.9726216065174</v>
      </c>
      <c r="AL38">
        <f>[1]Usage!$AC37</f>
        <v>597.52143529372404</v>
      </c>
      <c r="AM38">
        <f>[2]Usage!$W37</f>
        <v>3514.8407771357824</v>
      </c>
      <c r="AN38">
        <f>[2]Usage!$AC37</f>
        <v>362.10738661397897</v>
      </c>
      <c r="AO38">
        <f>[3]Usage!$W37</f>
        <v>1768.090977266125</v>
      </c>
      <c r="AP38">
        <f>[3]Usage!$AC37</f>
        <v>180.18374120493746</v>
      </c>
    </row>
    <row r="39" spans="1:42" x14ac:dyDescent="0.2">
      <c r="A39">
        <v>2029</v>
      </c>
      <c r="B39">
        <f>[1]Usage!$R38</f>
        <v>9440.4246795229228</v>
      </c>
      <c r="C39">
        <f>[1]Usage!$X38</f>
        <v>999.1649730731915</v>
      </c>
      <c r="D39">
        <f>[2]Usage!$R38</f>
        <v>5775.5811523176544</v>
      </c>
      <c r="E39">
        <f>[2]Usage!$X38</f>
        <v>603.35269738605302</v>
      </c>
      <c r="F39">
        <f>[3]Usage!$R38</f>
        <v>2932.4647357865801</v>
      </c>
      <c r="G39">
        <f>[3]Usage!$X38</f>
        <v>302.09076739464416</v>
      </c>
      <c r="I39">
        <f>[1]Usage!$S38</f>
        <v>222.27609002783771</v>
      </c>
      <c r="J39">
        <f>[1]Usage!$Y38</f>
        <v>23.525475923685054</v>
      </c>
      <c r="K39">
        <f>[2]Usage!$S38</f>
        <v>135.98684802393001</v>
      </c>
      <c r="L39">
        <f>[2]Usage!$Y38</f>
        <v>14.206021766543916</v>
      </c>
      <c r="M39">
        <f>[3]Usage!$S38</f>
        <v>69.045283209451668</v>
      </c>
      <c r="N39">
        <f>[3]Usage!$Y38</f>
        <v>7.1127684282720036</v>
      </c>
      <c r="P39">
        <f>[1]Usage!$T38</f>
        <v>11931.804230171871</v>
      </c>
      <c r="Q39">
        <f>[1]Usage!$Z38</f>
        <v>1261.0810258291779</v>
      </c>
      <c r="R39">
        <f>[2]Usage!$T38</f>
        <v>7303.1753193767545</v>
      </c>
      <c r="S39">
        <f>[2]Usage!$Z38</f>
        <v>762.08516052819948</v>
      </c>
      <c r="T39">
        <f>[3]Usage!$T38</f>
        <v>3719.7307278750877</v>
      </c>
      <c r="U39">
        <f>[3]Usage!$Z38</f>
        <v>383.19333074151632</v>
      </c>
      <c r="W39">
        <f>[1]Usage!$U38</f>
        <v>641.59168344279794</v>
      </c>
      <c r="X39">
        <f>[1]Usage!$AA38</f>
        <v>67.905413037361669</v>
      </c>
      <c r="Y39">
        <f>[2]Usage!$U38</f>
        <v>392.52098927431319</v>
      </c>
      <c r="Z39">
        <f>[2]Usage!$AA38</f>
        <v>41.005154531377862</v>
      </c>
      <c r="AA39">
        <f>[3]Usage!$U38</f>
        <v>199.29664716789327</v>
      </c>
      <c r="AB39">
        <f>[3]Usage!$AA38</f>
        <v>20.53074205715194</v>
      </c>
      <c r="AD39">
        <f>[1]Usage!$V38</f>
        <v>7006.4575565996174</v>
      </c>
      <c r="AE39">
        <f>[1]Usage!$AB38</f>
        <v>741.98393327876636</v>
      </c>
      <c r="AF39">
        <f>[2]Usage!$V38</f>
        <v>4285.4040771903501</v>
      </c>
      <c r="AG39">
        <f>[2]Usage!$AB38</f>
        <v>447.88576005671359</v>
      </c>
      <c r="AH39">
        <f>[3]Usage!$V38</f>
        <v>2173.1397943987367</v>
      </c>
      <c r="AI39">
        <f>[3]Usage!$AB38</f>
        <v>223.85720373167428</v>
      </c>
      <c r="AK39">
        <f>[1]Usage!$W38</f>
        <v>6311.5002467230997</v>
      </c>
      <c r="AL39">
        <f>[1]Usage!$AC38</f>
        <v>669.49962289975804</v>
      </c>
      <c r="AM39">
        <f>[2]Usage!$W38</f>
        <v>3840.0291637021255</v>
      </c>
      <c r="AN39">
        <f>[2]Usage!$AC38</f>
        <v>402.59106389272353</v>
      </c>
      <c r="AO39">
        <f>[3]Usage!$W38</f>
        <v>1922.3125705351613</v>
      </c>
      <c r="AP39">
        <f>[3]Usage!$AC38</f>
        <v>199.54586111583362</v>
      </c>
    </row>
    <row r="40" spans="1:42" x14ac:dyDescent="0.2">
      <c r="A40">
        <v>2029.25</v>
      </c>
      <c r="B40">
        <f>[1]Usage!$R39</f>
        <v>10524.402165088868</v>
      </c>
      <c r="C40">
        <f>[1]Usage!$X39</f>
        <v>1115.3361796613108</v>
      </c>
      <c r="D40">
        <f>[2]Usage!$R39</f>
        <v>6460.5736626490616</v>
      </c>
      <c r="E40">
        <f>[2]Usage!$X39</f>
        <v>674.57503224684126</v>
      </c>
      <c r="F40">
        <f>[3]Usage!$R39</f>
        <v>3198.8554202001214</v>
      </c>
      <c r="G40">
        <f>[3]Usage!$X39</f>
        <v>331.30135352434507</v>
      </c>
      <c r="I40">
        <f>[1]Usage!$S39</f>
        <v>247.79848815600977</v>
      </c>
      <c r="J40">
        <f>[1]Usage!$Y39</f>
        <v>26.260742868850517</v>
      </c>
      <c r="K40">
        <f>[2]Usage!$S39</f>
        <v>152.11509035026069</v>
      </c>
      <c r="L40">
        <f>[2]Usage!$Y39</f>
        <v>15.882961380272119</v>
      </c>
      <c r="M40">
        <f>[3]Usage!$S39</f>
        <v>75.317488302059218</v>
      </c>
      <c r="N40">
        <f>[3]Usage!$Y39</f>
        <v>7.8005356731518631</v>
      </c>
      <c r="P40">
        <f>[1]Usage!$T39</f>
        <v>13327.178159135006</v>
      </c>
      <c r="Q40">
        <f>[1]Usage!$Z39</f>
        <v>1410.6249740456101</v>
      </c>
      <c r="R40">
        <f>[2]Usage!$T39</f>
        <v>8184.9470380508037</v>
      </c>
      <c r="S40">
        <f>[2]Usage!$Z39</f>
        <v>853.76768211926276</v>
      </c>
      <c r="T40">
        <f>[3]Usage!$T39</f>
        <v>4062.6480125041408</v>
      </c>
      <c r="U40">
        <f>[3]Usage!$Z39</f>
        <v>420.79530207197826</v>
      </c>
      <c r="W40">
        <f>[1]Usage!$U39</f>
        <v>715.26113830184477</v>
      </c>
      <c r="X40">
        <f>[1]Usage!$AA39</f>
        <v>75.800659547206081</v>
      </c>
      <c r="Y40">
        <f>[2]Usage!$U39</f>
        <v>439.07456210271749</v>
      </c>
      <c r="Z40">
        <f>[2]Usage!$AA39</f>
        <v>45.845578481920846</v>
      </c>
      <c r="AA40">
        <f>[3]Usage!$U39</f>
        <v>217.4011343565989</v>
      </c>
      <c r="AB40">
        <f>[3]Usage!$AA39</f>
        <v>22.515956681019134</v>
      </c>
      <c r="AD40">
        <f>[1]Usage!$V39</f>
        <v>7813.2201778168446</v>
      </c>
      <c r="AE40">
        <f>[1]Usage!$AB39</f>
        <v>828.44568030302901</v>
      </c>
      <c r="AF40">
        <f>[2]Usage!$V39</f>
        <v>4795.2175747101883</v>
      </c>
      <c r="AG40">
        <f>[2]Usage!$AB39</f>
        <v>500.89379604142869</v>
      </c>
      <c r="AH40">
        <f>[3]Usage!$V39</f>
        <v>2371.4041031017105</v>
      </c>
      <c r="AI40">
        <f>[3]Usage!$AB39</f>
        <v>245.59751600484412</v>
      </c>
      <c r="AK40">
        <f>[1]Usage!$W39</f>
        <v>7116.8362246948564</v>
      </c>
      <c r="AL40">
        <f>[1]Usage!$AC39</f>
        <v>755.80847480451507</v>
      </c>
      <c r="AM40">
        <f>[2]Usage!$W39</f>
        <v>4348.9411296393673</v>
      </c>
      <c r="AN40">
        <f>[2]Usage!$AC39</f>
        <v>455.50536281711339</v>
      </c>
      <c r="AO40">
        <f>[3]Usage!$W39</f>
        <v>2120.2262774261644</v>
      </c>
      <c r="AP40">
        <f>[3]Usage!$AC39</f>
        <v>221.2477287847999</v>
      </c>
    </row>
    <row r="41" spans="1:42" x14ac:dyDescent="0.2">
      <c r="A41">
        <v>2029.5</v>
      </c>
      <c r="B41">
        <f>[1]Usage!$R40</f>
        <v>11859.178960452326</v>
      </c>
      <c r="C41">
        <f>[1]Usage!$X40</f>
        <v>1252.4510056780121</v>
      </c>
      <c r="D41">
        <f>[2]Usage!$R40</f>
        <v>7425.1259456268008</v>
      </c>
      <c r="E41">
        <f>[2]Usage!$X40</f>
        <v>759.25711203691424</v>
      </c>
      <c r="F41">
        <f>[3]Usage!$R40</f>
        <v>3635.3259837389046</v>
      </c>
      <c r="G41">
        <f>[3]Usage!$X40</f>
        <v>363.06521688646086</v>
      </c>
      <c r="I41">
        <f>[1]Usage!$S40</f>
        <v>279.22599032938336</v>
      </c>
      <c r="J41">
        <f>[1]Usage!$Y40</f>
        <v>29.489130197436221</v>
      </c>
      <c r="K41">
        <f>[2]Usage!$S40</f>
        <v>174.82560575247149</v>
      </c>
      <c r="L41">
        <f>[2]Usage!$Y40</f>
        <v>17.876812528938242</v>
      </c>
      <c r="M41">
        <f>[3]Usage!$S40</f>
        <v>85.594247406560697</v>
      </c>
      <c r="N41">
        <f>[3]Usage!$Y40</f>
        <v>8.5484201796215853</v>
      </c>
      <c r="P41">
        <f>[1]Usage!$T40</f>
        <v>15058.525693932388</v>
      </c>
      <c r="Q41">
        <f>[1]Usage!$Z40</f>
        <v>1588.4774935326197</v>
      </c>
      <c r="R41">
        <f>[2]Usage!$T40</f>
        <v>9436.0739853558498</v>
      </c>
      <c r="S41">
        <f>[2]Usage!$Z40</f>
        <v>963.60935047560781</v>
      </c>
      <c r="T41">
        <f>[3]Usage!$T40</f>
        <v>4628.7967774657955</v>
      </c>
      <c r="U41">
        <f>[3]Usage!$Z40</f>
        <v>461.99641278851959</v>
      </c>
      <c r="W41">
        <f>[1]Usage!$U40</f>
        <v>805.97545680228131</v>
      </c>
      <c r="X41">
        <f>[1]Usage!$AA40</f>
        <v>85.11927974019801</v>
      </c>
      <c r="Y41">
        <f>[2]Usage!$U40</f>
        <v>504.62762184447007</v>
      </c>
      <c r="Z41">
        <f>[2]Usage!$AA40</f>
        <v>51.600755814970221</v>
      </c>
      <c r="AA41">
        <f>[3]Usage!$U40</f>
        <v>247.06461805998526</v>
      </c>
      <c r="AB41">
        <f>[3]Usage!$AA40</f>
        <v>24.674697549038722</v>
      </c>
      <c r="AD41">
        <f>[1]Usage!$V40</f>
        <v>8806.0795539643641</v>
      </c>
      <c r="AE41">
        <f>[1]Usage!$AB40</f>
        <v>930.43707024358309</v>
      </c>
      <c r="AF41">
        <f>[2]Usage!$V40</f>
        <v>5512.6894256335272</v>
      </c>
      <c r="AG41">
        <f>[2]Usage!$AB40</f>
        <v>563.88365112678935</v>
      </c>
      <c r="AH41">
        <f>[3]Usage!$V40</f>
        <v>2696.0680416172663</v>
      </c>
      <c r="AI41">
        <f>[3]Usage!$AB40</f>
        <v>269.22472444245994</v>
      </c>
      <c r="AK41">
        <f>[1]Usage!$W40</f>
        <v>8134.0065271290814</v>
      </c>
      <c r="AL41">
        <f>[1]Usage!$AC40</f>
        <v>860.29720245702629</v>
      </c>
      <c r="AM41">
        <f>[2]Usage!$W40</f>
        <v>5083.9808312569949</v>
      </c>
      <c r="AN41">
        <f>[2]Usage!$AC40</f>
        <v>520.03757300389066</v>
      </c>
      <c r="AO41">
        <f>[3]Usage!$W40</f>
        <v>2452.8398624544311</v>
      </c>
      <c r="AP41">
        <f>[3]Usage!$AC40</f>
        <v>245.45346761300971</v>
      </c>
    </row>
    <row r="42" spans="1:42" x14ac:dyDescent="0.2">
      <c r="A42">
        <v>2029.75</v>
      </c>
      <c r="B42">
        <f>[1]Usage!$R41</f>
        <v>13071.388807328958</v>
      </c>
      <c r="C42">
        <f>[1]Usage!$X41</f>
        <v>1385.177335637117</v>
      </c>
      <c r="D42">
        <f>[2]Usage!$R41</f>
        <v>8537.8616258683505</v>
      </c>
      <c r="E42">
        <f>[2]Usage!$X41</f>
        <v>868.96088658345025</v>
      </c>
      <c r="F42">
        <f>[3]Usage!$R41</f>
        <v>3999.084847234838</v>
      </c>
      <c r="G42">
        <f>[3]Usage!$X41</f>
        <v>401.0063723628104</v>
      </c>
      <c r="I42">
        <f>[1]Usage!$S41</f>
        <v>307.76763693998885</v>
      </c>
      <c r="J42">
        <f>[1]Usage!$Y41</f>
        <v>32.61418978623275</v>
      </c>
      <c r="K42">
        <f>[2]Usage!$S41</f>
        <v>201.02511950687358</v>
      </c>
      <c r="L42">
        <f>[2]Usage!$Y41</f>
        <v>20.459802902283577</v>
      </c>
      <c r="M42">
        <f>[3]Usage!$S41</f>
        <v>94.158999590456304</v>
      </c>
      <c r="N42">
        <f>[3]Usage!$Y41</f>
        <v>9.4417498736462662</v>
      </c>
      <c r="P42">
        <f>[1]Usage!$T41</f>
        <v>16642.743355166971</v>
      </c>
      <c r="Q42">
        <f>[1]Usage!$Z41</f>
        <v>1761.9354113789693</v>
      </c>
      <c r="R42">
        <f>[2]Usage!$T41</f>
        <v>10890.290449169101</v>
      </c>
      <c r="S42">
        <f>[2]Usage!$Z41</f>
        <v>1106.9794588677455</v>
      </c>
      <c r="T42">
        <f>[3]Usage!$T41</f>
        <v>5104.1874183401433</v>
      </c>
      <c r="U42">
        <f>[3]Usage!$Z41</f>
        <v>511.58110206336045</v>
      </c>
      <c r="W42">
        <f>[1]Usage!$U41</f>
        <v>888.35986033769711</v>
      </c>
      <c r="X42">
        <f>[1]Usage!$AA41</f>
        <v>94.139648247597592</v>
      </c>
      <c r="Y42">
        <f>[2]Usage!$U41</f>
        <v>580.25154582551716</v>
      </c>
      <c r="Z42">
        <f>[2]Usage!$AA41</f>
        <v>59.056461652443005</v>
      </c>
      <c r="AA42">
        <f>[3]Usage!$U41</f>
        <v>271.78645733315119</v>
      </c>
      <c r="AB42">
        <f>[3]Usage!$AA41</f>
        <v>27.253260552315204</v>
      </c>
      <c r="AD42">
        <f>[1]Usage!$V41</f>
        <v>9707.2600239626154</v>
      </c>
      <c r="AE42">
        <f>[1]Usage!$AB41</f>
        <v>1029.1084155736644</v>
      </c>
      <c r="AF42">
        <f>[2]Usage!$V41</f>
        <v>6339.9188578045696</v>
      </c>
      <c r="AG42">
        <f>[2]Usage!$AB41</f>
        <v>645.43957922055847</v>
      </c>
      <c r="AH42">
        <f>[3]Usage!$V41</f>
        <v>2966.493483561937</v>
      </c>
      <c r="AI42">
        <f>[3]Usage!$AB41</f>
        <v>297.43092026948756</v>
      </c>
      <c r="AK42">
        <f>[1]Usage!$W41</f>
        <v>9080.8029043412625</v>
      </c>
      <c r="AL42">
        <f>[1]Usage!$AC41</f>
        <v>963.9630889285279</v>
      </c>
      <c r="AM42">
        <f>[2]Usage!$W41</f>
        <v>5953.0829207689358</v>
      </c>
      <c r="AN42">
        <f>[2]Usage!$AC41</f>
        <v>605.72169491956834</v>
      </c>
      <c r="AO42">
        <f>[3]Usage!$W41</f>
        <v>2736.9536856709001</v>
      </c>
      <c r="AP42">
        <f>[3]Usage!$AC41</f>
        <v>275.08740322639346</v>
      </c>
    </row>
    <row r="43" spans="1:42" x14ac:dyDescent="0.2">
      <c r="A43">
        <v>2030</v>
      </c>
      <c r="B43">
        <f>[1]Usage!$R42</f>
        <v>14499.609730592443</v>
      </c>
      <c r="C43">
        <f>[1]Usage!$X42</f>
        <v>1534.3630042266182</v>
      </c>
      <c r="D43">
        <f>[2]Usage!$R42</f>
        <v>9408.1584791906735</v>
      </c>
      <c r="E43">
        <f>[2]Usage!$X42</f>
        <v>959.12850121502652</v>
      </c>
      <c r="F43">
        <f>[3]Usage!$R42</f>
        <v>4306.2942064930876</v>
      </c>
      <c r="G43">
        <f>[3]Usage!$X42</f>
        <v>438.09868742839438</v>
      </c>
      <c r="I43">
        <f>[1]Usage!$S42</f>
        <v>341.39529388296006</v>
      </c>
      <c r="J43">
        <f>[1]Usage!$Y42</f>
        <v>36.126786753844897</v>
      </c>
      <c r="K43">
        <f>[2]Usage!$S42</f>
        <v>221.51637792871318</v>
      </c>
      <c r="L43">
        <f>[2]Usage!$Y42</f>
        <v>22.582811718922585</v>
      </c>
      <c r="M43">
        <f>[3]Usage!$S42</f>
        <v>101.39228596410828</v>
      </c>
      <c r="N43">
        <f>[3]Usage!$Y42</f>
        <v>10.315093504123208</v>
      </c>
      <c r="P43">
        <f>[1]Usage!$T42</f>
        <v>18523.146653084121</v>
      </c>
      <c r="Q43">
        <f>[1]Usage!$Z42</f>
        <v>1958.3540596765051</v>
      </c>
      <c r="R43">
        <f>[2]Usage!$T42</f>
        <v>12036.127935861839</v>
      </c>
      <c r="S43">
        <f>[2]Usage!$Z42</f>
        <v>1225.6946220170946</v>
      </c>
      <c r="T43">
        <f>[3]Usage!$T42</f>
        <v>5508.6609020223686</v>
      </c>
      <c r="U43">
        <f>[3]Usage!$Z42</f>
        <v>560.41704224643149</v>
      </c>
      <c r="W43">
        <f>[1]Usage!$U42</f>
        <v>985.42484391544372</v>
      </c>
      <c r="X43">
        <f>[1]Usage!$AA42</f>
        <v>104.27862901437327</v>
      </c>
      <c r="Y43">
        <f>[2]Usage!$U42</f>
        <v>639.39880266759565</v>
      </c>
      <c r="Z43">
        <f>[2]Usage!$AA42</f>
        <v>65.184447800034192</v>
      </c>
      <c r="AA43">
        <f>[3]Usage!$U42</f>
        <v>292.6650699662689</v>
      </c>
      <c r="AB43">
        <f>[3]Usage!$AA42</f>
        <v>29.774134525001919</v>
      </c>
      <c r="AD43">
        <f>[1]Usage!$V42</f>
        <v>10768.431330929154</v>
      </c>
      <c r="AE43">
        <f>[1]Usage!$AB42</f>
        <v>1139.9536975179001</v>
      </c>
      <c r="AF43">
        <f>[2]Usage!$V42</f>
        <v>6986.5513459903887</v>
      </c>
      <c r="AG43">
        <f>[2]Usage!$AB42</f>
        <v>712.43431645351302</v>
      </c>
      <c r="AH43">
        <f>[3]Usage!$V42</f>
        <v>3194.7507174158668</v>
      </c>
      <c r="AI43">
        <f>[3]Usage!$AB42</f>
        <v>324.99059245705064</v>
      </c>
      <c r="AK43">
        <f>[1]Usage!$W42</f>
        <v>10223.290738807555</v>
      </c>
      <c r="AL43">
        <f>[1]Usage!$AC42</f>
        <v>1083.3023372646767</v>
      </c>
      <c r="AM43">
        <f>[2]Usage!$W42</f>
        <v>6649.2662290368653</v>
      </c>
      <c r="AN43">
        <f>[2]Usage!$AC42</f>
        <v>677.85017385546757</v>
      </c>
      <c r="AO43">
        <f>[3]Usage!$W42</f>
        <v>2982.70204985586</v>
      </c>
      <c r="AP43">
        <f>[3]Usage!$AC42</f>
        <v>304.75894634997957</v>
      </c>
    </row>
    <row r="44" spans="1:42" x14ac:dyDescent="0.2">
      <c r="A44">
        <v>2030.25</v>
      </c>
      <c r="B44">
        <f>[1]Usage!$R43</f>
        <v>15772.559131608494</v>
      </c>
      <c r="C44">
        <f>[1]Usage!$X43</f>
        <v>1690.48064678951</v>
      </c>
      <c r="D44">
        <f>[2]Usage!$R43</f>
        <v>10097.383150068134</v>
      </c>
      <c r="E44">
        <f>[2]Usage!$X43</f>
        <v>1048.6504020868933</v>
      </c>
      <c r="F44">
        <f>[3]Usage!$R43</f>
        <v>4595.4763476606722</v>
      </c>
      <c r="G44">
        <f>[3]Usage!$X43</f>
        <v>474.44379003404561</v>
      </c>
      <c r="I44">
        <f>[1]Usage!$S43</f>
        <v>371.36706160172167</v>
      </c>
      <c r="J44">
        <f>[1]Usage!$Y43</f>
        <v>39.802597996586236</v>
      </c>
      <c r="K44">
        <f>[2]Usage!$S43</f>
        <v>237.74426705383536</v>
      </c>
      <c r="L44">
        <f>[2]Usage!$Y43</f>
        <v>24.690617116789898</v>
      </c>
      <c r="M44">
        <f>[3]Usage!$S43</f>
        <v>108.20111902265</v>
      </c>
      <c r="N44">
        <f>[3]Usage!$Y43</f>
        <v>11.170843915052071</v>
      </c>
      <c r="P44">
        <f>[1]Usage!$T43</f>
        <v>20211.422402115895</v>
      </c>
      <c r="Q44">
        <f>[1]Usage!$Z43</f>
        <v>2165.4083461426944</v>
      </c>
      <c r="R44">
        <f>[2]Usage!$T43</f>
        <v>12950.226561108098</v>
      </c>
      <c r="S44">
        <f>[2]Usage!$Z43</f>
        <v>1344.4249141469804</v>
      </c>
      <c r="T44">
        <f>[3]Usage!$T43</f>
        <v>5892.1947609460822</v>
      </c>
      <c r="U44">
        <f>[3]Usage!$Z43</f>
        <v>608.62049422670293</v>
      </c>
      <c r="W44">
        <f>[1]Usage!$U43</f>
        <v>1071.9372389464543</v>
      </c>
      <c r="X44">
        <f>[1]Usage!$AA43</f>
        <v>114.88872172813757</v>
      </c>
      <c r="Y44">
        <f>[2]Usage!$U43</f>
        <v>686.24000228203124</v>
      </c>
      <c r="Z44">
        <f>[2]Usage!$AA43</f>
        <v>71.268549843659926</v>
      </c>
      <c r="AA44">
        <f>[3]Usage!$U43</f>
        <v>312.31851386013824</v>
      </c>
      <c r="AB44">
        <f>[3]Usage!$AA43</f>
        <v>32.24422632248654</v>
      </c>
      <c r="AD44">
        <f>[1]Usage!$V43</f>
        <v>11713.70738289275</v>
      </c>
      <c r="AE44">
        <f>[1]Usage!$AB43</f>
        <v>1255.8846753603207</v>
      </c>
      <c r="AF44">
        <f>[2]Usage!$V43</f>
        <v>7498.3608297632154</v>
      </c>
      <c r="AG44">
        <f>[2]Usage!$AB43</f>
        <v>778.91214263646236</v>
      </c>
      <c r="AH44">
        <f>[3]Usage!$V43</f>
        <v>3409.4937012949458</v>
      </c>
      <c r="AI44">
        <f>[3]Usage!$AB43</f>
        <v>351.98000387580709</v>
      </c>
      <c r="AK44">
        <f>[1]Usage!$W43</f>
        <v>11265.476350894753</v>
      </c>
      <c r="AL44">
        <f>[1]Usage!$AC43</f>
        <v>1211.1185416968012</v>
      </c>
      <c r="AM44">
        <f>[2]Usage!$W43</f>
        <v>7213.5463448927558</v>
      </c>
      <c r="AN44">
        <f>[2]Usage!$AC43</f>
        <v>751.1432968821066</v>
      </c>
      <c r="AO44">
        <f>[3]Usage!$W43</f>
        <v>3219.46045247333</v>
      </c>
      <c r="AP44">
        <f>[3]Usage!$AC43</f>
        <v>334.5153082094601</v>
      </c>
    </row>
    <row r="45" spans="1:42" x14ac:dyDescent="0.2">
      <c r="A45">
        <v>2030.5</v>
      </c>
      <c r="B45">
        <f>[1]Usage!$R44</f>
        <v>17282.119631751113</v>
      </c>
      <c r="C45">
        <f>[1]Usage!$X44</f>
        <v>1852.8303471605934</v>
      </c>
      <c r="D45">
        <f>[2]Usage!$R44</f>
        <v>10870.724208756536</v>
      </c>
      <c r="E45">
        <f>[2]Usage!$X44</f>
        <v>1149.6149031974464</v>
      </c>
      <c r="F45">
        <f>[3]Usage!$R44</f>
        <v>5096.4187623812177</v>
      </c>
      <c r="G45">
        <f>[3]Usage!$X44</f>
        <v>514.77541034518299</v>
      </c>
      <c r="I45">
        <f>[1]Usage!$S44</f>
        <v>406.90987000524422</v>
      </c>
      <c r="J45">
        <f>[1]Usage!$Y44</f>
        <v>43.625143892635805</v>
      </c>
      <c r="K45">
        <f>[2]Usage!$S44</f>
        <v>255.95268803261843</v>
      </c>
      <c r="L45">
        <f>[2]Usage!$Y44</f>
        <v>27.067840102016781</v>
      </c>
      <c r="M45">
        <f>[3]Usage!$S44</f>
        <v>119.99587667954954</v>
      </c>
      <c r="N45">
        <f>[3]Usage!$Y44</f>
        <v>12.120457430500403</v>
      </c>
      <c r="P45">
        <f>[1]Usage!$T44</f>
        <v>22228.015834766149</v>
      </c>
      <c r="Q45">
        <f>[1]Usage!$Z44</f>
        <v>2382.2882522677764</v>
      </c>
      <c r="R45">
        <f>[2]Usage!$T44</f>
        <v>13983.318311986906</v>
      </c>
      <c r="S45">
        <f>[2]Usage!$Z44</f>
        <v>1479.3014890514737</v>
      </c>
      <c r="T45">
        <f>[3]Usage!$T44</f>
        <v>6561.3942952250791</v>
      </c>
      <c r="U45">
        <f>[3]Usage!$Z44</f>
        <v>662.49874596944471</v>
      </c>
      <c r="W45">
        <f>[1]Usage!$U44</f>
        <v>1174.5302361286742</v>
      </c>
      <c r="X45">
        <f>[1]Usage!$AA44</f>
        <v>125.9223585721933</v>
      </c>
      <c r="Y45">
        <f>[2]Usage!$U44</f>
        <v>738.79793357886797</v>
      </c>
      <c r="Z45">
        <f>[2]Usage!$AA44</f>
        <v>78.130315752982938</v>
      </c>
      <c r="AA45">
        <f>[3]Usage!$U44</f>
        <v>346.36364404009714</v>
      </c>
      <c r="AB45">
        <f>[3]Usage!$AA44</f>
        <v>34.985250487164912</v>
      </c>
      <c r="AD45">
        <f>[1]Usage!$V44</f>
        <v>12834.065069664939</v>
      </c>
      <c r="AE45">
        <f>[1]Usage!$AB44</f>
        <v>1376.3765236424667</v>
      </c>
      <c r="AF45">
        <f>[2]Usage!$V44</f>
        <v>8072.3150366441168</v>
      </c>
      <c r="AG45">
        <f>[2]Usage!$AB44</f>
        <v>853.84544600498612</v>
      </c>
      <c r="AH45">
        <f>[3]Usage!$V44</f>
        <v>3781.280512694264</v>
      </c>
      <c r="AI45">
        <f>[3]Usage!$AB44</f>
        <v>381.91311409649126</v>
      </c>
      <c r="AK45">
        <f>[1]Usage!$W44</f>
        <v>12529.566121051299</v>
      </c>
      <c r="AL45">
        <f>[1]Usage!$AC44</f>
        <v>1347.0684393045337</v>
      </c>
      <c r="AM45">
        <f>[2]Usage!$W44</f>
        <v>7861.1338520100153</v>
      </c>
      <c r="AN45">
        <f>[2]Usage!$AC44</f>
        <v>835.68988709213886</v>
      </c>
      <c r="AO45">
        <f>[3]Usage!$W44</f>
        <v>3638.9442570813153</v>
      </c>
      <c r="AP45">
        <f>[3]Usage!$AC44</f>
        <v>368.28857443120484</v>
      </c>
    </row>
    <row r="46" spans="1:42" x14ac:dyDescent="0.2">
      <c r="A46">
        <v>2030.75</v>
      </c>
      <c r="B46">
        <f>[1]Usage!$R45</f>
        <v>18899.714652155639</v>
      </c>
      <c r="C46">
        <f>[1]Usage!$X45</f>
        <v>2023.2815612706586</v>
      </c>
      <c r="D46">
        <f>[2]Usage!$R45</f>
        <v>11868.216361130766</v>
      </c>
      <c r="E46">
        <f>[2]Usage!$X45</f>
        <v>1253.7137492722313</v>
      </c>
      <c r="F46">
        <f>[3]Usage!$R45</f>
        <v>5451.8276936025031</v>
      </c>
      <c r="G46">
        <f>[3]Usage!$X45</f>
        <v>556.93007584929092</v>
      </c>
      <c r="I46">
        <f>[1]Usage!$S45</f>
        <v>444.99636596171518</v>
      </c>
      <c r="J46">
        <f>[1]Usage!$Y45</f>
        <v>47.638441037526299</v>
      </c>
      <c r="K46">
        <f>[2]Usage!$S45</f>
        <v>279.43877716419343</v>
      </c>
      <c r="L46">
        <f>[2]Usage!$Y45</f>
        <v>29.518861668038344</v>
      </c>
      <c r="M46">
        <f>[3]Usage!$S45</f>
        <v>128.36402856621152</v>
      </c>
      <c r="N46">
        <f>[3]Usage!$Y45</f>
        <v>13.112994794312939</v>
      </c>
      <c r="P46">
        <f>[1]Usage!$T45</f>
        <v>24404.387369453827</v>
      </c>
      <c r="Q46">
        <f>[1]Usage!$Z45</f>
        <v>2611.6195532193151</v>
      </c>
      <c r="R46">
        <f>[2]Usage!$T45</f>
        <v>15325.380755996357</v>
      </c>
      <c r="S46">
        <f>[2]Usage!$Z45</f>
        <v>1619.3598859512974</v>
      </c>
      <c r="T46">
        <f>[3]Usage!$T45</f>
        <v>7039.5744771165519</v>
      </c>
      <c r="U46">
        <f>[3]Usage!$Z45</f>
        <v>719.21517554554327</v>
      </c>
      <c r="W46">
        <f>[1]Usage!$U45</f>
        <v>1284.4654930161298</v>
      </c>
      <c r="X46">
        <f>[1]Usage!$AA45</f>
        <v>137.50659181574184</v>
      </c>
      <c r="Y46">
        <f>[2]Usage!$U45</f>
        <v>806.58965810275913</v>
      </c>
      <c r="Z46">
        <f>[2]Usage!$AA45</f>
        <v>85.205098526521155</v>
      </c>
      <c r="AA46">
        <f>[3]Usage!$U45</f>
        <v>370.51800385268916</v>
      </c>
      <c r="AB46">
        <f>[3]Usage!$AA45</f>
        <v>37.850172746903276</v>
      </c>
      <c r="AD46">
        <f>[1]Usage!$V45</f>
        <v>14033.939726321491</v>
      </c>
      <c r="AE46">
        <f>[1]Usage!$AB45</f>
        <v>1502.8111932768109</v>
      </c>
      <c r="AF46">
        <f>[2]Usage!$V45</f>
        <v>8812.2193629743997</v>
      </c>
      <c r="AG46">
        <f>[2]Usage!$AB45</f>
        <v>931.06228063711126</v>
      </c>
      <c r="AH46">
        <f>[3]Usage!$V45</f>
        <v>4044.9102617615963</v>
      </c>
      <c r="AI46">
        <f>[3]Usage!$AB45</f>
        <v>413.18195095626606</v>
      </c>
      <c r="AK46">
        <f>[1]Usage!$W45</f>
        <v>13914.154327516171</v>
      </c>
      <c r="AL46">
        <f>[1]Usage!$AC45</f>
        <v>1492.9669725328292</v>
      </c>
      <c r="AM46">
        <f>[2]Usage!$W45</f>
        <v>8714.942038111647</v>
      </c>
      <c r="AN46">
        <f>[2]Usage!$AC45</f>
        <v>924.79379305353586</v>
      </c>
      <c r="AO46">
        <f>[3]Usage!$W45</f>
        <v>3943.1582342721044</v>
      </c>
      <c r="AP46">
        <f>[3]Usage!$AC45</f>
        <v>404.37106230252823</v>
      </c>
    </row>
    <row r="49" spans="1:42" x14ac:dyDescent="0.2">
      <c r="A49">
        <v>2020</v>
      </c>
      <c r="B49">
        <f>B3/1000</f>
        <v>1.955754480458673E-4</v>
      </c>
      <c r="C49">
        <f t="shared" ref="C49:AP49" si="0">C3/1000</f>
        <v>1.5787000748101E-5</v>
      </c>
      <c r="D49">
        <f t="shared" si="0"/>
        <v>1.9566539211172629E-4</v>
      </c>
      <c r="E49">
        <f t="shared" si="0"/>
        <v>1.5596976109924528E-5</v>
      </c>
      <c r="F49">
        <f t="shared" si="0"/>
        <v>1.956195335313478E-4</v>
      </c>
      <c r="G49">
        <f t="shared" si="0"/>
        <v>1.636843235852647E-5</v>
      </c>
      <c r="H49">
        <f t="shared" si="0"/>
        <v>0</v>
      </c>
      <c r="I49">
        <f t="shared" si="0"/>
        <v>4.6048506685691561E-6</v>
      </c>
      <c r="J49">
        <f t="shared" si="0"/>
        <v>3.7170709143688363E-7</v>
      </c>
      <c r="K49">
        <f t="shared" si="0"/>
        <v>4.606968413899376E-6</v>
      </c>
      <c r="L49">
        <f t="shared" si="0"/>
        <v>3.6723293534574518E-7</v>
      </c>
      <c r="M49">
        <f t="shared" si="0"/>
        <v>4.6058886673533473E-6</v>
      </c>
      <c r="N49">
        <f t="shared" si="0"/>
        <v>3.8539697821330062E-7</v>
      </c>
      <c r="O49">
        <f t="shared" si="0"/>
        <v>0</v>
      </c>
      <c r="P49">
        <f t="shared" si="0"/>
        <v>2.2357309461689632E-4</v>
      </c>
      <c r="Q49">
        <f t="shared" si="0"/>
        <v>1.8046992335890912E-5</v>
      </c>
      <c r="R49">
        <f t="shared" si="0"/>
        <v>2.236759146454196E-4</v>
      </c>
      <c r="S49">
        <f t="shared" si="0"/>
        <v>1.7829764678559369E-5</v>
      </c>
      <c r="T49">
        <f t="shared" si="0"/>
        <v>2.2362349116981258E-4</v>
      </c>
      <c r="U49">
        <f t="shared" si="0"/>
        <v>1.8711658917252498E-5</v>
      </c>
      <c r="V49">
        <f t="shared" si="0"/>
        <v>0</v>
      </c>
      <c r="W49">
        <f t="shared" si="0"/>
        <v>1.3291730532420141E-5</v>
      </c>
      <c r="X49">
        <f t="shared" si="0"/>
        <v>1.0729187224444541E-6</v>
      </c>
      <c r="Y49">
        <f t="shared" si="0"/>
        <v>1.329784332570955E-5</v>
      </c>
      <c r="Z49">
        <f t="shared" si="0"/>
        <v>1.060004236958679E-6</v>
      </c>
      <c r="AA49">
        <f t="shared" si="0"/>
        <v>1.3294726677382371E-5</v>
      </c>
      <c r="AB49">
        <f t="shared" si="0"/>
        <v>1.1124340724846799E-6</v>
      </c>
      <c r="AC49">
        <f t="shared" si="0"/>
        <v>0</v>
      </c>
      <c r="AD49">
        <f t="shared" si="0"/>
        <v>1.5511052018875578E-4</v>
      </c>
      <c r="AE49">
        <f t="shared" si="0"/>
        <v>1.2520640615809479E-5</v>
      </c>
      <c r="AF49">
        <f t="shared" si="0"/>
        <v>1.5518185465830539E-4</v>
      </c>
      <c r="AG49">
        <f t="shared" si="0"/>
        <v>1.236993243249334E-5</v>
      </c>
      <c r="AH49">
        <f t="shared" si="0"/>
        <v>1.551454843044154E-4</v>
      </c>
      <c r="AI49">
        <f t="shared" si="0"/>
        <v>1.298177293302206E-5</v>
      </c>
      <c r="AJ49">
        <f t="shared" si="0"/>
        <v>0</v>
      </c>
      <c r="AK49">
        <f t="shared" si="0"/>
        <v>8.6366085683425856E-5</v>
      </c>
      <c r="AL49">
        <f t="shared" si="0"/>
        <v>6.9715369332812871E-6</v>
      </c>
      <c r="AM49">
        <f t="shared" si="0"/>
        <v>8.6405804968112725E-5</v>
      </c>
      <c r="AN49">
        <f t="shared" si="0"/>
        <v>6.8876220843230372E-6</v>
      </c>
      <c r="AO49">
        <f t="shared" si="0"/>
        <v>8.6385553826561672E-5</v>
      </c>
      <c r="AP49">
        <f t="shared" si="0"/>
        <v>7.2282970367953095E-6</v>
      </c>
    </row>
    <row r="50" spans="1:42" x14ac:dyDescent="0.2">
      <c r="A50">
        <v>2020.25</v>
      </c>
      <c r="B50">
        <f t="shared" ref="B50:AP50" si="1">B4/1000</f>
        <v>3.5014117951103407E-4</v>
      </c>
      <c r="C50">
        <f t="shared" si="1"/>
        <v>2.6539806034111131E-5</v>
      </c>
      <c r="D50">
        <f t="shared" si="1"/>
        <v>3.5025148891854664E-4</v>
      </c>
      <c r="E50">
        <f t="shared" si="1"/>
        <v>2.6080508682424841E-5</v>
      </c>
      <c r="F50">
        <f t="shared" si="1"/>
        <v>3.5020298813667722E-4</v>
      </c>
      <c r="G50">
        <f t="shared" si="1"/>
        <v>2.6978580415927233E-5</v>
      </c>
      <c r="H50">
        <f t="shared" si="1"/>
        <v>0</v>
      </c>
      <c r="I50">
        <f t="shared" si="1"/>
        <v>8.2441219522955802E-6</v>
      </c>
      <c r="J50">
        <f t="shared" si="1"/>
        <v>6.2488336230839489E-7</v>
      </c>
      <c r="K50">
        <f t="shared" si="1"/>
        <v>8.2467192023799292E-6</v>
      </c>
      <c r="L50">
        <f t="shared" si="1"/>
        <v>6.1406914335546887E-7</v>
      </c>
      <c r="M50">
        <f t="shared" si="1"/>
        <v>8.2455772448384833E-6</v>
      </c>
      <c r="N50">
        <f t="shared" si="1"/>
        <v>6.3521436512927574E-7</v>
      </c>
      <c r="O50">
        <f t="shared" si="1"/>
        <v>0</v>
      </c>
      <c r="P50">
        <f t="shared" si="1"/>
        <v>4.0026571759525266E-4</v>
      </c>
      <c r="Q50">
        <f t="shared" si="1"/>
        <v>3.033911784359982E-5</v>
      </c>
      <c r="R50">
        <f t="shared" si="1"/>
        <v>4.0039181837042318E-4</v>
      </c>
      <c r="S50">
        <f t="shared" si="1"/>
        <v>2.9814069677831263E-5</v>
      </c>
      <c r="T50">
        <f t="shared" si="1"/>
        <v>4.0033637444838576E-4</v>
      </c>
      <c r="U50">
        <f t="shared" si="1"/>
        <v>3.0840705069202054E-5</v>
      </c>
      <c r="V50">
        <f t="shared" si="1"/>
        <v>0</v>
      </c>
      <c r="W50">
        <f t="shared" si="1"/>
        <v>2.3796352010774581E-5</v>
      </c>
      <c r="X50">
        <f t="shared" si="1"/>
        <v>1.8037026309425719E-6</v>
      </c>
      <c r="Y50">
        <f t="shared" si="1"/>
        <v>2.3803848876738571E-5</v>
      </c>
      <c r="Z50">
        <f t="shared" si="1"/>
        <v>1.7724877893360909E-6</v>
      </c>
      <c r="AA50">
        <f t="shared" si="1"/>
        <v>2.3800552658682262E-5</v>
      </c>
      <c r="AB50">
        <f t="shared" si="1"/>
        <v>1.8335226871198746E-6</v>
      </c>
      <c r="AC50">
        <f t="shared" si="1"/>
        <v>0</v>
      </c>
      <c r="AD50">
        <f t="shared" si="1"/>
        <v>2.7769631125029482E-4</v>
      </c>
      <c r="AE50">
        <f t="shared" si="1"/>
        <v>2.1048670274267817E-5</v>
      </c>
      <c r="AF50">
        <f t="shared" si="1"/>
        <v>2.7778379743402558E-4</v>
      </c>
      <c r="AG50">
        <f t="shared" si="1"/>
        <v>2.0684402408064746E-5</v>
      </c>
      <c r="AH50">
        <f t="shared" si="1"/>
        <v>2.7774533155510014E-4</v>
      </c>
      <c r="AI50">
        <f t="shared" si="1"/>
        <v>2.1396661411647351E-5</v>
      </c>
      <c r="AJ50">
        <f t="shared" si="1"/>
        <v>0</v>
      </c>
      <c r="AK50">
        <f t="shared" si="1"/>
        <v>1.5462228727122058E-4</v>
      </c>
      <c r="AL50">
        <f t="shared" si="1"/>
        <v>1.1719973978666181E-5</v>
      </c>
      <c r="AM50">
        <f t="shared" si="1"/>
        <v>1.5467099988743138E-4</v>
      </c>
      <c r="AN50">
        <f t="shared" si="1"/>
        <v>1.151714834371938E-5</v>
      </c>
      <c r="AO50">
        <f t="shared" si="1"/>
        <v>1.546495819501366E-4</v>
      </c>
      <c r="AP50">
        <f t="shared" si="1"/>
        <v>1.1913736673494495E-5</v>
      </c>
    </row>
    <row r="51" spans="1:42" x14ac:dyDescent="0.2">
      <c r="A51">
        <v>2020.5</v>
      </c>
      <c r="B51">
        <f t="shared" ref="B51:AP51" si="2">B5/1000</f>
        <v>6.0773895401291492E-4</v>
      </c>
      <c r="C51">
        <f t="shared" si="2"/>
        <v>4.1046442631251719E-5</v>
      </c>
      <c r="D51">
        <f t="shared" si="2"/>
        <v>6.0799230131019415E-4</v>
      </c>
      <c r="E51">
        <f t="shared" si="2"/>
        <v>4.0768423592126124E-5</v>
      </c>
      <c r="F51">
        <f t="shared" si="2"/>
        <v>6.083478463308489E-4</v>
      </c>
      <c r="G51">
        <f t="shared" si="2"/>
        <v>4.2483482646357037E-5</v>
      </c>
      <c r="H51">
        <f t="shared" si="2"/>
        <v>0</v>
      </c>
      <c r="I51">
        <f t="shared" si="2"/>
        <v>1.4309296778630222E-5</v>
      </c>
      <c r="J51">
        <f t="shared" si="2"/>
        <v>9.6644410472513313E-7</v>
      </c>
      <c r="K51">
        <f t="shared" si="2"/>
        <v>1.4315261875389106E-5</v>
      </c>
      <c r="L51">
        <f t="shared" si="2"/>
        <v>9.5989810843068918E-7</v>
      </c>
      <c r="M51">
        <f t="shared" si="2"/>
        <v>1.4323633231520093E-5</v>
      </c>
      <c r="N51">
        <f t="shared" si="2"/>
        <v>1.0002794083915035E-6</v>
      </c>
      <c r="O51">
        <f t="shared" si="2"/>
        <v>0</v>
      </c>
      <c r="P51">
        <f t="shared" si="2"/>
        <v>6.9473995854549807E-4</v>
      </c>
      <c r="Q51">
        <f t="shared" si="2"/>
        <v>4.6922455214990183E-5</v>
      </c>
      <c r="R51">
        <f t="shared" si="2"/>
        <v>6.9502957383121757E-4</v>
      </c>
      <c r="S51">
        <f t="shared" si="2"/>
        <v>4.6604636298757163E-5</v>
      </c>
      <c r="T51">
        <f t="shared" si="2"/>
        <v>6.9543601697803206E-4</v>
      </c>
      <c r="U51">
        <f t="shared" si="2"/>
        <v>4.8565215011659851E-5</v>
      </c>
      <c r="V51">
        <f t="shared" si="2"/>
        <v>0</v>
      </c>
      <c r="W51">
        <f t="shared" si="2"/>
        <v>4.1303254020413002E-5</v>
      </c>
      <c r="X51">
        <f t="shared" si="2"/>
        <v>2.7896050359096639E-6</v>
      </c>
      <c r="Y51">
        <f t="shared" si="2"/>
        <v>4.1320472050795639E-5</v>
      </c>
      <c r="Z51">
        <f t="shared" si="2"/>
        <v>2.7707102605794133E-6</v>
      </c>
      <c r="AA51">
        <f t="shared" si="2"/>
        <v>4.134463565954053E-5</v>
      </c>
      <c r="AB51">
        <f t="shared" si="2"/>
        <v>2.8872693840470914E-6</v>
      </c>
      <c r="AC51">
        <f t="shared" si="2"/>
        <v>0</v>
      </c>
      <c r="AD51">
        <f t="shared" si="2"/>
        <v>4.8199662195740273E-4</v>
      </c>
      <c r="AE51">
        <f t="shared" si="2"/>
        <v>3.2553856488868779E-5</v>
      </c>
      <c r="AF51">
        <f t="shared" si="2"/>
        <v>4.8219755122261488E-4</v>
      </c>
      <c r="AG51">
        <f t="shared" si="2"/>
        <v>3.2333360111577924E-5</v>
      </c>
      <c r="AH51">
        <f t="shared" si="2"/>
        <v>4.8247953331011781E-4</v>
      </c>
      <c r="AI51">
        <f t="shared" si="2"/>
        <v>3.3693570223400362E-5</v>
      </c>
      <c r="AJ51">
        <f t="shared" si="2"/>
        <v>0</v>
      </c>
      <c r="AK51">
        <f t="shared" si="2"/>
        <v>2.6837742211448381E-4</v>
      </c>
      <c r="AL51">
        <f t="shared" si="2"/>
        <v>1.8126102313512862E-5</v>
      </c>
      <c r="AM51">
        <f t="shared" si="2"/>
        <v>2.6848930023928478E-4</v>
      </c>
      <c r="AN51">
        <f t="shared" si="2"/>
        <v>1.800332915157122E-5</v>
      </c>
      <c r="AO51">
        <f t="shared" si="2"/>
        <v>2.6864630886191612E-4</v>
      </c>
      <c r="AP51">
        <f t="shared" si="2"/>
        <v>1.8760698947779506E-5</v>
      </c>
    </row>
    <row r="52" spans="1:42" x14ac:dyDescent="0.2">
      <c r="A52">
        <v>2020.75</v>
      </c>
      <c r="B52">
        <f t="shared" ref="B52:AP52" si="3">B6/1000</f>
        <v>1.0323890649310914E-3</v>
      </c>
      <c r="C52">
        <f t="shared" si="3"/>
        <v>6.2793510417936195E-5</v>
      </c>
      <c r="D52">
        <f t="shared" si="3"/>
        <v>1.0321395344956102E-3</v>
      </c>
      <c r="E52">
        <f t="shared" si="3"/>
        <v>6.159847307106686E-5</v>
      </c>
      <c r="F52">
        <f t="shared" si="3"/>
        <v>1.0325169299714172E-3</v>
      </c>
      <c r="G52">
        <f t="shared" si="3"/>
        <v>6.3885063677205343E-5</v>
      </c>
      <c r="H52">
        <f t="shared" si="3"/>
        <v>0</v>
      </c>
      <c r="I52">
        <f t="shared" si="3"/>
        <v>2.4307741709769689E-5</v>
      </c>
      <c r="J52">
        <f t="shared" si="3"/>
        <v>1.478481789605942E-6</v>
      </c>
      <c r="K52">
        <f t="shared" si="3"/>
        <v>2.4301866481543776E-5</v>
      </c>
      <c r="L52">
        <f t="shared" si="3"/>
        <v>1.4503444718562937E-6</v>
      </c>
      <c r="M52">
        <f t="shared" si="3"/>
        <v>2.4310752309629299E-5</v>
      </c>
      <c r="N52">
        <f t="shared" si="3"/>
        <v>1.5041825603619189E-6</v>
      </c>
      <c r="O52">
        <f t="shared" si="3"/>
        <v>0</v>
      </c>
      <c r="P52">
        <f t="shared" si="3"/>
        <v>1.1801809501219007E-3</v>
      </c>
      <c r="Q52">
        <f t="shared" si="3"/>
        <v>7.1782729306103069E-5</v>
      </c>
      <c r="R52">
        <f t="shared" si="3"/>
        <v>1.1798956981016748E-3</v>
      </c>
      <c r="S52">
        <f t="shared" si="3"/>
        <v>7.0416616123227061E-5</v>
      </c>
      <c r="T52">
        <f t="shared" si="3"/>
        <v>1.1803271197103871E-3</v>
      </c>
      <c r="U52">
        <f t="shared" si="3"/>
        <v>7.3030544113904117E-5</v>
      </c>
      <c r="V52">
        <f t="shared" si="3"/>
        <v>0</v>
      </c>
      <c r="W52">
        <f t="shared" si="3"/>
        <v>7.016339419282866E-5</v>
      </c>
      <c r="X52">
        <f t="shared" si="3"/>
        <v>4.2675828075525226E-6</v>
      </c>
      <c r="Y52">
        <f t="shared" si="3"/>
        <v>7.0146435564630738E-5</v>
      </c>
      <c r="Z52">
        <f t="shared" si="3"/>
        <v>4.1863654842664215E-6</v>
      </c>
      <c r="AA52">
        <f t="shared" si="3"/>
        <v>7.0172084177576264E-5</v>
      </c>
      <c r="AB52">
        <f t="shared" si="3"/>
        <v>4.3417671283809106E-6</v>
      </c>
      <c r="AC52">
        <f t="shared" si="3"/>
        <v>0</v>
      </c>
      <c r="AD52">
        <f t="shared" si="3"/>
        <v>8.1878582663959579E-4</v>
      </c>
      <c r="AE52">
        <f t="shared" si="3"/>
        <v>4.9801415068827466E-5</v>
      </c>
      <c r="AF52">
        <f t="shared" si="3"/>
        <v>8.1858792452030034E-4</v>
      </c>
      <c r="AG52">
        <f t="shared" si="3"/>
        <v>4.8853633195540286E-5</v>
      </c>
      <c r="AH52">
        <f t="shared" si="3"/>
        <v>8.1888723616270844E-4</v>
      </c>
      <c r="AI52">
        <f t="shared" si="3"/>
        <v>5.0667123906775561E-5</v>
      </c>
      <c r="AJ52">
        <f t="shared" si="3"/>
        <v>0</v>
      </c>
      <c r="AK52">
        <f t="shared" si="3"/>
        <v>4.5590284123781996E-4</v>
      </c>
      <c r="AL52">
        <f t="shared" si="3"/>
        <v>2.7729603870556856E-5</v>
      </c>
      <c r="AM52">
        <f t="shared" si="3"/>
        <v>4.5579264863856116E-4</v>
      </c>
      <c r="AN52">
        <f t="shared" si="3"/>
        <v>2.7201875574771966E-5</v>
      </c>
      <c r="AO52">
        <f t="shared" si="3"/>
        <v>4.5595930641859306E-4</v>
      </c>
      <c r="AP52">
        <f t="shared" si="3"/>
        <v>2.82116336102814E-5</v>
      </c>
    </row>
    <row r="53" spans="1:42" x14ac:dyDescent="0.2">
      <c r="A53">
        <v>2021</v>
      </c>
      <c r="B53">
        <f t="shared" ref="B53:AP53" si="4">B7/1000</f>
        <v>1.7093098033562697E-3</v>
      </c>
      <c r="C53">
        <f t="shared" si="4"/>
        <v>9.170240785458696E-5</v>
      </c>
      <c r="D53">
        <f t="shared" si="4"/>
        <v>1.7092411514428685E-3</v>
      </c>
      <c r="E53">
        <f t="shared" si="4"/>
        <v>9.0975461888292346E-5</v>
      </c>
      <c r="F53">
        <f t="shared" si="4"/>
        <v>1.711292110037208E-3</v>
      </c>
      <c r="G53">
        <f t="shared" si="4"/>
        <v>9.5191406599566235E-5</v>
      </c>
      <c r="H53">
        <f t="shared" si="4"/>
        <v>0</v>
      </c>
      <c r="I53">
        <f t="shared" si="4"/>
        <v>4.0245933062778718E-5</v>
      </c>
      <c r="J53">
        <f t="shared" si="4"/>
        <v>2.1591457329529524E-6</v>
      </c>
      <c r="K53">
        <f t="shared" si="4"/>
        <v>4.0244316644089742E-5</v>
      </c>
      <c r="L53">
        <f t="shared" si="4"/>
        <v>2.1420296907689644E-6</v>
      </c>
      <c r="M53">
        <f t="shared" si="4"/>
        <v>4.029260674465563E-5</v>
      </c>
      <c r="N53">
        <f t="shared" si="4"/>
        <v>2.2412946855131268E-6</v>
      </c>
      <c r="O53">
        <f t="shared" si="4"/>
        <v>0</v>
      </c>
      <c r="P53">
        <f t="shared" si="4"/>
        <v>1.9540064267460342E-3</v>
      </c>
      <c r="Q53">
        <f t="shared" si="4"/>
        <v>1.0483008635655798E-4</v>
      </c>
      <c r="R53">
        <f t="shared" si="4"/>
        <v>1.9539279469527682E-3</v>
      </c>
      <c r="S53">
        <f t="shared" si="4"/>
        <v>1.0399907427949174E-4</v>
      </c>
      <c r="T53">
        <f t="shared" si="4"/>
        <v>1.9562725109788215E-3</v>
      </c>
      <c r="U53">
        <f t="shared" si="4"/>
        <v>1.0881855348943931E-4</v>
      </c>
      <c r="V53">
        <f t="shared" si="4"/>
        <v>0</v>
      </c>
      <c r="W53">
        <f t="shared" si="4"/>
        <v>1.1616839194103376E-4</v>
      </c>
      <c r="X53">
        <f t="shared" si="4"/>
        <v>6.2322940152048105E-6</v>
      </c>
      <c r="Y53">
        <f t="shared" si="4"/>
        <v>1.1616372620848617E-4</v>
      </c>
      <c r="Z53">
        <f t="shared" si="4"/>
        <v>6.1828891947523399E-6</v>
      </c>
      <c r="AA53">
        <f t="shared" si="4"/>
        <v>1.1630311379134224E-4</v>
      </c>
      <c r="AB53">
        <f t="shared" si="4"/>
        <v>6.4694139175728253E-6</v>
      </c>
      <c r="AC53">
        <f t="shared" si="4"/>
        <v>0</v>
      </c>
      <c r="AD53">
        <f t="shared" si="4"/>
        <v>1.355650391761602E-3</v>
      </c>
      <c r="AE53">
        <f t="shared" si="4"/>
        <v>7.2729007280865555E-5</v>
      </c>
      <c r="AF53">
        <f t="shared" si="4"/>
        <v>1.3555959440581403E-3</v>
      </c>
      <c r="AG53">
        <f t="shared" si="4"/>
        <v>7.2152467801561238E-5</v>
      </c>
      <c r="AH53">
        <f t="shared" si="4"/>
        <v>1.3572225554637754E-3</v>
      </c>
      <c r="AI53">
        <f t="shared" si="4"/>
        <v>7.5496125626644473E-5</v>
      </c>
      <c r="AJ53">
        <f t="shared" si="4"/>
        <v>0</v>
      </c>
      <c r="AK53">
        <f t="shared" si="4"/>
        <v>7.5483092796783642E-4</v>
      </c>
      <c r="AL53">
        <f t="shared" si="4"/>
        <v>4.0495768222851209E-5</v>
      </c>
      <c r="AM53">
        <f t="shared" si="4"/>
        <v>7.5480061129417231E-4</v>
      </c>
      <c r="AN53">
        <f t="shared" si="4"/>
        <v>4.0174749003723585E-5</v>
      </c>
      <c r="AO53">
        <f t="shared" si="4"/>
        <v>7.5570631427203459E-4</v>
      </c>
      <c r="AP53">
        <f t="shared" si="4"/>
        <v>4.2036509494667595E-5</v>
      </c>
    </row>
    <row r="54" spans="1:42" x14ac:dyDescent="0.2">
      <c r="A54">
        <v>2021.25</v>
      </c>
      <c r="B54">
        <f t="shared" ref="B54:AP54" si="5">B8/1000</f>
        <v>3.5953842336891428E-3</v>
      </c>
      <c r="C54">
        <f t="shared" si="5"/>
        <v>2.0637883257833018E-4</v>
      </c>
      <c r="D54">
        <f t="shared" si="5"/>
        <v>3.5964477128982253E-3</v>
      </c>
      <c r="E54">
        <f t="shared" si="5"/>
        <v>2.0467070666888175E-4</v>
      </c>
      <c r="F54">
        <f t="shared" si="5"/>
        <v>3.5955101176476279E-3</v>
      </c>
      <c r="G54">
        <f t="shared" si="5"/>
        <v>2.1298987765032003E-4</v>
      </c>
      <c r="H54">
        <f t="shared" si="5"/>
        <v>0</v>
      </c>
      <c r="I54">
        <f t="shared" si="5"/>
        <v>8.4653813439729966E-5</v>
      </c>
      <c r="J54">
        <f t="shared" si="5"/>
        <v>4.8592178347149518E-6</v>
      </c>
      <c r="K54">
        <f t="shared" si="5"/>
        <v>8.4678853203135277E-5</v>
      </c>
      <c r="L54">
        <f t="shared" si="5"/>
        <v>4.8189997765961248E-6</v>
      </c>
      <c r="M54">
        <f t="shared" si="5"/>
        <v>8.4656777394746731E-5</v>
      </c>
      <c r="N54">
        <f t="shared" si="5"/>
        <v>5.0148757949746335E-6</v>
      </c>
      <c r="O54">
        <f t="shared" si="5"/>
        <v>0</v>
      </c>
      <c r="P54">
        <f t="shared" si="5"/>
        <v>4.1600204942919741E-3</v>
      </c>
      <c r="Q54">
        <f t="shared" si="5"/>
        <v>2.3895936677514816E-4</v>
      </c>
      <c r="R54">
        <f t="shared" si="5"/>
        <v>4.1612661919237029E-3</v>
      </c>
      <c r="S54">
        <f t="shared" si="5"/>
        <v>2.3698073468766194E-4</v>
      </c>
      <c r="T54">
        <f t="shared" si="5"/>
        <v>4.1601152460602614E-3</v>
      </c>
      <c r="U54">
        <f t="shared" si="5"/>
        <v>2.4659948095130121E-4</v>
      </c>
      <c r="V54">
        <f t="shared" si="5"/>
        <v>0</v>
      </c>
      <c r="W54">
        <f t="shared" si="5"/>
        <v>2.4435009032166595E-4</v>
      </c>
      <c r="X54">
        <f t="shared" si="5"/>
        <v>1.4025951915923946E-5</v>
      </c>
      <c r="Y54">
        <f t="shared" si="5"/>
        <v>2.4442236666931188E-4</v>
      </c>
      <c r="Z54">
        <f t="shared" si="5"/>
        <v>1.3909863983973969E-5</v>
      </c>
      <c r="AA54">
        <f t="shared" si="5"/>
        <v>2.4435864566780613E-4</v>
      </c>
      <c r="AB54">
        <f t="shared" si="5"/>
        <v>1.4475252840516305E-5</v>
      </c>
      <c r="AC54">
        <f t="shared" si="5"/>
        <v>0</v>
      </c>
      <c r="AD54">
        <f t="shared" si="5"/>
        <v>2.836659664166059E-3</v>
      </c>
      <c r="AE54">
        <f t="shared" si="5"/>
        <v>1.6277680476470133E-4</v>
      </c>
      <c r="AF54">
        <f t="shared" si="5"/>
        <v>2.8374942040142082E-3</v>
      </c>
      <c r="AG54">
        <f t="shared" si="5"/>
        <v>1.6142980969237368E-4</v>
      </c>
      <c r="AH54">
        <f t="shared" si="5"/>
        <v>2.8367741021172025E-3</v>
      </c>
      <c r="AI54">
        <f t="shared" si="5"/>
        <v>1.6799545921362486E-4</v>
      </c>
      <c r="AJ54">
        <f t="shared" si="5"/>
        <v>0</v>
      </c>
      <c r="AK54">
        <f t="shared" si="5"/>
        <v>1.5993094847619868E-3</v>
      </c>
      <c r="AL54">
        <f t="shared" si="5"/>
        <v>9.1841452195634917E-5</v>
      </c>
      <c r="AM54">
        <f t="shared" si="5"/>
        <v>1.599786073033876E-3</v>
      </c>
      <c r="AN54">
        <f t="shared" si="5"/>
        <v>9.1081115519558496E-5</v>
      </c>
      <c r="AO54">
        <f t="shared" si="5"/>
        <v>1.5993536688844237E-3</v>
      </c>
      <c r="AP54">
        <f t="shared" si="5"/>
        <v>9.4780071055990069E-5</v>
      </c>
    </row>
    <row r="55" spans="1:42" x14ac:dyDescent="0.2">
      <c r="A55">
        <v>2021.5</v>
      </c>
      <c r="B55">
        <f t="shared" ref="B55:AP55" si="6">B9/1000</f>
        <v>7.5285685202818942E-3</v>
      </c>
      <c r="C55">
        <f t="shared" si="6"/>
        <v>4.8143761599507415E-4</v>
      </c>
      <c r="D55">
        <f t="shared" si="6"/>
        <v>7.5317397817696021E-3</v>
      </c>
      <c r="E55">
        <f t="shared" si="6"/>
        <v>4.7511643890175417E-4</v>
      </c>
      <c r="F55">
        <f t="shared" si="6"/>
        <v>7.5326888659256602E-3</v>
      </c>
      <c r="G55">
        <f t="shared" si="6"/>
        <v>5.0142159279900806E-4</v>
      </c>
      <c r="H55">
        <f t="shared" si="6"/>
        <v>0</v>
      </c>
      <c r="I55">
        <f t="shared" si="6"/>
        <v>1.7726117531817329E-4</v>
      </c>
      <c r="J55">
        <f t="shared" si="6"/>
        <v>1.1335514503688256E-5</v>
      </c>
      <c r="K55">
        <f t="shared" si="6"/>
        <v>1.7733584310356148E-4</v>
      </c>
      <c r="L55">
        <f t="shared" si="6"/>
        <v>1.1186681524624893E-5</v>
      </c>
      <c r="M55">
        <f t="shared" si="6"/>
        <v>1.7735818941980015E-4</v>
      </c>
      <c r="N55">
        <f t="shared" si="6"/>
        <v>1.1806039970283043E-5</v>
      </c>
      <c r="O55">
        <f t="shared" si="6"/>
        <v>0</v>
      </c>
      <c r="P55">
        <f t="shared" si="6"/>
        <v>8.8643428035276479E-3</v>
      </c>
      <c r="Q55">
        <f t="shared" si="6"/>
        <v>5.6794602920777785E-4</v>
      </c>
      <c r="R55">
        <f t="shared" si="6"/>
        <v>8.8681095341122812E-3</v>
      </c>
      <c r="S55">
        <f t="shared" si="6"/>
        <v>5.6044991357091713E-4</v>
      </c>
      <c r="T55">
        <f t="shared" si="6"/>
        <v>8.8692151690181065E-3</v>
      </c>
      <c r="U55">
        <f t="shared" si="6"/>
        <v>5.9158096500999007E-4</v>
      </c>
      <c r="V55">
        <f t="shared" si="6"/>
        <v>0</v>
      </c>
      <c r="W55">
        <f t="shared" si="6"/>
        <v>5.1165780299263126E-4</v>
      </c>
      <c r="X55">
        <f t="shared" si="6"/>
        <v>3.271954186435781E-5</v>
      </c>
      <c r="Y55">
        <f t="shared" si="6"/>
        <v>5.1187332878364249E-4</v>
      </c>
      <c r="Z55">
        <f t="shared" si="6"/>
        <v>3.228994099465963E-5</v>
      </c>
      <c r="AA55">
        <f t="shared" si="6"/>
        <v>5.1193783059601706E-4</v>
      </c>
      <c r="AB55">
        <f t="shared" si="6"/>
        <v>3.4077696158764599E-5</v>
      </c>
      <c r="AC55">
        <f t="shared" si="6"/>
        <v>0</v>
      </c>
      <c r="AD55">
        <f t="shared" si="6"/>
        <v>5.8942555066364569E-3</v>
      </c>
      <c r="AE55">
        <f t="shared" si="6"/>
        <v>3.7660319359596618E-4</v>
      </c>
      <c r="AF55">
        <f t="shared" si="6"/>
        <v>5.8967286034049948E-3</v>
      </c>
      <c r="AG55">
        <f t="shared" si="6"/>
        <v>3.7167008480682405E-4</v>
      </c>
      <c r="AH55">
        <f t="shared" si="6"/>
        <v>5.8974751765197677E-3</v>
      </c>
      <c r="AI55">
        <f t="shared" si="6"/>
        <v>3.9221775565710426E-4</v>
      </c>
      <c r="AJ55">
        <f t="shared" si="6"/>
        <v>0</v>
      </c>
      <c r="AK55">
        <f t="shared" si="6"/>
        <v>3.3844894466328319E-3</v>
      </c>
      <c r="AL55">
        <f t="shared" si="6"/>
        <v>2.1668417318532811E-4</v>
      </c>
      <c r="AM55">
        <f t="shared" si="6"/>
        <v>3.3859227077716941E-3</v>
      </c>
      <c r="AN55">
        <f t="shared" si="6"/>
        <v>2.1383008093196949E-4</v>
      </c>
      <c r="AO55">
        <f t="shared" si="6"/>
        <v>3.3863466230890714E-3</v>
      </c>
      <c r="AP55">
        <f t="shared" si="6"/>
        <v>2.2569245164457639E-4</v>
      </c>
    </row>
    <row r="56" spans="1:42" x14ac:dyDescent="0.2">
      <c r="A56">
        <v>2021.75</v>
      </c>
      <c r="B56">
        <f t="shared" ref="B56:AP56" si="7">B10/1000</f>
        <v>1.0776662043575668E-2</v>
      </c>
      <c r="C56">
        <f t="shared" si="7"/>
        <v>6.690846375906332E-4</v>
      </c>
      <c r="D56">
        <f t="shared" si="7"/>
        <v>1.0776407829450522E-2</v>
      </c>
      <c r="E56">
        <f t="shared" si="7"/>
        <v>6.6643464984646856E-4</v>
      </c>
      <c r="F56">
        <f t="shared" si="7"/>
        <v>1.0776784335264775E-2</v>
      </c>
      <c r="G56">
        <f t="shared" si="7"/>
        <v>6.8595198397330655E-4</v>
      </c>
      <c r="H56">
        <f t="shared" si="7"/>
        <v>0</v>
      </c>
      <c r="I56">
        <f t="shared" si="7"/>
        <v>2.5373798149072878E-4</v>
      </c>
      <c r="J56">
        <f t="shared" si="7"/>
        <v>1.5753689287297449E-5</v>
      </c>
      <c r="K56">
        <f t="shared" si="7"/>
        <v>2.5373199598438924E-4</v>
      </c>
      <c r="L56">
        <f t="shared" si="7"/>
        <v>1.5691294963483579E-5</v>
      </c>
      <c r="M56">
        <f t="shared" si="7"/>
        <v>2.5374086086527183E-4</v>
      </c>
      <c r="N56">
        <f t="shared" si="7"/>
        <v>1.6150833264434221E-5</v>
      </c>
      <c r="O56">
        <f t="shared" si="7"/>
        <v>0</v>
      </c>
      <c r="P56">
        <f t="shared" si="7"/>
        <v>1.2834929540918737E-2</v>
      </c>
      <c r="Q56">
        <f t="shared" si="7"/>
        <v>7.9733252005694455E-4</v>
      </c>
      <c r="R56">
        <f t="shared" si="7"/>
        <v>1.2834508846498479E-2</v>
      </c>
      <c r="S56">
        <f t="shared" si="7"/>
        <v>7.9432419876334108E-4</v>
      </c>
      <c r="T56">
        <f t="shared" si="7"/>
        <v>1.2834914540976544E-2</v>
      </c>
      <c r="U56">
        <f t="shared" si="7"/>
        <v>8.1715757436182286E-4</v>
      </c>
      <c r="V56">
        <f t="shared" si="7"/>
        <v>0</v>
      </c>
      <c r="W56">
        <f t="shared" si="7"/>
        <v>7.3240526535096829E-4</v>
      </c>
      <c r="X56">
        <f t="shared" si="7"/>
        <v>4.5472439383858583E-5</v>
      </c>
      <c r="Y56">
        <f t="shared" si="7"/>
        <v>7.3238798840908844E-4</v>
      </c>
      <c r="Z56">
        <f t="shared" si="7"/>
        <v>4.5292340484116371E-5</v>
      </c>
      <c r="AA56">
        <f t="shared" si="7"/>
        <v>7.3241357655871029E-4</v>
      </c>
      <c r="AB56">
        <f t="shared" si="7"/>
        <v>4.6618780732711879E-5</v>
      </c>
      <c r="AC56">
        <f t="shared" si="7"/>
        <v>0</v>
      </c>
      <c r="AD56">
        <f t="shared" si="7"/>
        <v>8.3938254424563135E-3</v>
      </c>
      <c r="AE56">
        <f t="shared" si="7"/>
        <v>5.2100693393247136E-4</v>
      </c>
      <c r="AF56">
        <f t="shared" si="7"/>
        <v>8.3936624649257642E-3</v>
      </c>
      <c r="AG56">
        <f t="shared" si="7"/>
        <v>5.1889898841527395E-4</v>
      </c>
      <c r="AH56">
        <f t="shared" si="7"/>
        <v>8.3939684104542903E-3</v>
      </c>
      <c r="AI56">
        <f t="shared" si="7"/>
        <v>5.342230934703518E-4</v>
      </c>
      <c r="AJ56">
        <f t="shared" si="7"/>
        <v>0</v>
      </c>
      <c r="AK56">
        <f t="shared" si="7"/>
        <v>4.8786037872062052E-3</v>
      </c>
      <c r="AL56">
        <f t="shared" si="7"/>
        <v>3.0300130165504562E-4</v>
      </c>
      <c r="AM56">
        <f t="shared" si="7"/>
        <v>4.8784613387173265E-3</v>
      </c>
      <c r="AN56">
        <f t="shared" si="7"/>
        <v>3.018359466914837E-4</v>
      </c>
      <c r="AO56">
        <f t="shared" si="7"/>
        <v>4.8786218695276214E-3</v>
      </c>
      <c r="AP56">
        <f t="shared" si="7"/>
        <v>3.1057593844933636E-4</v>
      </c>
    </row>
    <row r="57" spans="1:42" x14ac:dyDescent="0.2">
      <c r="A57">
        <v>2022</v>
      </c>
      <c r="B57">
        <f t="shared" ref="B57:AP57" si="8">B11/1000</f>
        <v>1.7849729895357797E-2</v>
      </c>
      <c r="C57">
        <f t="shared" si="8"/>
        <v>1.147887549853609E-3</v>
      </c>
      <c r="D57">
        <f t="shared" si="8"/>
        <v>1.786162894903643E-2</v>
      </c>
      <c r="E57">
        <f t="shared" si="8"/>
        <v>1.1329406760393907E-3</v>
      </c>
      <c r="F57">
        <f t="shared" si="8"/>
        <v>1.7862644001510108E-2</v>
      </c>
      <c r="G57">
        <f t="shared" si="8"/>
        <v>1.183044875966588E-3</v>
      </c>
      <c r="H57">
        <f t="shared" si="8"/>
        <v>0</v>
      </c>
      <c r="I57">
        <f t="shared" si="8"/>
        <v>4.2027433128078719E-4</v>
      </c>
      <c r="J57">
        <f t="shared" si="8"/>
        <v>2.702716933132598E-5</v>
      </c>
      <c r="K57">
        <f t="shared" si="8"/>
        <v>4.2055449612680886E-4</v>
      </c>
      <c r="L57">
        <f t="shared" si="8"/>
        <v>2.6675243143432086E-5</v>
      </c>
      <c r="M57">
        <f t="shared" si="8"/>
        <v>4.205783956761068E-4</v>
      </c>
      <c r="N57">
        <f t="shared" si="8"/>
        <v>2.7854953382310162E-5</v>
      </c>
      <c r="O57">
        <f t="shared" si="8"/>
        <v>0</v>
      </c>
      <c r="P57">
        <f t="shared" si="8"/>
        <v>2.1667511856463945E-2</v>
      </c>
      <c r="Q57">
        <f t="shared" si="8"/>
        <v>1.3952436703677607E-3</v>
      </c>
      <c r="R57">
        <f t="shared" si="8"/>
        <v>2.1682267707855096E-2</v>
      </c>
      <c r="S57">
        <f t="shared" si="8"/>
        <v>1.3768794581489395E-3</v>
      </c>
      <c r="T57">
        <f t="shared" si="8"/>
        <v>2.1683470795494073E-2</v>
      </c>
      <c r="U57">
        <f t="shared" si="8"/>
        <v>1.4379085665775734E-3</v>
      </c>
      <c r="V57">
        <f t="shared" si="8"/>
        <v>0</v>
      </c>
      <c r="W57">
        <f t="shared" si="8"/>
        <v>1.2131062575397394E-3</v>
      </c>
      <c r="X57">
        <f t="shared" si="8"/>
        <v>7.8012921082997686E-5</v>
      </c>
      <c r="Y57">
        <f t="shared" si="8"/>
        <v>1.2139149429686491E-3</v>
      </c>
      <c r="Z57">
        <f t="shared" si="8"/>
        <v>7.6997099204404425E-5</v>
      </c>
      <c r="AA57">
        <f t="shared" si="8"/>
        <v>1.2139839281305965E-3</v>
      </c>
      <c r="AB57">
        <f t="shared" si="8"/>
        <v>8.0402289020554689E-5</v>
      </c>
      <c r="AC57">
        <f t="shared" si="8"/>
        <v>0</v>
      </c>
      <c r="AD57">
        <f t="shared" si="8"/>
        <v>1.3781595494839248E-2</v>
      </c>
      <c r="AE57">
        <f t="shared" si="8"/>
        <v>8.8572561693424953E-4</v>
      </c>
      <c r="AF57">
        <f t="shared" si="8"/>
        <v>1.3790690029562779E-2</v>
      </c>
      <c r="AG57">
        <f t="shared" si="8"/>
        <v>8.7425076077881942E-4</v>
      </c>
      <c r="AH57">
        <f t="shared" si="8"/>
        <v>1.3791482375425754E-2</v>
      </c>
      <c r="AI57">
        <f t="shared" si="8"/>
        <v>9.1287380810459954E-4</v>
      </c>
      <c r="AJ57">
        <f t="shared" si="8"/>
        <v>0</v>
      </c>
      <c r="AK57">
        <f t="shared" si="8"/>
        <v>8.1754067410146295E-3</v>
      </c>
      <c r="AL57">
        <f t="shared" si="8"/>
        <v>5.2617445487779192E-4</v>
      </c>
      <c r="AM57">
        <f t="shared" si="8"/>
        <v>8.1809290097366611E-3</v>
      </c>
      <c r="AN57">
        <f t="shared" si="8"/>
        <v>5.1927744129481152E-4</v>
      </c>
      <c r="AO57">
        <f t="shared" si="8"/>
        <v>8.1813871713002657E-3</v>
      </c>
      <c r="AP57">
        <f t="shared" si="8"/>
        <v>5.422741702466895E-4</v>
      </c>
    </row>
    <row r="58" spans="1:42" x14ac:dyDescent="0.2">
      <c r="A58">
        <v>2022.25</v>
      </c>
      <c r="B58">
        <f t="shared" ref="B58:AP58" si="9">B12/1000</f>
        <v>2.7066332354514323E-2</v>
      </c>
      <c r="C58">
        <f t="shared" si="9"/>
        <v>1.7910806641151375E-3</v>
      </c>
      <c r="D58">
        <f t="shared" si="9"/>
        <v>2.7055962367801768E-2</v>
      </c>
      <c r="E58">
        <f t="shared" si="9"/>
        <v>1.7717697660645313E-3</v>
      </c>
      <c r="F58">
        <f t="shared" si="9"/>
        <v>2.7065147808837259E-2</v>
      </c>
      <c r="G58">
        <f t="shared" si="9"/>
        <v>1.8414097550570165E-3</v>
      </c>
      <c r="H58">
        <f t="shared" si="9"/>
        <v>0</v>
      </c>
      <c r="I58">
        <f t="shared" si="9"/>
        <v>6.3728049652311141E-4</v>
      </c>
      <c r="J58">
        <f t="shared" si="9"/>
        <v>4.2171239161255043E-5</v>
      </c>
      <c r="K58">
        <f t="shared" si="9"/>
        <v>6.3703633376790102E-4</v>
      </c>
      <c r="L58">
        <f t="shared" si="9"/>
        <v>4.1716561425948766E-5</v>
      </c>
      <c r="M58">
        <f t="shared" si="9"/>
        <v>6.3725260623316181E-4</v>
      </c>
      <c r="N58">
        <f t="shared" si="9"/>
        <v>4.3356244489826946E-5</v>
      </c>
      <c r="O58">
        <f t="shared" si="9"/>
        <v>0</v>
      </c>
      <c r="P58">
        <f t="shared" si="9"/>
        <v>3.3419039710676904E-2</v>
      </c>
      <c r="Q58">
        <f t="shared" si="9"/>
        <v>2.2153399945151796E-3</v>
      </c>
      <c r="R58">
        <f t="shared" si="9"/>
        <v>3.3405401666421225E-2</v>
      </c>
      <c r="S58">
        <f t="shared" si="9"/>
        <v>2.191411481069563E-3</v>
      </c>
      <c r="T58">
        <f t="shared" si="9"/>
        <v>3.3417022318362168E-2</v>
      </c>
      <c r="U58">
        <f t="shared" si="9"/>
        <v>2.2773494830272529E-3</v>
      </c>
      <c r="V58">
        <f t="shared" si="9"/>
        <v>0</v>
      </c>
      <c r="W58">
        <f t="shared" si="9"/>
        <v>1.8394864986977142E-3</v>
      </c>
      <c r="X58">
        <f t="shared" si="9"/>
        <v>1.2172571653095884E-4</v>
      </c>
      <c r="Y58">
        <f t="shared" si="9"/>
        <v>1.8387817319676096E-3</v>
      </c>
      <c r="Z58">
        <f t="shared" si="9"/>
        <v>1.2041330612468182E-4</v>
      </c>
      <c r="AA58">
        <f t="shared" si="9"/>
        <v>1.8394059944110044E-3</v>
      </c>
      <c r="AB58">
        <f t="shared" si="9"/>
        <v>1.2514619042696773E-4</v>
      </c>
      <c r="AC58">
        <f t="shared" si="9"/>
        <v>0</v>
      </c>
      <c r="AD58">
        <f t="shared" si="9"/>
        <v>2.0730227788695568E-2</v>
      </c>
      <c r="AE58">
        <f t="shared" si="9"/>
        <v>1.3706453544133782E-3</v>
      </c>
      <c r="AF58">
        <f t="shared" si="9"/>
        <v>2.0722533124373017E-2</v>
      </c>
      <c r="AG58">
        <f t="shared" si="9"/>
        <v>1.3558803487831806E-3</v>
      </c>
      <c r="AH58">
        <f t="shared" si="9"/>
        <v>2.0729485335117388E-2</v>
      </c>
      <c r="AI58">
        <f t="shared" si="9"/>
        <v>1.4092319270819075E-3</v>
      </c>
      <c r="AJ58">
        <f t="shared" si="9"/>
        <v>0</v>
      </c>
      <c r="AK58">
        <f t="shared" si="9"/>
        <v>1.2527524063101942E-2</v>
      </c>
      <c r="AL58">
        <f t="shared" si="9"/>
        <v>8.2989287025154773E-4</v>
      </c>
      <c r="AM58">
        <f t="shared" si="9"/>
        <v>1.2522530800003843E-2</v>
      </c>
      <c r="AN58">
        <f t="shared" si="9"/>
        <v>8.2093514660134257E-4</v>
      </c>
      <c r="AO58">
        <f t="shared" si="9"/>
        <v>1.252684705241444E-2</v>
      </c>
      <c r="AP58">
        <f t="shared" si="9"/>
        <v>8.531567549345825E-4</v>
      </c>
    </row>
    <row r="59" spans="1:42" x14ac:dyDescent="0.2">
      <c r="A59">
        <v>2022.5</v>
      </c>
      <c r="B59">
        <f t="shared" ref="B59:AP59" si="10">B13/1000</f>
        <v>3.4703977142237455E-2</v>
      </c>
      <c r="C59">
        <f t="shared" si="10"/>
        <v>2.3178694086079055E-3</v>
      </c>
      <c r="D59">
        <f t="shared" si="10"/>
        <v>3.4711457441694293E-2</v>
      </c>
      <c r="E59">
        <f t="shared" si="10"/>
        <v>2.2940210193823887E-3</v>
      </c>
      <c r="F59">
        <f t="shared" si="10"/>
        <v>3.4732882214125328E-2</v>
      </c>
      <c r="G59">
        <f t="shared" si="10"/>
        <v>2.372045871169614E-3</v>
      </c>
      <c r="H59">
        <f t="shared" si="10"/>
        <v>0</v>
      </c>
      <c r="I59">
        <f t="shared" si="10"/>
        <v>8.1710988747402612E-4</v>
      </c>
      <c r="J59">
        <f t="shared" si="10"/>
        <v>5.4574552187046098E-5</v>
      </c>
      <c r="K59">
        <f t="shared" si="10"/>
        <v>8.1728601214764484E-4</v>
      </c>
      <c r="L59">
        <f t="shared" si="10"/>
        <v>5.4013038601538869E-5</v>
      </c>
      <c r="M59">
        <f t="shared" si="10"/>
        <v>8.1779046134430368E-4</v>
      </c>
      <c r="N59">
        <f t="shared" si="10"/>
        <v>5.5850144406522902E-5</v>
      </c>
      <c r="O59">
        <f t="shared" si="10"/>
        <v>0</v>
      </c>
      <c r="P59">
        <f t="shared" si="10"/>
        <v>4.3357644433486803E-2</v>
      </c>
      <c r="Q59">
        <f t="shared" si="10"/>
        <v>2.900832086574059E-3</v>
      </c>
      <c r="R59">
        <f t="shared" si="10"/>
        <v>4.33672343532642E-2</v>
      </c>
      <c r="S59">
        <f t="shared" si="10"/>
        <v>2.8709990917766561E-3</v>
      </c>
      <c r="T59">
        <f t="shared" si="10"/>
        <v>4.3394781626590738E-2</v>
      </c>
      <c r="U59">
        <f t="shared" si="10"/>
        <v>2.9678480275743004E-3</v>
      </c>
      <c r="V59">
        <f t="shared" si="10"/>
        <v>0</v>
      </c>
      <c r="W59">
        <f t="shared" si="10"/>
        <v>2.3585573607874727E-3</v>
      </c>
      <c r="X59">
        <f t="shared" si="10"/>
        <v>1.5752741919492343E-4</v>
      </c>
      <c r="Y59">
        <f t="shared" si="10"/>
        <v>2.3590657381204949E-3</v>
      </c>
      <c r="Z59">
        <f t="shared" si="10"/>
        <v>1.5590663107256417E-4</v>
      </c>
      <c r="AA59">
        <f t="shared" si="10"/>
        <v>2.3605218120025541E-3</v>
      </c>
      <c r="AB59">
        <f t="shared" si="10"/>
        <v>1.6120936878913377E-4</v>
      </c>
      <c r="AC59">
        <f t="shared" si="10"/>
        <v>0</v>
      </c>
      <c r="AD59">
        <f t="shared" si="10"/>
        <v>2.6428946944490082E-2</v>
      </c>
      <c r="AE59">
        <f t="shared" si="10"/>
        <v>1.7637012234324994E-3</v>
      </c>
      <c r="AF59">
        <f t="shared" si="10"/>
        <v>2.6434571015269408E-2</v>
      </c>
      <c r="AG59">
        <f t="shared" si="10"/>
        <v>1.7455506338171346E-3</v>
      </c>
      <c r="AH59">
        <f t="shared" si="10"/>
        <v>2.6450655427656622E-2</v>
      </c>
      <c r="AI59">
        <f t="shared" si="10"/>
        <v>1.8051584572745657E-3</v>
      </c>
      <c r="AJ59">
        <f t="shared" si="10"/>
        <v>0</v>
      </c>
      <c r="AK59">
        <f t="shared" si="10"/>
        <v>1.6180533877459879E-2</v>
      </c>
      <c r="AL59">
        <f t="shared" si="10"/>
        <v>1.0818507063659779E-3</v>
      </c>
      <c r="AM59">
        <f t="shared" si="10"/>
        <v>1.6184078229343656E-2</v>
      </c>
      <c r="AN59">
        <f t="shared" si="10"/>
        <v>1.0707227456524893E-3</v>
      </c>
      <c r="AO59">
        <f t="shared" si="10"/>
        <v>1.6194248432671282E-2</v>
      </c>
      <c r="AP59">
        <f t="shared" si="10"/>
        <v>1.1069547507680548E-3</v>
      </c>
    </row>
    <row r="60" spans="1:42" x14ac:dyDescent="0.2">
      <c r="A60">
        <v>2022.75</v>
      </c>
      <c r="B60">
        <f t="shared" ref="B60:AP60" si="11">B14/1000</f>
        <v>4.7445154164091924E-2</v>
      </c>
      <c r="C60">
        <f t="shared" si="11"/>
        <v>3.2043633340032287E-3</v>
      </c>
      <c r="D60">
        <f t="shared" si="11"/>
        <v>4.7421013136390369E-2</v>
      </c>
      <c r="E60">
        <f t="shared" si="11"/>
        <v>3.1724250094865426E-3</v>
      </c>
      <c r="F60">
        <f t="shared" si="11"/>
        <v>4.7440583758098363E-2</v>
      </c>
      <c r="G60">
        <f t="shared" si="11"/>
        <v>3.2781477395458199E-3</v>
      </c>
      <c r="H60">
        <f t="shared" si="11"/>
        <v>0</v>
      </c>
      <c r="I60">
        <f t="shared" si="11"/>
        <v>1.1171026427695924E-3</v>
      </c>
      <c r="J60">
        <f t="shared" si="11"/>
        <v>7.5447172885743303E-5</v>
      </c>
      <c r="K60">
        <f t="shared" si="11"/>
        <v>1.116534238971149E-3</v>
      </c>
      <c r="L60">
        <f t="shared" si="11"/>
        <v>7.4695180667532207E-5</v>
      </c>
      <c r="M60">
        <f t="shared" si="11"/>
        <v>1.1169950319354846E-3</v>
      </c>
      <c r="N60">
        <f t="shared" si="11"/>
        <v>7.7184436804029699E-5</v>
      </c>
      <c r="O60">
        <f t="shared" si="11"/>
        <v>0</v>
      </c>
      <c r="P60">
        <f t="shared" si="11"/>
        <v>6.0270824685140466E-2</v>
      </c>
      <c r="Q60">
        <f t="shared" si="11"/>
        <v>4.0776018250754109E-3</v>
      </c>
      <c r="R60">
        <f t="shared" si="11"/>
        <v>6.0238439110416132E-2</v>
      </c>
      <c r="S60">
        <f t="shared" si="11"/>
        <v>4.0370299061135385E-3</v>
      </c>
      <c r="T60">
        <f t="shared" si="11"/>
        <v>6.0263525105217236E-2</v>
      </c>
      <c r="U60">
        <f t="shared" si="11"/>
        <v>4.1706461834998014E-3</v>
      </c>
      <c r="V60">
        <f t="shared" si="11"/>
        <v>0</v>
      </c>
      <c r="W60">
        <f t="shared" si="11"/>
        <v>3.2244753138458535E-3</v>
      </c>
      <c r="X60">
        <f t="shared" si="11"/>
        <v>2.1777546409378306E-4</v>
      </c>
      <c r="Y60">
        <f t="shared" si="11"/>
        <v>3.2228346373796052E-3</v>
      </c>
      <c r="Z60">
        <f t="shared" si="11"/>
        <v>2.1560486646829169E-4</v>
      </c>
      <c r="AA60">
        <f t="shared" si="11"/>
        <v>3.2241646991674911E-3</v>
      </c>
      <c r="AB60">
        <f t="shared" si="11"/>
        <v>2.227900119103215E-4</v>
      </c>
      <c r="AC60">
        <f t="shared" si="11"/>
        <v>0</v>
      </c>
      <c r="AD60">
        <f t="shared" si="11"/>
        <v>3.5836529032783962E-2</v>
      </c>
      <c r="AE60">
        <f t="shared" si="11"/>
        <v>2.418253338957265E-3</v>
      </c>
      <c r="AF60">
        <f t="shared" si="11"/>
        <v>3.5818805164006907E-2</v>
      </c>
      <c r="AG60">
        <f t="shared" si="11"/>
        <v>2.3941294605154344E-3</v>
      </c>
      <c r="AH60">
        <f t="shared" si="11"/>
        <v>3.5833520544702527E-2</v>
      </c>
      <c r="AI60">
        <f t="shared" si="11"/>
        <v>2.4741883037702481E-3</v>
      </c>
      <c r="AJ60">
        <f t="shared" si="11"/>
        <v>0</v>
      </c>
      <c r="AK60">
        <f t="shared" si="11"/>
        <v>2.2351908465491854E-2</v>
      </c>
      <c r="AL60">
        <f t="shared" si="11"/>
        <v>1.5112369455058472E-3</v>
      </c>
      <c r="AM60">
        <f t="shared" si="11"/>
        <v>2.2340136567194784E-2</v>
      </c>
      <c r="AN60">
        <f t="shared" si="11"/>
        <v>1.4961905068535378E-3</v>
      </c>
      <c r="AO60">
        <f t="shared" si="11"/>
        <v>2.2349408685625318E-2</v>
      </c>
      <c r="AP60">
        <f t="shared" si="11"/>
        <v>1.5458383825607562E-3</v>
      </c>
    </row>
    <row r="61" spans="1:42" x14ac:dyDescent="0.2">
      <c r="A61">
        <v>2023</v>
      </c>
      <c r="B61">
        <f t="shared" ref="B61:AP61" si="12">B15/1000</f>
        <v>6.4256256169852519E-2</v>
      </c>
      <c r="C61">
        <f t="shared" si="12"/>
        <v>4.0301719540086975E-3</v>
      </c>
      <c r="D61">
        <f t="shared" si="12"/>
        <v>6.4234758116066687E-2</v>
      </c>
      <c r="E61">
        <f t="shared" si="12"/>
        <v>4.0166563097788549E-3</v>
      </c>
      <c r="F61">
        <f t="shared" si="12"/>
        <v>6.4255894260479646E-2</v>
      </c>
      <c r="G61">
        <f t="shared" si="12"/>
        <v>4.1144396175059571E-3</v>
      </c>
      <c r="H61">
        <f t="shared" si="12"/>
        <v>0</v>
      </c>
      <c r="I61">
        <f t="shared" si="12"/>
        <v>1.5129223383607067E-3</v>
      </c>
      <c r="J61">
        <f t="shared" si="12"/>
        <v>9.4890949770511175E-5</v>
      </c>
      <c r="K61">
        <f t="shared" si="12"/>
        <v>1.5124161637445272E-3</v>
      </c>
      <c r="L61">
        <f t="shared" si="12"/>
        <v>9.4572722078897585E-5</v>
      </c>
      <c r="M61">
        <f t="shared" si="12"/>
        <v>1.5129138171550319E-3</v>
      </c>
      <c r="N61">
        <f t="shared" si="12"/>
        <v>9.6875043430892912E-5</v>
      </c>
      <c r="O61">
        <f t="shared" si="12"/>
        <v>0</v>
      </c>
      <c r="P61">
        <f t="shared" si="12"/>
        <v>8.3025825377387563E-2</v>
      </c>
      <c r="Q61">
        <f t="shared" si="12"/>
        <v>5.1953914686959732E-3</v>
      </c>
      <c r="R61">
        <f t="shared" si="12"/>
        <v>8.2997017252449762E-2</v>
      </c>
      <c r="S61">
        <f t="shared" si="12"/>
        <v>5.1797559341862642E-3</v>
      </c>
      <c r="T61">
        <f t="shared" si="12"/>
        <v>8.3024222291571873E-2</v>
      </c>
      <c r="U61">
        <f t="shared" si="12"/>
        <v>5.3026256489377413E-3</v>
      </c>
      <c r="V61">
        <f t="shared" si="12"/>
        <v>0</v>
      </c>
      <c r="W61">
        <f t="shared" si="12"/>
        <v>4.3669941731721701E-3</v>
      </c>
      <c r="X61">
        <f t="shared" si="12"/>
        <v>2.7389920435942308E-4</v>
      </c>
      <c r="Y61">
        <f t="shared" si="12"/>
        <v>4.3655331189307095E-3</v>
      </c>
      <c r="Z61">
        <f t="shared" si="12"/>
        <v>2.7298065193952535E-4</v>
      </c>
      <c r="AA61">
        <f t="shared" si="12"/>
        <v>4.3669695770282803E-3</v>
      </c>
      <c r="AB61">
        <f t="shared" si="12"/>
        <v>2.79626217064717E-4</v>
      </c>
      <c r="AC61">
        <f t="shared" si="12"/>
        <v>0</v>
      </c>
      <c r="AD61">
        <f t="shared" si="12"/>
        <v>4.8118721879632502E-2</v>
      </c>
      <c r="AE61">
        <f t="shared" si="12"/>
        <v>3.0215892012952278E-3</v>
      </c>
      <c r="AF61">
        <f t="shared" si="12"/>
        <v>4.8102928967868913E-2</v>
      </c>
      <c r="AG61">
        <f t="shared" si="12"/>
        <v>3.0109249349574295E-3</v>
      </c>
      <c r="AH61">
        <f t="shared" si="12"/>
        <v>4.8118788119613086E-2</v>
      </c>
      <c r="AI61">
        <f t="shared" si="12"/>
        <v>3.0851832354433666E-3</v>
      </c>
      <c r="AJ61">
        <f t="shared" si="12"/>
        <v>0</v>
      </c>
      <c r="AK61">
        <f t="shared" si="12"/>
        <v>3.0596535579910794E-2</v>
      </c>
      <c r="AL61">
        <f t="shared" si="12"/>
        <v>1.9162362214298725E-3</v>
      </c>
      <c r="AM61">
        <f t="shared" si="12"/>
        <v>3.0586059868764379E-2</v>
      </c>
      <c r="AN61">
        <f t="shared" si="12"/>
        <v>1.9102247722363826E-3</v>
      </c>
      <c r="AO61">
        <f t="shared" si="12"/>
        <v>3.0596099762617204E-2</v>
      </c>
      <c r="AP61">
        <f t="shared" si="12"/>
        <v>1.9559789367157325E-3</v>
      </c>
    </row>
    <row r="62" spans="1:42" x14ac:dyDescent="0.2">
      <c r="A62">
        <v>2023.25</v>
      </c>
      <c r="B62">
        <f t="shared" ref="B62:AP62" si="13">B16/1000</f>
        <v>8.6432469281313096E-2</v>
      </c>
      <c r="C62">
        <f t="shared" si="13"/>
        <v>5.6558178610017495E-3</v>
      </c>
      <c r="D62">
        <f t="shared" si="13"/>
        <v>8.6295347408145442E-2</v>
      </c>
      <c r="E62">
        <f t="shared" si="13"/>
        <v>5.5907867224068951E-3</v>
      </c>
      <c r="F62">
        <f t="shared" si="13"/>
        <v>8.6420236577132395E-2</v>
      </c>
      <c r="G62">
        <f t="shared" si="13"/>
        <v>5.793517204949165E-3</v>
      </c>
      <c r="H62">
        <f t="shared" si="13"/>
        <v>0</v>
      </c>
      <c r="I62">
        <f t="shared" si="13"/>
        <v>2.0350643085976458E-3</v>
      </c>
      <c r="J62">
        <f t="shared" si="13"/>
        <v>1.331670049526425E-4</v>
      </c>
      <c r="K62">
        <f t="shared" si="13"/>
        <v>2.0318357553429267E-3</v>
      </c>
      <c r="L62">
        <f t="shared" si="13"/>
        <v>1.3163583790162236E-4</v>
      </c>
      <c r="M62">
        <f t="shared" si="13"/>
        <v>2.0347762879049268E-3</v>
      </c>
      <c r="N62">
        <f t="shared" si="13"/>
        <v>1.3640915483583785E-4</v>
      </c>
      <c r="O62">
        <f t="shared" si="13"/>
        <v>0</v>
      </c>
      <c r="P62">
        <f t="shared" si="13"/>
        <v>0.11293557705820775</v>
      </c>
      <c r="Q62">
        <f t="shared" si="13"/>
        <v>7.3879509086111671E-3</v>
      </c>
      <c r="R62">
        <f t="shared" si="13"/>
        <v>0.11275082347456084</v>
      </c>
      <c r="S62">
        <f t="shared" si="13"/>
        <v>7.3028348168743106E-3</v>
      </c>
      <c r="T62">
        <f t="shared" si="13"/>
        <v>0.11291796346044525</v>
      </c>
      <c r="U62">
        <f t="shared" si="13"/>
        <v>7.5672500661383086E-3</v>
      </c>
      <c r="V62">
        <f t="shared" si="13"/>
        <v>0</v>
      </c>
      <c r="W62">
        <f t="shared" si="13"/>
        <v>5.8741375894456067E-3</v>
      </c>
      <c r="X62">
        <f t="shared" si="13"/>
        <v>3.8438161691570607E-4</v>
      </c>
      <c r="Y62">
        <f t="shared" si="13"/>
        <v>5.8648184903129898E-3</v>
      </c>
      <c r="Z62">
        <f t="shared" si="13"/>
        <v>3.7996196005664795E-4</v>
      </c>
      <c r="AA62">
        <f t="shared" si="13"/>
        <v>5.8733062284067987E-3</v>
      </c>
      <c r="AB62">
        <f t="shared" si="13"/>
        <v>3.9373996221174154E-4</v>
      </c>
      <c r="AC62">
        <f t="shared" si="13"/>
        <v>0</v>
      </c>
      <c r="AD62">
        <f t="shared" si="13"/>
        <v>6.4292094469436331E-2</v>
      </c>
      <c r="AE62">
        <f t="shared" si="13"/>
        <v>4.2071918477317631E-3</v>
      </c>
      <c r="AF62">
        <f t="shared" si="13"/>
        <v>6.4191975748675564E-2</v>
      </c>
      <c r="AG62">
        <f t="shared" si="13"/>
        <v>4.158956726517813E-3</v>
      </c>
      <c r="AH62">
        <f t="shared" si="13"/>
        <v>6.4283503199390343E-2</v>
      </c>
      <c r="AI62">
        <f t="shared" si="13"/>
        <v>4.3097542337656022E-3</v>
      </c>
      <c r="AJ62">
        <f t="shared" si="13"/>
        <v>0</v>
      </c>
      <c r="AK62">
        <f t="shared" si="13"/>
        <v>4.189440584710067E-2</v>
      </c>
      <c r="AL62">
        <f t="shared" si="13"/>
        <v>2.7444360797773781E-3</v>
      </c>
      <c r="AM62">
        <f t="shared" si="13"/>
        <v>4.1825024546230403E-2</v>
      </c>
      <c r="AN62">
        <f t="shared" si="13"/>
        <v>2.7121796008684547E-3</v>
      </c>
      <c r="AO62">
        <f t="shared" si="13"/>
        <v>4.1887922347137674E-2</v>
      </c>
      <c r="AP62">
        <f t="shared" si="13"/>
        <v>2.8114000429313793E-3</v>
      </c>
    </row>
    <row r="63" spans="1:42" x14ac:dyDescent="0.2">
      <c r="A63">
        <v>2023.5</v>
      </c>
      <c r="B63">
        <f t="shared" ref="B63:AP63" si="14">B17/1000</f>
        <v>0.14447637665503507</v>
      </c>
      <c r="C63">
        <f t="shared" si="14"/>
        <v>9.6993788837415242E-3</v>
      </c>
      <c r="D63">
        <f t="shared" si="14"/>
        <v>0.14430676722492461</v>
      </c>
      <c r="E63">
        <f t="shared" si="14"/>
        <v>9.4845289138579467E-3</v>
      </c>
      <c r="F63">
        <f t="shared" si="14"/>
        <v>0.14444808997989039</v>
      </c>
      <c r="G63">
        <f t="shared" si="14"/>
        <v>9.9209445660185056E-3</v>
      </c>
      <c r="H63">
        <f t="shared" si="14"/>
        <v>0</v>
      </c>
      <c r="I63">
        <f t="shared" si="14"/>
        <v>3.4017160450342415E-3</v>
      </c>
      <c r="J63">
        <f t="shared" si="14"/>
        <v>2.2837320217734003E-4</v>
      </c>
      <c r="K63">
        <f t="shared" si="14"/>
        <v>3.3977225678087329E-3</v>
      </c>
      <c r="L63">
        <f t="shared" si="14"/>
        <v>2.2331453025637154E-4</v>
      </c>
      <c r="M63">
        <f t="shared" si="14"/>
        <v>3.4010500313998459E-3</v>
      </c>
      <c r="N63">
        <f t="shared" si="14"/>
        <v>2.3358999646496382E-4</v>
      </c>
      <c r="O63">
        <f t="shared" si="14"/>
        <v>0</v>
      </c>
      <c r="P63">
        <f t="shared" si="14"/>
        <v>0.19094455006377195</v>
      </c>
      <c r="Q63">
        <f t="shared" si="14"/>
        <v>1.2822354913122827E-2</v>
      </c>
      <c r="R63">
        <f t="shared" si="14"/>
        <v>0.19071613434455839</v>
      </c>
      <c r="S63">
        <f t="shared" si="14"/>
        <v>1.2535887573778227E-2</v>
      </c>
      <c r="T63">
        <f t="shared" si="14"/>
        <v>0.19090536049285006</v>
      </c>
      <c r="U63">
        <f t="shared" si="14"/>
        <v>1.3114367483975216E-2</v>
      </c>
      <c r="V63">
        <f t="shared" si="14"/>
        <v>0</v>
      </c>
      <c r="W63">
        <f t="shared" si="14"/>
        <v>9.8189270994219809E-3</v>
      </c>
      <c r="X63">
        <f t="shared" si="14"/>
        <v>6.591907713503133E-4</v>
      </c>
      <c r="Y63">
        <f t="shared" si="14"/>
        <v>9.8074000756400541E-3</v>
      </c>
      <c r="Z63">
        <f t="shared" si="14"/>
        <v>6.4458910261773624E-4</v>
      </c>
      <c r="AA63">
        <f t="shared" si="14"/>
        <v>9.8170046757873278E-3</v>
      </c>
      <c r="AB63">
        <f t="shared" si="14"/>
        <v>6.742488544250701E-4</v>
      </c>
      <c r="AC63">
        <f t="shared" si="14"/>
        <v>0</v>
      </c>
      <c r="AD63">
        <f t="shared" si="14"/>
        <v>0.10655053220597703</v>
      </c>
      <c r="AE63">
        <f t="shared" si="14"/>
        <v>7.1510765626796573E-3</v>
      </c>
      <c r="AF63">
        <f t="shared" si="14"/>
        <v>0.10642676115951323</v>
      </c>
      <c r="AG63">
        <f t="shared" si="14"/>
        <v>6.993766948719859E-3</v>
      </c>
      <c r="AH63">
        <f t="shared" si="14"/>
        <v>0.10653025296103234</v>
      </c>
      <c r="AI63">
        <f t="shared" si="14"/>
        <v>7.3146972164430087E-3</v>
      </c>
      <c r="AJ63">
        <f t="shared" si="14"/>
        <v>0</v>
      </c>
      <c r="AK63">
        <f t="shared" si="14"/>
        <v>7.2553565009210161E-2</v>
      </c>
      <c r="AL63">
        <f t="shared" si="14"/>
        <v>4.8802705986300213E-3</v>
      </c>
      <c r="AM63">
        <f t="shared" si="14"/>
        <v>7.2467023575189568E-2</v>
      </c>
      <c r="AN63">
        <f t="shared" si="14"/>
        <v>4.7688788650183519E-3</v>
      </c>
      <c r="AO63">
        <f t="shared" si="14"/>
        <v>7.2538601700198491E-2</v>
      </c>
      <c r="AP63">
        <f t="shared" si="14"/>
        <v>4.9915332923748876E-3</v>
      </c>
    </row>
    <row r="64" spans="1:42" x14ac:dyDescent="0.2">
      <c r="A64">
        <v>2023.75</v>
      </c>
      <c r="B64">
        <f t="shared" ref="B64:AP64" si="15">B18/1000</f>
        <v>0.19938174104436374</v>
      </c>
      <c r="C64">
        <f t="shared" si="15"/>
        <v>1.4294252601279339E-2</v>
      </c>
      <c r="D64">
        <f t="shared" si="15"/>
        <v>0.19915454998084695</v>
      </c>
      <c r="E64">
        <f t="shared" si="15"/>
        <v>1.4180511541438271E-2</v>
      </c>
      <c r="F64">
        <f t="shared" si="15"/>
        <v>0.19929306784376474</v>
      </c>
      <c r="G64">
        <f t="shared" si="15"/>
        <v>1.4867888246631766E-2</v>
      </c>
      <c r="H64">
        <f t="shared" si="15"/>
        <v>0</v>
      </c>
      <c r="I64">
        <f t="shared" si="15"/>
        <v>4.6944703577173853E-3</v>
      </c>
      <c r="J64">
        <f t="shared" si="15"/>
        <v>3.3656013219133949E-4</v>
      </c>
      <c r="K64">
        <f t="shared" si="15"/>
        <v>4.6891211130592183E-3</v>
      </c>
      <c r="L64">
        <f t="shared" si="15"/>
        <v>3.3388208338364832E-4</v>
      </c>
      <c r="M64">
        <f t="shared" si="15"/>
        <v>4.6923825350834994E-3</v>
      </c>
      <c r="N64">
        <f t="shared" si="15"/>
        <v>3.5006646190403814E-4</v>
      </c>
      <c r="O64">
        <f t="shared" si="15"/>
        <v>0</v>
      </c>
      <c r="P64">
        <f t="shared" si="15"/>
        <v>0.26447760914256063</v>
      </c>
      <c r="Q64">
        <f t="shared" si="15"/>
        <v>1.8976127395815803E-2</v>
      </c>
      <c r="R64">
        <f t="shared" si="15"/>
        <v>0.26417207611981552</v>
      </c>
      <c r="S64">
        <f t="shared" si="15"/>
        <v>1.8825072097502896E-2</v>
      </c>
      <c r="T64">
        <f t="shared" si="15"/>
        <v>0.26435754576280091</v>
      </c>
      <c r="U64">
        <f t="shared" si="15"/>
        <v>1.9739656396485849E-2</v>
      </c>
      <c r="V64">
        <f t="shared" si="15"/>
        <v>0</v>
      </c>
      <c r="W64">
        <f t="shared" si="15"/>
        <v>1.3550414438651494E-2</v>
      </c>
      <c r="X64">
        <f t="shared" si="15"/>
        <v>9.7146832916364823E-4</v>
      </c>
      <c r="Y64">
        <f t="shared" si="15"/>
        <v>1.353497404249844E-2</v>
      </c>
      <c r="Z64">
        <f t="shared" si="15"/>
        <v>9.6373824068380612E-4</v>
      </c>
      <c r="AA64">
        <f t="shared" si="15"/>
        <v>1.3544388016114382E-2</v>
      </c>
      <c r="AB64">
        <f t="shared" si="15"/>
        <v>1.0104538485527037E-3</v>
      </c>
      <c r="AC64">
        <f t="shared" si="15"/>
        <v>0</v>
      </c>
      <c r="AD64">
        <f t="shared" si="15"/>
        <v>0.14645532707965947</v>
      </c>
      <c r="AE64">
        <f t="shared" si="15"/>
        <v>1.0490595300205022E-2</v>
      </c>
      <c r="AF64">
        <f t="shared" si="15"/>
        <v>0.14628970614666584</v>
      </c>
      <c r="AG64">
        <f t="shared" si="15"/>
        <v>1.0406770861328265E-2</v>
      </c>
      <c r="AH64">
        <f t="shared" si="15"/>
        <v>0.14639115937430311</v>
      </c>
      <c r="AI64">
        <f t="shared" si="15"/>
        <v>1.0910097684541887E-2</v>
      </c>
      <c r="AJ64">
        <f t="shared" si="15"/>
        <v>0</v>
      </c>
      <c r="AK64">
        <f t="shared" si="15"/>
        <v>0.1025690081067184</v>
      </c>
      <c r="AL64">
        <f t="shared" si="15"/>
        <v>7.3921776252555988E-3</v>
      </c>
      <c r="AM64">
        <f t="shared" si="15"/>
        <v>0.10245098817765107</v>
      </c>
      <c r="AN64">
        <f t="shared" si="15"/>
        <v>7.3360597026783554E-3</v>
      </c>
      <c r="AO64">
        <f t="shared" si="15"/>
        <v>0.10252103293559106</v>
      </c>
      <c r="AP64">
        <f t="shared" si="15"/>
        <v>7.695908506044985E-3</v>
      </c>
    </row>
    <row r="65" spans="1:42" x14ac:dyDescent="0.2">
      <c r="A65">
        <v>2024</v>
      </c>
      <c r="B65">
        <f t="shared" ref="B65:AP65" si="16">B19/1000</f>
        <v>0.28819672328049112</v>
      </c>
      <c r="C65">
        <f t="shared" si="16"/>
        <v>2.1503263643731237E-2</v>
      </c>
      <c r="D65">
        <f t="shared" si="16"/>
        <v>0.25163756277356619</v>
      </c>
      <c r="E65">
        <f t="shared" si="16"/>
        <v>1.9127049302849201E-2</v>
      </c>
      <c r="F65">
        <f t="shared" si="16"/>
        <v>0.25149617324385909</v>
      </c>
      <c r="G65">
        <f t="shared" si="16"/>
        <v>1.985588669595794E-2</v>
      </c>
      <c r="H65">
        <f t="shared" si="16"/>
        <v>0</v>
      </c>
      <c r="I65">
        <f t="shared" si="16"/>
        <v>6.7856312596373085E-3</v>
      </c>
      <c r="J65">
        <f t="shared" si="16"/>
        <v>5.0629728299552259E-4</v>
      </c>
      <c r="K65">
        <f t="shared" si="16"/>
        <v>5.9248408261512097E-3</v>
      </c>
      <c r="L65">
        <f t="shared" si="16"/>
        <v>4.5034899139959549E-4</v>
      </c>
      <c r="M65">
        <f t="shared" si="16"/>
        <v>5.9215117903396799E-3</v>
      </c>
      <c r="N65">
        <f t="shared" si="16"/>
        <v>4.6750956748656882E-4</v>
      </c>
      <c r="O65">
        <f t="shared" si="16"/>
        <v>0</v>
      </c>
      <c r="P65">
        <f t="shared" si="16"/>
        <v>0.38301385164828955</v>
      </c>
      <c r="Q65">
        <f t="shared" si="16"/>
        <v>2.85975793134964E-2</v>
      </c>
      <c r="R65">
        <f t="shared" si="16"/>
        <v>0.33421813113437654</v>
      </c>
      <c r="S65">
        <f t="shared" si="16"/>
        <v>2.5426931208294267E-2</v>
      </c>
      <c r="T65">
        <f t="shared" si="16"/>
        <v>0.33403002449849584</v>
      </c>
      <c r="U65">
        <f t="shared" si="16"/>
        <v>2.6396850699982762E-2</v>
      </c>
      <c r="V65">
        <f t="shared" si="16"/>
        <v>0</v>
      </c>
      <c r="W65">
        <f t="shared" si="16"/>
        <v>1.9586472762533894E-2</v>
      </c>
      <c r="X65">
        <f t="shared" si="16"/>
        <v>1.4614083146726659E-3</v>
      </c>
      <c r="Y65">
        <f t="shared" si="16"/>
        <v>1.710183312701288E-2</v>
      </c>
      <c r="Z65">
        <f t="shared" si="16"/>
        <v>1.2999156476643349E-3</v>
      </c>
      <c r="AA65">
        <f t="shared" si="16"/>
        <v>1.7092223988709732E-2</v>
      </c>
      <c r="AB65">
        <f t="shared" si="16"/>
        <v>1.3494490135747682E-3</v>
      </c>
      <c r="AC65">
        <f t="shared" si="16"/>
        <v>0</v>
      </c>
      <c r="AD65">
        <f t="shared" si="16"/>
        <v>0.21089595535879618</v>
      </c>
      <c r="AE65">
        <f t="shared" si="16"/>
        <v>1.5721167768392351E-2</v>
      </c>
      <c r="AF65">
        <f t="shared" si="16"/>
        <v>0.18436929849914938</v>
      </c>
      <c r="AG65">
        <f t="shared" si="16"/>
        <v>1.3995782457416082E-2</v>
      </c>
      <c r="AH65">
        <f t="shared" si="16"/>
        <v>0.18426766202517786</v>
      </c>
      <c r="AI65">
        <f t="shared" si="16"/>
        <v>1.4529191511249762E-2</v>
      </c>
      <c r="AJ65">
        <f t="shared" si="16"/>
        <v>0</v>
      </c>
      <c r="AK65">
        <f t="shared" si="16"/>
        <v>0.15273828160526548</v>
      </c>
      <c r="AL65">
        <f t="shared" si="16"/>
        <v>1.1464360465772996E-2</v>
      </c>
      <c r="AM65">
        <f t="shared" si="16"/>
        <v>0.13209727708671573</v>
      </c>
      <c r="AN65">
        <f t="shared" si="16"/>
        <v>1.0130230230836944E-2</v>
      </c>
      <c r="AO65">
        <f t="shared" si="16"/>
        <v>0.13200920943860323</v>
      </c>
      <c r="AP65">
        <f t="shared" si="16"/>
        <v>1.0513499098466241E-2</v>
      </c>
    </row>
    <row r="66" spans="1:42" x14ac:dyDescent="0.2">
      <c r="A66">
        <v>2024.25</v>
      </c>
      <c r="B66">
        <f t="shared" ref="B66:AP66" si="17">B20/1000</f>
        <v>0.38275110213292374</v>
      </c>
      <c r="C66">
        <f t="shared" si="17"/>
        <v>3.0131893009312127E-2</v>
      </c>
      <c r="D66">
        <f t="shared" si="17"/>
        <v>0.29914545250090352</v>
      </c>
      <c r="E66">
        <f t="shared" si="17"/>
        <v>2.3747432885946898E-2</v>
      </c>
      <c r="F66">
        <f t="shared" si="17"/>
        <v>0.2952632452931313</v>
      </c>
      <c r="G66">
        <f t="shared" si="17"/>
        <v>2.4315805493752729E-2</v>
      </c>
      <c r="H66">
        <f t="shared" si="17"/>
        <v>0</v>
      </c>
      <c r="I66">
        <f t="shared" si="17"/>
        <v>9.0119270397326263E-3</v>
      </c>
      <c r="J66">
        <f t="shared" si="17"/>
        <v>7.0945954134613151E-4</v>
      </c>
      <c r="K66">
        <f t="shared" si="17"/>
        <v>7.0434205863363049E-3</v>
      </c>
      <c r="L66">
        <f t="shared" si="17"/>
        <v>5.5913655468659658E-4</v>
      </c>
      <c r="M66">
        <f t="shared" si="17"/>
        <v>6.9520134867496475E-3</v>
      </c>
      <c r="N66">
        <f t="shared" si="17"/>
        <v>5.7251896546055671E-4</v>
      </c>
      <c r="O66">
        <f t="shared" si="17"/>
        <v>0</v>
      </c>
      <c r="P66">
        <f t="shared" si="17"/>
        <v>0.50877904768640925</v>
      </c>
      <c r="Q66">
        <f t="shared" si="17"/>
        <v>4.0074374749868073E-2</v>
      </c>
      <c r="R66">
        <f t="shared" si="17"/>
        <v>0.39740757976097751</v>
      </c>
      <c r="S66">
        <f t="shared" si="17"/>
        <v>3.1572426045783142E-2</v>
      </c>
      <c r="T66">
        <f t="shared" si="17"/>
        <v>0.39224387416992884</v>
      </c>
      <c r="U66">
        <f t="shared" si="17"/>
        <v>3.2328914013455917E-2</v>
      </c>
      <c r="V66">
        <f t="shared" si="17"/>
        <v>0</v>
      </c>
      <c r="W66">
        <f t="shared" si="17"/>
        <v>2.6012592896346144E-2</v>
      </c>
      <c r="X66">
        <f t="shared" si="17"/>
        <v>2.0478286324445111E-3</v>
      </c>
      <c r="Y66">
        <f t="shared" si="17"/>
        <v>2.0330572085451089E-2</v>
      </c>
      <c r="Z66">
        <f t="shared" si="17"/>
        <v>1.6139269111259409E-3</v>
      </c>
      <c r="AA66">
        <f t="shared" si="17"/>
        <v>2.0066728885334138E-2</v>
      </c>
      <c r="AB66">
        <f t="shared" si="17"/>
        <v>1.6525547430979385E-3</v>
      </c>
      <c r="AC66">
        <f t="shared" si="17"/>
        <v>0</v>
      </c>
      <c r="AD66">
        <f t="shared" si="17"/>
        <v>0.27938607707574054</v>
      </c>
      <c r="AE66">
        <f t="shared" si="17"/>
        <v>2.1971284184696547E-2</v>
      </c>
      <c r="AF66">
        <f t="shared" si="17"/>
        <v>0.21878146628482767</v>
      </c>
      <c r="AG66">
        <f t="shared" si="17"/>
        <v>1.7342540564507083E-2</v>
      </c>
      <c r="AH66">
        <f t="shared" si="17"/>
        <v>0.21597018208008922</v>
      </c>
      <c r="AI66">
        <f t="shared" si="17"/>
        <v>1.7759717532528727E-2</v>
      </c>
      <c r="AJ66">
        <f t="shared" si="17"/>
        <v>0</v>
      </c>
      <c r="AK66">
        <f t="shared" si="17"/>
        <v>0.20784517423185533</v>
      </c>
      <c r="AL66">
        <f t="shared" si="17"/>
        <v>1.6493180471092855E-2</v>
      </c>
      <c r="AM66">
        <f t="shared" si="17"/>
        <v>0.15978517700096595</v>
      </c>
      <c r="AN66">
        <f t="shared" si="17"/>
        <v>1.2823019132816737E-2</v>
      </c>
      <c r="AO66">
        <f t="shared" si="17"/>
        <v>0.15751693704753369</v>
      </c>
      <c r="AP66">
        <f t="shared" si="17"/>
        <v>1.3112768104261884E-2</v>
      </c>
    </row>
    <row r="67" spans="1:42" x14ac:dyDescent="0.2">
      <c r="A67">
        <v>2024.5</v>
      </c>
      <c r="B67">
        <f t="shared" ref="B67:AP67" si="18">B21/1000</f>
        <v>0.52402573438184619</v>
      </c>
      <c r="C67">
        <f t="shared" si="18"/>
        <v>4.1713418656651242E-2</v>
      </c>
      <c r="D67">
        <f t="shared" si="18"/>
        <v>0.40977154329197019</v>
      </c>
      <c r="E67">
        <f t="shared" si="18"/>
        <v>3.3642357027953242E-2</v>
      </c>
      <c r="F67">
        <f t="shared" si="18"/>
        <v>0.38538504036666743</v>
      </c>
      <c r="G67">
        <f t="shared" si="18"/>
        <v>3.2775245090899512E-2</v>
      </c>
      <c r="H67">
        <f t="shared" si="18"/>
        <v>0</v>
      </c>
      <c r="I67">
        <f t="shared" si="18"/>
        <v>1.2338257574896438E-2</v>
      </c>
      <c r="J67">
        <f t="shared" si="18"/>
        <v>9.8214814645004454E-4</v>
      </c>
      <c r="K67">
        <f t="shared" si="18"/>
        <v>9.6481270217829724E-3</v>
      </c>
      <c r="L67">
        <f t="shared" si="18"/>
        <v>7.9211389670998252E-4</v>
      </c>
      <c r="M67">
        <f t="shared" si="18"/>
        <v>9.0739434756289157E-3</v>
      </c>
      <c r="N67">
        <f t="shared" si="18"/>
        <v>7.7169762757721438E-4</v>
      </c>
      <c r="O67">
        <f t="shared" si="18"/>
        <v>0</v>
      </c>
      <c r="P67">
        <f t="shared" si="18"/>
        <v>0.69605131135523379</v>
      </c>
      <c r="Q67">
        <f t="shared" si="18"/>
        <v>5.5426731292507643E-2</v>
      </c>
      <c r="R67">
        <f t="shared" si="18"/>
        <v>0.54405243817244919</v>
      </c>
      <c r="S67">
        <f t="shared" si="18"/>
        <v>4.4689040213568114E-2</v>
      </c>
      <c r="T67">
        <f t="shared" si="18"/>
        <v>0.51170843975153735</v>
      </c>
      <c r="U67">
        <f t="shared" si="18"/>
        <v>4.3542663980513076E-2</v>
      </c>
      <c r="V67">
        <f t="shared" si="18"/>
        <v>0</v>
      </c>
      <c r="W67">
        <f t="shared" si="18"/>
        <v>3.561392251967925E-2</v>
      </c>
      <c r="X67">
        <f t="shared" si="18"/>
        <v>2.8349341694475089E-3</v>
      </c>
      <c r="Y67">
        <f t="shared" si="18"/>
        <v>2.7848960530124655E-2</v>
      </c>
      <c r="Z67">
        <f t="shared" si="18"/>
        <v>2.2864073612458452E-3</v>
      </c>
      <c r="AA67">
        <f t="shared" si="18"/>
        <v>2.6191601036640675E-2</v>
      </c>
      <c r="AB67">
        <f t="shared" si="18"/>
        <v>2.2274765582032258E-3</v>
      </c>
      <c r="AC67">
        <f t="shared" si="18"/>
        <v>0</v>
      </c>
      <c r="AD67">
        <f t="shared" si="18"/>
        <v>0.38154882904072007</v>
      </c>
      <c r="AE67">
        <f t="shared" si="18"/>
        <v>3.0346464592176808E-2</v>
      </c>
      <c r="AF67">
        <f t="shared" si="18"/>
        <v>0.29878072513569792</v>
      </c>
      <c r="AG67">
        <f t="shared" si="18"/>
        <v>2.4498055073657692E-2</v>
      </c>
      <c r="AH67">
        <f t="shared" si="18"/>
        <v>0.28114175924274443</v>
      </c>
      <c r="AI67">
        <f t="shared" si="18"/>
        <v>2.3877161376256197E-2</v>
      </c>
      <c r="AJ67">
        <f t="shared" si="18"/>
        <v>0</v>
      </c>
      <c r="AK67">
        <f t="shared" si="18"/>
        <v>0.29267759925511916</v>
      </c>
      <c r="AL67">
        <f t="shared" si="18"/>
        <v>2.3447641371063782E-2</v>
      </c>
      <c r="AM67">
        <f t="shared" si="18"/>
        <v>0.22621380189460127</v>
      </c>
      <c r="AN67">
        <f t="shared" si="18"/>
        <v>1.8764711544435372E-2</v>
      </c>
      <c r="AO67">
        <f t="shared" si="18"/>
        <v>0.2116331665632967</v>
      </c>
      <c r="AP67">
        <f t="shared" si="18"/>
        <v>1.8192482444620798E-2</v>
      </c>
    </row>
    <row r="68" spans="1:42" x14ac:dyDescent="0.2">
      <c r="A68">
        <v>2024.75</v>
      </c>
      <c r="B68">
        <f t="shared" ref="B68:AP68" si="19">B22/1000</f>
        <v>0.63986812052633146</v>
      </c>
      <c r="C68">
        <f t="shared" si="19"/>
        <v>5.3379137512405639E-2</v>
      </c>
      <c r="D68">
        <f t="shared" si="19"/>
        <v>0.49060868130612822</v>
      </c>
      <c r="E68">
        <f t="shared" si="19"/>
        <v>4.2306147237227053E-2</v>
      </c>
      <c r="F68">
        <f t="shared" si="19"/>
        <v>0.43730761742646734</v>
      </c>
      <c r="G68">
        <f t="shared" si="19"/>
        <v>3.8837780013247808E-2</v>
      </c>
      <c r="H68">
        <f t="shared" si="19"/>
        <v>0</v>
      </c>
      <c r="I68">
        <f t="shared" si="19"/>
        <v>1.5065782397751377E-2</v>
      </c>
      <c r="J68">
        <f t="shared" si="19"/>
        <v>1.2568190921592526E-3</v>
      </c>
      <c r="K68">
        <f t="shared" si="19"/>
        <v>1.1551448490551447E-2</v>
      </c>
      <c r="L68">
        <f t="shared" si="19"/>
        <v>9.9610402193347656E-4</v>
      </c>
      <c r="M68">
        <f t="shared" si="19"/>
        <v>1.0296467652751492E-2</v>
      </c>
      <c r="N68">
        <f t="shared" si="19"/>
        <v>9.1444084135654409E-4</v>
      </c>
      <c r="O68">
        <f t="shared" si="19"/>
        <v>0</v>
      </c>
      <c r="P68">
        <f t="shared" si="19"/>
        <v>0.849097838842368</v>
      </c>
      <c r="Q68">
        <f t="shared" si="19"/>
        <v>7.0839032617927025E-2</v>
      </c>
      <c r="R68">
        <f t="shared" si="19"/>
        <v>0.65085137141985516</v>
      </c>
      <c r="S68">
        <f t="shared" si="19"/>
        <v>5.6135308289853858E-2</v>
      </c>
      <c r="T68">
        <f t="shared" si="19"/>
        <v>0.5803065615760834</v>
      </c>
      <c r="U68">
        <f t="shared" si="19"/>
        <v>5.1552253117235644E-2</v>
      </c>
      <c r="V68">
        <f t="shared" si="19"/>
        <v>0</v>
      </c>
      <c r="W68">
        <f t="shared" si="19"/>
        <v>4.3486821680845687E-2</v>
      </c>
      <c r="X68">
        <f t="shared" si="19"/>
        <v>3.6277616590273628E-3</v>
      </c>
      <c r="Y68">
        <f t="shared" si="19"/>
        <v>3.3342827302421427E-2</v>
      </c>
      <c r="Z68">
        <f t="shared" si="19"/>
        <v>2.87521728601759E-3</v>
      </c>
      <c r="AA68">
        <f t="shared" si="19"/>
        <v>2.9720371696370033E-2</v>
      </c>
      <c r="AB68">
        <f t="shared" si="19"/>
        <v>2.6394995464483649E-3</v>
      </c>
      <c r="AC68">
        <f t="shared" si="19"/>
        <v>0</v>
      </c>
      <c r="AD68">
        <f t="shared" si="19"/>
        <v>0.46518365626687547</v>
      </c>
      <c r="AE68">
        <f t="shared" si="19"/>
        <v>3.8768773674735087E-2</v>
      </c>
      <c r="AF68">
        <f t="shared" si="19"/>
        <v>0.35714278324142901</v>
      </c>
      <c r="AG68">
        <f t="shared" si="19"/>
        <v>3.0753059147663176E-2</v>
      </c>
      <c r="AH68">
        <f t="shared" si="19"/>
        <v>0.31862834689052333</v>
      </c>
      <c r="AI68">
        <f t="shared" si="19"/>
        <v>2.8254134931952165E-2</v>
      </c>
      <c r="AJ68">
        <f t="shared" si="19"/>
        <v>0</v>
      </c>
      <c r="AK68">
        <f t="shared" si="19"/>
        <v>0.36425626391631533</v>
      </c>
      <c r="AL68">
        <f t="shared" si="19"/>
        <v>3.0655854235104384E-2</v>
      </c>
      <c r="AM68">
        <f t="shared" si="19"/>
        <v>0.27616282821100807</v>
      </c>
      <c r="AN68">
        <f t="shared" si="19"/>
        <v>2.4118041657224032E-2</v>
      </c>
      <c r="AO68">
        <f t="shared" si="19"/>
        <v>0.24371597196298037</v>
      </c>
      <c r="AP68">
        <f t="shared" si="19"/>
        <v>2.1938504679196624E-2</v>
      </c>
    </row>
    <row r="69" spans="1:42" x14ac:dyDescent="0.2">
      <c r="A69">
        <v>2025</v>
      </c>
      <c r="B69">
        <f t="shared" ref="B69:AP69" si="20">B23/1000</f>
        <v>0.80137122201800404</v>
      </c>
      <c r="C69">
        <f t="shared" si="20"/>
        <v>6.7469523481942933E-2</v>
      </c>
      <c r="D69">
        <f t="shared" si="20"/>
        <v>0.60867350394103981</v>
      </c>
      <c r="E69">
        <f t="shared" si="20"/>
        <v>5.2129226971311074E-2</v>
      </c>
      <c r="F69">
        <f t="shared" si="20"/>
        <v>0.4943708029571891</v>
      </c>
      <c r="G69">
        <f t="shared" si="20"/>
        <v>4.5505890199526139E-2</v>
      </c>
      <c r="H69">
        <f t="shared" si="20"/>
        <v>0</v>
      </c>
      <c r="I69">
        <f t="shared" si="20"/>
        <v>1.8868395007415474E-2</v>
      </c>
      <c r="J69">
        <f t="shared" si="20"/>
        <v>1.5885791566281032E-3</v>
      </c>
      <c r="K69">
        <f t="shared" si="20"/>
        <v>1.4331300884484694E-2</v>
      </c>
      <c r="L69">
        <f t="shared" si="20"/>
        <v>1.2273897775478342E-3</v>
      </c>
      <c r="M69">
        <f t="shared" si="20"/>
        <v>1.1640028159284012E-2</v>
      </c>
      <c r="N69">
        <f t="shared" si="20"/>
        <v>1.0714424075356247E-3</v>
      </c>
      <c r="O69">
        <f t="shared" si="20"/>
        <v>0</v>
      </c>
      <c r="P69">
        <f t="shared" si="20"/>
        <v>1.0617645669362712</v>
      </c>
      <c r="Q69">
        <f t="shared" si="20"/>
        <v>8.9393204358562267E-2</v>
      </c>
      <c r="R69">
        <f t="shared" si="20"/>
        <v>0.80631872344496969</v>
      </c>
      <c r="S69">
        <f t="shared" si="20"/>
        <v>6.9070305869209286E-2</v>
      </c>
      <c r="T69">
        <f t="shared" si="20"/>
        <v>0.6554471678514352</v>
      </c>
      <c r="U69">
        <f t="shared" si="20"/>
        <v>6.0332797656552493E-2</v>
      </c>
      <c r="V69">
        <f t="shared" si="20"/>
        <v>0</v>
      </c>
      <c r="W69">
        <f t="shared" si="20"/>
        <v>5.4462921833631578E-2</v>
      </c>
      <c r="X69">
        <f t="shared" si="20"/>
        <v>4.5853747708784996E-3</v>
      </c>
      <c r="Y69">
        <f t="shared" si="20"/>
        <v>4.1366768055215643E-2</v>
      </c>
      <c r="Z69">
        <f t="shared" si="20"/>
        <v>3.5428150347559758E-3</v>
      </c>
      <c r="AA69">
        <f t="shared" si="20"/>
        <v>3.3598509228326343E-2</v>
      </c>
      <c r="AB69">
        <f t="shared" si="20"/>
        <v>3.0926787396552305E-3</v>
      </c>
      <c r="AC69">
        <f t="shared" si="20"/>
        <v>0</v>
      </c>
      <c r="AD69">
        <f t="shared" si="20"/>
        <v>0.58159647342213805</v>
      </c>
      <c r="AE69">
        <f t="shared" si="20"/>
        <v>4.8925244419684835E-2</v>
      </c>
      <c r="AF69">
        <f t="shared" si="20"/>
        <v>0.44224491739812299</v>
      </c>
      <c r="AG69">
        <f t="shared" si="20"/>
        <v>3.7833619052851444E-2</v>
      </c>
      <c r="AH69">
        <f t="shared" si="20"/>
        <v>0.35975997917578478</v>
      </c>
      <c r="AI69">
        <f t="shared" si="20"/>
        <v>3.3060565797469556E-2</v>
      </c>
      <c r="AJ69">
        <f t="shared" si="20"/>
        <v>0</v>
      </c>
      <c r="AK69">
        <f t="shared" si="20"/>
        <v>0.46682145323945623</v>
      </c>
      <c r="AL69">
        <f t="shared" si="20"/>
        <v>3.9604184584514035E-2</v>
      </c>
      <c r="AM69">
        <f t="shared" si="20"/>
        <v>0.35114182721541509</v>
      </c>
      <c r="AN69">
        <f t="shared" si="20"/>
        <v>3.035634930182729E-2</v>
      </c>
      <c r="AO69">
        <f t="shared" si="20"/>
        <v>0.27995488238193456</v>
      </c>
      <c r="AP69">
        <f t="shared" si="20"/>
        <v>2.6173197247738197E-2</v>
      </c>
    </row>
    <row r="70" spans="1:42" x14ac:dyDescent="0.2">
      <c r="A70">
        <v>2025.25</v>
      </c>
      <c r="B70">
        <f t="shared" ref="B70:AP70" si="21">B24/1000</f>
        <v>0.97530673589585715</v>
      </c>
      <c r="C70">
        <f t="shared" si="21"/>
        <v>8.4837257076749856E-2</v>
      </c>
      <c r="D70">
        <f t="shared" si="21"/>
        <v>0.72888836146118119</v>
      </c>
      <c r="E70">
        <f t="shared" si="21"/>
        <v>6.4500194644413936E-2</v>
      </c>
      <c r="F70">
        <f t="shared" si="21"/>
        <v>0.55930323456615227</v>
      </c>
      <c r="G70">
        <f t="shared" si="21"/>
        <v>5.2625919783330234E-2</v>
      </c>
      <c r="H70">
        <f t="shared" si="21"/>
        <v>0</v>
      </c>
      <c r="I70">
        <f t="shared" si="21"/>
        <v>2.2963730466805603E-2</v>
      </c>
      <c r="J70">
        <f t="shared" si="21"/>
        <v>1.9975048191009375E-3</v>
      </c>
      <c r="K70">
        <f t="shared" si="21"/>
        <v>1.71617761438012E-2</v>
      </c>
      <c r="L70">
        <f t="shared" si="21"/>
        <v>1.5186659031020757E-3</v>
      </c>
      <c r="M70">
        <f t="shared" si="21"/>
        <v>1.3168871140823449E-2</v>
      </c>
      <c r="N70">
        <f t="shared" si="21"/>
        <v>1.2390844777280098E-3</v>
      </c>
      <c r="O70">
        <f t="shared" si="21"/>
        <v>0</v>
      </c>
      <c r="P70">
        <f t="shared" si="21"/>
        <v>1.2885833596354106</v>
      </c>
      <c r="Q70">
        <f t="shared" si="21"/>
        <v>0.11204141620482616</v>
      </c>
      <c r="R70">
        <f t="shared" si="21"/>
        <v>0.96308365453526934</v>
      </c>
      <c r="S70">
        <f t="shared" si="21"/>
        <v>8.5202537232286615E-2</v>
      </c>
      <c r="T70">
        <f t="shared" si="21"/>
        <v>0.7401216280361862</v>
      </c>
      <c r="U70">
        <f t="shared" si="21"/>
        <v>6.9617597972344875E-2</v>
      </c>
      <c r="V70">
        <f t="shared" si="21"/>
        <v>0</v>
      </c>
      <c r="W70">
        <f t="shared" si="21"/>
        <v>6.6283955626893029E-2</v>
      </c>
      <c r="X70">
        <f t="shared" si="21"/>
        <v>5.7657235171428818E-3</v>
      </c>
      <c r="Y70">
        <f t="shared" si="21"/>
        <v>4.9536829829923995E-2</v>
      </c>
      <c r="Z70">
        <f t="shared" si="21"/>
        <v>4.3835727596090498E-3</v>
      </c>
      <c r="AA70">
        <f t="shared" si="21"/>
        <v>3.8011457747093018E-2</v>
      </c>
      <c r="AB70">
        <f t="shared" si="21"/>
        <v>3.576571352743294E-3</v>
      </c>
      <c r="AC70">
        <f t="shared" si="21"/>
        <v>0</v>
      </c>
      <c r="AD70">
        <f t="shared" si="21"/>
        <v>0.70788729938559902</v>
      </c>
      <c r="AE70">
        <f t="shared" si="21"/>
        <v>6.1535581273272029E-2</v>
      </c>
      <c r="AF70">
        <f t="shared" si="21"/>
        <v>0.52953033318710363</v>
      </c>
      <c r="AG70">
        <f t="shared" si="21"/>
        <v>4.6815911918589005E-2</v>
      </c>
      <c r="AH70">
        <f t="shared" si="21"/>
        <v>0.40690601759477407</v>
      </c>
      <c r="AI70">
        <f t="shared" si="21"/>
        <v>3.8230265745315503E-2</v>
      </c>
      <c r="AJ70">
        <f t="shared" si="21"/>
        <v>0</v>
      </c>
      <c r="AK70">
        <f t="shared" si="21"/>
        <v>0.57970551206656573</v>
      </c>
      <c r="AL70">
        <f t="shared" si="21"/>
        <v>5.0875834732893435E-2</v>
      </c>
      <c r="AM70">
        <f t="shared" si="21"/>
        <v>0.42916120776426636</v>
      </c>
      <c r="AN70">
        <f t="shared" si="21"/>
        <v>3.83851009433092E-2</v>
      </c>
      <c r="AO70">
        <f t="shared" si="21"/>
        <v>0.32209599701756253</v>
      </c>
      <c r="AP70">
        <f t="shared" si="21"/>
        <v>3.0794092776602583E-2</v>
      </c>
    </row>
    <row r="71" spans="1:42" x14ac:dyDescent="0.2">
      <c r="A71">
        <v>2025.5</v>
      </c>
      <c r="B71">
        <f t="shared" ref="B71:AP71" si="22">B25/1000</f>
        <v>1.2054739490310542</v>
      </c>
      <c r="C71">
        <f t="shared" si="22"/>
        <v>0.10598322932473431</v>
      </c>
      <c r="D71">
        <f t="shared" si="22"/>
        <v>0.84528583109506095</v>
      </c>
      <c r="E71">
        <f t="shared" si="22"/>
        <v>7.6793782011859296E-2</v>
      </c>
      <c r="F71">
        <f t="shared" si="22"/>
        <v>0.61637672535015797</v>
      </c>
      <c r="G71">
        <f t="shared" si="22"/>
        <v>6.0006243827626406E-2</v>
      </c>
      <c r="H71">
        <f t="shared" si="22"/>
        <v>0</v>
      </c>
      <c r="I71">
        <f t="shared" si="22"/>
        <v>2.8383048974718428E-2</v>
      </c>
      <c r="J71">
        <f t="shared" si="22"/>
        <v>2.4953896273251243E-3</v>
      </c>
      <c r="K71">
        <f t="shared" si="22"/>
        <v>1.9902370483319859E-2</v>
      </c>
      <c r="L71">
        <f t="shared" si="22"/>
        <v>1.8081200987780971E-3</v>
      </c>
      <c r="M71">
        <f t="shared" si="22"/>
        <v>1.4512674285953747E-2</v>
      </c>
      <c r="N71">
        <f t="shared" si="22"/>
        <v>1.4128552165871321E-3</v>
      </c>
      <c r="O71">
        <f t="shared" si="22"/>
        <v>0</v>
      </c>
      <c r="P71">
        <f t="shared" si="22"/>
        <v>1.5858824608255406</v>
      </c>
      <c r="Q71">
        <f t="shared" si="22"/>
        <v>0.13935494386797126</v>
      </c>
      <c r="R71">
        <f t="shared" si="22"/>
        <v>1.1134302770258997</v>
      </c>
      <c r="S71">
        <f t="shared" si="22"/>
        <v>0.10108174272363094</v>
      </c>
      <c r="T71">
        <f t="shared" si="22"/>
        <v>0.81384150012718348</v>
      </c>
      <c r="U71">
        <f t="shared" si="22"/>
        <v>7.9150509610686412E-2</v>
      </c>
      <c r="V71">
        <f t="shared" si="22"/>
        <v>0</v>
      </c>
      <c r="W71">
        <f t="shared" si="22"/>
        <v>8.1926617346239655E-2</v>
      </c>
      <c r="X71">
        <f t="shared" si="22"/>
        <v>7.2028495356415163E-3</v>
      </c>
      <c r="Y71">
        <f t="shared" si="22"/>
        <v>5.7447453665827194E-2</v>
      </c>
      <c r="Z71">
        <f t="shared" si="22"/>
        <v>5.2190715514948581E-3</v>
      </c>
      <c r="AA71">
        <f t="shared" si="22"/>
        <v>4.1890295646355581E-2</v>
      </c>
      <c r="AB71">
        <f t="shared" si="22"/>
        <v>4.0781541404545599E-3</v>
      </c>
      <c r="AC71">
        <f t="shared" si="22"/>
        <v>0</v>
      </c>
      <c r="AD71">
        <f t="shared" si="22"/>
        <v>0.87618327342311952</v>
      </c>
      <c r="AE71">
        <f t="shared" si="22"/>
        <v>7.6997305590864318E-2</v>
      </c>
      <c r="AF71">
        <f t="shared" si="22"/>
        <v>0.61463900379532821</v>
      </c>
      <c r="AG71">
        <f t="shared" si="22"/>
        <v>5.5804860571342131E-2</v>
      </c>
      <c r="AH71">
        <f t="shared" si="22"/>
        <v>0.44863758566817158</v>
      </c>
      <c r="AI71">
        <f t="shared" si="22"/>
        <v>4.3626685186766434E-2</v>
      </c>
      <c r="AJ71">
        <f t="shared" si="22"/>
        <v>0</v>
      </c>
      <c r="AK71">
        <f t="shared" si="22"/>
        <v>0.7321945412016041</v>
      </c>
      <c r="AL71">
        <f t="shared" si="22"/>
        <v>6.4885339971667705E-2</v>
      </c>
      <c r="AM71">
        <f t="shared" si="22"/>
        <v>0.50627617516763734</v>
      </c>
      <c r="AN71">
        <f t="shared" si="22"/>
        <v>4.6529776184901402E-2</v>
      </c>
      <c r="AO71">
        <f t="shared" si="22"/>
        <v>0.35990799065667617</v>
      </c>
      <c r="AP71">
        <f t="shared" si="22"/>
        <v>3.5683661681256473E-2</v>
      </c>
    </row>
    <row r="72" spans="1:42" x14ac:dyDescent="0.2">
      <c r="A72">
        <v>2025.75</v>
      </c>
      <c r="B72">
        <f t="shared" ref="B72:AP72" si="23">B26/1000</f>
        <v>1.4330630497830783</v>
      </c>
      <c r="C72">
        <f t="shared" si="23"/>
        <v>0.13017976531469588</v>
      </c>
      <c r="D72">
        <f t="shared" si="23"/>
        <v>0.95555772570773845</v>
      </c>
      <c r="E72">
        <f t="shared" si="23"/>
        <v>8.9476566023020176E-2</v>
      </c>
      <c r="F72">
        <f t="shared" si="23"/>
        <v>0.67838886441617963</v>
      </c>
      <c r="G72">
        <f t="shared" si="23"/>
        <v>6.7746875893537728E-2</v>
      </c>
      <c r="H72">
        <f t="shared" si="23"/>
        <v>0</v>
      </c>
      <c r="I72">
        <f t="shared" si="23"/>
        <v>3.3741665474020667E-2</v>
      </c>
      <c r="J72">
        <f t="shared" si="23"/>
        <v>3.0651003760091876E-3</v>
      </c>
      <c r="K72">
        <f t="shared" si="23"/>
        <v>2.2498737321311135E-2</v>
      </c>
      <c r="L72">
        <f t="shared" si="23"/>
        <v>2.1067379826518215E-3</v>
      </c>
      <c r="M72">
        <f t="shared" si="23"/>
        <v>1.5972758580228782E-2</v>
      </c>
      <c r="N72">
        <f t="shared" si="23"/>
        <v>1.5951094570861755E-3</v>
      </c>
      <c r="O72">
        <f t="shared" si="23"/>
        <v>0</v>
      </c>
      <c r="P72">
        <f t="shared" si="23"/>
        <v>1.8771186810791132</v>
      </c>
      <c r="Q72">
        <f t="shared" si="23"/>
        <v>0.17031823543888044</v>
      </c>
      <c r="R72">
        <f t="shared" si="23"/>
        <v>1.2545405924192032</v>
      </c>
      <c r="S72">
        <f t="shared" si="23"/>
        <v>0.11731136912268902</v>
      </c>
      <c r="T72">
        <f t="shared" si="23"/>
        <v>0.89319583182299278</v>
      </c>
      <c r="U72">
        <f t="shared" si="23"/>
        <v>8.9055871588920643E-2</v>
      </c>
      <c r="V72">
        <f t="shared" si="23"/>
        <v>0</v>
      </c>
      <c r="W72">
        <f t="shared" si="23"/>
        <v>9.7394064970863128E-2</v>
      </c>
      <c r="X72">
        <f t="shared" si="23"/>
        <v>8.847298465249228E-3</v>
      </c>
      <c r="Y72">
        <f t="shared" si="23"/>
        <v>6.4941770171994165E-2</v>
      </c>
      <c r="Z72">
        <f t="shared" si="23"/>
        <v>6.0810209892264381E-3</v>
      </c>
      <c r="AA72">
        <f t="shared" si="23"/>
        <v>4.6104774766511904E-2</v>
      </c>
      <c r="AB72">
        <f t="shared" si="23"/>
        <v>4.6042242407596575E-3</v>
      </c>
      <c r="AC72">
        <f t="shared" si="23"/>
        <v>0</v>
      </c>
      <c r="AD72">
        <f t="shared" si="23"/>
        <v>1.0437230795447694</v>
      </c>
      <c r="AE72">
        <f t="shared" si="23"/>
        <v>9.4809595086180282E-2</v>
      </c>
      <c r="AF72">
        <f t="shared" si="23"/>
        <v>0.69581570242908608</v>
      </c>
      <c r="AG72">
        <f t="shared" si="23"/>
        <v>6.5141297014438174E-2</v>
      </c>
      <c r="AH72">
        <f t="shared" si="23"/>
        <v>0.49428784625613464</v>
      </c>
      <c r="AI72">
        <f t="shared" si="23"/>
        <v>4.9324954529615349E-2</v>
      </c>
      <c r="AJ72">
        <f t="shared" si="23"/>
        <v>0</v>
      </c>
      <c r="AK72">
        <f t="shared" si="23"/>
        <v>0.88596030643550783</v>
      </c>
      <c r="AL72">
        <f t="shared" si="23"/>
        <v>8.123321805639204E-2</v>
      </c>
      <c r="AM72">
        <f t="shared" si="23"/>
        <v>0.58077904987860896</v>
      </c>
      <c r="AN72">
        <f t="shared" si="23"/>
        <v>5.509863111832522E-2</v>
      </c>
      <c r="AO72">
        <f t="shared" si="23"/>
        <v>0.40180518162834566</v>
      </c>
      <c r="AP72">
        <f t="shared" si="23"/>
        <v>4.0913456118143024E-2</v>
      </c>
    </row>
    <row r="73" spans="1:42" x14ac:dyDescent="0.2">
      <c r="A73">
        <v>2026</v>
      </c>
      <c r="B73">
        <f t="shared" ref="B73:AP73" si="24">B27/1000</f>
        <v>1.7388014207357665</v>
      </c>
      <c r="C73">
        <f t="shared" si="24"/>
        <v>0.15854769562377191</v>
      </c>
      <c r="D73">
        <f t="shared" si="24"/>
        <v>1.1161972085521947</v>
      </c>
      <c r="E73">
        <f t="shared" si="24"/>
        <v>0.10440595737876568</v>
      </c>
      <c r="F73">
        <f t="shared" si="24"/>
        <v>0.7463712911173086</v>
      </c>
      <c r="G73">
        <f t="shared" si="24"/>
        <v>7.5395257079351519E-2</v>
      </c>
      <c r="H73">
        <f t="shared" si="24"/>
        <v>0</v>
      </c>
      <c r="I73">
        <f t="shared" si="24"/>
        <v>4.0940317226865162E-2</v>
      </c>
      <c r="J73">
        <f t="shared" si="24"/>
        <v>3.7330271743618929E-3</v>
      </c>
      <c r="K73">
        <f t="shared" si="24"/>
        <v>2.6281015911829384E-2</v>
      </c>
      <c r="L73">
        <f t="shared" si="24"/>
        <v>2.4582525436702999E-3</v>
      </c>
      <c r="M73">
        <f t="shared" si="24"/>
        <v>1.7573414113290529E-2</v>
      </c>
      <c r="N73">
        <f t="shared" si="24"/>
        <v>1.7751916379983035E-3</v>
      </c>
      <c r="O73">
        <f t="shared" si="24"/>
        <v>0</v>
      </c>
      <c r="P73">
        <f t="shared" si="24"/>
        <v>2.2647950752363579</v>
      </c>
      <c r="Q73">
        <f t="shared" si="24"/>
        <v>0.2062887840411311</v>
      </c>
      <c r="R73">
        <f t="shared" si="24"/>
        <v>1.4582315301133155</v>
      </c>
      <c r="S73">
        <f t="shared" si="24"/>
        <v>0.13624184418776811</v>
      </c>
      <c r="T73">
        <f t="shared" si="24"/>
        <v>0.97939757996284671</v>
      </c>
      <c r="U73">
        <f t="shared" si="24"/>
        <v>9.875402242951381E-2</v>
      </c>
      <c r="V73">
        <f t="shared" si="24"/>
        <v>0</v>
      </c>
      <c r="W73">
        <f t="shared" si="24"/>
        <v>0.11817270605658459</v>
      </c>
      <c r="X73">
        <f t="shared" si="24"/>
        <v>1.0775244376651578E-2</v>
      </c>
      <c r="Y73">
        <f t="shared" si="24"/>
        <v>7.5859176933271738E-2</v>
      </c>
      <c r="Z73">
        <f t="shared" si="24"/>
        <v>7.0956547221225691E-3</v>
      </c>
      <c r="AA73">
        <f t="shared" si="24"/>
        <v>5.0725007549716331E-2</v>
      </c>
      <c r="AB73">
        <f t="shared" si="24"/>
        <v>5.1240247716894246E-3</v>
      </c>
      <c r="AC73">
        <f t="shared" si="24"/>
        <v>0</v>
      </c>
      <c r="AD73">
        <f t="shared" si="24"/>
        <v>1.2702648508412673</v>
      </c>
      <c r="AE73">
        <f t="shared" si="24"/>
        <v>0.11582927004620737</v>
      </c>
      <c r="AF73">
        <f t="shared" si="24"/>
        <v>0.81484411508903309</v>
      </c>
      <c r="AG73">
        <f t="shared" si="24"/>
        <v>7.6203470046793939E-2</v>
      </c>
      <c r="AH73">
        <f t="shared" si="24"/>
        <v>0.5446605204936491</v>
      </c>
      <c r="AI73">
        <f t="shared" si="24"/>
        <v>5.4992145782011961E-2</v>
      </c>
      <c r="AJ73">
        <f t="shared" si="24"/>
        <v>0</v>
      </c>
      <c r="AK73">
        <f t="shared" si="24"/>
        <v>1.0964187371475527</v>
      </c>
      <c r="AL73">
        <f t="shared" si="24"/>
        <v>0.1007606004938443</v>
      </c>
      <c r="AM73">
        <f t="shared" si="24"/>
        <v>0.69135703642472801</v>
      </c>
      <c r="AN73">
        <f t="shared" si="24"/>
        <v>6.5375444808492944E-2</v>
      </c>
      <c r="AO73">
        <f t="shared" si="24"/>
        <v>0.44860164618375553</v>
      </c>
      <c r="AP73">
        <f t="shared" si="24"/>
        <v>4.6178304939173041E-2</v>
      </c>
    </row>
    <row r="74" spans="1:42" x14ac:dyDescent="0.2">
      <c r="A74">
        <v>2026.25</v>
      </c>
      <c r="B74">
        <f t="shared" ref="B74:AP74" si="25">B28/1000</f>
        <v>2.0407541219531846</v>
      </c>
      <c r="C74">
        <f t="shared" si="25"/>
        <v>0.1906827752548757</v>
      </c>
      <c r="D74">
        <f t="shared" si="25"/>
        <v>1.2406545556882116</v>
      </c>
      <c r="E74">
        <f t="shared" si="25"/>
        <v>0.11894954910794925</v>
      </c>
      <c r="F74">
        <f t="shared" si="25"/>
        <v>0.81655440443844907</v>
      </c>
      <c r="G74">
        <f t="shared" si="25"/>
        <v>8.3881277760335396E-2</v>
      </c>
      <c r="H74">
        <f t="shared" si="25"/>
        <v>0</v>
      </c>
      <c r="I74">
        <f t="shared" si="25"/>
        <v>4.8049834868114261E-2</v>
      </c>
      <c r="J74">
        <f t="shared" si="25"/>
        <v>4.4896520186475984E-3</v>
      </c>
      <c r="K74">
        <f t="shared" si="25"/>
        <v>2.9211381169298833E-2</v>
      </c>
      <c r="L74">
        <f t="shared" si="25"/>
        <v>2.8006833997244883E-3</v>
      </c>
      <c r="M74">
        <f t="shared" si="25"/>
        <v>1.9225885113757439E-2</v>
      </c>
      <c r="N74">
        <f t="shared" si="25"/>
        <v>1.9749961553687852E-3</v>
      </c>
      <c r="O74">
        <f t="shared" si="25"/>
        <v>0</v>
      </c>
      <c r="P74">
        <f t="shared" si="25"/>
        <v>2.6463884945431277</v>
      </c>
      <c r="Q74">
        <f t="shared" si="25"/>
        <v>0.24689956469216662</v>
      </c>
      <c r="R74">
        <f t="shared" si="25"/>
        <v>1.6155147882527618</v>
      </c>
      <c r="S74">
        <f t="shared" si="25"/>
        <v>0.15462134162086036</v>
      </c>
      <c r="T74">
        <f t="shared" si="25"/>
        <v>1.0680916505302924</v>
      </c>
      <c r="U74">
        <f t="shared" si="25"/>
        <v>0.10947825054507207</v>
      </c>
      <c r="V74">
        <f t="shared" si="25"/>
        <v>0</v>
      </c>
      <c r="W74">
        <f t="shared" si="25"/>
        <v>0.13869406483765731</v>
      </c>
      <c r="X74">
        <f t="shared" si="25"/>
        <v>1.2959213905353985E-2</v>
      </c>
      <c r="Y74">
        <f t="shared" si="25"/>
        <v>8.4317567479941194E-2</v>
      </c>
      <c r="Z74">
        <f t="shared" si="25"/>
        <v>8.0840686778073656E-3</v>
      </c>
      <c r="AA74">
        <f t="shared" si="25"/>
        <v>5.5494803756304223E-2</v>
      </c>
      <c r="AB74">
        <f t="shared" si="25"/>
        <v>5.7007530947544398E-3</v>
      </c>
      <c r="AC74">
        <f t="shared" si="25"/>
        <v>0</v>
      </c>
      <c r="AD74">
        <f t="shared" si="25"/>
        <v>1.4942285030588454</v>
      </c>
      <c r="AE74">
        <f t="shared" si="25"/>
        <v>0.13966442624606037</v>
      </c>
      <c r="AF74">
        <f t="shared" si="25"/>
        <v>0.90715632788762923</v>
      </c>
      <c r="AG74">
        <f t="shared" si="25"/>
        <v>8.6990708931880018E-2</v>
      </c>
      <c r="AH74">
        <f t="shared" si="25"/>
        <v>0.59671657536591471</v>
      </c>
      <c r="AI74">
        <f t="shared" si="25"/>
        <v>6.1286377219069266E-2</v>
      </c>
      <c r="AJ74">
        <f t="shared" si="25"/>
        <v>0</v>
      </c>
      <c r="AK74">
        <f t="shared" si="25"/>
        <v>1.302493571775835</v>
      </c>
      <c r="AL74">
        <f t="shared" si="25"/>
        <v>0.12269195329859411</v>
      </c>
      <c r="AM74">
        <f t="shared" si="25"/>
        <v>0.77629592627708988</v>
      </c>
      <c r="AN74">
        <f t="shared" si="25"/>
        <v>7.530106643204236E-2</v>
      </c>
      <c r="AO74">
        <f t="shared" si="25"/>
        <v>0.49649978855188126</v>
      </c>
      <c r="AP74">
        <f t="shared" si="25"/>
        <v>5.1969792484855774E-2</v>
      </c>
    </row>
    <row r="75" spans="1:42" x14ac:dyDescent="0.2">
      <c r="A75">
        <v>2026.5</v>
      </c>
      <c r="B75">
        <f t="shared" ref="B75:AP75" si="26">B29/1000</f>
        <v>2.4384683965354448</v>
      </c>
      <c r="C75">
        <f t="shared" si="26"/>
        <v>0.22860669591959598</v>
      </c>
      <c r="D75">
        <f t="shared" si="26"/>
        <v>1.4881902597699079</v>
      </c>
      <c r="E75">
        <f t="shared" si="26"/>
        <v>0.13906291663766099</v>
      </c>
      <c r="F75">
        <f t="shared" si="26"/>
        <v>0.92431772273011847</v>
      </c>
      <c r="G75">
        <f t="shared" si="26"/>
        <v>9.4667690356332768E-2</v>
      </c>
      <c r="H75">
        <f t="shared" si="26"/>
        <v>0</v>
      </c>
      <c r="I75">
        <f t="shared" si="26"/>
        <v>5.7414071849333434E-2</v>
      </c>
      <c r="J75">
        <f t="shared" si="26"/>
        <v>5.3825759166756613E-3</v>
      </c>
      <c r="K75">
        <f t="shared" si="26"/>
        <v>3.5039643171633654E-2</v>
      </c>
      <c r="L75">
        <f t="shared" si="26"/>
        <v>3.2742553886514866E-3</v>
      </c>
      <c r="M75">
        <f t="shared" si="26"/>
        <v>2.1763187179230634E-2</v>
      </c>
      <c r="N75">
        <f t="shared" si="26"/>
        <v>2.2289637149496408E-3</v>
      </c>
      <c r="O75">
        <f t="shared" si="26"/>
        <v>0</v>
      </c>
      <c r="P75">
        <f t="shared" si="26"/>
        <v>3.1473609853945907</v>
      </c>
      <c r="Q75">
        <f t="shared" si="26"/>
        <v>0.29466964037832011</v>
      </c>
      <c r="R75">
        <f t="shared" si="26"/>
        <v>1.9273179750474292</v>
      </c>
      <c r="S75">
        <f t="shared" si="26"/>
        <v>0.17995672552518266</v>
      </c>
      <c r="T75">
        <f t="shared" si="26"/>
        <v>1.2038334667970114</v>
      </c>
      <c r="U75">
        <f t="shared" si="26"/>
        <v>0.12306513019942739</v>
      </c>
      <c r="V75">
        <f t="shared" si="26"/>
        <v>0</v>
      </c>
      <c r="W75">
        <f t="shared" si="26"/>
        <v>0.1657235873030978</v>
      </c>
      <c r="X75">
        <f t="shared" si="26"/>
        <v>1.5536605593548527E-2</v>
      </c>
      <c r="Y75">
        <f t="shared" si="26"/>
        <v>0.10114062941681158</v>
      </c>
      <c r="Z75">
        <f t="shared" si="26"/>
        <v>9.4510166458455572E-3</v>
      </c>
      <c r="AA75">
        <f t="shared" si="26"/>
        <v>6.281863198895829E-2</v>
      </c>
      <c r="AB75">
        <f t="shared" si="26"/>
        <v>6.4338210287410999E-3</v>
      </c>
      <c r="AC75">
        <f t="shared" si="26"/>
        <v>0</v>
      </c>
      <c r="AD75">
        <f t="shared" si="26"/>
        <v>1.7895103139777757</v>
      </c>
      <c r="AE75">
        <f t="shared" si="26"/>
        <v>0.16782093127165074</v>
      </c>
      <c r="AF75">
        <f t="shared" si="26"/>
        <v>1.0909384942308133</v>
      </c>
      <c r="AG75">
        <f t="shared" si="26"/>
        <v>0.10192382038252996</v>
      </c>
      <c r="AH75">
        <f t="shared" si="26"/>
        <v>0.67672513882323593</v>
      </c>
      <c r="AI75">
        <f t="shared" si="26"/>
        <v>6.929471800092897E-2</v>
      </c>
      <c r="AJ75">
        <f t="shared" si="26"/>
        <v>0</v>
      </c>
      <c r="AK75">
        <f t="shared" si="26"/>
        <v>1.571650615761768</v>
      </c>
      <c r="AL75">
        <f t="shared" si="26"/>
        <v>0.14835733931772704</v>
      </c>
      <c r="AM75">
        <f t="shared" si="26"/>
        <v>0.94381814674953013</v>
      </c>
      <c r="AN75">
        <f t="shared" si="26"/>
        <v>8.8912985578233655E-2</v>
      </c>
      <c r="AO75">
        <f t="shared" si="26"/>
        <v>0.56942967328374472</v>
      </c>
      <c r="AP75">
        <f t="shared" si="26"/>
        <v>5.926960321606653E-2</v>
      </c>
    </row>
    <row r="76" spans="1:42" x14ac:dyDescent="0.2">
      <c r="A76">
        <v>2026.75</v>
      </c>
      <c r="B76">
        <f t="shared" ref="B76:AP76" si="27">B30/1000</f>
        <v>2.8842716269514108</v>
      </c>
      <c r="C76">
        <f t="shared" si="27"/>
        <v>0.27509104614916408</v>
      </c>
      <c r="D76">
        <f t="shared" si="27"/>
        <v>1.7593747641668023</v>
      </c>
      <c r="E76">
        <f t="shared" si="27"/>
        <v>0.16557486755964176</v>
      </c>
      <c r="F76">
        <f t="shared" si="27"/>
        <v>1.0542272241337178</v>
      </c>
      <c r="G76">
        <f t="shared" si="27"/>
        <v>0.10661148243327627</v>
      </c>
      <c r="H76">
        <f t="shared" si="27"/>
        <v>0</v>
      </c>
      <c r="I76">
        <f t="shared" si="27"/>
        <v>6.79105698716711E-2</v>
      </c>
      <c r="J76">
        <f t="shared" si="27"/>
        <v>6.4770562994199646E-3</v>
      </c>
      <c r="K76">
        <f t="shared" si="27"/>
        <v>4.1424719411289099E-2</v>
      </c>
      <c r="L76">
        <f t="shared" si="27"/>
        <v>3.8984828985356738E-3</v>
      </c>
      <c r="M76">
        <f t="shared" si="27"/>
        <v>2.4821924154495315E-2</v>
      </c>
      <c r="N76">
        <f t="shared" si="27"/>
        <v>2.5101819326773869E-3</v>
      </c>
      <c r="O76">
        <f t="shared" si="27"/>
        <v>0</v>
      </c>
      <c r="P76">
        <f t="shared" si="27"/>
        <v>3.7071229170042641</v>
      </c>
      <c r="Q76">
        <f t="shared" si="27"/>
        <v>0.35303657874672295</v>
      </c>
      <c r="R76">
        <f t="shared" si="27"/>
        <v>2.2678241707117777</v>
      </c>
      <c r="S76">
        <f t="shared" si="27"/>
        <v>0.21324580879400892</v>
      </c>
      <c r="T76">
        <f t="shared" si="27"/>
        <v>1.3669511574702642</v>
      </c>
      <c r="U76">
        <f t="shared" si="27"/>
        <v>0.13806206083516095</v>
      </c>
      <c r="V76">
        <f t="shared" si="27"/>
        <v>0</v>
      </c>
      <c r="W76">
        <f t="shared" si="27"/>
        <v>0.19602133923657034</v>
      </c>
      <c r="X76">
        <f t="shared" si="27"/>
        <v>1.8695782593522257E-2</v>
      </c>
      <c r="Y76">
        <f t="shared" si="27"/>
        <v>0.11957091498193055</v>
      </c>
      <c r="Z76">
        <f t="shared" si="27"/>
        <v>1.1252826183109521E-2</v>
      </c>
      <c r="AA76">
        <f t="shared" si="27"/>
        <v>7.1647562734154596E-2</v>
      </c>
      <c r="AB76">
        <f t="shared" si="27"/>
        <v>7.2455469759814513E-3</v>
      </c>
      <c r="AC76">
        <f t="shared" si="27"/>
        <v>0</v>
      </c>
      <c r="AD76">
        <f t="shared" si="27"/>
        <v>2.120811386589446</v>
      </c>
      <c r="AE76">
        <f t="shared" si="27"/>
        <v>0.20236602659620206</v>
      </c>
      <c r="AF76">
        <f t="shared" si="27"/>
        <v>1.2924707197791228</v>
      </c>
      <c r="AG76">
        <f t="shared" si="27"/>
        <v>0.12162631955303761</v>
      </c>
      <c r="AH76">
        <f t="shared" si="27"/>
        <v>0.77326808472629993</v>
      </c>
      <c r="AI76">
        <f t="shared" si="27"/>
        <v>7.8170811434460169E-2</v>
      </c>
      <c r="AJ76">
        <f t="shared" si="27"/>
        <v>0</v>
      </c>
      <c r="AK76">
        <f t="shared" si="27"/>
        <v>1.8708788587618752</v>
      </c>
      <c r="AL76">
        <f t="shared" si="27"/>
        <v>0.179558168511398</v>
      </c>
      <c r="AM76">
        <f t="shared" si="27"/>
        <v>1.1258402974275827</v>
      </c>
      <c r="AN76">
        <f t="shared" si="27"/>
        <v>0.10670811121132345</v>
      </c>
      <c r="AO76">
        <f t="shared" si="27"/>
        <v>0.65662642109050262</v>
      </c>
      <c r="AP76">
        <f t="shared" si="27"/>
        <v>6.728641349042834E-2</v>
      </c>
    </row>
    <row r="77" spans="1:42" x14ac:dyDescent="0.2">
      <c r="A77">
        <v>2027</v>
      </c>
      <c r="B77">
        <f t="shared" ref="B77:AP77" si="28">B31/1000</f>
        <v>3.467020038636575</v>
      </c>
      <c r="C77">
        <f t="shared" si="28"/>
        <v>0.33035662907209057</v>
      </c>
      <c r="D77">
        <f t="shared" si="28"/>
        <v>2.0786905059766498</v>
      </c>
      <c r="E77">
        <f t="shared" si="28"/>
        <v>0.19685958358097874</v>
      </c>
      <c r="F77">
        <f t="shared" si="28"/>
        <v>1.2011830475266458</v>
      </c>
      <c r="G77">
        <f t="shared" si="28"/>
        <v>0.12054187633112261</v>
      </c>
      <c r="H77">
        <f t="shared" si="28"/>
        <v>0</v>
      </c>
      <c r="I77">
        <f t="shared" si="28"/>
        <v>8.1631460913816137E-2</v>
      </c>
      <c r="J77">
        <f t="shared" si="28"/>
        <v>7.7782920067354247E-3</v>
      </c>
      <c r="K77">
        <f t="shared" si="28"/>
        <v>4.8943052217628298E-2</v>
      </c>
      <c r="L77">
        <f t="shared" si="28"/>
        <v>4.6350858153448617E-3</v>
      </c>
      <c r="M77">
        <f t="shared" si="28"/>
        <v>2.8282019112029811E-2</v>
      </c>
      <c r="N77">
        <f t="shared" si="28"/>
        <v>2.8381749619398604E-3</v>
      </c>
      <c r="O77">
        <f t="shared" si="28"/>
        <v>0</v>
      </c>
      <c r="P77">
        <f t="shared" si="28"/>
        <v>4.4365703303492108</v>
      </c>
      <c r="Q77">
        <f t="shared" si="28"/>
        <v>0.42221452192387066</v>
      </c>
      <c r="R77">
        <f t="shared" si="28"/>
        <v>2.6675233157166645</v>
      </c>
      <c r="S77">
        <f t="shared" si="28"/>
        <v>0.25240602737444923</v>
      </c>
      <c r="T77">
        <f t="shared" si="28"/>
        <v>1.5509011144336169</v>
      </c>
      <c r="U77">
        <f t="shared" si="28"/>
        <v>0.15549924228757492</v>
      </c>
      <c r="V77">
        <f t="shared" si="28"/>
        <v>0</v>
      </c>
      <c r="W77">
        <f t="shared" si="28"/>
        <v>0.23562618193900645</v>
      </c>
      <c r="X77">
        <f t="shared" si="28"/>
        <v>2.2451751163546363E-2</v>
      </c>
      <c r="Y77">
        <f t="shared" si="28"/>
        <v>0.14127230356267384</v>
      </c>
      <c r="Z77">
        <f t="shared" si="28"/>
        <v>1.3379003161322942E-2</v>
      </c>
      <c r="AA77">
        <f t="shared" si="28"/>
        <v>8.1634998397605699E-2</v>
      </c>
      <c r="AB77">
        <f t="shared" si="28"/>
        <v>8.192286680533829E-3</v>
      </c>
      <c r="AC77">
        <f t="shared" si="28"/>
        <v>0</v>
      </c>
      <c r="AD77">
        <f t="shared" si="28"/>
        <v>2.5542849617718568</v>
      </c>
      <c r="AE77">
        <f t="shared" si="28"/>
        <v>0.24347496715060979</v>
      </c>
      <c r="AF77">
        <f t="shared" si="28"/>
        <v>1.5299916352185596</v>
      </c>
      <c r="AG77">
        <f t="shared" si="28"/>
        <v>0.14489724990721917</v>
      </c>
      <c r="AH77">
        <f t="shared" si="28"/>
        <v>0.88258020790446279</v>
      </c>
      <c r="AI77">
        <f t="shared" si="28"/>
        <v>8.8532843360273519E-2</v>
      </c>
      <c r="AJ77">
        <f t="shared" si="28"/>
        <v>0</v>
      </c>
      <c r="AK77">
        <f t="shared" si="28"/>
        <v>2.2588854089753214</v>
      </c>
      <c r="AL77">
        <f t="shared" si="28"/>
        <v>0.21635519402958148</v>
      </c>
      <c r="AM77">
        <f t="shared" si="28"/>
        <v>1.3384476540915127</v>
      </c>
      <c r="AN77">
        <f t="shared" si="28"/>
        <v>0.12753815466479979</v>
      </c>
      <c r="AO77">
        <f t="shared" si="28"/>
        <v>0.75447280029139863</v>
      </c>
      <c r="AP77">
        <f t="shared" si="28"/>
        <v>7.6561572325761135E-2</v>
      </c>
    </row>
    <row r="78" spans="1:42" x14ac:dyDescent="0.2">
      <c r="A78">
        <v>2027.25</v>
      </c>
      <c r="B78">
        <f t="shared" ref="B78:AP78" si="29">B32/1000</f>
        <v>4.1388857921295976</v>
      </c>
      <c r="C78">
        <f t="shared" si="29"/>
        <v>0.39944266617049501</v>
      </c>
      <c r="D78">
        <f t="shared" si="29"/>
        <v>2.5132596085251389</v>
      </c>
      <c r="E78">
        <f t="shared" si="29"/>
        <v>0.23666168498352488</v>
      </c>
      <c r="F78">
        <f t="shared" si="29"/>
        <v>1.3781512120272501</v>
      </c>
      <c r="G78">
        <f t="shared" si="29"/>
        <v>0.1372558975828346</v>
      </c>
      <c r="H78">
        <f t="shared" si="29"/>
        <v>0</v>
      </c>
      <c r="I78">
        <f t="shared" si="29"/>
        <v>9.7450631955344216E-2</v>
      </c>
      <c r="J78">
        <f t="shared" si="29"/>
        <v>9.4049321975162806E-3</v>
      </c>
      <c r="K78">
        <f t="shared" si="29"/>
        <v>5.9175041163094473E-2</v>
      </c>
      <c r="L78">
        <f t="shared" si="29"/>
        <v>5.5722317356803617E-3</v>
      </c>
      <c r="M78">
        <f t="shared" si="29"/>
        <v>3.2448758745038067E-2</v>
      </c>
      <c r="N78">
        <f t="shared" si="29"/>
        <v>3.2317088779014111E-3</v>
      </c>
      <c r="O78">
        <f t="shared" si="29"/>
        <v>0</v>
      </c>
      <c r="P78">
        <f t="shared" si="29"/>
        <v>5.2750298292128308</v>
      </c>
      <c r="Q78">
        <f t="shared" si="29"/>
        <v>0.50843091819477126</v>
      </c>
      <c r="R78">
        <f t="shared" si="29"/>
        <v>3.2098468231287787</v>
      </c>
      <c r="S78">
        <f t="shared" si="29"/>
        <v>0.30207733421245192</v>
      </c>
      <c r="T78">
        <f t="shared" si="29"/>
        <v>1.7717497553273696</v>
      </c>
      <c r="U78">
        <f t="shared" si="29"/>
        <v>0.17635762033385508</v>
      </c>
      <c r="V78">
        <f t="shared" si="29"/>
        <v>0</v>
      </c>
      <c r="W78">
        <f t="shared" si="29"/>
        <v>0.28128763197590628</v>
      </c>
      <c r="X78">
        <f t="shared" si="29"/>
        <v>2.7146987696760973E-2</v>
      </c>
      <c r="Y78">
        <f t="shared" si="29"/>
        <v>0.17080655986377927</v>
      </c>
      <c r="Z78">
        <f t="shared" si="29"/>
        <v>1.608404007547912E-2</v>
      </c>
      <c r="AA78">
        <f t="shared" si="29"/>
        <v>9.3662137687642644E-2</v>
      </c>
      <c r="AB78">
        <f t="shared" si="29"/>
        <v>9.3282077218027597E-3</v>
      </c>
      <c r="AC78">
        <f t="shared" si="29"/>
        <v>0</v>
      </c>
      <c r="AD78">
        <f t="shared" si="29"/>
        <v>3.0544971272572479</v>
      </c>
      <c r="AE78">
        <f t="shared" si="29"/>
        <v>0.29491035590518161</v>
      </c>
      <c r="AF78">
        <f t="shared" si="29"/>
        <v>1.853533578990338</v>
      </c>
      <c r="AG78">
        <f t="shared" si="29"/>
        <v>0.17453039496622461</v>
      </c>
      <c r="AH78">
        <f t="shared" si="29"/>
        <v>1.0143351430631597</v>
      </c>
      <c r="AI78">
        <f t="shared" si="29"/>
        <v>0.10097663398484587</v>
      </c>
      <c r="AJ78">
        <f t="shared" si="29"/>
        <v>0</v>
      </c>
      <c r="AK78">
        <f t="shared" si="29"/>
        <v>2.7027090857925877</v>
      </c>
      <c r="AL78">
        <f t="shared" si="29"/>
        <v>0.26199231549668472</v>
      </c>
      <c r="AM78">
        <f t="shared" si="29"/>
        <v>1.6255169918595276</v>
      </c>
      <c r="AN78">
        <f t="shared" si="29"/>
        <v>0.15383078068077241</v>
      </c>
      <c r="AO78">
        <f t="shared" si="29"/>
        <v>0.87137511454081307</v>
      </c>
      <c r="AP78">
        <f t="shared" si="29"/>
        <v>8.7602585099176414E-2</v>
      </c>
    </row>
    <row r="79" spans="1:42" x14ac:dyDescent="0.2">
      <c r="A79">
        <v>2027.5</v>
      </c>
      <c r="B79">
        <f t="shared" ref="B79:AP79" si="30">B33/1000</f>
        <v>4.9801898732430994</v>
      </c>
      <c r="C79">
        <f t="shared" si="30"/>
        <v>0.48107665980153086</v>
      </c>
      <c r="D79">
        <f t="shared" si="30"/>
        <v>3.1994838549628968</v>
      </c>
      <c r="E79">
        <f t="shared" si="30"/>
        <v>0.29738057600007284</v>
      </c>
      <c r="F79">
        <f t="shared" si="30"/>
        <v>1.6073620930072707</v>
      </c>
      <c r="G79">
        <f t="shared" si="30"/>
        <v>0.15963939836803284</v>
      </c>
      <c r="H79">
        <f t="shared" si="30"/>
        <v>0</v>
      </c>
      <c r="I79">
        <f t="shared" si="30"/>
        <v>0.11725925159085646</v>
      </c>
      <c r="J79">
        <f t="shared" si="30"/>
        <v>1.1327015740751652E-2</v>
      </c>
      <c r="K79">
        <f t="shared" si="30"/>
        <v>7.5332284884485234E-2</v>
      </c>
      <c r="L79">
        <f t="shared" si="30"/>
        <v>7.0018663277829204E-3</v>
      </c>
      <c r="M79">
        <f t="shared" si="30"/>
        <v>3.7845560281581848E-2</v>
      </c>
      <c r="N79">
        <f t="shared" si="30"/>
        <v>3.7587314647624429E-3</v>
      </c>
      <c r="O79">
        <f t="shared" si="30"/>
        <v>0</v>
      </c>
      <c r="P79">
        <f t="shared" si="30"/>
        <v>6.3218496906235879</v>
      </c>
      <c r="Q79">
        <f t="shared" si="30"/>
        <v>0.61000665973419521</v>
      </c>
      <c r="R79">
        <f t="shared" si="30"/>
        <v>4.063703575614638</v>
      </c>
      <c r="S79">
        <f t="shared" si="30"/>
        <v>0.3776287816686808</v>
      </c>
      <c r="T79">
        <f t="shared" si="30"/>
        <v>2.0569528204827989</v>
      </c>
      <c r="U79">
        <f t="shared" si="30"/>
        <v>0.204209016417464</v>
      </c>
      <c r="V79">
        <f t="shared" si="30"/>
        <v>0</v>
      </c>
      <c r="W79">
        <f t="shared" si="30"/>
        <v>0.33846447729937174</v>
      </c>
      <c r="X79">
        <f t="shared" si="30"/>
        <v>3.2695010500597567E-2</v>
      </c>
      <c r="Y79">
        <f t="shared" si="30"/>
        <v>0.21744384414255347</v>
      </c>
      <c r="Z79">
        <f t="shared" si="30"/>
        <v>2.021062726054371E-2</v>
      </c>
      <c r="AA79">
        <f t="shared" si="30"/>
        <v>0.10923980500491529</v>
      </c>
      <c r="AB79">
        <f t="shared" si="30"/>
        <v>1.0849438856803381E-2</v>
      </c>
      <c r="AC79">
        <f t="shared" si="30"/>
        <v>0</v>
      </c>
      <c r="AD79">
        <f t="shared" si="30"/>
        <v>3.6814050759337751</v>
      </c>
      <c r="AE79">
        <f t="shared" si="30"/>
        <v>0.35574091721872053</v>
      </c>
      <c r="AF79">
        <f t="shared" si="30"/>
        <v>2.3648819063359072</v>
      </c>
      <c r="AG79">
        <f t="shared" si="30"/>
        <v>0.21977581367703941</v>
      </c>
      <c r="AH79">
        <f t="shared" si="30"/>
        <v>1.1851344134284465</v>
      </c>
      <c r="AI79">
        <f t="shared" si="30"/>
        <v>0.11765597130943792</v>
      </c>
      <c r="AJ79">
        <f t="shared" si="30"/>
        <v>0</v>
      </c>
      <c r="AK79">
        <f t="shared" si="30"/>
        <v>3.2541768243203166</v>
      </c>
      <c r="AL79">
        <f t="shared" si="30"/>
        <v>0.3155027106859134</v>
      </c>
      <c r="AM79">
        <f t="shared" si="30"/>
        <v>2.0753312050570387</v>
      </c>
      <c r="AN79">
        <f t="shared" si="30"/>
        <v>0.1936315022825138</v>
      </c>
      <c r="AO79">
        <f t="shared" si="30"/>
        <v>1.0216209162879073</v>
      </c>
      <c r="AP79">
        <f t="shared" si="30"/>
        <v>0.10227478131865676</v>
      </c>
    </row>
    <row r="80" spans="1:42" x14ac:dyDescent="0.2">
      <c r="A80">
        <v>2027.75</v>
      </c>
      <c r="B80">
        <f t="shared" ref="B80:AP80" si="31">B34/1000</f>
        <v>5.3593716794971664</v>
      </c>
      <c r="C80">
        <f t="shared" si="31"/>
        <v>0.54625796865481069</v>
      </c>
      <c r="D80">
        <f t="shared" si="31"/>
        <v>3.3255970066263099</v>
      </c>
      <c r="E80">
        <f t="shared" si="31"/>
        <v>0.33467488097497372</v>
      </c>
      <c r="F80">
        <f t="shared" si="31"/>
        <v>1.7422307710655305</v>
      </c>
      <c r="G80">
        <f t="shared" si="31"/>
        <v>0.1773468437839669</v>
      </c>
      <c r="H80">
        <f t="shared" si="31"/>
        <v>0</v>
      </c>
      <c r="I80">
        <f t="shared" si="31"/>
        <v>0.12618713907103138</v>
      </c>
      <c r="J80">
        <f t="shared" si="31"/>
        <v>1.2861718571041708E-2</v>
      </c>
      <c r="K80">
        <f t="shared" si="31"/>
        <v>7.8301636285978304E-2</v>
      </c>
      <c r="L80">
        <f t="shared" si="31"/>
        <v>7.8799658382962146E-3</v>
      </c>
      <c r="M80">
        <f t="shared" si="31"/>
        <v>4.1021061749332358E-2</v>
      </c>
      <c r="N80">
        <f t="shared" si="31"/>
        <v>4.175655688518241E-3</v>
      </c>
      <c r="O80">
        <f t="shared" si="31"/>
        <v>0</v>
      </c>
      <c r="P80">
        <f t="shared" si="31"/>
        <v>6.7923038281362009</v>
      </c>
      <c r="Q80">
        <f t="shared" si="31"/>
        <v>0.69087767182586268</v>
      </c>
      <c r="R80">
        <f t="shared" si="31"/>
        <v>4.2201732506260354</v>
      </c>
      <c r="S80">
        <f t="shared" si="31"/>
        <v>0.42390014751934957</v>
      </c>
      <c r="T80">
        <f t="shared" si="31"/>
        <v>2.2242855526098544</v>
      </c>
      <c r="U80">
        <f t="shared" si="31"/>
        <v>0.22617879667407029</v>
      </c>
      <c r="V80">
        <f t="shared" si="31"/>
        <v>0</v>
      </c>
      <c r="W80">
        <f t="shared" si="31"/>
        <v>0.36423449312642686</v>
      </c>
      <c r="X80">
        <f t="shared" si="31"/>
        <v>3.71248732552776E-2</v>
      </c>
      <c r="Y80">
        <f t="shared" si="31"/>
        <v>0.22601476674686316</v>
      </c>
      <c r="Z80">
        <f t="shared" si="31"/>
        <v>2.2745228904427067E-2</v>
      </c>
      <c r="AA80">
        <f t="shared" si="31"/>
        <v>0.11840577212361873</v>
      </c>
      <c r="AB80">
        <f t="shared" si="31"/>
        <v>1.2052875153321213E-2</v>
      </c>
      <c r="AC80">
        <f t="shared" si="31"/>
        <v>0</v>
      </c>
      <c r="AD80">
        <f t="shared" si="31"/>
        <v>3.9641967382552097</v>
      </c>
      <c r="AE80">
        <f t="shared" si="31"/>
        <v>0.40435277142397003</v>
      </c>
      <c r="AF80">
        <f t="shared" si="31"/>
        <v>2.4589363868285594</v>
      </c>
      <c r="AG80">
        <f t="shared" si="31"/>
        <v>0.24758969695156602</v>
      </c>
      <c r="AH80">
        <f t="shared" si="31"/>
        <v>1.2857187163515529</v>
      </c>
      <c r="AI80">
        <f t="shared" si="31"/>
        <v>0.13086208468841903</v>
      </c>
      <c r="AJ80">
        <f t="shared" si="31"/>
        <v>0</v>
      </c>
      <c r="AK80">
        <f t="shared" si="31"/>
        <v>3.5008493272547523</v>
      </c>
      <c r="AL80">
        <f t="shared" si="31"/>
        <v>0.35790568554965946</v>
      </c>
      <c r="AM80">
        <f t="shared" si="31"/>
        <v>2.157372711956028</v>
      </c>
      <c r="AN80">
        <f t="shared" si="31"/>
        <v>0.21789289721662344</v>
      </c>
      <c r="AO80">
        <f t="shared" si="31"/>
        <v>1.1093582334148751</v>
      </c>
      <c r="AP80">
        <f t="shared" si="31"/>
        <v>0.11379416281133485</v>
      </c>
    </row>
    <row r="81" spans="1:42" x14ac:dyDescent="0.2">
      <c r="A81">
        <v>2028</v>
      </c>
      <c r="B81">
        <f t="shared" ref="B81:AP81" si="32">B35/1000</f>
        <v>5.8573316834817</v>
      </c>
      <c r="C81">
        <f t="shared" si="32"/>
        <v>0.61322606717121264</v>
      </c>
      <c r="D81">
        <f t="shared" si="32"/>
        <v>3.5684227582389498</v>
      </c>
      <c r="E81">
        <f t="shared" si="32"/>
        <v>0.37144678418623434</v>
      </c>
      <c r="F81">
        <f t="shared" si="32"/>
        <v>1.9791510611277432</v>
      </c>
      <c r="G81">
        <f t="shared" si="32"/>
        <v>0.19599315770366568</v>
      </c>
      <c r="H81">
        <f t="shared" si="32"/>
        <v>0</v>
      </c>
      <c r="I81">
        <f t="shared" si="32"/>
        <v>0.13791167545931621</v>
      </c>
      <c r="J81">
        <f t="shared" si="32"/>
        <v>1.4438491608287857E-2</v>
      </c>
      <c r="K81">
        <f t="shared" si="32"/>
        <v>8.4019001813357974E-2</v>
      </c>
      <c r="L81">
        <f t="shared" si="32"/>
        <v>8.7457653278477931E-3</v>
      </c>
      <c r="M81">
        <f t="shared" si="32"/>
        <v>4.6599382376953866E-2</v>
      </c>
      <c r="N81">
        <f t="shared" si="32"/>
        <v>4.6146856995825034E-3</v>
      </c>
      <c r="O81">
        <f t="shared" si="32"/>
        <v>0</v>
      </c>
      <c r="P81">
        <f t="shared" si="32"/>
        <v>7.4083956225445409</v>
      </c>
      <c r="Q81">
        <f t="shared" si="32"/>
        <v>0.77373271169441815</v>
      </c>
      <c r="R81">
        <f t="shared" si="32"/>
        <v>4.5206049155037471</v>
      </c>
      <c r="S81">
        <f t="shared" si="32"/>
        <v>0.46939550387720469</v>
      </c>
      <c r="T81">
        <f t="shared" si="32"/>
        <v>2.5174107945333133</v>
      </c>
      <c r="U81">
        <f t="shared" si="32"/>
        <v>0.24924860330505674</v>
      </c>
      <c r="V81">
        <f t="shared" si="32"/>
        <v>0</v>
      </c>
      <c r="W81">
        <f t="shared" si="32"/>
        <v>0.39807693222099566</v>
      </c>
      <c r="X81">
        <f t="shared" si="32"/>
        <v>4.1676170100778495E-2</v>
      </c>
      <c r="Y81">
        <f t="shared" si="32"/>
        <v>0.2425177301250202</v>
      </c>
      <c r="Z81">
        <f t="shared" si="32"/>
        <v>2.5244326994355425E-2</v>
      </c>
      <c r="AA81">
        <f t="shared" si="32"/>
        <v>0.13450738755967906</v>
      </c>
      <c r="AB81">
        <f t="shared" si="32"/>
        <v>1.3320118984384432E-2</v>
      </c>
      <c r="AC81">
        <f t="shared" si="32"/>
        <v>0</v>
      </c>
      <c r="AD81">
        <f t="shared" si="32"/>
        <v>4.3358788342514814</v>
      </c>
      <c r="AE81">
        <f t="shared" si="32"/>
        <v>0.4543383988283633</v>
      </c>
      <c r="AF81">
        <f t="shared" si="32"/>
        <v>2.6401838436505325</v>
      </c>
      <c r="AG81">
        <f t="shared" si="32"/>
        <v>0.27503659620044196</v>
      </c>
      <c r="AH81">
        <f t="shared" si="32"/>
        <v>1.4625582803521653</v>
      </c>
      <c r="AI81">
        <f t="shared" si="32"/>
        <v>0.14477987122714145</v>
      </c>
      <c r="AJ81">
        <f t="shared" si="32"/>
        <v>0</v>
      </c>
      <c r="AK81">
        <f t="shared" si="32"/>
        <v>3.8223920999908949</v>
      </c>
      <c r="AL81">
        <f t="shared" si="32"/>
        <v>0.40114833136363903</v>
      </c>
      <c r="AM81">
        <f t="shared" si="32"/>
        <v>2.3141701752874231</v>
      </c>
      <c r="AN81">
        <f t="shared" si="32"/>
        <v>0.24163725343544346</v>
      </c>
      <c r="AO81">
        <f t="shared" si="32"/>
        <v>1.2623424216518511</v>
      </c>
      <c r="AP81">
        <f t="shared" si="32"/>
        <v>0.1258344620945574</v>
      </c>
    </row>
    <row r="82" spans="1:42" x14ac:dyDescent="0.2">
      <c r="A82">
        <v>2028.25</v>
      </c>
      <c r="B82">
        <f t="shared" ref="B82:AP82" si="33">B36/1000</f>
        <v>6.6930845226680828</v>
      </c>
      <c r="C82">
        <f t="shared" si="33"/>
        <v>0.70287958811560303</v>
      </c>
      <c r="D82">
        <f t="shared" si="33"/>
        <v>4.1578119121414323</v>
      </c>
      <c r="E82">
        <f t="shared" si="33"/>
        <v>0.42860495405682147</v>
      </c>
      <c r="F82">
        <f t="shared" si="33"/>
        <v>2.2436198600978092</v>
      </c>
      <c r="G82">
        <f t="shared" si="33"/>
        <v>0.22144120241919565</v>
      </c>
      <c r="H82">
        <f t="shared" si="33"/>
        <v>0</v>
      </c>
      <c r="I82">
        <f t="shared" si="33"/>
        <v>0.15758959034453948</v>
      </c>
      <c r="J82">
        <f t="shared" si="33"/>
        <v>1.6549396018761372E-2</v>
      </c>
      <c r="K82">
        <f t="shared" si="33"/>
        <v>9.7896250039110441E-2</v>
      </c>
      <c r="L82">
        <f t="shared" si="33"/>
        <v>1.0091562253651255E-2</v>
      </c>
      <c r="M82">
        <f t="shared" si="33"/>
        <v>5.2826336413982981E-2</v>
      </c>
      <c r="N82">
        <f t="shared" si="33"/>
        <v>5.2138633923499694E-3</v>
      </c>
      <c r="O82">
        <f t="shared" si="33"/>
        <v>0</v>
      </c>
      <c r="P82">
        <f t="shared" si="33"/>
        <v>8.4508778958207191</v>
      </c>
      <c r="Q82">
        <f t="shared" si="33"/>
        <v>0.88556267138956934</v>
      </c>
      <c r="R82">
        <f t="shared" si="33"/>
        <v>5.255783686302463</v>
      </c>
      <c r="S82">
        <f t="shared" si="33"/>
        <v>0.54069215531425363</v>
      </c>
      <c r="T82">
        <f t="shared" si="33"/>
        <v>2.8472978398819553</v>
      </c>
      <c r="U82">
        <f t="shared" si="33"/>
        <v>0.28099140364218272</v>
      </c>
      <c r="V82">
        <f t="shared" si="33"/>
        <v>0</v>
      </c>
      <c r="W82">
        <f t="shared" si="33"/>
        <v>0.4548765031342385</v>
      </c>
      <c r="X82">
        <f t="shared" si="33"/>
        <v>4.7769217329263175E-2</v>
      </c>
      <c r="Y82">
        <f t="shared" si="33"/>
        <v>0.28257389203428823</v>
      </c>
      <c r="Z82">
        <f t="shared" si="33"/>
        <v>2.9128919867526113E-2</v>
      </c>
      <c r="AA82">
        <f t="shared" si="33"/>
        <v>0.15248125925608186</v>
      </c>
      <c r="AB82">
        <f t="shared" si="33"/>
        <v>1.5049623154337685E-2</v>
      </c>
      <c r="AC82">
        <f t="shared" si="33"/>
        <v>0</v>
      </c>
      <c r="AD82">
        <f t="shared" si="33"/>
        <v>4.9593294476615508</v>
      </c>
      <c r="AE82">
        <f t="shared" si="33"/>
        <v>0.52121767222881843</v>
      </c>
      <c r="AF82">
        <f t="shared" si="33"/>
        <v>3.0798533395932171</v>
      </c>
      <c r="AG82">
        <f t="shared" si="33"/>
        <v>0.31767515439176797</v>
      </c>
      <c r="AH82">
        <f t="shared" si="33"/>
        <v>1.6598453576012575</v>
      </c>
      <c r="AI82">
        <f t="shared" si="33"/>
        <v>0.16376347300997168</v>
      </c>
      <c r="AJ82">
        <f t="shared" si="33"/>
        <v>0</v>
      </c>
      <c r="AK82">
        <f t="shared" si="33"/>
        <v>4.3784966086073487</v>
      </c>
      <c r="AL82">
        <f t="shared" si="33"/>
        <v>0.46080320164688132</v>
      </c>
      <c r="AM82">
        <f t="shared" si="33"/>
        <v>2.7063458885448117</v>
      </c>
      <c r="AN82">
        <f t="shared" si="33"/>
        <v>0.27966992826337789</v>
      </c>
      <c r="AO82">
        <f t="shared" si="33"/>
        <v>1.4383182420137768</v>
      </c>
      <c r="AP82">
        <f t="shared" si="33"/>
        <v>0.14276742569125461</v>
      </c>
    </row>
    <row r="83" spans="1:42" x14ac:dyDescent="0.2">
      <c r="A83">
        <v>2028.5</v>
      </c>
      <c r="B83">
        <f t="shared" ref="B83:AP83" si="34">B37/1000</f>
        <v>7.7402674070489246</v>
      </c>
      <c r="C83">
        <f t="shared" si="34"/>
        <v>0.80205149638917583</v>
      </c>
      <c r="D83">
        <f t="shared" si="34"/>
        <v>4.9062357338384306</v>
      </c>
      <c r="E83">
        <f t="shared" si="34"/>
        <v>0.49298266612427005</v>
      </c>
      <c r="F83">
        <f t="shared" si="34"/>
        <v>2.5184793092496602</v>
      </c>
      <c r="G83">
        <f t="shared" si="34"/>
        <v>0.24962172090907972</v>
      </c>
      <c r="H83">
        <f t="shared" si="34"/>
        <v>0</v>
      </c>
      <c r="I83">
        <f t="shared" si="34"/>
        <v>0.18224565455626196</v>
      </c>
      <c r="J83">
        <f t="shared" si="34"/>
        <v>1.8884412160510101E-2</v>
      </c>
      <c r="K83">
        <f t="shared" si="34"/>
        <v>0.11551799126557691</v>
      </c>
      <c r="L83">
        <f t="shared" si="34"/>
        <v>1.1607344287729573E-2</v>
      </c>
      <c r="M83">
        <f t="shared" si="34"/>
        <v>5.9297939730431043E-2</v>
      </c>
      <c r="N83">
        <f t="shared" si="34"/>
        <v>5.877377553791821E-3</v>
      </c>
      <c r="O83">
        <f t="shared" si="34"/>
        <v>0</v>
      </c>
      <c r="P83">
        <f t="shared" si="34"/>
        <v>9.7676302773235086</v>
      </c>
      <c r="Q83">
        <f t="shared" si="34"/>
        <v>1.0102637607075187</v>
      </c>
      <c r="R83">
        <f t="shared" si="34"/>
        <v>6.1968693975873883</v>
      </c>
      <c r="S83">
        <f t="shared" si="34"/>
        <v>0.62164220419767757</v>
      </c>
      <c r="T83">
        <f t="shared" si="34"/>
        <v>3.1929125740868933</v>
      </c>
      <c r="U83">
        <f t="shared" si="34"/>
        <v>0.31642625020719134</v>
      </c>
      <c r="V83">
        <f t="shared" si="34"/>
        <v>0</v>
      </c>
      <c r="W83">
        <f t="shared" si="34"/>
        <v>0.52604531729995263</v>
      </c>
      <c r="X83">
        <f t="shared" si="34"/>
        <v>5.4509154751516062E-2</v>
      </c>
      <c r="Y83">
        <f t="shared" si="34"/>
        <v>0.33343839400238573</v>
      </c>
      <c r="Z83">
        <f t="shared" si="34"/>
        <v>3.350416844624126E-2</v>
      </c>
      <c r="AA83">
        <f t="shared" si="34"/>
        <v>0.17116130201665902</v>
      </c>
      <c r="AB83">
        <f t="shared" si="34"/>
        <v>1.696483215308469E-2</v>
      </c>
      <c r="AC83">
        <f t="shared" si="34"/>
        <v>0</v>
      </c>
      <c r="AD83">
        <f t="shared" si="34"/>
        <v>5.7400490476915529</v>
      </c>
      <c r="AE83">
        <f t="shared" si="34"/>
        <v>0.5951545687503218</v>
      </c>
      <c r="AF83">
        <f t="shared" si="34"/>
        <v>3.6378352885377758</v>
      </c>
      <c r="AG83">
        <f t="shared" si="34"/>
        <v>0.36567149043374064</v>
      </c>
      <c r="AH83">
        <f t="shared" si="34"/>
        <v>1.8647648252577378</v>
      </c>
      <c r="AI83">
        <f t="shared" si="34"/>
        <v>0.18477325406370684</v>
      </c>
      <c r="AJ83">
        <f t="shared" si="34"/>
        <v>0</v>
      </c>
      <c r="AK83">
        <f t="shared" si="34"/>
        <v>5.0957663404245235</v>
      </c>
      <c r="AL83">
        <f t="shared" si="34"/>
        <v>0.52873117212096044</v>
      </c>
      <c r="AM83">
        <f t="shared" si="34"/>
        <v>3.2189800825152299</v>
      </c>
      <c r="AN83">
        <f t="shared" si="34"/>
        <v>0.3237655537346863</v>
      </c>
      <c r="AO83">
        <f t="shared" si="34"/>
        <v>1.6265836981448043</v>
      </c>
      <c r="AP83">
        <f t="shared" si="34"/>
        <v>0.1620697206783038</v>
      </c>
    </row>
    <row r="84" spans="1:42" x14ac:dyDescent="0.2">
      <c r="A84">
        <v>2028.75</v>
      </c>
      <c r="B84">
        <f t="shared" ref="B84:AP84" si="35">B38/1000</f>
        <v>8.5014961025237721</v>
      </c>
      <c r="C84">
        <f t="shared" si="35"/>
        <v>0.89971003589927345</v>
      </c>
      <c r="D84">
        <f t="shared" si="35"/>
        <v>5.3262562716654465</v>
      </c>
      <c r="E84">
        <f t="shared" si="35"/>
        <v>0.54741489575142022</v>
      </c>
      <c r="F84">
        <f t="shared" si="35"/>
        <v>2.7193710281013406</v>
      </c>
      <c r="G84">
        <f t="shared" si="35"/>
        <v>0.27533740664274581</v>
      </c>
      <c r="H84">
        <f t="shared" si="35"/>
        <v>0</v>
      </c>
      <c r="I84">
        <f t="shared" si="35"/>
        <v>0.2001688882868542</v>
      </c>
      <c r="J84">
        <f t="shared" si="35"/>
        <v>2.1183795827774379E-2</v>
      </c>
      <c r="K84">
        <f t="shared" si="35"/>
        <v>0.1254074322652054</v>
      </c>
      <c r="L84">
        <f t="shared" si="35"/>
        <v>1.2888958577737529E-2</v>
      </c>
      <c r="M84">
        <f t="shared" si="35"/>
        <v>6.4027962722106424E-2</v>
      </c>
      <c r="N84">
        <f t="shared" si="35"/>
        <v>6.4828568909303707E-3</v>
      </c>
      <c r="O84">
        <f t="shared" si="35"/>
        <v>0</v>
      </c>
      <c r="P84">
        <f t="shared" si="35"/>
        <v>10.732435211643121</v>
      </c>
      <c r="Q84">
        <f t="shared" si="35"/>
        <v>1.1340392323337094</v>
      </c>
      <c r="R84">
        <f t="shared" si="35"/>
        <v>6.7292164961926231</v>
      </c>
      <c r="S84">
        <f t="shared" si="35"/>
        <v>0.69063130568909392</v>
      </c>
      <c r="T84">
        <f t="shared" si="35"/>
        <v>3.4475289893169392</v>
      </c>
      <c r="U84">
        <f t="shared" si="35"/>
        <v>0.34901911045108541</v>
      </c>
      <c r="V84">
        <f t="shared" si="35"/>
        <v>0</v>
      </c>
      <c r="W84">
        <f t="shared" si="35"/>
        <v>0.57778006619043931</v>
      </c>
      <c r="X84">
        <f t="shared" si="35"/>
        <v>6.1146240358772336E-2</v>
      </c>
      <c r="Y84">
        <f t="shared" si="35"/>
        <v>0.3619838983724924</v>
      </c>
      <c r="Z84">
        <f t="shared" si="35"/>
        <v>3.7203500523513136E-2</v>
      </c>
      <c r="AA84">
        <f t="shared" si="35"/>
        <v>0.18481433781359105</v>
      </c>
      <c r="AB84">
        <f t="shared" si="35"/>
        <v>1.8712525785611243E-2</v>
      </c>
      <c r="AC84">
        <f t="shared" si="35"/>
        <v>0</v>
      </c>
      <c r="AD84">
        <f t="shared" si="35"/>
        <v>6.307250552269875</v>
      </c>
      <c r="AE84">
        <f t="shared" si="35"/>
        <v>0.6679212299052798</v>
      </c>
      <c r="AF84">
        <f t="shared" si="35"/>
        <v>3.9507981109136061</v>
      </c>
      <c r="AG84">
        <f t="shared" si="35"/>
        <v>0.40622966004243277</v>
      </c>
      <c r="AH84">
        <f t="shared" si="35"/>
        <v>2.0144518849644402</v>
      </c>
      <c r="AI84">
        <f t="shared" si="35"/>
        <v>0.20393434944293462</v>
      </c>
      <c r="AJ84">
        <f t="shared" si="35"/>
        <v>0</v>
      </c>
      <c r="AK84">
        <f t="shared" si="35"/>
        <v>5.6319726216065176</v>
      </c>
      <c r="AL84">
        <f t="shared" si="35"/>
        <v>0.59752143529372403</v>
      </c>
      <c r="AM84">
        <f t="shared" si="35"/>
        <v>3.5148407771357824</v>
      </c>
      <c r="AN84">
        <f t="shared" si="35"/>
        <v>0.36210738661397895</v>
      </c>
      <c r="AO84">
        <f t="shared" si="35"/>
        <v>1.7680909772661251</v>
      </c>
      <c r="AP84">
        <f t="shared" si="35"/>
        <v>0.18018374120493746</v>
      </c>
    </row>
    <row r="85" spans="1:42" x14ac:dyDescent="0.2">
      <c r="A85">
        <v>2029</v>
      </c>
      <c r="B85">
        <f t="shared" ref="B85:AP85" si="36">B39/1000</f>
        <v>9.4404246795229234</v>
      </c>
      <c r="C85">
        <f t="shared" si="36"/>
        <v>0.99916497307319152</v>
      </c>
      <c r="D85">
        <f t="shared" si="36"/>
        <v>5.7755811523176543</v>
      </c>
      <c r="E85">
        <f t="shared" si="36"/>
        <v>0.60335269738605302</v>
      </c>
      <c r="F85">
        <f t="shared" si="36"/>
        <v>2.9324647357865801</v>
      </c>
      <c r="G85">
        <f t="shared" si="36"/>
        <v>0.30209076739464413</v>
      </c>
      <c r="H85">
        <f t="shared" si="36"/>
        <v>0</v>
      </c>
      <c r="I85">
        <f t="shared" si="36"/>
        <v>0.22227609002783771</v>
      </c>
      <c r="J85">
        <f t="shared" si="36"/>
        <v>2.3525475923685053E-2</v>
      </c>
      <c r="K85">
        <f t="shared" si="36"/>
        <v>0.13598684802393002</v>
      </c>
      <c r="L85">
        <f t="shared" si="36"/>
        <v>1.4206021766543916E-2</v>
      </c>
      <c r="M85">
        <f t="shared" si="36"/>
        <v>6.9045283209451663E-2</v>
      </c>
      <c r="N85">
        <f t="shared" si="36"/>
        <v>7.112768428272004E-3</v>
      </c>
      <c r="O85">
        <f t="shared" si="36"/>
        <v>0</v>
      </c>
      <c r="P85">
        <f t="shared" si="36"/>
        <v>11.931804230171871</v>
      </c>
      <c r="Q85">
        <f t="shared" si="36"/>
        <v>1.2610810258291778</v>
      </c>
      <c r="R85">
        <f t="shared" si="36"/>
        <v>7.3031753193767548</v>
      </c>
      <c r="S85">
        <f t="shared" si="36"/>
        <v>0.76208516052819952</v>
      </c>
      <c r="T85">
        <f t="shared" si="36"/>
        <v>3.7197307278750875</v>
      </c>
      <c r="U85">
        <f t="shared" si="36"/>
        <v>0.38319333074151635</v>
      </c>
      <c r="V85">
        <f t="shared" si="36"/>
        <v>0</v>
      </c>
      <c r="W85">
        <f t="shared" si="36"/>
        <v>0.64159168344279793</v>
      </c>
      <c r="X85">
        <f t="shared" si="36"/>
        <v>6.7905413037361667E-2</v>
      </c>
      <c r="Y85">
        <f t="shared" si="36"/>
        <v>0.39252098927431317</v>
      </c>
      <c r="Z85">
        <f t="shared" si="36"/>
        <v>4.100515453137786E-2</v>
      </c>
      <c r="AA85">
        <f t="shared" si="36"/>
        <v>0.19929664716789328</v>
      </c>
      <c r="AB85">
        <f t="shared" si="36"/>
        <v>2.0530742057151941E-2</v>
      </c>
      <c r="AC85">
        <f t="shared" si="36"/>
        <v>0</v>
      </c>
      <c r="AD85">
        <f t="shared" si="36"/>
        <v>7.0064575565996172</v>
      </c>
      <c r="AE85">
        <f t="shared" si="36"/>
        <v>0.74198393327876633</v>
      </c>
      <c r="AF85">
        <f t="shared" si="36"/>
        <v>4.2854040771903499</v>
      </c>
      <c r="AG85">
        <f t="shared" si="36"/>
        <v>0.4478857600567136</v>
      </c>
      <c r="AH85">
        <f t="shared" si="36"/>
        <v>2.1731397943987369</v>
      </c>
      <c r="AI85">
        <f t="shared" si="36"/>
        <v>0.22385720373167428</v>
      </c>
      <c r="AJ85">
        <f t="shared" si="36"/>
        <v>0</v>
      </c>
      <c r="AK85">
        <f t="shared" si="36"/>
        <v>6.3115002467230994</v>
      </c>
      <c r="AL85">
        <f t="shared" si="36"/>
        <v>0.66949962289975806</v>
      </c>
      <c r="AM85">
        <f t="shared" si="36"/>
        <v>3.8400291637021255</v>
      </c>
      <c r="AN85">
        <f t="shared" si="36"/>
        <v>0.40259106389272353</v>
      </c>
      <c r="AO85">
        <f t="shared" si="36"/>
        <v>1.9223125705351614</v>
      </c>
      <c r="AP85">
        <f t="shared" si="36"/>
        <v>0.19954586111583361</v>
      </c>
    </row>
    <row r="86" spans="1:42" x14ac:dyDescent="0.2">
      <c r="A86">
        <v>2029.25</v>
      </c>
      <c r="B86">
        <f t="shared" ref="B86:AP86" si="37">B40/1000</f>
        <v>10.524402165088867</v>
      </c>
      <c r="C86">
        <f t="shared" si="37"/>
        <v>1.1153361796613108</v>
      </c>
      <c r="D86">
        <f t="shared" si="37"/>
        <v>6.460573662649062</v>
      </c>
      <c r="E86">
        <f t="shared" si="37"/>
        <v>0.67457503224684123</v>
      </c>
      <c r="F86">
        <f t="shared" si="37"/>
        <v>3.1988554202001214</v>
      </c>
      <c r="G86">
        <f t="shared" si="37"/>
        <v>0.33130135352434509</v>
      </c>
      <c r="H86">
        <f t="shared" si="37"/>
        <v>0</v>
      </c>
      <c r="I86">
        <f t="shared" si="37"/>
        <v>0.24779848815600977</v>
      </c>
      <c r="J86">
        <f t="shared" si="37"/>
        <v>2.6260742868850516E-2</v>
      </c>
      <c r="K86">
        <f t="shared" si="37"/>
        <v>0.15211509035026069</v>
      </c>
      <c r="L86">
        <f t="shared" si="37"/>
        <v>1.588296138027212E-2</v>
      </c>
      <c r="M86">
        <f t="shared" si="37"/>
        <v>7.5317488302059213E-2</v>
      </c>
      <c r="N86">
        <f t="shared" si="37"/>
        <v>7.8005356731518632E-3</v>
      </c>
      <c r="O86">
        <f t="shared" si="37"/>
        <v>0</v>
      </c>
      <c r="P86">
        <f t="shared" si="37"/>
        <v>13.327178159135006</v>
      </c>
      <c r="Q86">
        <f t="shared" si="37"/>
        <v>1.41062497404561</v>
      </c>
      <c r="R86">
        <f t="shared" si="37"/>
        <v>8.1849470380508045</v>
      </c>
      <c r="S86">
        <f t="shared" si="37"/>
        <v>0.85376768211926279</v>
      </c>
      <c r="T86">
        <f t="shared" si="37"/>
        <v>4.0626480125041411</v>
      </c>
      <c r="U86">
        <f t="shared" si="37"/>
        <v>0.42079530207197824</v>
      </c>
      <c r="V86">
        <f t="shared" si="37"/>
        <v>0</v>
      </c>
      <c r="W86">
        <f t="shared" si="37"/>
        <v>0.71526113830184479</v>
      </c>
      <c r="X86">
        <f t="shared" si="37"/>
        <v>7.5800659547206078E-2</v>
      </c>
      <c r="Y86">
        <f t="shared" si="37"/>
        <v>0.4390745621027175</v>
      </c>
      <c r="Z86">
        <f t="shared" si="37"/>
        <v>4.5845578481920848E-2</v>
      </c>
      <c r="AA86">
        <f t="shared" si="37"/>
        <v>0.21740113435659891</v>
      </c>
      <c r="AB86">
        <f t="shared" si="37"/>
        <v>2.2515956681019134E-2</v>
      </c>
      <c r="AC86">
        <f t="shared" si="37"/>
        <v>0</v>
      </c>
      <c r="AD86">
        <f t="shared" si="37"/>
        <v>7.8132201778168442</v>
      </c>
      <c r="AE86">
        <f t="shared" si="37"/>
        <v>0.82844568030302901</v>
      </c>
      <c r="AF86">
        <f t="shared" si="37"/>
        <v>4.7952175747101879</v>
      </c>
      <c r="AG86">
        <f t="shared" si="37"/>
        <v>0.5008937960414287</v>
      </c>
      <c r="AH86">
        <f t="shared" si="37"/>
        <v>2.3714041031017103</v>
      </c>
      <c r="AI86">
        <f t="shared" si="37"/>
        <v>0.24559751600484411</v>
      </c>
      <c r="AJ86">
        <f t="shared" si="37"/>
        <v>0</v>
      </c>
      <c r="AK86">
        <f t="shared" si="37"/>
        <v>7.1168362246948567</v>
      </c>
      <c r="AL86">
        <f t="shared" si="37"/>
        <v>0.75580847480451507</v>
      </c>
      <c r="AM86">
        <f t="shared" si="37"/>
        <v>4.3489411296393676</v>
      </c>
      <c r="AN86">
        <f t="shared" si="37"/>
        <v>0.4555053628171134</v>
      </c>
      <c r="AO86">
        <f t="shared" si="37"/>
        <v>2.1202262774261644</v>
      </c>
      <c r="AP86">
        <f t="shared" si="37"/>
        <v>0.2212477287847999</v>
      </c>
    </row>
    <row r="87" spans="1:42" x14ac:dyDescent="0.2">
      <c r="A87">
        <v>2029.5</v>
      </c>
      <c r="B87">
        <f t="shared" ref="B87:AP87" si="38">B41/1000</f>
        <v>11.859178960452326</v>
      </c>
      <c r="C87">
        <f t="shared" si="38"/>
        <v>1.252451005678012</v>
      </c>
      <c r="D87">
        <f t="shared" si="38"/>
        <v>7.4251259456268004</v>
      </c>
      <c r="E87">
        <f t="shared" si="38"/>
        <v>0.75925711203691426</v>
      </c>
      <c r="F87">
        <f t="shared" si="38"/>
        <v>3.6353259837389045</v>
      </c>
      <c r="G87">
        <f t="shared" si="38"/>
        <v>0.36306521688646087</v>
      </c>
      <c r="H87">
        <f t="shared" si="38"/>
        <v>0</v>
      </c>
      <c r="I87">
        <f t="shared" si="38"/>
        <v>0.27922599032938339</v>
      </c>
      <c r="J87">
        <f t="shared" si="38"/>
        <v>2.9489130197436222E-2</v>
      </c>
      <c r="K87">
        <f t="shared" si="38"/>
        <v>0.1748256057524715</v>
      </c>
      <c r="L87">
        <f t="shared" si="38"/>
        <v>1.7876812528938243E-2</v>
      </c>
      <c r="M87">
        <f t="shared" si="38"/>
        <v>8.55942474065607E-2</v>
      </c>
      <c r="N87">
        <f t="shared" si="38"/>
        <v>8.548420179621586E-3</v>
      </c>
      <c r="O87">
        <f t="shared" si="38"/>
        <v>0</v>
      </c>
      <c r="P87">
        <f t="shared" si="38"/>
        <v>15.058525693932388</v>
      </c>
      <c r="Q87">
        <f t="shared" si="38"/>
        <v>1.5884774935326198</v>
      </c>
      <c r="R87">
        <f t="shared" si="38"/>
        <v>9.4360739853558506</v>
      </c>
      <c r="S87">
        <f t="shared" si="38"/>
        <v>0.96360935047560781</v>
      </c>
      <c r="T87">
        <f t="shared" si="38"/>
        <v>4.6287967774657952</v>
      </c>
      <c r="U87">
        <f t="shared" si="38"/>
        <v>0.46199641278851961</v>
      </c>
      <c r="V87">
        <f t="shared" si="38"/>
        <v>0</v>
      </c>
      <c r="W87">
        <f t="shared" si="38"/>
        <v>0.80597545680228133</v>
      </c>
      <c r="X87">
        <f t="shared" si="38"/>
        <v>8.5119279740198006E-2</v>
      </c>
      <c r="Y87">
        <f t="shared" si="38"/>
        <v>0.50462762184447008</v>
      </c>
      <c r="Z87">
        <f t="shared" si="38"/>
        <v>5.1600755814970221E-2</v>
      </c>
      <c r="AA87">
        <f t="shared" si="38"/>
        <v>0.24706461805998525</v>
      </c>
      <c r="AB87">
        <f t="shared" si="38"/>
        <v>2.4674697549038723E-2</v>
      </c>
      <c r="AC87">
        <f t="shared" si="38"/>
        <v>0</v>
      </c>
      <c r="AD87">
        <f t="shared" si="38"/>
        <v>8.8060795539643646</v>
      </c>
      <c r="AE87">
        <f t="shared" si="38"/>
        <v>0.93043707024358313</v>
      </c>
      <c r="AF87">
        <f t="shared" si="38"/>
        <v>5.5126894256335275</v>
      </c>
      <c r="AG87">
        <f t="shared" si="38"/>
        <v>0.5638836511267894</v>
      </c>
      <c r="AH87">
        <f t="shared" si="38"/>
        <v>2.6960680416172664</v>
      </c>
      <c r="AI87">
        <f t="shared" si="38"/>
        <v>0.26922472444245993</v>
      </c>
      <c r="AJ87">
        <f t="shared" si="38"/>
        <v>0</v>
      </c>
      <c r="AK87">
        <f t="shared" si="38"/>
        <v>8.1340065271290811</v>
      </c>
      <c r="AL87">
        <f t="shared" si="38"/>
        <v>0.86029720245702623</v>
      </c>
      <c r="AM87">
        <f t="shared" si="38"/>
        <v>5.0839808312569952</v>
      </c>
      <c r="AN87">
        <f t="shared" si="38"/>
        <v>0.52003757300389064</v>
      </c>
      <c r="AO87">
        <f t="shared" si="38"/>
        <v>2.452839862454431</v>
      </c>
      <c r="AP87">
        <f t="shared" si="38"/>
        <v>0.24545346761300971</v>
      </c>
    </row>
    <row r="88" spans="1:42" x14ac:dyDescent="0.2">
      <c r="A88">
        <v>2029.75</v>
      </c>
      <c r="B88">
        <f>B42/1000</f>
        <v>13.071388807328958</v>
      </c>
      <c r="C88">
        <f t="shared" ref="C88:AP88" si="39">C42/1000</f>
        <v>1.3851773356371171</v>
      </c>
      <c r="D88">
        <f t="shared" si="39"/>
        <v>8.5378616258683504</v>
      </c>
      <c r="E88">
        <f t="shared" si="39"/>
        <v>0.86896088658345028</v>
      </c>
      <c r="F88">
        <f t="shared" si="39"/>
        <v>3.9990848472348381</v>
      </c>
      <c r="G88">
        <f t="shared" si="39"/>
        <v>0.40100637236281039</v>
      </c>
      <c r="H88">
        <f t="shared" si="39"/>
        <v>0</v>
      </c>
      <c r="I88">
        <f t="shared" si="39"/>
        <v>0.30776763693998882</v>
      </c>
      <c r="J88">
        <f t="shared" si="39"/>
        <v>3.2614189786232747E-2</v>
      </c>
      <c r="K88">
        <f t="shared" si="39"/>
        <v>0.20102511950687357</v>
      </c>
      <c r="L88">
        <f t="shared" si="39"/>
        <v>2.0459802902283577E-2</v>
      </c>
      <c r="M88">
        <f t="shared" si="39"/>
        <v>9.4158999590456302E-2</v>
      </c>
      <c r="N88">
        <f t="shared" si="39"/>
        <v>9.4417498736462657E-3</v>
      </c>
      <c r="O88">
        <f t="shared" si="39"/>
        <v>0</v>
      </c>
      <c r="P88">
        <f t="shared" si="39"/>
        <v>16.642743355166971</v>
      </c>
      <c r="Q88">
        <f t="shared" si="39"/>
        <v>1.7619354113789694</v>
      </c>
      <c r="R88">
        <f t="shared" si="39"/>
        <v>10.8902904491691</v>
      </c>
      <c r="S88">
        <f t="shared" si="39"/>
        <v>1.1069794588677455</v>
      </c>
      <c r="T88">
        <f t="shared" si="39"/>
        <v>5.1041874183401434</v>
      </c>
      <c r="U88">
        <f t="shared" si="39"/>
        <v>0.51158110206336049</v>
      </c>
      <c r="V88">
        <f t="shared" si="39"/>
        <v>0</v>
      </c>
      <c r="W88">
        <f t="shared" si="39"/>
        <v>0.88835986033769709</v>
      </c>
      <c r="X88">
        <f t="shared" si="39"/>
        <v>9.4139648247597588E-2</v>
      </c>
      <c r="Y88">
        <f t="shared" si="39"/>
        <v>0.58025154582551719</v>
      </c>
      <c r="Z88">
        <f t="shared" si="39"/>
        <v>5.9056461652443007E-2</v>
      </c>
      <c r="AA88">
        <f t="shared" si="39"/>
        <v>0.27178645733315121</v>
      </c>
      <c r="AB88">
        <f t="shared" si="39"/>
        <v>2.7253260552315205E-2</v>
      </c>
      <c r="AC88">
        <f t="shared" si="39"/>
        <v>0</v>
      </c>
      <c r="AD88">
        <f t="shared" si="39"/>
        <v>9.7072600239626148</v>
      </c>
      <c r="AE88">
        <f t="shared" si="39"/>
        <v>1.0291084155736643</v>
      </c>
      <c r="AF88">
        <f t="shared" si="39"/>
        <v>6.3399188578045695</v>
      </c>
      <c r="AG88">
        <f t="shared" si="39"/>
        <v>0.6454395792205585</v>
      </c>
      <c r="AH88">
        <f t="shared" si="39"/>
        <v>2.966493483561937</v>
      </c>
      <c r="AI88">
        <f t="shared" si="39"/>
        <v>0.29743092026948753</v>
      </c>
      <c r="AJ88">
        <f t="shared" si="39"/>
        <v>0</v>
      </c>
      <c r="AK88">
        <f t="shared" si="39"/>
        <v>9.0808029043412617</v>
      </c>
      <c r="AL88">
        <f t="shared" si="39"/>
        <v>0.96396308892852789</v>
      </c>
      <c r="AM88">
        <f t="shared" si="39"/>
        <v>5.953082920768936</v>
      </c>
      <c r="AN88">
        <f t="shared" si="39"/>
        <v>0.60572169491956829</v>
      </c>
      <c r="AO88">
        <f t="shared" si="39"/>
        <v>2.7369536856709002</v>
      </c>
      <c r="AP88">
        <f t="shared" si="39"/>
        <v>0.27508740322639347</v>
      </c>
    </row>
    <row r="89" spans="1:42" x14ac:dyDescent="0.2">
      <c r="A89">
        <v>2030</v>
      </c>
      <c r="B89">
        <f t="shared" ref="B89:AP89" si="40">B43/1000</f>
        <v>14.499609730592443</v>
      </c>
      <c r="C89">
        <f t="shared" si="40"/>
        <v>1.5343630042266181</v>
      </c>
      <c r="D89">
        <f t="shared" si="40"/>
        <v>9.4081584791906732</v>
      </c>
      <c r="E89">
        <f t="shared" si="40"/>
        <v>0.95912850121502646</v>
      </c>
      <c r="F89">
        <f t="shared" si="40"/>
        <v>4.3062942064930878</v>
      </c>
      <c r="G89">
        <f t="shared" si="40"/>
        <v>0.43809868742839436</v>
      </c>
      <c r="H89">
        <f t="shared" si="40"/>
        <v>0</v>
      </c>
      <c r="I89">
        <f t="shared" si="40"/>
        <v>0.34139529388296008</v>
      </c>
      <c r="J89">
        <f t="shared" si="40"/>
        <v>3.6126786753844897E-2</v>
      </c>
      <c r="K89">
        <f t="shared" si="40"/>
        <v>0.22151637792871318</v>
      </c>
      <c r="L89">
        <f t="shared" si="40"/>
        <v>2.2582811718922586E-2</v>
      </c>
      <c r="M89">
        <f t="shared" si="40"/>
        <v>0.10139228596410828</v>
      </c>
      <c r="N89">
        <f t="shared" si="40"/>
        <v>1.0315093504123208E-2</v>
      </c>
      <c r="O89">
        <f t="shared" si="40"/>
        <v>0</v>
      </c>
      <c r="P89">
        <f t="shared" si="40"/>
        <v>18.523146653084122</v>
      </c>
      <c r="Q89">
        <f t="shared" si="40"/>
        <v>1.9583540596765052</v>
      </c>
      <c r="R89">
        <f t="shared" si="40"/>
        <v>12.03612793586184</v>
      </c>
      <c r="S89">
        <f t="shared" si="40"/>
        <v>1.2256946220170946</v>
      </c>
      <c r="T89">
        <f t="shared" si="40"/>
        <v>5.5086609020223687</v>
      </c>
      <c r="U89">
        <f t="shared" si="40"/>
        <v>0.56041704224643152</v>
      </c>
      <c r="V89">
        <f t="shared" si="40"/>
        <v>0</v>
      </c>
      <c r="W89">
        <f t="shared" si="40"/>
        <v>0.98542484391544372</v>
      </c>
      <c r="X89">
        <f t="shared" si="40"/>
        <v>0.10427862901437326</v>
      </c>
      <c r="Y89">
        <f t="shared" si="40"/>
        <v>0.63939880266759563</v>
      </c>
      <c r="Z89">
        <f t="shared" si="40"/>
        <v>6.5184447800034198E-2</v>
      </c>
      <c r="AA89">
        <f t="shared" si="40"/>
        <v>0.2926650699662689</v>
      </c>
      <c r="AB89">
        <f t="shared" si="40"/>
        <v>2.9774134525001918E-2</v>
      </c>
      <c r="AC89">
        <f t="shared" si="40"/>
        <v>0</v>
      </c>
      <c r="AD89">
        <f t="shared" si="40"/>
        <v>10.768431330929154</v>
      </c>
      <c r="AE89">
        <f t="shared" si="40"/>
        <v>1.1399536975179001</v>
      </c>
      <c r="AF89">
        <f t="shared" si="40"/>
        <v>6.9865513459903887</v>
      </c>
      <c r="AG89">
        <f t="shared" si="40"/>
        <v>0.71243431645351307</v>
      </c>
      <c r="AH89">
        <f t="shared" si="40"/>
        <v>3.1947507174158667</v>
      </c>
      <c r="AI89">
        <f t="shared" si="40"/>
        <v>0.32499059245705064</v>
      </c>
      <c r="AJ89">
        <f t="shared" si="40"/>
        <v>0</v>
      </c>
      <c r="AK89">
        <f t="shared" si="40"/>
        <v>10.223290738807554</v>
      </c>
      <c r="AL89">
        <f t="shared" si="40"/>
        <v>1.0833023372646766</v>
      </c>
      <c r="AM89">
        <f t="shared" si="40"/>
        <v>6.6492662290368649</v>
      </c>
      <c r="AN89">
        <f t="shared" si="40"/>
        <v>0.67785017385546753</v>
      </c>
      <c r="AO89">
        <f t="shared" si="40"/>
        <v>2.9827020498558601</v>
      </c>
      <c r="AP89">
        <f t="shared" si="40"/>
        <v>0.30475894634997958</v>
      </c>
    </row>
    <row r="90" spans="1:42" x14ac:dyDescent="0.2">
      <c r="A90">
        <v>2030.25</v>
      </c>
      <c r="B90">
        <f>B44/1000</f>
        <v>15.772559131608494</v>
      </c>
      <c r="C90">
        <f t="shared" ref="C90:AP90" si="41">C44/1000</f>
        <v>1.6904806467895102</v>
      </c>
      <c r="D90">
        <f t="shared" si="41"/>
        <v>10.097383150068133</v>
      </c>
      <c r="E90">
        <f t="shared" si="41"/>
        <v>1.0486504020868934</v>
      </c>
      <c r="F90">
        <f t="shared" si="41"/>
        <v>4.5954763476606724</v>
      </c>
      <c r="G90">
        <f t="shared" si="41"/>
        <v>0.47444379003404563</v>
      </c>
      <c r="H90">
        <f t="shared" si="41"/>
        <v>0</v>
      </c>
      <c r="I90">
        <f t="shared" si="41"/>
        <v>0.37136706160172167</v>
      </c>
      <c r="J90">
        <f t="shared" si="41"/>
        <v>3.9802597996586239E-2</v>
      </c>
      <c r="K90">
        <f t="shared" si="41"/>
        <v>0.23774426705383536</v>
      </c>
      <c r="L90">
        <f t="shared" si="41"/>
        <v>2.4690617116789899E-2</v>
      </c>
      <c r="M90">
        <f t="shared" si="41"/>
        <v>0.10820111902265001</v>
      </c>
      <c r="N90">
        <f t="shared" si="41"/>
        <v>1.117084391505207E-2</v>
      </c>
      <c r="O90">
        <f t="shared" si="41"/>
        <v>0</v>
      </c>
      <c r="P90">
        <f t="shared" si="41"/>
        <v>20.211422402115897</v>
      </c>
      <c r="Q90">
        <f t="shared" si="41"/>
        <v>2.1654083461426943</v>
      </c>
      <c r="R90">
        <f t="shared" si="41"/>
        <v>12.950226561108098</v>
      </c>
      <c r="S90">
        <f t="shared" si="41"/>
        <v>1.3444249141469804</v>
      </c>
      <c r="T90">
        <f t="shared" si="41"/>
        <v>5.8921947609460821</v>
      </c>
      <c r="U90">
        <f t="shared" si="41"/>
        <v>0.60862049422670295</v>
      </c>
      <c r="V90">
        <f t="shared" si="41"/>
        <v>0</v>
      </c>
      <c r="W90">
        <f t="shared" si="41"/>
        <v>1.0719372389464543</v>
      </c>
      <c r="X90">
        <f t="shared" si="41"/>
        <v>0.11488872172813756</v>
      </c>
      <c r="Y90">
        <f t="shared" si="41"/>
        <v>0.68624000228203119</v>
      </c>
      <c r="Z90">
        <f t="shared" si="41"/>
        <v>7.126854984365992E-2</v>
      </c>
      <c r="AA90">
        <f t="shared" si="41"/>
        <v>0.31231851386013826</v>
      </c>
      <c r="AB90">
        <f t="shared" si="41"/>
        <v>3.2244226322486538E-2</v>
      </c>
      <c r="AC90">
        <f t="shared" si="41"/>
        <v>0</v>
      </c>
      <c r="AD90">
        <f t="shared" si="41"/>
        <v>11.71370738289275</v>
      </c>
      <c r="AE90">
        <f t="shared" si="41"/>
        <v>1.2558846753603208</v>
      </c>
      <c r="AF90">
        <f t="shared" si="41"/>
        <v>7.4983608297632154</v>
      </c>
      <c r="AG90">
        <f t="shared" si="41"/>
        <v>0.77891214263646236</v>
      </c>
      <c r="AH90">
        <f t="shared" si="41"/>
        <v>3.409493701294946</v>
      </c>
      <c r="AI90">
        <f t="shared" si="41"/>
        <v>0.35198000387580708</v>
      </c>
      <c r="AJ90">
        <f t="shared" si="41"/>
        <v>0</v>
      </c>
      <c r="AK90">
        <f t="shared" si="41"/>
        <v>11.265476350894753</v>
      </c>
      <c r="AL90">
        <f t="shared" si="41"/>
        <v>1.2111185416968013</v>
      </c>
      <c r="AM90">
        <f t="shared" si="41"/>
        <v>7.2135463448927561</v>
      </c>
      <c r="AN90">
        <f t="shared" si="41"/>
        <v>0.75114329688210657</v>
      </c>
      <c r="AO90">
        <f t="shared" si="41"/>
        <v>3.2194604524733301</v>
      </c>
      <c r="AP90">
        <f t="shared" si="41"/>
        <v>0.33451530820946013</v>
      </c>
    </row>
    <row r="91" spans="1:42" x14ac:dyDescent="0.2">
      <c r="A91">
        <v>2030.5</v>
      </c>
      <c r="B91">
        <f t="shared" ref="B91:AP91" si="42">B45/1000</f>
        <v>17.282119631751112</v>
      </c>
      <c r="C91">
        <f t="shared" si="42"/>
        <v>1.8528303471605934</v>
      </c>
      <c r="D91">
        <f t="shared" si="42"/>
        <v>10.870724208756535</v>
      </c>
      <c r="E91">
        <f t="shared" si="42"/>
        <v>1.1496149031974465</v>
      </c>
      <c r="F91">
        <f t="shared" si="42"/>
        <v>5.0964187623812176</v>
      </c>
      <c r="G91">
        <f t="shared" si="42"/>
        <v>0.51477541034518304</v>
      </c>
      <c r="H91">
        <f t="shared" si="42"/>
        <v>0</v>
      </c>
      <c r="I91">
        <f t="shared" si="42"/>
        <v>0.4069098700052442</v>
      </c>
      <c r="J91">
        <f t="shared" si="42"/>
        <v>4.3625143892635804E-2</v>
      </c>
      <c r="K91">
        <f t="shared" si="42"/>
        <v>0.25595268803261845</v>
      </c>
      <c r="L91">
        <f t="shared" si="42"/>
        <v>2.706784010201678E-2</v>
      </c>
      <c r="M91">
        <f t="shared" si="42"/>
        <v>0.11999587667954954</v>
      </c>
      <c r="N91">
        <f t="shared" si="42"/>
        <v>1.2120457430500404E-2</v>
      </c>
      <c r="O91">
        <f t="shared" si="42"/>
        <v>0</v>
      </c>
      <c r="P91">
        <f t="shared" si="42"/>
        <v>22.228015834766151</v>
      </c>
      <c r="Q91">
        <f t="shared" si="42"/>
        <v>2.3822882522677764</v>
      </c>
      <c r="R91">
        <f t="shared" si="42"/>
        <v>13.983318311986906</v>
      </c>
      <c r="S91">
        <f t="shared" si="42"/>
        <v>1.4793014890514737</v>
      </c>
      <c r="T91">
        <f t="shared" si="42"/>
        <v>6.561394295225079</v>
      </c>
      <c r="U91">
        <f t="shared" si="42"/>
        <v>0.66249874596944469</v>
      </c>
      <c r="V91">
        <f t="shared" si="42"/>
        <v>0</v>
      </c>
      <c r="W91">
        <f t="shared" si="42"/>
        <v>1.1745302361286742</v>
      </c>
      <c r="X91">
        <f t="shared" si="42"/>
        <v>0.1259223585721933</v>
      </c>
      <c r="Y91">
        <f t="shared" si="42"/>
        <v>0.73879793357886792</v>
      </c>
      <c r="Z91">
        <f t="shared" si="42"/>
        <v>7.8130315752982932E-2</v>
      </c>
      <c r="AA91">
        <f t="shared" si="42"/>
        <v>0.34636364404009712</v>
      </c>
      <c r="AB91">
        <f t="shared" si="42"/>
        <v>3.4985250487164915E-2</v>
      </c>
      <c r="AC91">
        <f t="shared" si="42"/>
        <v>0</v>
      </c>
      <c r="AD91">
        <f t="shared" si="42"/>
        <v>12.834065069664939</v>
      </c>
      <c r="AE91">
        <f t="shared" si="42"/>
        <v>1.3763765236424668</v>
      </c>
      <c r="AF91">
        <f t="shared" si="42"/>
        <v>8.0723150366441168</v>
      </c>
      <c r="AG91">
        <f t="shared" si="42"/>
        <v>0.85384544600498613</v>
      </c>
      <c r="AH91">
        <f t="shared" si="42"/>
        <v>3.7812805126942641</v>
      </c>
      <c r="AI91">
        <f t="shared" si="42"/>
        <v>0.38191311409649126</v>
      </c>
      <c r="AJ91">
        <f t="shared" si="42"/>
        <v>0</v>
      </c>
      <c r="AK91">
        <f t="shared" si="42"/>
        <v>12.5295661210513</v>
      </c>
      <c r="AL91">
        <f t="shared" si="42"/>
        <v>1.3470684393045338</v>
      </c>
      <c r="AM91">
        <f t="shared" si="42"/>
        <v>7.8611338520100151</v>
      </c>
      <c r="AN91">
        <f t="shared" si="42"/>
        <v>0.83568988709213887</v>
      </c>
      <c r="AO91">
        <f t="shared" si="42"/>
        <v>3.6389442570813153</v>
      </c>
      <c r="AP91">
        <f t="shared" si="42"/>
        <v>0.36828857443120483</v>
      </c>
    </row>
    <row r="92" spans="1:42" x14ac:dyDescent="0.2">
      <c r="A92">
        <v>2030.75</v>
      </c>
      <c r="B92">
        <f t="shared" ref="B92:AP92" si="43">B46/1000</f>
        <v>18.899714652155637</v>
      </c>
      <c r="C92">
        <f t="shared" si="43"/>
        <v>2.0232815612706587</v>
      </c>
      <c r="D92">
        <f t="shared" si="43"/>
        <v>11.868216361130767</v>
      </c>
      <c r="E92">
        <f t="shared" si="43"/>
        <v>1.2537137492722312</v>
      </c>
      <c r="F92">
        <f t="shared" si="43"/>
        <v>5.4518276936025032</v>
      </c>
      <c r="G92">
        <f t="shared" si="43"/>
        <v>0.55693007584929088</v>
      </c>
      <c r="H92">
        <f t="shared" si="43"/>
        <v>0</v>
      </c>
      <c r="I92">
        <f t="shared" si="43"/>
        <v>0.44499636596171521</v>
      </c>
      <c r="J92">
        <f t="shared" si="43"/>
        <v>4.7638441037526298E-2</v>
      </c>
      <c r="K92">
        <f t="shared" si="43"/>
        <v>0.27943877716419341</v>
      </c>
      <c r="L92">
        <f t="shared" si="43"/>
        <v>2.9518861668038344E-2</v>
      </c>
      <c r="M92">
        <f t="shared" si="43"/>
        <v>0.12836402856621151</v>
      </c>
      <c r="N92">
        <f t="shared" si="43"/>
        <v>1.3112994794312939E-2</v>
      </c>
      <c r="O92">
        <f t="shared" si="43"/>
        <v>0</v>
      </c>
      <c r="P92">
        <f t="shared" si="43"/>
        <v>24.404387369453826</v>
      </c>
      <c r="Q92">
        <f t="shared" si="43"/>
        <v>2.6116195532193149</v>
      </c>
      <c r="R92">
        <f t="shared" si="43"/>
        <v>15.325380755996356</v>
      </c>
      <c r="S92">
        <f t="shared" si="43"/>
        <v>1.6193598859512974</v>
      </c>
      <c r="T92">
        <f t="shared" si="43"/>
        <v>7.0395744771165516</v>
      </c>
      <c r="U92">
        <f t="shared" si="43"/>
        <v>0.71921517554554326</v>
      </c>
      <c r="V92">
        <f t="shared" si="43"/>
        <v>0</v>
      </c>
      <c r="W92">
        <f t="shared" si="43"/>
        <v>1.2844654930161299</v>
      </c>
      <c r="X92">
        <f t="shared" si="43"/>
        <v>0.13750659181574185</v>
      </c>
      <c r="Y92">
        <f t="shared" si="43"/>
        <v>0.80658965810275918</v>
      </c>
      <c r="Z92">
        <f t="shared" si="43"/>
        <v>8.5205098526521153E-2</v>
      </c>
      <c r="AA92">
        <f t="shared" si="43"/>
        <v>0.37051800385268918</v>
      </c>
      <c r="AB92">
        <f t="shared" si="43"/>
        <v>3.7850172746903277E-2</v>
      </c>
      <c r="AC92">
        <f t="shared" si="43"/>
        <v>0</v>
      </c>
      <c r="AD92">
        <f t="shared" si="43"/>
        <v>14.03393972632149</v>
      </c>
      <c r="AE92">
        <f t="shared" si="43"/>
        <v>1.5028111932768109</v>
      </c>
      <c r="AF92">
        <f t="shared" si="43"/>
        <v>8.8122193629743997</v>
      </c>
      <c r="AG92">
        <f t="shared" si="43"/>
        <v>0.93106228063711127</v>
      </c>
      <c r="AH92">
        <f t="shared" si="43"/>
        <v>4.0449102617615962</v>
      </c>
      <c r="AI92">
        <f t="shared" si="43"/>
        <v>0.41318195095626609</v>
      </c>
      <c r="AJ92">
        <f t="shared" si="43"/>
        <v>0</v>
      </c>
      <c r="AK92">
        <f t="shared" si="43"/>
        <v>13.914154327516171</v>
      </c>
      <c r="AL92">
        <f t="shared" si="43"/>
        <v>1.4929669725328292</v>
      </c>
      <c r="AM92">
        <f t="shared" si="43"/>
        <v>8.7149420381116478</v>
      </c>
      <c r="AN92">
        <f t="shared" si="43"/>
        <v>0.92479379305353582</v>
      </c>
      <c r="AO92">
        <f t="shared" si="43"/>
        <v>3.9431582342721043</v>
      </c>
      <c r="AP92">
        <f t="shared" si="43"/>
        <v>0.40437106230252823</v>
      </c>
    </row>
    <row r="96" spans="1:42" x14ac:dyDescent="0.2">
      <c r="A96" t="s">
        <v>53</v>
      </c>
    </row>
    <row r="97" spans="2:42" x14ac:dyDescent="0.2">
      <c r="B97">
        <v>-1.6830000000000001E-2</v>
      </c>
      <c r="C97">
        <v>-1.9300000000000001E-3</v>
      </c>
      <c r="D97">
        <v>-6.8100000000000001E-3</v>
      </c>
      <c r="E97">
        <v>-1.08E-3</v>
      </c>
      <c r="F97">
        <v>3.7200000000000002E-3</v>
      </c>
      <c r="G97" s="5">
        <v>-3.0457999999999999E-4</v>
      </c>
      <c r="I97" s="5">
        <v>-3.9631300000000003E-4</v>
      </c>
      <c r="J97" s="5">
        <v>-4.5420000000000002E-5</v>
      </c>
      <c r="K97" s="5">
        <v>-1.6035999999999999E-4</v>
      </c>
      <c r="L97" s="5">
        <v>-2.5384999999999998E-5</v>
      </c>
      <c r="M97" s="5">
        <v>8.76395E-5</v>
      </c>
      <c r="N97" s="5">
        <v>-7.17132E-6</v>
      </c>
      <c r="P97">
        <v>-2.1440000000000001E-2</v>
      </c>
      <c r="Q97">
        <v>-2.49E-3</v>
      </c>
      <c r="R97">
        <v>-8.2100000000000003E-3</v>
      </c>
      <c r="S97">
        <v>-1.3699999999999999E-3</v>
      </c>
      <c r="T97">
        <v>5.6899999999999997E-3</v>
      </c>
      <c r="U97" s="5">
        <v>-3.4899200000000001E-4</v>
      </c>
      <c r="W97">
        <v>-1.14E-3</v>
      </c>
      <c r="X97" s="5">
        <v>-1.3110300000000001E-4</v>
      </c>
      <c r="Y97" s="5">
        <v>-4.62874E-4</v>
      </c>
      <c r="Z97" s="5">
        <v>-7.3273000000000001E-5</v>
      </c>
      <c r="AA97" s="5">
        <v>2.5296800000000001E-4</v>
      </c>
      <c r="AB97" s="5">
        <v>-2.0699900000000001E-5</v>
      </c>
      <c r="AD97">
        <v>-1.209E-2</v>
      </c>
      <c r="AE97">
        <v>-1.39E-3</v>
      </c>
      <c r="AF97">
        <v>-4.8599999999999997E-3</v>
      </c>
      <c r="AG97" s="5">
        <v>-7.7300299999999997E-4</v>
      </c>
      <c r="AH97">
        <v>2.7399999999999998E-3</v>
      </c>
      <c r="AI97" s="5">
        <v>-2.1446599999999999E-4</v>
      </c>
      <c r="AK97">
        <v>-1.2460000000000001E-2</v>
      </c>
      <c r="AL97">
        <v>-1.34E-3</v>
      </c>
      <c r="AM97">
        <v>-6.2100000000000002E-3</v>
      </c>
      <c r="AN97" s="5">
        <v>-8.0753200000000002E-4</v>
      </c>
      <c r="AO97" s="5">
        <v>3.6239699999999998E-4</v>
      </c>
      <c r="AP97" s="5">
        <v>-8.0753200000000002E-4</v>
      </c>
    </row>
    <row r="98" spans="2:42" x14ac:dyDescent="0.2">
      <c r="B98" s="5">
        <v>3.43982E-4</v>
      </c>
      <c r="C98" s="5">
        <v>-4.7201399999999998E-5</v>
      </c>
      <c r="D98" s="5">
        <v>8.4961800000000001E-4</v>
      </c>
      <c r="E98" s="5">
        <v>1.7259099999999999E-5</v>
      </c>
      <c r="F98">
        <v>2.7000000000000001E-3</v>
      </c>
      <c r="G98" s="5">
        <v>1.5683799999999999E-4</v>
      </c>
      <c r="I98" s="5">
        <v>8.0991000000000001E-6</v>
      </c>
      <c r="J98" s="5">
        <v>-1.11136E-6</v>
      </c>
      <c r="K98" s="5">
        <v>2.0004400000000001E-5</v>
      </c>
      <c r="L98" s="5">
        <v>4.0637200000000001E-7</v>
      </c>
      <c r="M98" s="5">
        <v>6.3678799999999998E-5</v>
      </c>
      <c r="N98" s="5">
        <v>3.6927900000000002E-6</v>
      </c>
      <c r="P98" s="5">
        <v>6.5816599999999996E-4</v>
      </c>
      <c r="Q98" s="5">
        <v>-4.7417799999999999E-5</v>
      </c>
      <c r="R98">
        <v>1.31E-3</v>
      </c>
      <c r="S98" s="5">
        <v>3.6321600000000001E-5</v>
      </c>
      <c r="T98">
        <v>3.7499999999999999E-3</v>
      </c>
      <c r="U98" s="5">
        <v>2.2106099999999999E-4</v>
      </c>
      <c r="W98" s="5">
        <v>2.3377799999999998E-5</v>
      </c>
      <c r="X98" s="5">
        <v>-3.2078999999999998E-6</v>
      </c>
      <c r="Y98" s="5">
        <v>5.7741800000000003E-5</v>
      </c>
      <c r="Z98" s="5">
        <v>1.17296E-6</v>
      </c>
      <c r="AA98" s="5">
        <v>1.83807E-4</v>
      </c>
      <c r="AB98" s="5">
        <v>1.0659099999999999E-5</v>
      </c>
      <c r="AD98" s="5">
        <v>2.5488300000000002E-4</v>
      </c>
      <c r="AE98" s="5">
        <v>-3.3234800000000002E-5</v>
      </c>
      <c r="AF98" s="5">
        <v>6.15235E-4</v>
      </c>
      <c r="AG98" s="5">
        <v>1.29485E-5</v>
      </c>
      <c r="AH98">
        <v>1.9499999999999999E-3</v>
      </c>
      <c r="AI98" s="5">
        <v>1.1370300000000001E-4</v>
      </c>
      <c r="AK98" s="5">
        <v>-2.3595199999999999E-4</v>
      </c>
      <c r="AL98" s="5">
        <v>-6.4753799999999997E-5</v>
      </c>
      <c r="AM98" s="5">
        <v>1.4593200000000001E-4</v>
      </c>
      <c r="AN98" s="5">
        <v>-1.95001E-5</v>
      </c>
      <c r="AO98">
        <v>1.31E-3</v>
      </c>
      <c r="AP98" s="5">
        <v>-1.95001E-5</v>
      </c>
    </row>
    <row r="99" spans="2:42" x14ac:dyDescent="0.2">
      <c r="B99">
        <v>1.0149999999999999E-2</v>
      </c>
      <c r="C99">
        <v>1.0499999999999999E-3</v>
      </c>
      <c r="D99">
        <v>5.0000000000000001E-3</v>
      </c>
      <c r="E99" s="5">
        <v>6.4095099999999996E-4</v>
      </c>
      <c r="F99">
        <v>1.2099999999999999E-3</v>
      </c>
      <c r="G99" s="5">
        <v>3.6647999999999997E-4</v>
      </c>
      <c r="I99" s="5">
        <v>2.3888800000000001E-4</v>
      </c>
      <c r="J99" s="5">
        <v>2.47539E-5</v>
      </c>
      <c r="K99" s="5">
        <v>1.17775E-4</v>
      </c>
      <c r="L99" s="5">
        <v>1.5091300000000001E-5</v>
      </c>
      <c r="M99" s="5">
        <v>2.8571299999999999E-5</v>
      </c>
      <c r="N99" s="5">
        <v>8.6288200000000008E-6</v>
      </c>
      <c r="P99">
        <v>1.3089999999999999E-2</v>
      </c>
      <c r="Q99">
        <v>1.3699999999999999E-3</v>
      </c>
      <c r="R99">
        <v>6.28E-3</v>
      </c>
      <c r="S99" s="5">
        <v>8.27245E-4</v>
      </c>
      <c r="T99">
        <v>1.2800000000000001E-3</v>
      </c>
      <c r="U99" s="5">
        <v>4.6376000000000002E-4</v>
      </c>
      <c r="W99" s="5">
        <v>6.8954300000000004E-4</v>
      </c>
      <c r="X99" s="5">
        <v>7.1451299999999998E-5</v>
      </c>
      <c r="Y99" s="5">
        <v>3.3995199999999997E-4</v>
      </c>
      <c r="Z99" s="5">
        <v>4.3560399999999997E-5</v>
      </c>
      <c r="AA99" s="5">
        <v>8.2470200000000002E-5</v>
      </c>
      <c r="AB99" s="5">
        <v>2.49068E-5</v>
      </c>
      <c r="AD99">
        <v>7.3299999999999997E-3</v>
      </c>
      <c r="AE99" s="5">
        <v>7.5873300000000004E-4</v>
      </c>
      <c r="AF99">
        <v>3.6099999999999999E-3</v>
      </c>
      <c r="AG99" s="5">
        <v>4.6225599999999997E-4</v>
      </c>
      <c r="AH99" s="5">
        <v>8.7675600000000002E-4</v>
      </c>
      <c r="AI99" s="5">
        <v>2.6413599999999999E-4</v>
      </c>
      <c r="AK99">
        <v>6.8599999999999998E-3</v>
      </c>
      <c r="AL99" s="5">
        <v>6.8926100000000004E-4</v>
      </c>
      <c r="AM99">
        <v>3.7299999999999998E-3</v>
      </c>
      <c r="AN99" s="5">
        <v>4.38095E-4</v>
      </c>
      <c r="AO99">
        <v>1.3799999999999999E-3</v>
      </c>
      <c r="AP99" s="5">
        <v>4.38095E-4</v>
      </c>
    </row>
    <row r="100" spans="2:42" x14ac:dyDescent="0.2">
      <c r="B100">
        <v>1.422E-2</v>
      </c>
      <c r="C100">
        <v>1.5200000000000001E-3</v>
      </c>
      <c r="D100">
        <v>6.6299999999999996E-3</v>
      </c>
      <c r="E100" s="5">
        <v>8.9888999999999995E-4</v>
      </c>
      <c r="F100" s="5">
        <v>-2.03599E-4</v>
      </c>
      <c r="G100" s="5">
        <v>3.9964699999999999E-4</v>
      </c>
      <c r="I100" s="5">
        <v>3.3475600000000002E-4</v>
      </c>
      <c r="J100" s="5">
        <v>3.5893799999999998E-5</v>
      </c>
      <c r="K100" s="5">
        <v>1.5618699999999999E-4</v>
      </c>
      <c r="L100" s="5">
        <v>2.11645E-5</v>
      </c>
      <c r="M100" s="5">
        <v>-4.7937999999999997E-6</v>
      </c>
      <c r="N100" s="5">
        <v>9.4097099999999997E-6</v>
      </c>
      <c r="P100">
        <v>1.8030000000000001E-2</v>
      </c>
      <c r="Q100">
        <v>1.97E-3</v>
      </c>
      <c r="R100">
        <v>8.0099999999999998E-3</v>
      </c>
      <c r="S100">
        <v>1.14E-3</v>
      </c>
      <c r="T100">
        <v>-1.0200000000000001E-3</v>
      </c>
      <c r="U100" s="5">
        <v>4.7863099999999998E-4</v>
      </c>
      <c r="W100" s="5">
        <v>9.6626199999999996E-4</v>
      </c>
      <c r="X100" s="5">
        <v>1.03606E-4</v>
      </c>
      <c r="Y100" s="5">
        <v>4.5082899999999998E-4</v>
      </c>
      <c r="Z100" s="5">
        <v>6.1090499999999994E-5</v>
      </c>
      <c r="AA100" s="5">
        <v>-1.3837E-5</v>
      </c>
      <c r="AB100" s="5">
        <v>2.7160799999999999E-5</v>
      </c>
      <c r="AD100">
        <v>1.031E-2</v>
      </c>
      <c r="AE100">
        <v>1.1000000000000001E-3</v>
      </c>
      <c r="AF100">
        <v>4.8399999999999997E-3</v>
      </c>
      <c r="AG100" s="5">
        <v>6.5102900000000002E-4</v>
      </c>
      <c r="AH100" s="5">
        <v>-9.5160000000000004E-5</v>
      </c>
      <c r="AI100" s="5">
        <v>2.9079399999999998E-4</v>
      </c>
      <c r="AK100">
        <v>9.8899999999999995E-3</v>
      </c>
      <c r="AL100">
        <v>1.0200000000000001E-3</v>
      </c>
      <c r="AM100">
        <v>5.2100000000000002E-3</v>
      </c>
      <c r="AN100" s="5">
        <v>6.3350600000000004E-4</v>
      </c>
      <c r="AO100" s="5">
        <v>9.5748000000000003E-4</v>
      </c>
      <c r="AP100" s="5">
        <v>6.3350600000000004E-4</v>
      </c>
    </row>
    <row r="101" spans="2:42" x14ac:dyDescent="0.2">
      <c r="B101">
        <v>1.4200000000000001E-2</v>
      </c>
      <c r="C101">
        <v>1.5299999999999999E-3</v>
      </c>
      <c r="D101">
        <v>6.7299999999999999E-3</v>
      </c>
      <c r="E101" s="5">
        <v>8.97034E-4</v>
      </c>
      <c r="F101" s="5">
        <v>-9.9924400000000004E-4</v>
      </c>
      <c r="G101" s="5">
        <v>3.3163700000000002E-4</v>
      </c>
      <c r="I101" s="5">
        <v>3.3440400000000001E-4</v>
      </c>
      <c r="J101" s="5">
        <v>3.6026299999999998E-5</v>
      </c>
      <c r="K101" s="5">
        <v>1.5847800000000001E-4</v>
      </c>
      <c r="L101" s="5">
        <v>2.1120799999999999E-5</v>
      </c>
      <c r="M101" s="5">
        <v>-2.3527400000000001E-5</v>
      </c>
      <c r="N101" s="5">
        <v>7.8083999999999996E-6</v>
      </c>
      <c r="P101">
        <v>1.7649999999999999E-2</v>
      </c>
      <c r="Q101">
        <v>1.9499999999999999E-3</v>
      </c>
      <c r="R101">
        <v>7.79E-3</v>
      </c>
      <c r="S101">
        <v>1.1100000000000001E-3</v>
      </c>
      <c r="T101">
        <v>-2.4099999999999998E-3</v>
      </c>
      <c r="U101" s="5">
        <v>3.6519999999999999E-4</v>
      </c>
      <c r="W101" s="5">
        <v>9.6524600000000001E-4</v>
      </c>
      <c r="X101" s="5">
        <v>1.0398799999999999E-4</v>
      </c>
      <c r="Y101" s="5">
        <v>4.5744200000000002E-4</v>
      </c>
      <c r="Z101" s="5">
        <v>6.0964300000000002E-5</v>
      </c>
      <c r="AA101" s="5">
        <v>-6.79107E-5</v>
      </c>
      <c r="AB101" s="5">
        <v>2.2538700000000002E-5</v>
      </c>
      <c r="AD101">
        <v>1.04E-2</v>
      </c>
      <c r="AE101">
        <v>1.1100000000000001E-3</v>
      </c>
      <c r="AF101">
        <v>5.0000000000000001E-3</v>
      </c>
      <c r="AG101" s="5">
        <v>6.5537899999999999E-4</v>
      </c>
      <c r="AH101" s="5">
        <v>-5.7335700000000003E-4</v>
      </c>
      <c r="AI101" s="5">
        <v>2.47641E-4</v>
      </c>
      <c r="AK101">
        <v>9.9100000000000004E-3</v>
      </c>
      <c r="AL101">
        <v>1.0300000000000001E-3</v>
      </c>
      <c r="AM101">
        <v>5.2500000000000003E-3</v>
      </c>
      <c r="AN101" s="5">
        <v>6.3498500000000002E-4</v>
      </c>
      <c r="AO101" s="5">
        <v>4.2651899999999999E-4</v>
      </c>
      <c r="AP101" s="5">
        <v>6.3498500000000002E-4</v>
      </c>
    </row>
    <row r="102" spans="2:42" x14ac:dyDescent="0.2">
      <c r="B102">
        <v>1.174E-2</v>
      </c>
      <c r="C102">
        <v>1.23E-3</v>
      </c>
      <c r="D102">
        <v>6.28E-3</v>
      </c>
      <c r="E102" s="5">
        <v>7.4133999999999995E-4</v>
      </c>
      <c r="F102" s="5">
        <v>-6.26039E-4</v>
      </c>
      <c r="G102" s="5">
        <v>2.3775000000000001E-4</v>
      </c>
      <c r="I102" s="5">
        <v>2.7653399999999999E-4</v>
      </c>
      <c r="J102" s="5">
        <v>2.8869100000000001E-5</v>
      </c>
      <c r="K102" s="5">
        <v>1.47885E-4</v>
      </c>
      <c r="L102" s="5">
        <v>1.7454900000000001E-5</v>
      </c>
      <c r="M102" s="5">
        <v>-1.47402E-5</v>
      </c>
      <c r="N102" s="5">
        <v>5.5978099999999999E-6</v>
      </c>
      <c r="P102">
        <v>1.413E-2</v>
      </c>
      <c r="Q102">
        <v>1.5299999999999999E-3</v>
      </c>
      <c r="R102">
        <v>6.94E-3</v>
      </c>
      <c r="S102" s="5">
        <v>8.91649E-4</v>
      </c>
      <c r="T102">
        <v>-2.1800000000000001E-3</v>
      </c>
      <c r="U102" s="5">
        <v>2.22995E-4</v>
      </c>
      <c r="W102" s="5">
        <v>7.9820399999999995E-4</v>
      </c>
      <c r="X102" s="5">
        <v>8.3329600000000003E-5</v>
      </c>
      <c r="Y102" s="5">
        <v>4.26864E-4</v>
      </c>
      <c r="Z102" s="5">
        <v>5.0383100000000002E-5</v>
      </c>
      <c r="AA102" s="5">
        <v>-4.2546799999999997E-5</v>
      </c>
      <c r="AB102" s="5">
        <v>1.6158E-5</v>
      </c>
      <c r="AD102">
        <v>8.7500000000000008E-3</v>
      </c>
      <c r="AE102" s="5">
        <v>9.01069E-4</v>
      </c>
      <c r="AF102">
        <v>4.81E-3</v>
      </c>
      <c r="AG102" s="5">
        <v>5.5141599999999999E-4</v>
      </c>
      <c r="AH102" s="5">
        <v>-1.68634E-4</v>
      </c>
      <c r="AI102" s="5">
        <v>1.8864000000000001E-4</v>
      </c>
      <c r="AK102">
        <v>7.9600000000000001E-3</v>
      </c>
      <c r="AL102" s="5">
        <v>8.1835299999999996E-4</v>
      </c>
      <c r="AM102">
        <v>4.4900000000000001E-3</v>
      </c>
      <c r="AN102" s="5">
        <v>5.1078400000000002E-4</v>
      </c>
      <c r="AO102" s="5">
        <v>1.72573E-4</v>
      </c>
      <c r="AP102" s="5">
        <v>5.1078400000000002E-4</v>
      </c>
    </row>
    <row r="103" spans="2:42" x14ac:dyDescent="0.2">
      <c r="B103">
        <v>8.4899999999999993E-3</v>
      </c>
      <c r="C103" s="5">
        <v>7.7044799999999997E-4</v>
      </c>
      <c r="D103">
        <v>6.2700000000000004E-3</v>
      </c>
      <c r="E103" s="5">
        <v>5.3776799999999999E-4</v>
      </c>
      <c r="F103">
        <v>1.4599999999999999E-3</v>
      </c>
      <c r="G103" s="5">
        <v>1.9328499999999999E-4</v>
      </c>
      <c r="I103" s="5">
        <v>1.9984500000000001E-4</v>
      </c>
      <c r="J103" s="5">
        <v>1.81403E-5</v>
      </c>
      <c r="K103" s="5">
        <v>1.4764300000000001E-4</v>
      </c>
      <c r="L103" s="5">
        <v>1.26618E-5</v>
      </c>
      <c r="M103" s="5">
        <v>3.4456899999999999E-5</v>
      </c>
      <c r="N103" s="5">
        <v>4.5508800000000002E-6</v>
      </c>
      <c r="P103">
        <v>9.6299999999999997E-3</v>
      </c>
      <c r="Q103" s="5">
        <v>9.1419299999999999E-4</v>
      </c>
      <c r="R103">
        <v>6.7400000000000003E-3</v>
      </c>
      <c r="S103" s="5">
        <v>6.1043800000000004E-4</v>
      </c>
      <c r="T103" s="5">
        <v>3.9796699999999999E-4</v>
      </c>
      <c r="U103" s="5">
        <v>1.5154099999999999E-4</v>
      </c>
      <c r="W103" s="5">
        <v>5.76846E-4</v>
      </c>
      <c r="X103" s="5">
        <v>5.2361300000000003E-5</v>
      </c>
      <c r="Y103" s="5">
        <v>4.2616600000000001E-4</v>
      </c>
      <c r="Z103" s="5">
        <v>3.6547900000000003E-5</v>
      </c>
      <c r="AA103" s="5">
        <v>9.9458799999999997E-5</v>
      </c>
      <c r="AB103" s="5">
        <v>1.3135999999999999E-5</v>
      </c>
      <c r="AD103">
        <v>6.5700000000000003E-3</v>
      </c>
      <c r="AE103" s="5">
        <v>5.8281399999999997E-4</v>
      </c>
      <c r="AF103">
        <v>4.9800000000000001E-3</v>
      </c>
      <c r="AG103" s="5">
        <v>4.15251E-4</v>
      </c>
      <c r="AH103">
        <v>1.5100000000000001E-3</v>
      </c>
      <c r="AI103" s="5">
        <v>1.6775500000000001E-4</v>
      </c>
      <c r="AK103">
        <v>5.1000000000000004E-3</v>
      </c>
      <c r="AL103" s="5">
        <v>4.8324099999999998E-4</v>
      </c>
      <c r="AM103">
        <v>3.5899999999999999E-3</v>
      </c>
      <c r="AN103" s="5">
        <v>3.2915599999999999E-4</v>
      </c>
      <c r="AO103" s="5">
        <v>5.80647E-4</v>
      </c>
      <c r="AP103" s="5">
        <v>3.2915599999999999E-4</v>
      </c>
    </row>
    <row r="104" spans="2:42" x14ac:dyDescent="0.2">
      <c r="B104">
        <v>6.0800000000000003E-3</v>
      </c>
      <c r="C104" s="5">
        <v>3.2098800000000002E-4</v>
      </c>
      <c r="D104">
        <v>7.6899999999999998E-3</v>
      </c>
      <c r="E104" s="5">
        <v>3.92276E-4</v>
      </c>
      <c r="F104">
        <v>5.8199999999999997E-3</v>
      </c>
      <c r="G104" s="5">
        <v>2.7354300000000001E-4</v>
      </c>
      <c r="I104" s="5">
        <v>1.43041E-4</v>
      </c>
      <c r="J104" s="5">
        <v>7.5576899999999998E-6</v>
      </c>
      <c r="K104" s="5">
        <v>1.80989E-4</v>
      </c>
      <c r="L104" s="5">
        <v>9.2361800000000001E-6</v>
      </c>
      <c r="M104" s="5">
        <v>1.3695299999999999E-4</v>
      </c>
      <c r="N104" s="5">
        <v>6.4405499999999997E-6</v>
      </c>
      <c r="P104">
        <v>6.3299999999999997E-3</v>
      </c>
      <c r="Q104" s="5">
        <v>3.1293599999999999E-4</v>
      </c>
      <c r="R104">
        <v>8.5100000000000002E-3</v>
      </c>
      <c r="S104" s="5">
        <v>4.1127699999999999E-4</v>
      </c>
      <c r="T104">
        <v>6.0400000000000002E-3</v>
      </c>
      <c r="U104" s="5">
        <v>2.5036399999999999E-4</v>
      </c>
      <c r="W104" s="5">
        <v>4.1288300000000001E-4</v>
      </c>
      <c r="X104" s="5">
        <v>2.1815E-5</v>
      </c>
      <c r="Y104" s="5">
        <v>5.2241899999999999E-4</v>
      </c>
      <c r="Z104" s="5">
        <v>2.6659899999999999E-5</v>
      </c>
      <c r="AA104" s="5">
        <v>3.9531000000000001E-4</v>
      </c>
      <c r="AB104" s="5">
        <v>1.8590500000000001E-5</v>
      </c>
      <c r="AD104">
        <v>5.0200000000000002E-3</v>
      </c>
      <c r="AE104" s="5">
        <v>2.7112000000000002E-4</v>
      </c>
      <c r="AF104">
        <v>6.1900000000000002E-3</v>
      </c>
      <c r="AG104" s="5">
        <v>3.2299500000000002E-4</v>
      </c>
      <c r="AH104">
        <v>4.8500000000000001E-3</v>
      </c>
      <c r="AI104" s="5">
        <v>2.38948E-4</v>
      </c>
      <c r="AK104">
        <v>2.3999999999999998E-3</v>
      </c>
      <c r="AL104" s="5">
        <v>1.2548E-4</v>
      </c>
      <c r="AM104">
        <v>3.2200000000000002E-3</v>
      </c>
      <c r="AN104" s="5">
        <v>1.58352E-4</v>
      </c>
      <c r="AO104">
        <v>2.0400000000000001E-3</v>
      </c>
      <c r="AP104" s="5">
        <v>1.58352E-4</v>
      </c>
    </row>
    <row r="105" spans="2:42" x14ac:dyDescent="0.2">
      <c r="B105">
        <v>6.1500000000000001E-3</v>
      </c>
      <c r="C105" s="5">
        <v>3.5643599999999999E-5</v>
      </c>
      <c r="D105">
        <v>1.1520000000000001E-2</v>
      </c>
      <c r="E105" s="5">
        <v>4.1082100000000002E-4</v>
      </c>
      <c r="F105">
        <v>1.298E-2</v>
      </c>
      <c r="G105" s="5">
        <v>5.5382100000000002E-4</v>
      </c>
      <c r="I105" s="5">
        <v>1.4482199999999999E-4</v>
      </c>
      <c r="J105" s="5">
        <v>8.3922600000000003E-7</v>
      </c>
      <c r="K105" s="5">
        <v>2.7116E-4</v>
      </c>
      <c r="L105" s="5">
        <v>9.6728399999999994E-6</v>
      </c>
      <c r="M105" s="5">
        <v>3.05638E-4</v>
      </c>
      <c r="N105" s="5">
        <v>1.30397E-5</v>
      </c>
      <c r="P105">
        <v>6.4099999999999999E-3</v>
      </c>
      <c r="Q105" s="5">
        <v>-6.5650500000000004E-5</v>
      </c>
      <c r="R105">
        <v>1.354E-2</v>
      </c>
      <c r="S105" s="5">
        <v>4.3419699999999999E-4</v>
      </c>
      <c r="T105">
        <v>1.5480000000000001E-2</v>
      </c>
      <c r="U105" s="5">
        <v>6.1899199999999996E-4</v>
      </c>
      <c r="W105" s="5">
        <v>4.1802499999999998E-4</v>
      </c>
      <c r="X105" s="5">
        <v>2.4223500000000002E-6</v>
      </c>
      <c r="Y105" s="5">
        <v>7.8269400000000001E-4</v>
      </c>
      <c r="Z105" s="5">
        <v>2.7920300000000001E-5</v>
      </c>
      <c r="AA105" s="5">
        <v>8.8221199999999995E-4</v>
      </c>
      <c r="AB105" s="5">
        <v>3.7638800000000003E-5</v>
      </c>
      <c r="AD105">
        <v>5.2900000000000004E-3</v>
      </c>
      <c r="AE105" s="5">
        <v>7.9632499999999994E-5</v>
      </c>
      <c r="AF105">
        <v>9.1800000000000007E-3</v>
      </c>
      <c r="AG105" s="5">
        <v>3.5075800000000001E-4</v>
      </c>
      <c r="AH105">
        <v>1.0240000000000001E-2</v>
      </c>
      <c r="AI105" s="5">
        <v>4.5618200000000002E-4</v>
      </c>
      <c r="AK105" s="5">
        <v>8.93921E-4</v>
      </c>
      <c r="AL105" s="5">
        <v>-1.55079E-4</v>
      </c>
      <c r="AM105">
        <v>4.0299999999999997E-3</v>
      </c>
      <c r="AN105" s="5">
        <v>6.6624800000000006E-5</v>
      </c>
      <c r="AO105">
        <v>4.9199999999999999E-3</v>
      </c>
      <c r="AP105" s="5">
        <v>6.6624800000000006E-5</v>
      </c>
    </row>
    <row r="106" spans="2:42" x14ac:dyDescent="0.2">
      <c r="B106">
        <v>1.0359999999999999E-2</v>
      </c>
      <c r="C106" s="5">
        <v>7.2321000000000001E-5</v>
      </c>
      <c r="D106">
        <v>1.8749999999999999E-2</v>
      </c>
      <c r="E106" s="5">
        <v>6.9936200000000003E-4</v>
      </c>
      <c r="F106">
        <v>2.35E-2</v>
      </c>
      <c r="G106">
        <v>1.1100000000000001E-3</v>
      </c>
      <c r="I106" s="5">
        <v>2.4389E-4</v>
      </c>
      <c r="J106" s="5">
        <v>1.7028E-6</v>
      </c>
      <c r="K106" s="5">
        <v>4.4139299999999999E-4</v>
      </c>
      <c r="L106" s="5">
        <v>1.6466599999999999E-5</v>
      </c>
      <c r="M106" s="5">
        <v>5.5340000000000001E-4</v>
      </c>
      <c r="N106" s="5">
        <v>2.61214E-5</v>
      </c>
      <c r="P106">
        <v>1.2019999999999999E-2</v>
      </c>
      <c r="Q106" s="5">
        <v>-1.2769099999999999E-5</v>
      </c>
      <c r="R106">
        <v>2.3140000000000001E-2</v>
      </c>
      <c r="S106" s="5">
        <v>8.1923200000000003E-4</v>
      </c>
      <c r="T106">
        <v>2.9420000000000002E-2</v>
      </c>
      <c r="U106">
        <v>1.3600000000000001E-3</v>
      </c>
      <c r="W106" s="5">
        <v>7.0397999999999999E-4</v>
      </c>
      <c r="X106" s="5">
        <v>4.9150100000000002E-6</v>
      </c>
      <c r="Y106">
        <v>1.2700000000000001E-3</v>
      </c>
      <c r="Z106" s="5">
        <v>4.7530200000000001E-5</v>
      </c>
      <c r="AA106">
        <v>1.6000000000000001E-3</v>
      </c>
      <c r="AB106" s="5">
        <v>7.5398500000000007E-5</v>
      </c>
      <c r="AD106">
        <v>8.5599999999999999E-3</v>
      </c>
      <c r="AE106" s="5">
        <v>1.21999E-4</v>
      </c>
      <c r="AF106">
        <v>1.4630000000000001E-2</v>
      </c>
      <c r="AG106" s="5">
        <v>5.7465100000000002E-4</v>
      </c>
      <c r="AH106">
        <v>1.806E-2</v>
      </c>
      <c r="AI106" s="5">
        <v>8.7342099999999998E-4</v>
      </c>
      <c r="AK106">
        <v>1.65E-3</v>
      </c>
      <c r="AL106" s="5">
        <v>-2.5858199999999999E-4</v>
      </c>
      <c r="AM106">
        <v>6.6899999999999998E-3</v>
      </c>
      <c r="AN106" s="5">
        <v>1.2222599999999999E-4</v>
      </c>
      <c r="AO106">
        <v>9.6299999999999997E-3</v>
      </c>
      <c r="AP106" s="5">
        <v>1.2222599999999999E-4</v>
      </c>
    </row>
    <row r="107" spans="2:42" x14ac:dyDescent="0.2">
      <c r="B107">
        <v>2.034E-2</v>
      </c>
      <c r="C107" s="5">
        <v>5.8892500000000002E-4</v>
      </c>
      <c r="D107">
        <v>3.0360000000000002E-2</v>
      </c>
      <c r="E107">
        <v>1.3600000000000001E-3</v>
      </c>
      <c r="F107">
        <v>3.7929999999999998E-2</v>
      </c>
      <c r="G107">
        <v>2.0200000000000001E-3</v>
      </c>
      <c r="I107" s="5">
        <v>4.78946E-4</v>
      </c>
      <c r="J107" s="5">
        <v>1.38663E-5</v>
      </c>
      <c r="K107" s="5">
        <v>7.1492300000000001E-4</v>
      </c>
      <c r="L107" s="5">
        <v>3.2112200000000001E-5</v>
      </c>
      <c r="M107" s="5">
        <v>8.9312899999999999E-4</v>
      </c>
      <c r="N107" s="5">
        <v>4.7458399999999999E-5</v>
      </c>
      <c r="P107">
        <v>2.5350000000000001E-2</v>
      </c>
      <c r="Q107" s="5">
        <v>6.8037900000000005E-4</v>
      </c>
      <c r="R107">
        <v>3.8609999999999998E-2</v>
      </c>
      <c r="S107">
        <v>1.7099999999999999E-3</v>
      </c>
      <c r="T107">
        <v>4.861E-2</v>
      </c>
      <c r="U107">
        <v>2.5600000000000002E-3</v>
      </c>
      <c r="W107">
        <v>1.3799999999999999E-3</v>
      </c>
      <c r="X107" s="5">
        <v>4.0024500000000003E-5</v>
      </c>
      <c r="Y107">
        <v>2.0600000000000002E-3</v>
      </c>
      <c r="Z107" s="5">
        <v>9.2690700000000003E-5</v>
      </c>
      <c r="AA107">
        <v>2.5799999999999998E-3</v>
      </c>
      <c r="AB107" s="5">
        <v>1.3698700000000001E-4</v>
      </c>
      <c r="AD107">
        <v>1.602E-2</v>
      </c>
      <c r="AE107" s="5">
        <v>5.1186600000000004E-4</v>
      </c>
      <c r="AF107">
        <v>2.3259999999999999E-2</v>
      </c>
      <c r="AG107">
        <v>1.07E-3</v>
      </c>
      <c r="AH107">
        <v>2.8719999999999999E-2</v>
      </c>
      <c r="AI107">
        <v>1.5399999999999999E-3</v>
      </c>
      <c r="AK107">
        <v>5.7299999999999999E-3</v>
      </c>
      <c r="AL107" s="5">
        <v>-8.5177499999999996E-5</v>
      </c>
      <c r="AM107">
        <v>1.184E-2</v>
      </c>
      <c r="AN107" s="5">
        <v>3.93409E-4</v>
      </c>
      <c r="AO107">
        <v>1.653E-2</v>
      </c>
      <c r="AP107" s="5">
        <v>3.93409E-4</v>
      </c>
    </row>
    <row r="108" spans="2:42" x14ac:dyDescent="0.2">
      <c r="B108">
        <v>3.9620000000000002E-2</v>
      </c>
      <c r="C108">
        <v>1.82E-3</v>
      </c>
      <c r="D108">
        <v>4.8050000000000002E-2</v>
      </c>
      <c r="E108">
        <v>2.5699999999999998E-3</v>
      </c>
      <c r="F108">
        <v>5.9389999999999998E-2</v>
      </c>
      <c r="G108">
        <v>3.5999999999999999E-3</v>
      </c>
      <c r="I108" s="5">
        <v>9.3294999999999999E-4</v>
      </c>
      <c r="J108" s="5">
        <v>4.2902799999999999E-5</v>
      </c>
      <c r="K108">
        <v>1.1299999999999999E-3</v>
      </c>
      <c r="L108" s="5">
        <v>6.04937E-5</v>
      </c>
      <c r="M108">
        <v>1.4E-3</v>
      </c>
      <c r="N108" s="5">
        <v>8.4815999999999996E-5</v>
      </c>
      <c r="P108">
        <v>5.1299999999999998E-2</v>
      </c>
      <c r="Q108">
        <v>2.3500000000000001E-3</v>
      </c>
      <c r="R108">
        <v>6.234E-2</v>
      </c>
      <c r="S108">
        <v>3.3300000000000001E-3</v>
      </c>
      <c r="T108">
        <v>7.7249999999999999E-2</v>
      </c>
      <c r="U108">
        <v>4.6899999999999997E-3</v>
      </c>
      <c r="W108">
        <v>2.6900000000000001E-3</v>
      </c>
      <c r="X108" s="5">
        <v>1.2383699999999999E-4</v>
      </c>
      <c r="Y108">
        <v>3.2699999999999999E-3</v>
      </c>
      <c r="Z108" s="5">
        <v>1.74613E-4</v>
      </c>
      <c r="AA108">
        <v>4.0400000000000002E-3</v>
      </c>
      <c r="AB108" s="5">
        <v>2.44818E-4</v>
      </c>
      <c r="AD108">
        <v>3.0159999999999999E-2</v>
      </c>
      <c r="AE108">
        <v>1.42E-3</v>
      </c>
      <c r="AF108">
        <v>3.6240000000000001E-2</v>
      </c>
      <c r="AG108">
        <v>1.9599999999999999E-3</v>
      </c>
      <c r="AH108">
        <v>4.4429999999999997E-2</v>
      </c>
      <c r="AI108">
        <v>2.7100000000000002E-3</v>
      </c>
      <c r="AK108">
        <v>1.482E-2</v>
      </c>
      <c r="AL108" s="5">
        <v>4.62492E-4</v>
      </c>
      <c r="AM108">
        <v>2.0279999999999999E-2</v>
      </c>
      <c r="AN108" s="5">
        <v>9.5145899999999999E-4</v>
      </c>
      <c r="AO108">
        <v>2.7449999999999999E-2</v>
      </c>
      <c r="AP108" s="5">
        <v>9.5145899999999999E-4</v>
      </c>
    </row>
    <row r="109" spans="2:42" x14ac:dyDescent="0.2">
      <c r="B109">
        <v>6.5619999999999998E-2</v>
      </c>
      <c r="C109">
        <v>3.6700000000000001E-3</v>
      </c>
      <c r="D109">
        <v>7.3029999999999998E-2</v>
      </c>
      <c r="E109">
        <v>4.3899999999999998E-3</v>
      </c>
      <c r="F109">
        <v>8.6830000000000004E-2</v>
      </c>
      <c r="G109">
        <v>5.7400000000000003E-3</v>
      </c>
      <c r="I109">
        <v>1.5399999999999999E-3</v>
      </c>
      <c r="J109" s="5">
        <v>8.6325199999999998E-5</v>
      </c>
      <c r="K109">
        <v>1.72E-3</v>
      </c>
      <c r="L109" s="5">
        <v>1.03409E-4</v>
      </c>
      <c r="M109">
        <v>2.0400000000000001E-3</v>
      </c>
      <c r="N109" s="5">
        <v>1.35098E-4</v>
      </c>
      <c r="P109">
        <v>8.6489999999999997E-2</v>
      </c>
      <c r="Q109">
        <v>4.8599999999999997E-3</v>
      </c>
      <c r="R109">
        <v>9.5909999999999995E-2</v>
      </c>
      <c r="S109">
        <v>5.79E-3</v>
      </c>
      <c r="T109">
        <v>0.11394</v>
      </c>
      <c r="U109">
        <v>7.5500000000000003E-3</v>
      </c>
      <c r="W109">
        <v>4.4600000000000004E-3</v>
      </c>
      <c r="X109" s="5">
        <v>2.4917500000000003E-4</v>
      </c>
      <c r="Y109">
        <v>4.96E-3</v>
      </c>
      <c r="Z109" s="5">
        <v>2.9848599999999999E-4</v>
      </c>
      <c r="AA109">
        <v>5.8999999999999999E-3</v>
      </c>
      <c r="AB109" s="5">
        <v>3.89956E-4</v>
      </c>
      <c r="AD109">
        <v>4.904E-2</v>
      </c>
      <c r="AE109">
        <v>2.7499999999999998E-3</v>
      </c>
      <c r="AF109">
        <v>5.4440000000000002E-2</v>
      </c>
      <c r="AG109">
        <v>3.2799999999999999E-3</v>
      </c>
      <c r="AH109">
        <v>6.4449999999999993E-2</v>
      </c>
      <c r="AI109">
        <v>4.2599999999999999E-3</v>
      </c>
      <c r="AK109">
        <v>2.751E-2</v>
      </c>
      <c r="AL109">
        <v>1.34E-3</v>
      </c>
      <c r="AM109">
        <v>3.2969999999999999E-2</v>
      </c>
      <c r="AN109">
        <v>1.8600000000000001E-3</v>
      </c>
      <c r="AO109">
        <v>4.1869999999999997E-2</v>
      </c>
      <c r="AP109">
        <v>1.8600000000000001E-3</v>
      </c>
    </row>
    <row r="110" spans="2:42" x14ac:dyDescent="0.2">
      <c r="B110">
        <v>0.10244</v>
      </c>
      <c r="C110">
        <v>6.3299999999999997E-3</v>
      </c>
      <c r="D110">
        <v>0.10691000000000001</v>
      </c>
      <c r="E110">
        <v>6.9800000000000001E-3</v>
      </c>
      <c r="F110">
        <v>0.11995</v>
      </c>
      <c r="G110">
        <v>8.4600000000000005E-3</v>
      </c>
      <c r="I110">
        <v>2.4099999999999998E-3</v>
      </c>
      <c r="J110" s="5">
        <v>1.4907000000000001E-4</v>
      </c>
      <c r="K110">
        <v>2.5200000000000001E-3</v>
      </c>
      <c r="L110" s="5">
        <v>1.6438999999999999E-4</v>
      </c>
      <c r="M110">
        <v>2.82E-3</v>
      </c>
      <c r="N110" s="5">
        <v>1.9919800000000001E-4</v>
      </c>
      <c r="P110">
        <v>0.13628999999999999</v>
      </c>
      <c r="Q110">
        <v>8.4899999999999993E-3</v>
      </c>
      <c r="R110">
        <v>0.14138999999999999</v>
      </c>
      <c r="S110">
        <v>9.2800000000000001E-3</v>
      </c>
      <c r="T110">
        <v>0.15826999999999999</v>
      </c>
      <c r="U110">
        <v>1.12E-2</v>
      </c>
      <c r="W110">
        <v>6.96E-3</v>
      </c>
      <c r="X110" s="5">
        <v>4.3028400000000002E-4</v>
      </c>
      <c r="Y110">
        <v>7.2700000000000004E-3</v>
      </c>
      <c r="Z110" s="5">
        <v>4.74504E-4</v>
      </c>
      <c r="AA110">
        <v>8.1499999999999993E-3</v>
      </c>
      <c r="AB110" s="5">
        <v>5.7497600000000005E-4</v>
      </c>
      <c r="AD110">
        <v>7.5639999999999999E-2</v>
      </c>
      <c r="AE110">
        <v>4.6699999999999997E-3</v>
      </c>
      <c r="AF110">
        <v>7.9009999999999997E-2</v>
      </c>
      <c r="AG110">
        <v>5.1500000000000001E-3</v>
      </c>
      <c r="AH110">
        <v>8.8520000000000001E-2</v>
      </c>
      <c r="AI110">
        <v>6.2399999999999999E-3</v>
      </c>
      <c r="AK110">
        <v>4.6580000000000003E-2</v>
      </c>
      <c r="AL110">
        <v>2.6800000000000001E-3</v>
      </c>
      <c r="AM110">
        <v>5.1049999999999998E-2</v>
      </c>
      <c r="AN110">
        <v>3.2299999999999998E-3</v>
      </c>
      <c r="AO110">
        <v>5.9700000000000003E-2</v>
      </c>
      <c r="AP110">
        <v>3.2299999999999998E-3</v>
      </c>
    </row>
    <row r="111" spans="2:42" x14ac:dyDescent="0.2">
      <c r="B111">
        <v>0.14887</v>
      </c>
      <c r="C111">
        <v>9.9900000000000006E-3</v>
      </c>
      <c r="D111">
        <v>0.14756</v>
      </c>
      <c r="E111">
        <v>1.0359999999999999E-2</v>
      </c>
      <c r="F111">
        <v>0.15834999999999999</v>
      </c>
      <c r="G111">
        <v>1.1820000000000001E-2</v>
      </c>
      <c r="I111">
        <v>3.5100000000000001E-3</v>
      </c>
      <c r="J111" s="5">
        <v>2.3521100000000001E-4</v>
      </c>
      <c r="K111">
        <v>3.47E-3</v>
      </c>
      <c r="L111" s="5">
        <v>2.4387000000000001E-4</v>
      </c>
      <c r="M111">
        <v>3.7299999999999998E-3</v>
      </c>
      <c r="N111" s="5">
        <v>2.7830500000000001E-4</v>
      </c>
      <c r="P111">
        <v>0.19921</v>
      </c>
      <c r="Q111">
        <v>1.346E-2</v>
      </c>
      <c r="R111">
        <v>0.19605</v>
      </c>
      <c r="S111">
        <v>1.3820000000000001E-2</v>
      </c>
      <c r="T111">
        <v>0.20967</v>
      </c>
      <c r="U111">
        <v>1.5699999999999999E-2</v>
      </c>
      <c r="W111">
        <v>1.0120000000000001E-2</v>
      </c>
      <c r="X111" s="5">
        <v>6.7892799999999998E-4</v>
      </c>
      <c r="Y111">
        <v>1.0030000000000001E-2</v>
      </c>
      <c r="Z111" s="5">
        <v>7.0392100000000004E-4</v>
      </c>
      <c r="AA111">
        <v>1.076E-2</v>
      </c>
      <c r="AB111" s="5">
        <v>8.0331800000000002E-4</v>
      </c>
      <c r="AD111">
        <v>0.109</v>
      </c>
      <c r="AE111">
        <v>7.2899999999999996E-3</v>
      </c>
      <c r="AF111">
        <v>0.10836</v>
      </c>
      <c r="AG111">
        <v>7.5900000000000004E-3</v>
      </c>
      <c r="AH111">
        <v>0.11636000000000001</v>
      </c>
      <c r="AI111">
        <v>8.6700000000000006E-3</v>
      </c>
      <c r="AK111">
        <v>7.1230000000000002E-2</v>
      </c>
      <c r="AL111">
        <v>4.6100000000000004E-3</v>
      </c>
      <c r="AM111">
        <v>7.3160000000000003E-2</v>
      </c>
      <c r="AN111">
        <v>5.0800000000000003E-3</v>
      </c>
      <c r="AO111">
        <v>8.0799999999999997E-2</v>
      </c>
      <c r="AP111">
        <v>5.0800000000000003E-3</v>
      </c>
    </row>
    <row r="112" spans="2:42" x14ac:dyDescent="0.2">
      <c r="B112">
        <v>0.20998</v>
      </c>
      <c r="C112">
        <v>1.489E-2</v>
      </c>
      <c r="D112">
        <v>0.19889000000000001</v>
      </c>
      <c r="E112">
        <v>1.4710000000000001E-2</v>
      </c>
      <c r="F112">
        <v>0.20183999999999999</v>
      </c>
      <c r="G112">
        <v>1.5789999999999998E-2</v>
      </c>
      <c r="I112">
        <v>4.9399999999999999E-3</v>
      </c>
      <c r="J112" s="5">
        <v>3.5055200000000001E-4</v>
      </c>
      <c r="K112">
        <v>4.6800000000000001E-3</v>
      </c>
      <c r="L112" s="5">
        <v>3.4642700000000001E-4</v>
      </c>
      <c r="M112">
        <v>4.7499999999999999E-3</v>
      </c>
      <c r="N112" s="5">
        <v>3.7174099999999998E-4</v>
      </c>
      <c r="P112">
        <v>0.28153</v>
      </c>
      <c r="Q112">
        <v>2.0080000000000001E-2</v>
      </c>
      <c r="R112">
        <v>0.26474999999999999</v>
      </c>
      <c r="S112">
        <v>1.966E-2</v>
      </c>
      <c r="T112">
        <v>0.26782</v>
      </c>
      <c r="U112">
        <v>2.1010000000000001E-2</v>
      </c>
      <c r="W112">
        <v>1.427E-2</v>
      </c>
      <c r="X112">
        <v>1.01E-3</v>
      </c>
      <c r="Y112">
        <v>1.3520000000000001E-2</v>
      </c>
      <c r="Z112" s="5">
        <v>9.9994899999999998E-4</v>
      </c>
      <c r="AA112">
        <v>1.372E-2</v>
      </c>
      <c r="AB112">
        <v>1.07E-3</v>
      </c>
      <c r="AD112">
        <v>0.15293999999999999</v>
      </c>
      <c r="AE112">
        <v>1.081E-2</v>
      </c>
      <c r="AF112">
        <v>0.14544000000000001</v>
      </c>
      <c r="AG112">
        <v>1.073E-2</v>
      </c>
      <c r="AH112">
        <v>0.14784</v>
      </c>
      <c r="AI112">
        <v>1.154E-2</v>
      </c>
      <c r="AK112">
        <v>0.10539</v>
      </c>
      <c r="AL112">
        <v>7.3400000000000002E-3</v>
      </c>
      <c r="AM112">
        <v>0.10231</v>
      </c>
      <c r="AN112">
        <v>7.5599999999999999E-3</v>
      </c>
      <c r="AO112">
        <v>0.10526000000000001</v>
      </c>
      <c r="AP112">
        <v>7.5599999999999999E-3</v>
      </c>
    </row>
    <row r="113" spans="2:42" x14ac:dyDescent="0.2">
      <c r="B113">
        <v>0.28425</v>
      </c>
      <c r="C113">
        <v>2.1190000000000001E-2</v>
      </c>
      <c r="D113">
        <v>0.25440000000000002</v>
      </c>
      <c r="E113">
        <v>1.9859999999999999E-2</v>
      </c>
      <c r="F113">
        <v>0.2482</v>
      </c>
      <c r="G113">
        <v>2.026E-2</v>
      </c>
      <c r="I113">
        <v>6.6899999999999998E-3</v>
      </c>
      <c r="J113" s="5">
        <v>4.9898100000000001E-4</v>
      </c>
      <c r="K113">
        <v>5.9899999999999997E-3</v>
      </c>
      <c r="L113" s="5">
        <v>4.67539E-4</v>
      </c>
      <c r="M113">
        <v>5.8399999999999997E-3</v>
      </c>
      <c r="N113" s="5">
        <v>4.7709400000000001E-4</v>
      </c>
      <c r="P113">
        <v>0.38118999999999997</v>
      </c>
      <c r="Q113">
        <v>2.8549999999999999E-2</v>
      </c>
      <c r="R113">
        <v>0.33914</v>
      </c>
      <c r="S113">
        <v>2.6540000000000001E-2</v>
      </c>
      <c r="T113">
        <v>0.32979000000000003</v>
      </c>
      <c r="U113">
        <v>2.6980000000000001E-2</v>
      </c>
      <c r="W113">
        <v>1.932E-2</v>
      </c>
      <c r="X113">
        <v>1.4400000000000001E-3</v>
      </c>
      <c r="Y113">
        <v>1.729E-2</v>
      </c>
      <c r="Z113">
        <v>1.3500000000000001E-3</v>
      </c>
      <c r="AA113">
        <v>1.687E-2</v>
      </c>
      <c r="AB113">
        <v>1.3799999999999999E-3</v>
      </c>
      <c r="AD113">
        <v>0.20638000000000001</v>
      </c>
      <c r="AE113">
        <v>1.5339999999999999E-2</v>
      </c>
      <c r="AF113">
        <v>0.18543999999999999</v>
      </c>
      <c r="AG113">
        <v>1.444E-2</v>
      </c>
      <c r="AH113">
        <v>0.18137</v>
      </c>
      <c r="AI113">
        <v>1.477E-2</v>
      </c>
      <c r="AK113">
        <v>0.14838999999999999</v>
      </c>
      <c r="AL113">
        <v>1.0999999999999999E-2</v>
      </c>
      <c r="AM113">
        <v>0.1343</v>
      </c>
      <c r="AN113">
        <v>1.057E-2</v>
      </c>
      <c r="AO113">
        <v>0.13177</v>
      </c>
      <c r="AP113">
        <v>1.057E-2</v>
      </c>
    </row>
    <row r="114" spans="2:42" x14ac:dyDescent="0.2">
      <c r="B114">
        <v>0.37491999999999998</v>
      </c>
      <c r="C114">
        <v>2.9000000000000001E-2</v>
      </c>
      <c r="D114">
        <v>0.31663999999999998</v>
      </c>
      <c r="E114">
        <v>2.5690000000000001E-2</v>
      </c>
      <c r="F114">
        <v>0.29712</v>
      </c>
      <c r="G114">
        <v>2.5260000000000001E-2</v>
      </c>
      <c r="I114">
        <v>8.8299999999999993E-3</v>
      </c>
      <c r="J114" s="5">
        <v>6.8273200000000002E-4</v>
      </c>
      <c r="K114">
        <v>7.4599999999999996E-3</v>
      </c>
      <c r="L114" s="5">
        <v>6.04775E-4</v>
      </c>
      <c r="M114">
        <v>7.0000000000000001E-3</v>
      </c>
      <c r="N114" s="5">
        <v>5.9474699999999996E-4</v>
      </c>
      <c r="P114">
        <v>0.50212999999999997</v>
      </c>
      <c r="Q114">
        <v>3.8969999999999998E-2</v>
      </c>
      <c r="R114">
        <v>0.42232999999999998</v>
      </c>
      <c r="S114">
        <v>3.431E-2</v>
      </c>
      <c r="T114">
        <v>0.39510000000000001</v>
      </c>
      <c r="U114">
        <v>3.363E-2</v>
      </c>
      <c r="W114">
        <v>2.5479999999999999E-2</v>
      </c>
      <c r="X114">
        <v>1.97E-3</v>
      </c>
      <c r="Y114">
        <v>2.1520000000000001E-2</v>
      </c>
      <c r="Z114">
        <v>1.75E-3</v>
      </c>
      <c r="AA114">
        <v>2.019E-2</v>
      </c>
      <c r="AB114">
        <v>1.72E-3</v>
      </c>
      <c r="AD114">
        <v>0.27178999999999998</v>
      </c>
      <c r="AE114">
        <v>2.0959999999999999E-2</v>
      </c>
      <c r="AF114">
        <v>0.23032</v>
      </c>
      <c r="AG114">
        <v>1.864E-2</v>
      </c>
      <c r="AH114">
        <v>0.21673999999999999</v>
      </c>
      <c r="AI114">
        <v>1.8380000000000001E-2</v>
      </c>
      <c r="AK114">
        <v>0.20279</v>
      </c>
      <c r="AL114">
        <v>1.5699999999999999E-2</v>
      </c>
      <c r="AM114">
        <v>0.17111999999999999</v>
      </c>
      <c r="AN114">
        <v>1.406E-2</v>
      </c>
      <c r="AO114">
        <v>0.1603</v>
      </c>
      <c r="AP114">
        <v>1.406E-2</v>
      </c>
    </row>
    <row r="115" spans="2:42" x14ac:dyDescent="0.2">
      <c r="B115">
        <v>0.48032000000000002</v>
      </c>
      <c r="C115">
        <v>3.8510000000000003E-2</v>
      </c>
      <c r="D115">
        <v>0.38657999999999998</v>
      </c>
      <c r="E115">
        <v>3.2300000000000002E-2</v>
      </c>
      <c r="F115">
        <v>0.34877000000000002</v>
      </c>
      <c r="G115">
        <v>3.073E-2</v>
      </c>
      <c r="I115">
        <v>1.1310000000000001E-2</v>
      </c>
      <c r="J115" s="5">
        <v>9.0671700000000003E-4</v>
      </c>
      <c r="K115">
        <v>9.1000000000000004E-3</v>
      </c>
      <c r="L115" s="5">
        <v>7.6062299999999998E-4</v>
      </c>
      <c r="M115">
        <v>8.2100000000000003E-3</v>
      </c>
      <c r="N115" s="5">
        <v>7.2358199999999996E-4</v>
      </c>
      <c r="P115">
        <v>0.64207999999999998</v>
      </c>
      <c r="Q115">
        <v>5.1589999999999997E-2</v>
      </c>
      <c r="R115">
        <v>0.51541000000000003</v>
      </c>
      <c r="S115">
        <v>4.3099999999999999E-2</v>
      </c>
      <c r="T115">
        <v>0.46383999999999997</v>
      </c>
      <c r="U115">
        <v>4.088E-2</v>
      </c>
      <c r="W115">
        <v>3.2640000000000002E-2</v>
      </c>
      <c r="X115">
        <v>2.6199999999999999E-3</v>
      </c>
      <c r="Y115">
        <v>2.6270000000000002E-2</v>
      </c>
      <c r="Z115">
        <v>2.2000000000000001E-3</v>
      </c>
      <c r="AA115">
        <v>2.3699999999999999E-2</v>
      </c>
      <c r="AB115">
        <v>2.0899999999999998E-3</v>
      </c>
      <c r="AD115">
        <v>0.34797</v>
      </c>
      <c r="AE115">
        <v>2.784E-2</v>
      </c>
      <c r="AF115">
        <v>0.28083999999999998</v>
      </c>
      <c r="AG115">
        <v>2.342E-2</v>
      </c>
      <c r="AH115">
        <v>0.25409999999999999</v>
      </c>
      <c r="AI115">
        <v>2.2349999999999998E-2</v>
      </c>
      <c r="AK115">
        <v>0.26780999999999999</v>
      </c>
      <c r="AL115">
        <v>2.1610000000000001E-2</v>
      </c>
      <c r="AM115">
        <v>0.21365999999999999</v>
      </c>
      <c r="AN115">
        <v>1.8120000000000001E-2</v>
      </c>
      <c r="AO115">
        <v>0.19114</v>
      </c>
      <c r="AP115">
        <v>1.8120000000000001E-2</v>
      </c>
    </row>
    <row r="116" spans="2:42" x14ac:dyDescent="0.2">
      <c r="B116">
        <v>0.60460999999999998</v>
      </c>
      <c r="C116">
        <v>4.981E-2</v>
      </c>
      <c r="D116">
        <v>0.46244000000000002</v>
      </c>
      <c r="E116">
        <v>3.9699999999999999E-2</v>
      </c>
      <c r="F116">
        <v>0.40306999999999998</v>
      </c>
      <c r="G116">
        <v>3.6639999999999999E-2</v>
      </c>
      <c r="I116">
        <v>1.4239999999999999E-2</v>
      </c>
      <c r="J116">
        <v>1.17E-3</v>
      </c>
      <c r="K116">
        <v>1.089E-2</v>
      </c>
      <c r="L116" s="5">
        <v>9.3479499999999998E-4</v>
      </c>
      <c r="M116">
        <v>9.4900000000000002E-3</v>
      </c>
      <c r="N116" s="5">
        <v>8.6278199999999998E-4</v>
      </c>
      <c r="P116">
        <v>0.80608999999999997</v>
      </c>
      <c r="Q116">
        <v>6.6500000000000004E-2</v>
      </c>
      <c r="R116">
        <v>0.61602999999999997</v>
      </c>
      <c r="S116">
        <v>5.289E-2</v>
      </c>
      <c r="T116">
        <v>0.53580000000000005</v>
      </c>
      <c r="U116">
        <v>4.8680000000000001E-2</v>
      </c>
      <c r="W116">
        <v>4.1090000000000002E-2</v>
      </c>
      <c r="X116">
        <v>3.3899999999999998E-3</v>
      </c>
      <c r="Y116">
        <v>3.143E-2</v>
      </c>
      <c r="Z116">
        <v>2.7000000000000001E-3</v>
      </c>
      <c r="AA116">
        <v>2.7390000000000001E-2</v>
      </c>
      <c r="AB116">
        <v>2.49E-3</v>
      </c>
      <c r="AD116">
        <v>0.43808999999999998</v>
      </c>
      <c r="AE116">
        <v>3.603E-2</v>
      </c>
      <c r="AF116">
        <v>0.33571000000000001</v>
      </c>
      <c r="AG116">
        <v>2.878E-2</v>
      </c>
      <c r="AH116">
        <v>0.29343999999999998</v>
      </c>
      <c r="AI116">
        <v>2.6630000000000001E-2</v>
      </c>
      <c r="AK116">
        <v>0.34649999999999997</v>
      </c>
      <c r="AL116">
        <v>2.8799999999999999E-2</v>
      </c>
      <c r="AM116">
        <v>0.26093</v>
      </c>
      <c r="AN116">
        <v>2.2759999999999999E-2</v>
      </c>
      <c r="AO116">
        <v>0.22434000000000001</v>
      </c>
      <c r="AP116">
        <v>2.2759999999999999E-2</v>
      </c>
    </row>
    <row r="117" spans="2:42" x14ac:dyDescent="0.2">
      <c r="B117">
        <v>0.74836999999999998</v>
      </c>
      <c r="C117">
        <v>6.3299999999999995E-2</v>
      </c>
      <c r="D117">
        <v>0.53734000000000004</v>
      </c>
      <c r="E117">
        <v>4.734E-2</v>
      </c>
      <c r="F117">
        <v>0.45917999999999998</v>
      </c>
      <c r="G117">
        <v>4.2840000000000003E-2</v>
      </c>
      <c r="I117">
        <v>1.762E-2</v>
      </c>
      <c r="J117">
        <v>1.49E-3</v>
      </c>
      <c r="K117">
        <v>1.265E-2</v>
      </c>
      <c r="L117">
        <v>1.1100000000000001E-3</v>
      </c>
      <c r="M117">
        <v>1.081E-2</v>
      </c>
      <c r="N117">
        <v>1.01E-3</v>
      </c>
      <c r="P117">
        <v>0.99470000000000003</v>
      </c>
      <c r="Q117">
        <v>8.4180000000000005E-2</v>
      </c>
      <c r="R117">
        <v>0.71550999999999998</v>
      </c>
      <c r="S117">
        <v>6.2990000000000004E-2</v>
      </c>
      <c r="T117">
        <v>0.60980999999999996</v>
      </c>
      <c r="U117">
        <v>5.6829999999999999E-2</v>
      </c>
      <c r="W117">
        <v>5.0860000000000002E-2</v>
      </c>
      <c r="X117">
        <v>4.3E-3</v>
      </c>
      <c r="Y117">
        <v>3.6519999999999997E-2</v>
      </c>
      <c r="Z117">
        <v>3.2200000000000002E-3</v>
      </c>
      <c r="AA117">
        <v>3.1210000000000002E-2</v>
      </c>
      <c r="AB117">
        <v>2.9099999999999998E-3</v>
      </c>
      <c r="AD117">
        <v>0.54262999999999995</v>
      </c>
      <c r="AE117">
        <v>4.5839999999999999E-2</v>
      </c>
      <c r="AF117">
        <v>0.38984999999999997</v>
      </c>
      <c r="AG117">
        <v>3.431E-2</v>
      </c>
      <c r="AH117">
        <v>0.33416000000000001</v>
      </c>
      <c r="AI117">
        <v>3.1140000000000001E-2</v>
      </c>
      <c r="AK117">
        <v>0.43947999999999998</v>
      </c>
      <c r="AL117">
        <v>3.7569999999999999E-2</v>
      </c>
      <c r="AM117">
        <v>0.30858000000000002</v>
      </c>
      <c r="AN117">
        <v>2.7650000000000001E-2</v>
      </c>
      <c r="AO117">
        <v>0.25945000000000001</v>
      </c>
      <c r="AP117">
        <v>2.7650000000000001E-2</v>
      </c>
    </row>
    <row r="118" spans="2:42" x14ac:dyDescent="0.2">
      <c r="B118">
        <v>0.95026999999999995</v>
      </c>
      <c r="C118">
        <v>8.1140000000000004E-2</v>
      </c>
      <c r="D118">
        <v>0.65595999999999999</v>
      </c>
      <c r="E118">
        <v>5.765E-2</v>
      </c>
      <c r="F118">
        <v>0.52522999999999997</v>
      </c>
      <c r="G118">
        <v>4.9840000000000002E-2</v>
      </c>
      <c r="I118">
        <v>2.2370000000000001E-2</v>
      </c>
      <c r="J118">
        <v>1.91E-3</v>
      </c>
      <c r="K118">
        <v>1.5440000000000001E-2</v>
      </c>
      <c r="L118">
        <v>1.3600000000000001E-3</v>
      </c>
      <c r="M118">
        <v>1.2370000000000001E-2</v>
      </c>
      <c r="N118">
        <v>1.17E-3</v>
      </c>
      <c r="P118">
        <v>1.2557400000000001</v>
      </c>
      <c r="Q118">
        <v>0.10731</v>
      </c>
      <c r="R118">
        <v>0.86924000000000001</v>
      </c>
      <c r="S118">
        <v>7.6410000000000006E-2</v>
      </c>
      <c r="T118">
        <v>0.69589000000000001</v>
      </c>
      <c r="U118">
        <v>6.5960000000000005E-2</v>
      </c>
      <c r="W118">
        <v>6.4579999999999999E-2</v>
      </c>
      <c r="X118">
        <v>5.5100000000000001E-3</v>
      </c>
      <c r="Y118">
        <v>4.4580000000000002E-2</v>
      </c>
      <c r="Z118">
        <v>3.9199999999999999E-3</v>
      </c>
      <c r="AA118">
        <v>3.5700000000000003E-2</v>
      </c>
      <c r="AB118">
        <v>3.3899999999999998E-3</v>
      </c>
      <c r="AD118">
        <v>0.6905</v>
      </c>
      <c r="AE118">
        <v>5.8900000000000001E-2</v>
      </c>
      <c r="AF118">
        <v>0.47660000000000002</v>
      </c>
      <c r="AG118">
        <v>4.1829999999999999E-2</v>
      </c>
      <c r="AH118">
        <v>0.38235000000000002</v>
      </c>
      <c r="AI118">
        <v>3.6240000000000001E-2</v>
      </c>
      <c r="AK118">
        <v>0.57220000000000004</v>
      </c>
      <c r="AL118">
        <v>4.9340000000000002E-2</v>
      </c>
      <c r="AM118">
        <v>0.38597999999999999</v>
      </c>
      <c r="AN118">
        <v>3.4389999999999997E-2</v>
      </c>
      <c r="AO118">
        <v>0.3019</v>
      </c>
      <c r="AP118">
        <v>3.4389999999999997E-2</v>
      </c>
    </row>
    <row r="119" spans="2:42" x14ac:dyDescent="0.2">
      <c r="B119">
        <v>1.2000200000000001</v>
      </c>
      <c r="C119">
        <v>0.10375</v>
      </c>
      <c r="D119">
        <v>0.80605000000000004</v>
      </c>
      <c r="E119">
        <v>7.0900000000000005E-2</v>
      </c>
      <c r="F119">
        <v>0.59530000000000005</v>
      </c>
      <c r="G119">
        <v>5.7689999999999998E-2</v>
      </c>
      <c r="I119">
        <v>2.8250000000000001E-2</v>
      </c>
      <c r="J119">
        <v>2.4399999999999999E-3</v>
      </c>
      <c r="K119">
        <v>1.898E-2</v>
      </c>
      <c r="L119">
        <v>1.67E-3</v>
      </c>
      <c r="M119">
        <v>1.4019999999999999E-2</v>
      </c>
      <c r="N119">
        <v>1.3600000000000001E-3</v>
      </c>
      <c r="P119">
        <v>1.57612</v>
      </c>
      <c r="Q119">
        <v>0.13636000000000001</v>
      </c>
      <c r="R119">
        <v>1.0618300000000001</v>
      </c>
      <c r="S119">
        <v>9.3490000000000004E-2</v>
      </c>
      <c r="T119">
        <v>0.78656999999999999</v>
      </c>
      <c r="U119">
        <v>7.6109999999999997E-2</v>
      </c>
      <c r="W119">
        <v>8.1559999999999994E-2</v>
      </c>
      <c r="X119">
        <v>7.0499999999999998E-3</v>
      </c>
      <c r="Y119">
        <v>5.4780000000000002E-2</v>
      </c>
      <c r="Z119">
        <v>4.8199999999999996E-3</v>
      </c>
      <c r="AA119">
        <v>4.0460000000000003E-2</v>
      </c>
      <c r="AB119">
        <v>3.9199999999999999E-3</v>
      </c>
      <c r="AD119">
        <v>0.87409999999999999</v>
      </c>
      <c r="AE119">
        <v>7.5499999999999998E-2</v>
      </c>
      <c r="AF119">
        <v>0.58687999999999996</v>
      </c>
      <c r="AG119">
        <v>5.1560000000000002E-2</v>
      </c>
      <c r="AH119">
        <v>0.43363000000000002</v>
      </c>
      <c r="AI119">
        <v>4.199E-2</v>
      </c>
      <c r="AK119">
        <v>0.7379</v>
      </c>
      <c r="AL119">
        <v>6.4390000000000003E-2</v>
      </c>
      <c r="AM119">
        <v>0.48509999999999998</v>
      </c>
      <c r="AN119">
        <v>4.3159999999999997E-2</v>
      </c>
      <c r="AO119">
        <v>0.34782999999999997</v>
      </c>
      <c r="AP119">
        <v>4.3159999999999997E-2</v>
      </c>
    </row>
    <row r="120" spans="2:42" x14ac:dyDescent="0.2">
      <c r="B120">
        <v>1.4776199999999999</v>
      </c>
      <c r="C120">
        <v>0.13017999999999999</v>
      </c>
      <c r="D120">
        <v>0.96589000000000003</v>
      </c>
      <c r="E120">
        <v>8.6059999999999998E-2</v>
      </c>
      <c r="F120">
        <v>0.67045999999999994</v>
      </c>
      <c r="G120">
        <v>6.6040000000000001E-2</v>
      </c>
      <c r="I120">
        <v>3.4790000000000001E-2</v>
      </c>
      <c r="J120">
        <v>3.0699999999999998E-3</v>
      </c>
      <c r="K120">
        <v>2.274E-2</v>
      </c>
      <c r="L120">
        <v>2.0300000000000001E-3</v>
      </c>
      <c r="M120">
        <v>1.5789999999999998E-2</v>
      </c>
      <c r="N120">
        <v>1.5499999999999999E-3</v>
      </c>
      <c r="P120">
        <v>1.9302299999999999</v>
      </c>
      <c r="Q120">
        <v>0.17008000000000001</v>
      </c>
      <c r="R120">
        <v>1.2658400000000001</v>
      </c>
      <c r="S120">
        <v>0.11285000000000001</v>
      </c>
      <c r="T120">
        <v>0.88295000000000001</v>
      </c>
      <c r="U120">
        <v>8.6819999999999994E-2</v>
      </c>
      <c r="W120">
        <v>0.10042</v>
      </c>
      <c r="X120">
        <v>8.8500000000000002E-3</v>
      </c>
      <c r="Y120">
        <v>6.5640000000000004E-2</v>
      </c>
      <c r="Z120">
        <v>5.8500000000000002E-3</v>
      </c>
      <c r="AA120">
        <v>4.5569999999999999E-2</v>
      </c>
      <c r="AB120">
        <v>4.4900000000000001E-3</v>
      </c>
      <c r="AD120">
        <v>1.07863</v>
      </c>
      <c r="AE120">
        <v>9.4969999999999999E-2</v>
      </c>
      <c r="AF120">
        <v>0.70455999999999996</v>
      </c>
      <c r="AG120">
        <v>6.2710000000000002E-2</v>
      </c>
      <c r="AH120">
        <v>0.48884</v>
      </c>
      <c r="AI120">
        <v>4.8120000000000003E-2</v>
      </c>
      <c r="AK120">
        <v>0.92249999999999999</v>
      </c>
      <c r="AL120">
        <v>8.1989999999999993E-2</v>
      </c>
      <c r="AM120">
        <v>0.59108000000000005</v>
      </c>
      <c r="AN120">
        <v>5.321E-2</v>
      </c>
      <c r="AO120">
        <v>0.39756000000000002</v>
      </c>
      <c r="AP120">
        <v>5.321E-2</v>
      </c>
    </row>
    <row r="121" spans="2:42" x14ac:dyDescent="0.2">
      <c r="B121">
        <v>1.77935</v>
      </c>
      <c r="C121">
        <v>0.1608</v>
      </c>
      <c r="D121">
        <v>1.13446</v>
      </c>
      <c r="E121">
        <v>0.10337</v>
      </c>
      <c r="F121">
        <v>0.75316000000000005</v>
      </c>
      <c r="G121">
        <v>7.4999999999999997E-2</v>
      </c>
      <c r="I121">
        <v>4.19E-2</v>
      </c>
      <c r="J121">
        <v>3.79E-3</v>
      </c>
      <c r="K121">
        <v>2.6710000000000001E-2</v>
      </c>
      <c r="L121">
        <v>2.4299999999999999E-3</v>
      </c>
      <c r="M121">
        <v>1.7729999999999999E-2</v>
      </c>
      <c r="N121">
        <v>1.7700000000000001E-3</v>
      </c>
      <c r="P121">
        <v>2.3126199999999999</v>
      </c>
      <c r="Q121">
        <v>0.20885000000000001</v>
      </c>
      <c r="R121">
        <v>1.4794799999999999</v>
      </c>
      <c r="S121">
        <v>0.13478999999999999</v>
      </c>
      <c r="T121">
        <v>0.98784000000000005</v>
      </c>
      <c r="U121">
        <v>9.8210000000000006E-2</v>
      </c>
      <c r="W121">
        <v>0.12093</v>
      </c>
      <c r="X121">
        <v>1.093E-2</v>
      </c>
      <c r="Y121">
        <v>7.7100000000000002E-2</v>
      </c>
      <c r="Z121">
        <v>7.0299999999999998E-3</v>
      </c>
      <c r="AA121">
        <v>5.1189999999999999E-2</v>
      </c>
      <c r="AB121">
        <v>5.1000000000000004E-3</v>
      </c>
      <c r="AD121">
        <v>1.3014300000000001</v>
      </c>
      <c r="AE121">
        <v>0.11759</v>
      </c>
      <c r="AF121">
        <v>0.82894999999999996</v>
      </c>
      <c r="AG121">
        <v>7.5480000000000005E-2</v>
      </c>
      <c r="AH121">
        <v>0.54983000000000004</v>
      </c>
      <c r="AI121">
        <v>5.4730000000000001E-2</v>
      </c>
      <c r="AK121">
        <v>1.1224099999999999</v>
      </c>
      <c r="AL121">
        <v>0.10226</v>
      </c>
      <c r="AM121">
        <v>0.70245000000000002</v>
      </c>
      <c r="AN121">
        <v>6.4640000000000003E-2</v>
      </c>
      <c r="AO121">
        <v>0.45240000000000002</v>
      </c>
      <c r="AP121">
        <v>6.4640000000000003E-2</v>
      </c>
    </row>
    <row r="122" spans="2:42" x14ac:dyDescent="0.2">
      <c r="B122">
        <v>2.13611</v>
      </c>
      <c r="C122">
        <v>0.19675999999999999</v>
      </c>
      <c r="D122">
        <v>1.3440799999999999</v>
      </c>
      <c r="E122">
        <v>0.12427000000000001</v>
      </c>
      <c r="F122">
        <v>0.85299000000000003</v>
      </c>
      <c r="G122">
        <v>8.516E-2</v>
      </c>
      <c r="I122">
        <v>5.0290000000000001E-2</v>
      </c>
      <c r="J122">
        <v>4.6299999999999996E-3</v>
      </c>
      <c r="K122">
        <v>3.1649999999999998E-2</v>
      </c>
      <c r="L122">
        <v>2.9299999999999999E-3</v>
      </c>
      <c r="M122">
        <v>2.0080000000000001E-2</v>
      </c>
      <c r="N122">
        <v>2.0100000000000001E-3</v>
      </c>
      <c r="P122">
        <v>2.7619400000000001</v>
      </c>
      <c r="Q122">
        <v>0.25408999999999998</v>
      </c>
      <c r="R122">
        <v>1.74339</v>
      </c>
      <c r="S122">
        <v>0.16109000000000001</v>
      </c>
      <c r="T122">
        <v>1.11351</v>
      </c>
      <c r="U122">
        <v>0.11101999999999999</v>
      </c>
      <c r="W122">
        <v>0.14516999999999999</v>
      </c>
      <c r="X122">
        <v>1.337E-2</v>
      </c>
      <c r="Y122">
        <v>9.1350000000000001E-2</v>
      </c>
      <c r="Z122">
        <v>8.4499999999999992E-3</v>
      </c>
      <c r="AA122">
        <v>5.7970000000000001E-2</v>
      </c>
      <c r="AB122">
        <v>5.79E-3</v>
      </c>
      <c r="AD122">
        <v>1.5655699999999999</v>
      </c>
      <c r="AE122">
        <v>0.14423</v>
      </c>
      <c r="AF122">
        <v>0.98414000000000001</v>
      </c>
      <c r="AG122">
        <v>9.0959999999999999E-2</v>
      </c>
      <c r="AH122">
        <v>0.62373999999999996</v>
      </c>
      <c r="AI122">
        <v>6.2239999999999997E-2</v>
      </c>
      <c r="AK122">
        <v>1.35798</v>
      </c>
      <c r="AL122">
        <v>0.12594</v>
      </c>
      <c r="AM122">
        <v>0.84067000000000003</v>
      </c>
      <c r="AN122">
        <v>7.8380000000000005E-2</v>
      </c>
      <c r="AO122">
        <v>0.51837</v>
      </c>
      <c r="AP122">
        <v>7.8380000000000005E-2</v>
      </c>
    </row>
    <row r="123" spans="2:42" x14ac:dyDescent="0.2">
      <c r="B123">
        <v>2.5384799999999998</v>
      </c>
      <c r="C123">
        <v>0.23860000000000001</v>
      </c>
      <c r="D123">
        <v>1.5922700000000001</v>
      </c>
      <c r="E123">
        <v>0.14901</v>
      </c>
      <c r="F123">
        <v>0.96948000000000001</v>
      </c>
      <c r="G123">
        <v>9.6699999999999994E-2</v>
      </c>
      <c r="I123">
        <v>5.9769999999999997E-2</v>
      </c>
      <c r="J123">
        <v>5.62E-3</v>
      </c>
      <c r="K123">
        <v>3.7490000000000002E-2</v>
      </c>
      <c r="L123">
        <v>3.5100000000000001E-3</v>
      </c>
      <c r="M123">
        <v>2.283E-2</v>
      </c>
      <c r="N123">
        <v>2.2799999999999999E-3</v>
      </c>
      <c r="P123">
        <v>3.2660100000000001</v>
      </c>
      <c r="Q123">
        <v>0.30646000000000001</v>
      </c>
      <c r="R123">
        <v>2.0544099999999998</v>
      </c>
      <c r="S123">
        <v>0.19203999999999999</v>
      </c>
      <c r="T123">
        <v>1.2593300000000001</v>
      </c>
      <c r="U123">
        <v>0.12547</v>
      </c>
      <c r="W123">
        <v>0.17252000000000001</v>
      </c>
      <c r="X123">
        <v>1.6219999999999998E-2</v>
      </c>
      <c r="Y123">
        <v>0.10821</v>
      </c>
      <c r="Z123">
        <v>1.013E-2</v>
      </c>
      <c r="AA123">
        <v>6.5890000000000004E-2</v>
      </c>
      <c r="AB123">
        <v>6.5700000000000003E-3</v>
      </c>
      <c r="AD123">
        <v>1.86412</v>
      </c>
      <c r="AE123">
        <v>0.17527999999999999</v>
      </c>
      <c r="AF123">
        <v>1.1683300000000001</v>
      </c>
      <c r="AG123">
        <v>0.10932</v>
      </c>
      <c r="AH123">
        <v>0.71020000000000005</v>
      </c>
      <c r="AI123">
        <v>7.0800000000000002E-2</v>
      </c>
      <c r="AK123">
        <v>1.62243</v>
      </c>
      <c r="AL123">
        <v>0.15336</v>
      </c>
      <c r="AM123">
        <v>1.004</v>
      </c>
      <c r="AN123">
        <v>9.4579999999999997E-2</v>
      </c>
      <c r="AO123">
        <v>0.59506999999999999</v>
      </c>
      <c r="AP123">
        <v>9.4579999999999997E-2</v>
      </c>
    </row>
    <row r="124" spans="2:42" x14ac:dyDescent="0.2">
      <c r="B124">
        <v>2.9853100000000001</v>
      </c>
      <c r="C124">
        <v>0.28597</v>
      </c>
      <c r="D124">
        <v>1.8647400000000001</v>
      </c>
      <c r="E124">
        <v>0.17688999999999999</v>
      </c>
      <c r="F124">
        <v>1.09965</v>
      </c>
      <c r="G124">
        <v>0.10962</v>
      </c>
      <c r="I124">
        <v>7.0290000000000005E-2</v>
      </c>
      <c r="J124">
        <v>6.7299999999999999E-3</v>
      </c>
      <c r="K124">
        <v>4.3909999999999998E-2</v>
      </c>
      <c r="L124">
        <v>4.1599999999999996E-3</v>
      </c>
      <c r="M124">
        <v>2.589E-2</v>
      </c>
      <c r="N124">
        <v>2.5799999999999998E-3</v>
      </c>
      <c r="P124">
        <v>3.8235000000000001</v>
      </c>
      <c r="Q124">
        <v>0.36551</v>
      </c>
      <c r="R124">
        <v>2.3942399999999999</v>
      </c>
      <c r="S124">
        <v>0.22678000000000001</v>
      </c>
      <c r="T124">
        <v>1.42157</v>
      </c>
      <c r="U124">
        <v>0.14158000000000001</v>
      </c>
      <c r="W124">
        <v>0.20288999999999999</v>
      </c>
      <c r="X124">
        <v>1.9429999999999999E-2</v>
      </c>
      <c r="Y124">
        <v>0.12673000000000001</v>
      </c>
      <c r="Z124">
        <v>1.2019999999999999E-2</v>
      </c>
      <c r="AA124">
        <v>7.4730000000000005E-2</v>
      </c>
      <c r="AB124">
        <v>7.45E-3</v>
      </c>
      <c r="AD124">
        <v>2.1962299999999999</v>
      </c>
      <c r="AE124">
        <v>0.21049999999999999</v>
      </c>
      <c r="AF124">
        <v>1.3708800000000001</v>
      </c>
      <c r="AG124">
        <v>0.13005</v>
      </c>
      <c r="AH124">
        <v>0.80701000000000001</v>
      </c>
      <c r="AI124">
        <v>8.0399999999999999E-2</v>
      </c>
      <c r="AK124">
        <v>1.9146099999999999</v>
      </c>
      <c r="AL124">
        <v>0.18426000000000001</v>
      </c>
      <c r="AM124">
        <v>1.1821200000000001</v>
      </c>
      <c r="AN124">
        <v>0.11274000000000001</v>
      </c>
      <c r="AO124">
        <v>0.68037999999999998</v>
      </c>
      <c r="AP124">
        <v>0.11274000000000001</v>
      </c>
    </row>
    <row r="125" spans="2:42" x14ac:dyDescent="0.2">
      <c r="B125">
        <v>3.46991</v>
      </c>
      <c r="C125">
        <v>0.33848</v>
      </c>
      <c r="D125">
        <v>2.15042</v>
      </c>
      <c r="E125">
        <v>0.20760999999999999</v>
      </c>
      <c r="F125">
        <v>1.23454</v>
      </c>
      <c r="G125">
        <v>0.1239</v>
      </c>
      <c r="I125">
        <v>8.1699999999999995E-2</v>
      </c>
      <c r="J125">
        <v>7.9699999999999997E-3</v>
      </c>
      <c r="K125">
        <v>5.0630000000000001E-2</v>
      </c>
      <c r="L125">
        <v>4.8900000000000002E-3</v>
      </c>
      <c r="M125">
        <v>2.9069999999999999E-2</v>
      </c>
      <c r="N125">
        <v>2.9199999999999999E-3</v>
      </c>
      <c r="P125">
        <v>4.4259300000000001</v>
      </c>
      <c r="Q125">
        <v>0.43078</v>
      </c>
      <c r="R125">
        <v>2.7486199999999998</v>
      </c>
      <c r="S125">
        <v>0.26491999999999999</v>
      </c>
      <c r="T125">
        <v>1.5887</v>
      </c>
      <c r="U125">
        <v>0.15933</v>
      </c>
      <c r="W125">
        <v>0.23582</v>
      </c>
      <c r="X125">
        <v>2.3E-2</v>
      </c>
      <c r="Y125">
        <v>0.14615</v>
      </c>
      <c r="Z125">
        <v>1.4109999999999999E-2</v>
      </c>
      <c r="AA125">
        <v>8.3900000000000002E-2</v>
      </c>
      <c r="AB125">
        <v>8.4200000000000004E-3</v>
      </c>
      <c r="AD125">
        <v>2.5569000000000002</v>
      </c>
      <c r="AE125">
        <v>0.24959000000000001</v>
      </c>
      <c r="AF125">
        <v>1.5835900000000001</v>
      </c>
      <c r="AG125">
        <v>0.15293000000000001</v>
      </c>
      <c r="AH125">
        <v>0.90751000000000004</v>
      </c>
      <c r="AI125">
        <v>9.103E-2</v>
      </c>
      <c r="AK125">
        <v>2.2297199999999999</v>
      </c>
      <c r="AL125">
        <v>0.21837999999999999</v>
      </c>
      <c r="AM125">
        <v>1.3669</v>
      </c>
      <c r="AN125">
        <v>0.13266</v>
      </c>
      <c r="AO125">
        <v>0.76773999999999998</v>
      </c>
      <c r="AP125">
        <v>0.13266</v>
      </c>
    </row>
    <row r="126" spans="2:42" x14ac:dyDescent="0.2">
      <c r="B126">
        <v>4.0148799999999998</v>
      </c>
      <c r="C126">
        <v>0.39766000000000001</v>
      </c>
      <c r="D126">
        <v>2.45817</v>
      </c>
      <c r="E126">
        <v>0.24091000000000001</v>
      </c>
      <c r="F126">
        <v>1.3879699999999999</v>
      </c>
      <c r="G126">
        <v>0.13968</v>
      </c>
      <c r="I126">
        <v>9.4530000000000003E-2</v>
      </c>
      <c r="J126">
        <v>9.3600000000000003E-3</v>
      </c>
      <c r="K126">
        <v>5.7880000000000001E-2</v>
      </c>
      <c r="L126">
        <v>5.6699999999999997E-3</v>
      </c>
      <c r="M126">
        <v>3.2680000000000001E-2</v>
      </c>
      <c r="N126">
        <v>3.29E-3</v>
      </c>
      <c r="P126">
        <v>5.1032400000000004</v>
      </c>
      <c r="Q126">
        <v>0.50429000000000002</v>
      </c>
      <c r="R126">
        <v>3.1292900000000001</v>
      </c>
      <c r="S126">
        <v>0.30614999999999998</v>
      </c>
      <c r="T126">
        <v>1.7788900000000001</v>
      </c>
      <c r="U126">
        <v>0.17892</v>
      </c>
      <c r="W126">
        <v>0.27285999999999999</v>
      </c>
      <c r="X126">
        <v>2.7029999999999998E-2</v>
      </c>
      <c r="Y126">
        <v>0.16705999999999999</v>
      </c>
      <c r="Z126">
        <v>1.6369999999999999E-2</v>
      </c>
      <c r="AA126">
        <v>9.4329999999999997E-2</v>
      </c>
      <c r="AB126">
        <v>9.4900000000000002E-3</v>
      </c>
      <c r="AD126">
        <v>2.96286</v>
      </c>
      <c r="AE126">
        <v>0.29368</v>
      </c>
      <c r="AF126">
        <v>1.81294</v>
      </c>
      <c r="AG126">
        <v>0.17774999999999999</v>
      </c>
      <c r="AH126">
        <v>1.02186</v>
      </c>
      <c r="AI126">
        <v>0.1028</v>
      </c>
      <c r="AK126">
        <v>2.5852599999999999</v>
      </c>
      <c r="AL126">
        <v>0.25694</v>
      </c>
      <c r="AM126">
        <v>1.56443</v>
      </c>
      <c r="AN126">
        <v>0.15411</v>
      </c>
      <c r="AO126">
        <v>0.86719999999999997</v>
      </c>
      <c r="AP126">
        <v>0.15411</v>
      </c>
    </row>
    <row r="127" spans="2:42" x14ac:dyDescent="0.2">
      <c r="B127">
        <v>4.6112900000000003</v>
      </c>
      <c r="C127">
        <v>0.46315000000000001</v>
      </c>
      <c r="D127">
        <v>2.81426</v>
      </c>
      <c r="E127">
        <v>0.27915000000000001</v>
      </c>
      <c r="F127">
        <v>1.56341</v>
      </c>
      <c r="G127">
        <v>0.15719</v>
      </c>
      <c r="I127">
        <v>0.10857</v>
      </c>
      <c r="J127">
        <v>1.09E-2</v>
      </c>
      <c r="K127">
        <v>6.6259999999999999E-2</v>
      </c>
      <c r="L127">
        <v>6.5700000000000003E-3</v>
      </c>
      <c r="M127">
        <v>3.6810000000000002E-2</v>
      </c>
      <c r="N127">
        <v>3.7000000000000002E-3</v>
      </c>
      <c r="P127">
        <v>5.8444700000000003</v>
      </c>
      <c r="Q127">
        <v>0.58569000000000004</v>
      </c>
      <c r="R127">
        <v>3.5710299999999999</v>
      </c>
      <c r="S127">
        <v>0.35359000000000002</v>
      </c>
      <c r="T127">
        <v>1.9969300000000001</v>
      </c>
      <c r="U127">
        <v>0.20066999999999999</v>
      </c>
      <c r="W127">
        <v>0.31339</v>
      </c>
      <c r="X127">
        <v>3.1480000000000001E-2</v>
      </c>
      <c r="Y127">
        <v>0.19126000000000001</v>
      </c>
      <c r="Z127">
        <v>1.8970000000000001E-2</v>
      </c>
      <c r="AA127">
        <v>0.10625</v>
      </c>
      <c r="AB127">
        <v>1.068E-2</v>
      </c>
      <c r="AD127">
        <v>3.4074399999999998</v>
      </c>
      <c r="AE127">
        <v>0.34250000000000003</v>
      </c>
      <c r="AF127">
        <v>2.0784699999999998</v>
      </c>
      <c r="AG127">
        <v>0.20626</v>
      </c>
      <c r="AH127">
        <v>1.1526799999999999</v>
      </c>
      <c r="AI127">
        <v>0.11584999999999999</v>
      </c>
      <c r="AK127">
        <v>2.9757899999999999</v>
      </c>
      <c r="AL127">
        <v>0.29980000000000001</v>
      </c>
      <c r="AM127">
        <v>1.7962800000000001</v>
      </c>
      <c r="AN127">
        <v>0.17901</v>
      </c>
      <c r="AO127">
        <v>0.98229999999999995</v>
      </c>
      <c r="AP127">
        <v>0.17901</v>
      </c>
    </row>
    <row r="128" spans="2:42" x14ac:dyDescent="0.2">
      <c r="B128">
        <v>5.27963</v>
      </c>
      <c r="C128">
        <v>0.53547</v>
      </c>
      <c r="D128">
        <v>3.23569</v>
      </c>
      <c r="E128">
        <v>0.32285000000000003</v>
      </c>
      <c r="F128">
        <v>1.7620199999999999</v>
      </c>
      <c r="G128">
        <v>0.17669000000000001</v>
      </c>
      <c r="I128">
        <v>0.12431</v>
      </c>
      <c r="J128">
        <v>1.261E-2</v>
      </c>
      <c r="K128">
        <v>7.6179999999999998E-2</v>
      </c>
      <c r="L128">
        <v>7.6E-3</v>
      </c>
      <c r="M128">
        <v>4.1489999999999999E-2</v>
      </c>
      <c r="N128">
        <v>4.1599999999999996E-3</v>
      </c>
      <c r="P128">
        <v>6.6777600000000001</v>
      </c>
      <c r="Q128">
        <v>0.67574999999999996</v>
      </c>
      <c r="R128">
        <v>4.0969499999999996</v>
      </c>
      <c r="S128">
        <v>0.40801999999999999</v>
      </c>
      <c r="T128">
        <v>2.2446999999999999</v>
      </c>
      <c r="U128">
        <v>0.22497</v>
      </c>
      <c r="W128">
        <v>0.35881999999999997</v>
      </c>
      <c r="X128">
        <v>3.6389999999999999E-2</v>
      </c>
      <c r="Y128">
        <v>0.21990000000000001</v>
      </c>
      <c r="Z128">
        <v>2.1940000000000001E-2</v>
      </c>
      <c r="AA128">
        <v>0.11975</v>
      </c>
      <c r="AB128">
        <v>1.201E-2</v>
      </c>
      <c r="AD128">
        <v>3.9056999999999999</v>
      </c>
      <c r="AE128">
        <v>0.39641999999999999</v>
      </c>
      <c r="AF128">
        <v>2.3926400000000001</v>
      </c>
      <c r="AG128">
        <v>0.23885000000000001</v>
      </c>
      <c r="AH128">
        <v>1.30077</v>
      </c>
      <c r="AI128">
        <v>0.13039999999999999</v>
      </c>
      <c r="AK128">
        <v>3.4191500000000001</v>
      </c>
      <c r="AL128">
        <v>0.34755999999999998</v>
      </c>
      <c r="AM128">
        <v>2.07687</v>
      </c>
      <c r="AN128">
        <v>0.20791000000000001</v>
      </c>
      <c r="AO128">
        <v>1.1144799999999999</v>
      </c>
      <c r="AP128">
        <v>0.20791000000000001</v>
      </c>
    </row>
    <row r="129" spans="2:42" x14ac:dyDescent="0.2">
      <c r="B129">
        <v>6.0080999999999998</v>
      </c>
      <c r="C129">
        <v>0.61509000000000003</v>
      </c>
      <c r="D129">
        <v>3.7146300000000001</v>
      </c>
      <c r="E129">
        <v>0.37176999999999999</v>
      </c>
      <c r="F129">
        <v>1.9711399999999999</v>
      </c>
      <c r="G129">
        <v>0.19808999999999999</v>
      </c>
      <c r="I129">
        <v>0.14146</v>
      </c>
      <c r="J129">
        <v>1.448E-2</v>
      </c>
      <c r="K129">
        <v>8.7459999999999996E-2</v>
      </c>
      <c r="L129">
        <v>8.7500000000000008E-3</v>
      </c>
      <c r="M129">
        <v>4.641E-2</v>
      </c>
      <c r="N129">
        <v>4.6600000000000001E-3</v>
      </c>
      <c r="P129">
        <v>7.5886899999999997</v>
      </c>
      <c r="Q129">
        <v>0.77524000000000004</v>
      </c>
      <c r="R129">
        <v>4.6975300000000004</v>
      </c>
      <c r="S129">
        <v>0.46917999999999999</v>
      </c>
      <c r="T129">
        <v>2.5057200000000002</v>
      </c>
      <c r="U129">
        <v>0.25170999999999999</v>
      </c>
      <c r="W129">
        <v>0.40832000000000002</v>
      </c>
      <c r="X129">
        <v>4.1799999999999997E-2</v>
      </c>
      <c r="Y129">
        <v>0.25245000000000001</v>
      </c>
      <c r="Z129">
        <v>2.5270000000000001E-2</v>
      </c>
      <c r="AA129">
        <v>0.13396</v>
      </c>
      <c r="AB129">
        <v>1.346E-2</v>
      </c>
      <c r="AD129">
        <v>4.4487899999999998</v>
      </c>
      <c r="AE129">
        <v>0.45578000000000002</v>
      </c>
      <c r="AF129">
        <v>2.7496100000000001</v>
      </c>
      <c r="AG129">
        <v>0.27532000000000001</v>
      </c>
      <c r="AH129">
        <v>1.4567000000000001</v>
      </c>
      <c r="AI129">
        <v>0.14635000000000001</v>
      </c>
      <c r="AK129">
        <v>3.9078499999999998</v>
      </c>
      <c r="AL129">
        <v>0.40083999999999997</v>
      </c>
      <c r="AM129">
        <v>2.4013</v>
      </c>
      <c r="AN129">
        <v>0.2407</v>
      </c>
      <c r="AO129">
        <v>1.2538199999999999</v>
      </c>
      <c r="AP129">
        <v>0.2407</v>
      </c>
    </row>
    <row r="130" spans="2:42" x14ac:dyDescent="0.2">
      <c r="B130">
        <v>6.8002099999999999</v>
      </c>
      <c r="C130">
        <v>0.70230999999999999</v>
      </c>
      <c r="D130">
        <v>4.2357199999999997</v>
      </c>
      <c r="E130">
        <v>0.42605999999999999</v>
      </c>
      <c r="F130">
        <v>2.2027999999999999</v>
      </c>
      <c r="G130">
        <v>0.22142000000000001</v>
      </c>
      <c r="I130">
        <v>0.16011</v>
      </c>
      <c r="J130">
        <v>1.6539999999999999E-2</v>
      </c>
      <c r="K130">
        <v>9.9729999999999999E-2</v>
      </c>
      <c r="L130">
        <v>1.0030000000000001E-2</v>
      </c>
      <c r="M130">
        <v>5.1869999999999999E-2</v>
      </c>
      <c r="N130">
        <v>5.2100000000000002E-3</v>
      </c>
      <c r="P130">
        <v>8.5832200000000007</v>
      </c>
      <c r="Q130">
        <v>0.88471</v>
      </c>
      <c r="R130">
        <v>5.3532099999999998</v>
      </c>
      <c r="S130">
        <v>0.53737999999999997</v>
      </c>
      <c r="T130">
        <v>2.7965300000000002</v>
      </c>
      <c r="U130">
        <v>0.28099000000000002</v>
      </c>
      <c r="W130">
        <v>0.46216000000000002</v>
      </c>
      <c r="X130">
        <v>4.7730000000000002E-2</v>
      </c>
      <c r="Y130">
        <v>0.28787000000000001</v>
      </c>
      <c r="Z130">
        <v>2.896E-2</v>
      </c>
      <c r="AA130">
        <v>0.14971000000000001</v>
      </c>
      <c r="AB130">
        <v>1.5049999999999999E-2</v>
      </c>
      <c r="AD130">
        <v>5.0392099999999997</v>
      </c>
      <c r="AE130">
        <v>0.52078999999999998</v>
      </c>
      <c r="AF130">
        <v>3.13794</v>
      </c>
      <c r="AG130">
        <v>0.31578000000000001</v>
      </c>
      <c r="AH130">
        <v>1.62937</v>
      </c>
      <c r="AI130">
        <v>0.16374</v>
      </c>
      <c r="AK130">
        <v>4.4469500000000002</v>
      </c>
      <c r="AL130">
        <v>0.46012999999999998</v>
      </c>
      <c r="AM130">
        <v>2.7585999999999999</v>
      </c>
      <c r="AN130">
        <v>0.27772000000000002</v>
      </c>
      <c r="AO130">
        <v>1.4113899999999999</v>
      </c>
      <c r="AP130">
        <v>0.27772000000000002</v>
      </c>
    </row>
    <row r="131" spans="2:42" x14ac:dyDescent="0.2">
      <c r="B131">
        <v>7.6471600000000004</v>
      </c>
      <c r="C131">
        <v>0.79622000000000004</v>
      </c>
      <c r="D131">
        <v>4.7875800000000002</v>
      </c>
      <c r="E131">
        <v>0.48448000000000002</v>
      </c>
      <c r="F131">
        <v>2.4499300000000002</v>
      </c>
      <c r="G131">
        <v>0.24667</v>
      </c>
      <c r="I131">
        <v>0.18004999999999999</v>
      </c>
      <c r="J131">
        <v>1.8749999999999999E-2</v>
      </c>
      <c r="K131">
        <v>0.11272</v>
      </c>
      <c r="L131">
        <v>1.141E-2</v>
      </c>
      <c r="M131">
        <v>5.7680000000000002E-2</v>
      </c>
      <c r="N131">
        <v>5.8100000000000001E-3</v>
      </c>
      <c r="P131">
        <v>9.6512399999999996</v>
      </c>
      <c r="Q131">
        <v>1.00305</v>
      </c>
      <c r="R131">
        <v>6.0501800000000001</v>
      </c>
      <c r="S131">
        <v>0.61104999999999998</v>
      </c>
      <c r="T131">
        <v>3.1078100000000002</v>
      </c>
      <c r="U131">
        <v>0.31280000000000002</v>
      </c>
      <c r="W131">
        <v>0.51971999999999996</v>
      </c>
      <c r="X131">
        <v>5.4109999999999998E-2</v>
      </c>
      <c r="Y131">
        <v>0.32536999999999999</v>
      </c>
      <c r="Z131">
        <v>3.2930000000000001E-2</v>
      </c>
      <c r="AA131">
        <v>0.16650000000000001</v>
      </c>
      <c r="AB131">
        <v>1.6760000000000001E-2</v>
      </c>
      <c r="AD131">
        <v>5.6704400000000001</v>
      </c>
      <c r="AE131">
        <v>0.59077999999999997</v>
      </c>
      <c r="AF131">
        <v>3.5491799999999998</v>
      </c>
      <c r="AG131">
        <v>0.35931999999999997</v>
      </c>
      <c r="AH131">
        <v>1.8135699999999999</v>
      </c>
      <c r="AI131">
        <v>0.18256</v>
      </c>
      <c r="AK131">
        <v>5.0326000000000004</v>
      </c>
      <c r="AL131">
        <v>0.52492000000000005</v>
      </c>
      <c r="AM131">
        <v>3.1422400000000001</v>
      </c>
      <c r="AN131">
        <v>0.31809999999999999</v>
      </c>
      <c r="AO131">
        <v>1.58158</v>
      </c>
      <c r="AP131">
        <v>0.31809999999999999</v>
      </c>
    </row>
    <row r="132" spans="2:42" x14ac:dyDescent="0.2">
      <c r="B132">
        <v>8.5651100000000007</v>
      </c>
      <c r="C132">
        <v>0.89785999999999999</v>
      </c>
      <c r="D132">
        <v>5.3853299999999997</v>
      </c>
      <c r="E132">
        <v>0.54798999999999998</v>
      </c>
      <c r="F132">
        <v>2.7141999999999999</v>
      </c>
      <c r="G132">
        <v>0.27373999999999998</v>
      </c>
      <c r="I132">
        <v>0.20166999999999999</v>
      </c>
      <c r="J132">
        <v>2.1139999999999999E-2</v>
      </c>
      <c r="K132">
        <v>0.1268</v>
      </c>
      <c r="L132">
        <v>1.29E-2</v>
      </c>
      <c r="M132">
        <v>6.3909999999999995E-2</v>
      </c>
      <c r="N132">
        <v>6.45E-3</v>
      </c>
      <c r="P132">
        <v>10.816610000000001</v>
      </c>
      <c r="Q132">
        <v>1.13201</v>
      </c>
      <c r="R132">
        <v>6.8098799999999997</v>
      </c>
      <c r="S132">
        <v>0.69167000000000001</v>
      </c>
      <c r="T132">
        <v>3.4428000000000001</v>
      </c>
      <c r="U132">
        <v>0.34712999999999999</v>
      </c>
      <c r="W132">
        <v>0.58209999999999995</v>
      </c>
      <c r="X132">
        <v>6.1019999999999998E-2</v>
      </c>
      <c r="Y132">
        <v>0.36599999999999999</v>
      </c>
      <c r="Z132">
        <v>3.7240000000000002E-2</v>
      </c>
      <c r="AA132">
        <v>0.18446000000000001</v>
      </c>
      <c r="AB132">
        <v>1.8599999999999998E-2</v>
      </c>
      <c r="AD132">
        <v>6.3543099999999999</v>
      </c>
      <c r="AE132">
        <v>0.66651000000000005</v>
      </c>
      <c r="AF132">
        <v>3.9944500000000001</v>
      </c>
      <c r="AG132">
        <v>0.40662999999999999</v>
      </c>
      <c r="AH132">
        <v>2.0104700000000002</v>
      </c>
      <c r="AI132">
        <v>0.20272999999999999</v>
      </c>
      <c r="AK132">
        <v>5.6828799999999999</v>
      </c>
      <c r="AL132">
        <v>0.59675999999999996</v>
      </c>
      <c r="AM132">
        <v>3.56724</v>
      </c>
      <c r="AN132">
        <v>0.36307</v>
      </c>
      <c r="AO132">
        <v>1.7677799999999999</v>
      </c>
      <c r="AP132">
        <v>0.36307</v>
      </c>
    </row>
    <row r="133" spans="2:42" x14ac:dyDescent="0.2">
      <c r="B133">
        <v>9.5579800000000006</v>
      </c>
      <c r="C133">
        <v>1.00752</v>
      </c>
      <c r="D133">
        <v>6.0303800000000001</v>
      </c>
      <c r="E133">
        <v>0.61675000000000002</v>
      </c>
      <c r="F133">
        <v>2.9956900000000002</v>
      </c>
      <c r="G133">
        <v>0.30263000000000001</v>
      </c>
      <c r="I133">
        <v>0.22503999999999999</v>
      </c>
      <c r="J133">
        <v>2.3720000000000001E-2</v>
      </c>
      <c r="K133">
        <v>0.14199000000000001</v>
      </c>
      <c r="L133">
        <v>1.452E-2</v>
      </c>
      <c r="M133">
        <v>7.0529999999999995E-2</v>
      </c>
      <c r="N133">
        <v>7.1300000000000001E-3</v>
      </c>
      <c r="P133">
        <v>12.086029999999999</v>
      </c>
      <c r="Q133">
        <v>1.27213</v>
      </c>
      <c r="R133">
        <v>7.6351100000000001</v>
      </c>
      <c r="S133">
        <v>0.77956999999999999</v>
      </c>
      <c r="T133">
        <v>3.8020800000000001</v>
      </c>
      <c r="U133">
        <v>0.38401000000000002</v>
      </c>
      <c r="W133">
        <v>0.64958000000000005</v>
      </c>
      <c r="X133">
        <v>6.8470000000000003E-2</v>
      </c>
      <c r="Y133">
        <v>0.40983999999999998</v>
      </c>
      <c r="Z133">
        <v>4.1919999999999999E-2</v>
      </c>
      <c r="AA133">
        <v>0.20358999999999999</v>
      </c>
      <c r="AB133">
        <v>2.0570000000000001E-2</v>
      </c>
      <c r="AD133">
        <v>7.0936599999999999</v>
      </c>
      <c r="AE133">
        <v>0.74817</v>
      </c>
      <c r="AF133">
        <v>4.4747599999999998</v>
      </c>
      <c r="AG133">
        <v>0.45783000000000001</v>
      </c>
      <c r="AH133">
        <v>2.22011</v>
      </c>
      <c r="AI133">
        <v>0.22425</v>
      </c>
      <c r="AK133">
        <v>6.4038000000000004</v>
      </c>
      <c r="AL133">
        <v>0.67620999999999998</v>
      </c>
      <c r="AM133">
        <v>4.0365099999999998</v>
      </c>
      <c r="AN133">
        <v>0.41295999999999999</v>
      </c>
      <c r="AO133">
        <v>1.97096</v>
      </c>
      <c r="AP133">
        <v>0.41295999999999999</v>
      </c>
    </row>
    <row r="134" spans="2:42" x14ac:dyDescent="0.2">
      <c r="B134">
        <v>10.62969</v>
      </c>
      <c r="C134">
        <v>1.12551</v>
      </c>
      <c r="D134">
        <v>6.7241299999999997</v>
      </c>
      <c r="E134">
        <v>0.69091999999999998</v>
      </c>
      <c r="F134">
        <v>3.2944599999999999</v>
      </c>
      <c r="G134">
        <v>0.33335999999999999</v>
      </c>
      <c r="I134">
        <v>0.25028</v>
      </c>
      <c r="J134">
        <v>2.6499999999999999E-2</v>
      </c>
      <c r="K134">
        <v>0.15831999999999999</v>
      </c>
      <c r="L134">
        <v>1.627E-2</v>
      </c>
      <c r="M134">
        <v>7.757E-2</v>
      </c>
      <c r="N134">
        <v>7.8499999999999993E-3</v>
      </c>
      <c r="P134">
        <v>13.46618</v>
      </c>
      <c r="Q134">
        <v>1.4239999999999999</v>
      </c>
      <c r="R134">
        <v>8.5286399999999993</v>
      </c>
      <c r="S134">
        <v>0.87507999999999997</v>
      </c>
      <c r="T134">
        <v>4.18621</v>
      </c>
      <c r="U134">
        <v>0.42353000000000002</v>
      </c>
      <c r="W134">
        <v>0.72241999999999995</v>
      </c>
      <c r="X134">
        <v>7.6490000000000002E-2</v>
      </c>
      <c r="Y134">
        <v>0.45699000000000001</v>
      </c>
      <c r="Z134">
        <v>4.6960000000000002E-2</v>
      </c>
      <c r="AA134">
        <v>0.22389999999999999</v>
      </c>
      <c r="AB134">
        <v>2.266E-2</v>
      </c>
      <c r="AD134">
        <v>7.89133</v>
      </c>
      <c r="AE134">
        <v>0.83599000000000001</v>
      </c>
      <c r="AF134">
        <v>4.9910899999999998</v>
      </c>
      <c r="AG134">
        <v>0.51304000000000005</v>
      </c>
      <c r="AH134">
        <v>2.44251</v>
      </c>
      <c r="AI134">
        <v>0.24712000000000001</v>
      </c>
      <c r="AK134">
        <v>7.2013800000000003</v>
      </c>
      <c r="AL134">
        <v>0.76387000000000005</v>
      </c>
      <c r="AM134">
        <v>4.5529599999999997</v>
      </c>
      <c r="AN134">
        <v>0.46812999999999999</v>
      </c>
      <c r="AO134">
        <v>2.1920700000000002</v>
      </c>
      <c r="AP134">
        <v>0.46812999999999999</v>
      </c>
    </row>
    <row r="135" spans="2:42" x14ac:dyDescent="0.2">
      <c r="B135">
        <v>11.784179999999999</v>
      </c>
      <c r="C135">
        <v>1.2521100000000001</v>
      </c>
      <c r="D135">
        <v>7.4679900000000004</v>
      </c>
      <c r="E135">
        <v>0.77068000000000003</v>
      </c>
      <c r="F135">
        <v>3.6106099999999999</v>
      </c>
      <c r="G135">
        <v>0.36592999999999998</v>
      </c>
      <c r="I135">
        <v>0.27745999999999998</v>
      </c>
      <c r="J135">
        <v>2.9479999999999999E-2</v>
      </c>
      <c r="K135">
        <v>0.17582999999999999</v>
      </c>
      <c r="L135">
        <v>1.8149999999999999E-2</v>
      </c>
      <c r="M135">
        <v>8.5010000000000002E-2</v>
      </c>
      <c r="N135">
        <v>8.6199999999999992E-3</v>
      </c>
      <c r="P135">
        <v>14.96377</v>
      </c>
      <c r="Q135">
        <v>1.5881799999999999</v>
      </c>
      <c r="R135">
        <v>9.4932599999999994</v>
      </c>
      <c r="S135">
        <v>0.97853000000000001</v>
      </c>
      <c r="T135">
        <v>4.5957699999999999</v>
      </c>
      <c r="U135">
        <v>0.46572000000000002</v>
      </c>
      <c r="W135">
        <v>0.80088000000000004</v>
      </c>
      <c r="X135">
        <v>8.5099999999999995E-2</v>
      </c>
      <c r="Y135">
        <v>0.50753999999999999</v>
      </c>
      <c r="Z135">
        <v>5.2380000000000003E-2</v>
      </c>
      <c r="AA135">
        <v>0.24537999999999999</v>
      </c>
      <c r="AB135">
        <v>2.487E-2</v>
      </c>
      <c r="AD135">
        <v>8.7501499999999997</v>
      </c>
      <c r="AE135">
        <v>0.93018000000000001</v>
      </c>
      <c r="AF135">
        <v>5.5444500000000003</v>
      </c>
      <c r="AG135">
        <v>0.57237000000000005</v>
      </c>
      <c r="AH135">
        <v>2.6777099999999998</v>
      </c>
      <c r="AI135">
        <v>0.27135999999999999</v>
      </c>
      <c r="AK135">
        <v>8.0816300000000005</v>
      </c>
      <c r="AL135">
        <v>0.86029999999999995</v>
      </c>
      <c r="AM135">
        <v>5.11951</v>
      </c>
      <c r="AN135">
        <v>0.52890999999999999</v>
      </c>
      <c r="AO135">
        <v>2.4320599999999999</v>
      </c>
      <c r="AP135">
        <v>0.52890999999999999</v>
      </c>
    </row>
    <row r="136" spans="2:42" x14ac:dyDescent="0.2">
      <c r="B136">
        <v>13.025370000000001</v>
      </c>
      <c r="C136">
        <v>1.3876299999999999</v>
      </c>
      <c r="D136">
        <v>8.2633500000000009</v>
      </c>
      <c r="E136">
        <v>0.85619000000000001</v>
      </c>
      <c r="F136">
        <v>3.9441999999999999</v>
      </c>
      <c r="G136">
        <v>0.40034999999999998</v>
      </c>
      <c r="I136">
        <v>0.30668000000000001</v>
      </c>
      <c r="J136">
        <v>3.2669999999999998E-2</v>
      </c>
      <c r="K136">
        <v>0.19456000000000001</v>
      </c>
      <c r="L136">
        <v>2.0160000000000001E-2</v>
      </c>
      <c r="M136">
        <v>9.2869999999999994E-2</v>
      </c>
      <c r="N136">
        <v>9.4299999999999991E-3</v>
      </c>
      <c r="P136">
        <v>16.585470000000001</v>
      </c>
      <c r="Q136">
        <v>1.7652300000000001</v>
      </c>
      <c r="R136">
        <v>10.53177</v>
      </c>
      <c r="S136">
        <v>1.0902499999999999</v>
      </c>
      <c r="T136">
        <v>5.03132</v>
      </c>
      <c r="U136">
        <v>0.51066</v>
      </c>
      <c r="W136">
        <v>0.88522999999999996</v>
      </c>
      <c r="X136">
        <v>9.4310000000000005E-2</v>
      </c>
      <c r="Y136">
        <v>0.56159999999999999</v>
      </c>
      <c r="Z136">
        <v>5.8189999999999999E-2</v>
      </c>
      <c r="AA136">
        <v>0.26806000000000002</v>
      </c>
      <c r="AB136">
        <v>2.7210000000000002E-2</v>
      </c>
      <c r="AD136">
        <v>9.6729599999999998</v>
      </c>
      <c r="AE136">
        <v>1.0309299999999999</v>
      </c>
      <c r="AF136">
        <v>6.1358199999999998</v>
      </c>
      <c r="AG136">
        <v>0.63595000000000002</v>
      </c>
      <c r="AH136">
        <v>2.9257399999999998</v>
      </c>
      <c r="AI136">
        <v>0.29694999999999999</v>
      </c>
      <c r="AK136">
        <v>9.0505899999999997</v>
      </c>
      <c r="AL136">
        <v>0.96606000000000003</v>
      </c>
      <c r="AM136">
        <v>5.7390699999999999</v>
      </c>
      <c r="AN136">
        <v>0.59565000000000001</v>
      </c>
      <c r="AO136">
        <v>2.6918799999999998</v>
      </c>
      <c r="AP136">
        <v>0.59565000000000001</v>
      </c>
    </row>
    <row r="137" spans="2:42" x14ac:dyDescent="0.2">
      <c r="B137">
        <v>14.357189999999999</v>
      </c>
      <c r="C137">
        <v>1.5323599999999999</v>
      </c>
      <c r="D137">
        <v>9.1116299999999999</v>
      </c>
      <c r="E137">
        <v>0.94762000000000002</v>
      </c>
      <c r="F137">
        <v>4.2953200000000002</v>
      </c>
      <c r="G137">
        <v>0.43663000000000002</v>
      </c>
      <c r="I137">
        <v>0.33804000000000001</v>
      </c>
      <c r="J137">
        <v>3.6080000000000001E-2</v>
      </c>
      <c r="K137">
        <v>0.21453</v>
      </c>
      <c r="L137">
        <v>2.231E-2</v>
      </c>
      <c r="M137">
        <v>0.10113</v>
      </c>
      <c r="N137">
        <v>1.0279999999999999E-2</v>
      </c>
      <c r="P137">
        <v>18.337980000000002</v>
      </c>
      <c r="Q137">
        <v>1.9557199999999999</v>
      </c>
      <c r="R137">
        <v>11.646940000000001</v>
      </c>
      <c r="S137">
        <v>1.2105699999999999</v>
      </c>
      <c r="T137">
        <v>5.4934399999999997</v>
      </c>
      <c r="U137">
        <v>0.55839000000000005</v>
      </c>
      <c r="W137">
        <v>0.97575000000000001</v>
      </c>
      <c r="X137">
        <v>0.10414</v>
      </c>
      <c r="Y137">
        <v>0.61924999999999997</v>
      </c>
      <c r="Z137">
        <v>6.4399999999999999E-2</v>
      </c>
      <c r="AA137">
        <v>0.29192000000000001</v>
      </c>
      <c r="AB137">
        <v>2.9669999999999998E-2</v>
      </c>
      <c r="AD137">
        <v>10.662599999999999</v>
      </c>
      <c r="AE137">
        <v>1.1384700000000001</v>
      </c>
      <c r="AF137">
        <v>6.7662000000000004</v>
      </c>
      <c r="AG137">
        <v>0.70387999999999995</v>
      </c>
      <c r="AH137">
        <v>3.1866400000000001</v>
      </c>
      <c r="AI137">
        <v>0.32390000000000002</v>
      </c>
      <c r="AK137">
        <v>10.11426</v>
      </c>
      <c r="AL137">
        <v>1.08175</v>
      </c>
      <c r="AM137">
        <v>6.4145399999999997</v>
      </c>
      <c r="AN137">
        <v>0.66869999999999996</v>
      </c>
      <c r="AO137">
        <v>2.9724900000000001</v>
      </c>
      <c r="AP137">
        <v>0.66869999999999996</v>
      </c>
    </row>
    <row r="138" spans="2:42" x14ac:dyDescent="0.2">
      <c r="B138">
        <v>15.783580000000001</v>
      </c>
      <c r="C138">
        <v>1.68658</v>
      </c>
      <c r="D138">
        <v>10.01422</v>
      </c>
      <c r="E138">
        <v>1.0451299999999999</v>
      </c>
      <c r="F138">
        <v>4.66404</v>
      </c>
      <c r="G138">
        <v>0.47477000000000003</v>
      </c>
      <c r="I138">
        <v>0.37163000000000002</v>
      </c>
      <c r="J138">
        <v>3.9710000000000002E-2</v>
      </c>
      <c r="K138">
        <v>0.23579</v>
      </c>
      <c r="L138">
        <v>2.461E-2</v>
      </c>
      <c r="M138">
        <v>0.10982</v>
      </c>
      <c r="N138">
        <v>1.1180000000000001E-2</v>
      </c>
      <c r="P138">
        <v>20.227979999999999</v>
      </c>
      <c r="Q138">
        <v>2.1602199999999998</v>
      </c>
      <c r="R138">
        <v>12.841570000000001</v>
      </c>
      <c r="S138">
        <v>1.33982</v>
      </c>
      <c r="T138">
        <v>5.9826899999999998</v>
      </c>
      <c r="U138">
        <v>0.60897999999999997</v>
      </c>
      <c r="W138">
        <v>1.0726899999999999</v>
      </c>
      <c r="X138">
        <v>0.11462</v>
      </c>
      <c r="Y138">
        <v>0.68059000000000003</v>
      </c>
      <c r="Z138">
        <v>7.1029999999999996E-2</v>
      </c>
      <c r="AA138">
        <v>0.31697999999999998</v>
      </c>
      <c r="AB138">
        <v>3.227E-2</v>
      </c>
      <c r="AD138">
        <v>11.7219</v>
      </c>
      <c r="AE138">
        <v>1.2529999999999999</v>
      </c>
      <c r="AF138">
        <v>7.4365800000000002</v>
      </c>
      <c r="AG138">
        <v>0.77629999999999999</v>
      </c>
      <c r="AH138">
        <v>3.4604499999999998</v>
      </c>
      <c r="AI138">
        <v>0.35221999999999998</v>
      </c>
      <c r="AK138">
        <v>11.27867</v>
      </c>
      <c r="AL138">
        <v>1.2079200000000001</v>
      </c>
      <c r="AM138">
        <v>7.1488300000000002</v>
      </c>
      <c r="AN138">
        <v>0.74839</v>
      </c>
      <c r="AO138">
        <v>3.2748300000000001</v>
      </c>
      <c r="AP138">
        <v>0.74839</v>
      </c>
    </row>
    <row r="139" spans="2:42" x14ac:dyDescent="0.2">
      <c r="B139">
        <v>17.308450000000001</v>
      </c>
      <c r="C139">
        <v>1.8506100000000001</v>
      </c>
      <c r="D139">
        <v>10.972530000000001</v>
      </c>
      <c r="E139">
        <v>1.14889</v>
      </c>
      <c r="F139">
        <v>5.0504499999999997</v>
      </c>
      <c r="G139">
        <v>0.51478000000000002</v>
      </c>
      <c r="I139">
        <v>0.40753</v>
      </c>
      <c r="J139">
        <v>4.3569999999999998E-2</v>
      </c>
      <c r="K139">
        <v>0.25835000000000002</v>
      </c>
      <c r="L139">
        <v>2.7050000000000001E-2</v>
      </c>
      <c r="M139">
        <v>0.11891</v>
      </c>
      <c r="N139">
        <v>1.2120000000000001E-2</v>
      </c>
      <c r="P139">
        <v>22.262170000000001</v>
      </c>
      <c r="Q139">
        <v>2.3792800000000001</v>
      </c>
      <c r="R139">
        <v>14.11844</v>
      </c>
      <c r="S139">
        <v>1.4783200000000001</v>
      </c>
      <c r="T139">
        <v>6.4996499999999999</v>
      </c>
      <c r="U139">
        <v>0.66247999999999996</v>
      </c>
      <c r="W139">
        <v>1.17632</v>
      </c>
      <c r="X139">
        <v>0.12576999999999999</v>
      </c>
      <c r="Y139">
        <v>0.74572000000000005</v>
      </c>
      <c r="Z139">
        <v>7.8079999999999997E-2</v>
      </c>
      <c r="AA139">
        <v>0.34323999999999999</v>
      </c>
      <c r="AB139">
        <v>3.499E-2</v>
      </c>
      <c r="AD139">
        <v>12.8537</v>
      </c>
      <c r="AE139">
        <v>1.3747400000000001</v>
      </c>
      <c r="AF139">
        <v>8.1479499999999998</v>
      </c>
      <c r="AG139">
        <v>0.85331999999999997</v>
      </c>
      <c r="AH139">
        <v>3.7471899999999998</v>
      </c>
      <c r="AI139">
        <v>0.38191999999999998</v>
      </c>
      <c r="AK139">
        <v>12.54984</v>
      </c>
      <c r="AL139">
        <v>1.3451500000000001</v>
      </c>
      <c r="AM139">
        <v>7.9448600000000003</v>
      </c>
      <c r="AN139">
        <v>0.83506999999999998</v>
      </c>
      <c r="AO139">
        <v>3.5998600000000001</v>
      </c>
      <c r="AP139">
        <v>0.83506999999999998</v>
      </c>
    </row>
    <row r="140" spans="2:42" x14ac:dyDescent="0.2">
      <c r="B140">
        <v>18.935749999999999</v>
      </c>
      <c r="C140">
        <v>2.0247299999999999</v>
      </c>
      <c r="D140">
        <v>11.987959999999999</v>
      </c>
      <c r="E140">
        <v>1.2590699999999999</v>
      </c>
      <c r="F140">
        <v>5.4546200000000002</v>
      </c>
      <c r="G140">
        <v>0.55666000000000004</v>
      </c>
      <c r="I140">
        <v>0.44584000000000001</v>
      </c>
      <c r="J140">
        <v>4.7669999999999997E-2</v>
      </c>
      <c r="K140">
        <v>0.28226000000000001</v>
      </c>
      <c r="L140">
        <v>2.9649999999999999E-2</v>
      </c>
      <c r="M140">
        <v>0.12842999999999999</v>
      </c>
      <c r="N140">
        <v>1.311E-2</v>
      </c>
      <c r="P140">
        <v>24.447230000000001</v>
      </c>
      <c r="Q140">
        <v>2.61348</v>
      </c>
      <c r="R140">
        <v>15.48035</v>
      </c>
      <c r="S140">
        <v>1.62642</v>
      </c>
      <c r="T140">
        <v>7.0448899999999997</v>
      </c>
      <c r="U140">
        <v>0.71894000000000002</v>
      </c>
      <c r="W140">
        <v>1.28691</v>
      </c>
      <c r="X140">
        <v>0.1376</v>
      </c>
      <c r="Y140">
        <v>0.81472999999999995</v>
      </c>
      <c r="Z140">
        <v>8.5569999999999993E-2</v>
      </c>
      <c r="AA140">
        <v>0.37070999999999998</v>
      </c>
      <c r="AB140">
        <v>3.7830000000000003E-2</v>
      </c>
      <c r="AD140">
        <v>14.060840000000001</v>
      </c>
      <c r="AE140">
        <v>1.5038800000000001</v>
      </c>
      <c r="AF140">
        <v>8.9013100000000005</v>
      </c>
      <c r="AG140">
        <v>0.93505000000000005</v>
      </c>
      <c r="AH140">
        <v>4.0469099999999996</v>
      </c>
      <c r="AI140">
        <v>0.41298000000000001</v>
      </c>
      <c r="AK140">
        <v>13.93378</v>
      </c>
      <c r="AL140">
        <v>1.4940199999999999</v>
      </c>
      <c r="AM140">
        <v>8.8055400000000006</v>
      </c>
      <c r="AN140">
        <v>0.92908999999999997</v>
      </c>
      <c r="AO140">
        <v>3.9485399999999999</v>
      </c>
      <c r="AP140">
        <v>0.92908999999999997</v>
      </c>
    </row>
    <row r="142" spans="2:42" x14ac:dyDescent="0.2">
      <c r="B142">
        <f>B140+I140+P140+W140+AD140+AK140</f>
        <v>73.110349999999997</v>
      </c>
      <c r="C142">
        <f t="shared" ref="C142:G142" si="44">C140+J140+Q140+X140+AE140+AL140</f>
        <v>7.8213800000000004</v>
      </c>
      <c r="D142">
        <f t="shared" si="44"/>
        <v>46.272150000000003</v>
      </c>
      <c r="E142">
        <f t="shared" si="44"/>
        <v>4.8648500000000006</v>
      </c>
      <c r="F142">
        <f t="shared" si="44"/>
        <v>20.9941</v>
      </c>
      <c r="G142">
        <f t="shared" si="44"/>
        <v>2.6686100000000001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05E5-3EDA-7E42-B362-2F1D10AB2447}">
  <dimension ref="A1:N95"/>
  <sheetViews>
    <sheetView zoomScale="108" workbookViewId="0">
      <selection activeCell="F46" sqref="F46"/>
    </sheetView>
  </sheetViews>
  <sheetFormatPr baseColWidth="10" defaultRowHeight="16" x14ac:dyDescent="0.2"/>
  <cols>
    <col min="9" max="9" width="11.83203125" bestFit="1" customWidth="1"/>
  </cols>
  <sheetData>
    <row r="1" spans="1:14" x14ac:dyDescent="0.2">
      <c r="B1" t="s">
        <v>9</v>
      </c>
      <c r="C1" t="s">
        <v>10</v>
      </c>
      <c r="J1" s="2" t="s">
        <v>11</v>
      </c>
      <c r="M1" t="s">
        <v>20</v>
      </c>
    </row>
    <row r="2" spans="1:14" x14ac:dyDescent="0.2">
      <c r="B2" t="s">
        <v>1</v>
      </c>
      <c r="D2" t="s">
        <v>2</v>
      </c>
      <c r="F2" t="s">
        <v>3</v>
      </c>
      <c r="J2" t="s">
        <v>13</v>
      </c>
      <c r="K2">
        <v>0.363755</v>
      </c>
      <c r="M2" t="s">
        <v>13</v>
      </c>
      <c r="N2">
        <f>K2/$K$2</f>
        <v>1</v>
      </c>
    </row>
    <row r="3" spans="1:14" x14ac:dyDescent="0.2">
      <c r="A3">
        <v>2020</v>
      </c>
      <c r="B3">
        <f>'[1]Quarterly computing power'!$B3</f>
        <v>1322.7930890501441</v>
      </c>
      <c r="C3">
        <f>'[1]Quarterly computing power'!$C3</f>
        <v>125.03401307699041</v>
      </c>
      <c r="D3">
        <f>'[2]Quarterly computing power'!$B3</f>
        <v>1327.9200912633651</v>
      </c>
      <c r="E3">
        <f>'[2]Quarterly computing power'!$C3</f>
        <v>126.7761113196738</v>
      </c>
      <c r="F3">
        <f>'[3]Quarterly computing power'!$B3</f>
        <v>1328.241540230596</v>
      </c>
      <c r="G3">
        <f>'[3]Quarterly computing power'!$C3</f>
        <v>129.02215375721741</v>
      </c>
      <c r="J3" t="s">
        <v>12</v>
      </c>
      <c r="K3">
        <v>0.56844899999999998</v>
      </c>
      <c r="M3" t="s">
        <v>12</v>
      </c>
      <c r="N3">
        <f t="shared" ref="N3:N9" si="0">K3/$K$2</f>
        <v>1.562724910997787</v>
      </c>
    </row>
    <row r="4" spans="1:14" x14ac:dyDescent="0.2">
      <c r="A4">
        <v>2020.25</v>
      </c>
      <c r="B4">
        <f>'[1]Quarterly computing power'!$B4</f>
        <v>2295.7481642586331</v>
      </c>
      <c r="C4">
        <f>'[1]Quarterly computing power'!$C4</f>
        <v>210.58576831205761</v>
      </c>
      <c r="D4">
        <f>'[2]Quarterly computing power'!$B4</f>
        <v>2307.0837540680091</v>
      </c>
      <c r="E4">
        <f>'[2]Quarterly computing power'!$C4</f>
        <v>213.01175273436971</v>
      </c>
      <c r="F4">
        <f>'[3]Quarterly computing power'!$B4</f>
        <v>2305.599182493891</v>
      </c>
      <c r="G4">
        <f>'[3]Quarterly computing power'!$C4</f>
        <v>215.01613519555539</v>
      </c>
      <c r="J4" t="s">
        <v>14</v>
      </c>
      <c r="K4">
        <v>0.59321999999999997</v>
      </c>
      <c r="M4" t="s">
        <v>14</v>
      </c>
      <c r="N4">
        <f t="shared" si="0"/>
        <v>1.6308229440145152</v>
      </c>
    </row>
    <row r="5" spans="1:14" x14ac:dyDescent="0.2">
      <c r="A5">
        <v>2020.5</v>
      </c>
      <c r="B5">
        <f>'[1]Quarterly computing power'!$B5</f>
        <v>3901.6231218835992</v>
      </c>
      <c r="C5">
        <f>'[1]Quarterly computing power'!$C5</f>
        <v>343.93141988796731</v>
      </c>
      <c r="D5">
        <f>'[2]Quarterly computing power'!$B5</f>
        <v>3918.9342981532791</v>
      </c>
      <c r="E5">
        <f>'[2]Quarterly computing power'!$C5</f>
        <v>345.29701005614731</v>
      </c>
      <c r="F5">
        <f>'[3]Quarterly computing power'!$B5</f>
        <v>3920.3188279194042</v>
      </c>
      <c r="G5">
        <f>'[3]Quarterly computing power'!$C5</f>
        <v>351.53888702805961</v>
      </c>
      <c r="J5" t="s">
        <v>15</v>
      </c>
      <c r="K5">
        <v>0.65058700000000003</v>
      </c>
      <c r="M5" t="s">
        <v>15</v>
      </c>
      <c r="N5">
        <f t="shared" si="0"/>
        <v>1.788530741845473</v>
      </c>
    </row>
    <row r="6" spans="1:14" x14ac:dyDescent="0.2">
      <c r="A6">
        <v>2020.75</v>
      </c>
      <c r="B6">
        <f>'[1]Quarterly computing power'!$B6</f>
        <v>6512.994310014743</v>
      </c>
      <c r="C6">
        <f>'[1]Quarterly computing power'!$C6</f>
        <v>535.59307644004184</v>
      </c>
      <c r="D6">
        <f>'[2]Quarterly computing power'!$B6</f>
        <v>6534.9838104719374</v>
      </c>
      <c r="E6">
        <f>'[2]Quarterly computing power'!$C6</f>
        <v>541.83006610499785</v>
      </c>
      <c r="F6">
        <f>'[3]Quarterly computing power'!$B6</f>
        <v>6539.0936051036606</v>
      </c>
      <c r="G6">
        <f>'[3]Quarterly computing power'!$C6</f>
        <v>541.29514099845687</v>
      </c>
      <c r="J6" t="s">
        <v>16</v>
      </c>
      <c r="K6">
        <v>0.701434</v>
      </c>
      <c r="M6" t="s">
        <v>16</v>
      </c>
      <c r="N6">
        <f t="shared" si="0"/>
        <v>1.9283143874311006</v>
      </c>
    </row>
    <row r="7" spans="1:14" x14ac:dyDescent="0.2">
      <c r="A7">
        <v>2021</v>
      </c>
      <c r="B7">
        <f>'[1]Quarterly computing power'!$B7</f>
        <v>10651.55301931489</v>
      </c>
      <c r="C7">
        <f>'[1]Quarterly computing power'!$C7</f>
        <v>810.15238566561197</v>
      </c>
      <c r="D7">
        <f>'[2]Quarterly computing power'!$B7</f>
        <v>10690.852811492719</v>
      </c>
      <c r="E7">
        <f>'[2]Quarterly computing power'!$C7</f>
        <v>814.88921993536599</v>
      </c>
      <c r="F7">
        <f>'[3]Quarterly computing power'!$B7</f>
        <v>10693.455895280191</v>
      </c>
      <c r="G7">
        <f>'[3]Quarterly computing power'!$C7</f>
        <v>819.83037748627157</v>
      </c>
      <c r="J7" t="s">
        <v>17</v>
      </c>
      <c r="K7">
        <v>0.77444599999999997</v>
      </c>
      <c r="M7" t="s">
        <v>17</v>
      </c>
      <c r="N7">
        <f t="shared" si="0"/>
        <v>2.1290319033415348</v>
      </c>
    </row>
    <row r="8" spans="1:14" x14ac:dyDescent="0.2">
      <c r="A8">
        <v>2021.25</v>
      </c>
      <c r="B8">
        <f>'[1]Quarterly computing power'!$B8</f>
        <v>28770.75811919403</v>
      </c>
      <c r="C8">
        <f>'[1]Quarterly computing power'!$C8</f>
        <v>2337.333688958945</v>
      </c>
      <c r="D8">
        <f>'[2]Quarterly computing power'!$B8</f>
        <v>28890.807532891369</v>
      </c>
      <c r="E8">
        <f>'[2]Quarterly computing power'!$C8</f>
        <v>2368.2203825642491</v>
      </c>
      <c r="F8">
        <f>'[3]Quarterly computing power'!$B8</f>
        <v>28892.62013676545</v>
      </c>
      <c r="G8">
        <f>'[3]Quarterly computing power'!$C8</f>
        <v>2379.8543445257519</v>
      </c>
      <c r="J8" t="s">
        <v>18</v>
      </c>
      <c r="K8">
        <v>0.86701399999999995</v>
      </c>
      <c r="M8" t="s">
        <v>18</v>
      </c>
      <c r="N8">
        <f t="shared" si="0"/>
        <v>2.3835108795755384</v>
      </c>
    </row>
    <row r="9" spans="1:14" x14ac:dyDescent="0.2">
      <c r="A9">
        <v>2021.5</v>
      </c>
      <c r="B9">
        <f>'[1]Quarterly computing power'!$B9</f>
        <v>75839.048435006916</v>
      </c>
      <c r="C9">
        <f>'[1]Quarterly computing power'!$C9</f>
        <v>6476.5448856238836</v>
      </c>
      <c r="D9">
        <f>'[2]Quarterly computing power'!$B9</f>
        <v>76165.741315016174</v>
      </c>
      <c r="E9">
        <f>'[2]Quarterly computing power'!$C9</f>
        <v>6545.1414757617631</v>
      </c>
      <c r="F9">
        <f>'[3]Quarterly computing power'!$B9</f>
        <v>76204.284524343369</v>
      </c>
      <c r="G9">
        <f>'[3]Quarterly computing power'!$C9</f>
        <v>6592.1989819105474</v>
      </c>
      <c r="J9" t="s">
        <v>19</v>
      </c>
      <c r="K9">
        <v>0.82007799999999997</v>
      </c>
      <c r="M9" t="s">
        <v>19</v>
      </c>
      <c r="N9">
        <f t="shared" si="0"/>
        <v>2.2544789762340036</v>
      </c>
    </row>
    <row r="10" spans="1:14" x14ac:dyDescent="0.2">
      <c r="A10">
        <v>2021.75</v>
      </c>
      <c r="B10">
        <f>'[1]Quarterly computing power'!$B10</f>
        <v>108570.750313603</v>
      </c>
      <c r="C10">
        <f>'[1]Quarterly computing power'!$C10</f>
        <v>8849.3771219556675</v>
      </c>
      <c r="D10">
        <f>'[2]Quarterly computing power'!$B10</f>
        <v>108976.7401505593</v>
      </c>
      <c r="E10">
        <f>'[2]Quarterly computing power'!$C10</f>
        <v>9005.0729314708078</v>
      </c>
      <c r="F10">
        <f>'[3]Quarterly computing power'!$B10</f>
        <v>109033.96855916669</v>
      </c>
      <c r="G10">
        <f>'[3]Quarterly computing power'!$C10</f>
        <v>8976.4848243564957</v>
      </c>
    </row>
    <row r="11" spans="1:14" x14ac:dyDescent="0.2">
      <c r="A11">
        <v>2022</v>
      </c>
      <c r="B11">
        <f>'[1]Quarterly computing power'!$B11</f>
        <v>210015.3105794357</v>
      </c>
      <c r="C11">
        <f>'[1]Quarterly computing power'!$C11</f>
        <v>17572.742972534539</v>
      </c>
      <c r="D11">
        <f>'[2]Quarterly computing power'!$B11</f>
        <v>210921.41463397641</v>
      </c>
      <c r="E11">
        <f>'[2]Quarterly computing power'!$C11</f>
        <v>17704.670691805852</v>
      </c>
      <c r="F11">
        <f>'[3]Quarterly computing power'!$B11</f>
        <v>211097.70718277761</v>
      </c>
      <c r="G11">
        <f>'[3]Quarterly computing power'!$C11</f>
        <v>17758.751120419711</v>
      </c>
    </row>
    <row r="12" spans="1:14" x14ac:dyDescent="0.2">
      <c r="A12">
        <v>2022.25</v>
      </c>
      <c r="B12">
        <f>'[1]Quarterly computing power'!$B12</f>
        <v>356109.49393832783</v>
      </c>
      <c r="C12">
        <f>'[1]Quarterly computing power'!$C12</f>
        <v>29856.556897673359</v>
      </c>
      <c r="D12">
        <f>'[2]Quarterly computing power'!$B12</f>
        <v>357496.35024579533</v>
      </c>
      <c r="E12">
        <f>'[2]Quarterly computing power'!$C12</f>
        <v>29980.327777764662</v>
      </c>
      <c r="F12">
        <f>'[3]Quarterly computing power'!$B12</f>
        <v>357617.9747032515</v>
      </c>
      <c r="G12">
        <f>'[3]Quarterly computing power'!$C12</f>
        <v>30659.371071124209</v>
      </c>
    </row>
    <row r="13" spans="1:14" x14ac:dyDescent="0.2">
      <c r="A13">
        <v>2022.5</v>
      </c>
      <c r="B13">
        <f>'[1]Quarterly computing power'!$B13</f>
        <v>463152.39390569448</v>
      </c>
      <c r="C13">
        <f>'[1]Quarterly computing power'!$C13</f>
        <v>37662.28471281744</v>
      </c>
      <c r="D13">
        <f>'[2]Quarterly computing power'!$B13</f>
        <v>465088.7451955725</v>
      </c>
      <c r="E13">
        <f>'[2]Quarterly computing power'!$C13</f>
        <v>37928.776909747823</v>
      </c>
      <c r="F13">
        <f>'[3]Quarterly computing power'!$B13</f>
        <v>465416.88190980948</v>
      </c>
      <c r="G13">
        <f>'[3]Quarterly computing power'!$C13</f>
        <v>37999.053414741997</v>
      </c>
      <c r="J13" s="2" t="s">
        <v>21</v>
      </c>
    </row>
    <row r="14" spans="1:14" x14ac:dyDescent="0.2">
      <c r="A14">
        <v>2022.75</v>
      </c>
      <c r="B14">
        <f>'[1]Quarterly computing power'!$B14</f>
        <v>703287.37142611283</v>
      </c>
      <c r="C14">
        <f>'[1]Quarterly computing power'!$C14</f>
        <v>56954.124538076787</v>
      </c>
      <c r="D14">
        <f>'[2]Quarterly computing power'!$B14</f>
        <v>705816.44112558465</v>
      </c>
      <c r="E14">
        <f>'[2]Quarterly computing power'!$C14</f>
        <v>57975.833810309763</v>
      </c>
      <c r="F14">
        <f>'[3]Quarterly computing power'!$B14</f>
        <v>706416.86870330363</v>
      </c>
      <c r="G14">
        <f>'[3]Quarterly computing power'!$C14</f>
        <v>57874.739606035073</v>
      </c>
      <c r="J14" t="s">
        <v>22</v>
      </c>
    </row>
    <row r="15" spans="1:14" x14ac:dyDescent="0.2">
      <c r="A15">
        <v>2023</v>
      </c>
      <c r="B15">
        <f>'[1]Quarterly computing power'!$B15</f>
        <v>930041.92790445976</v>
      </c>
      <c r="C15">
        <f>'[1]Quarterly computing power'!$C15</f>
        <v>67842.726998166458</v>
      </c>
      <c r="D15">
        <f>'[2]Quarterly computing power'!$B15</f>
        <v>934325.02127583395</v>
      </c>
      <c r="E15">
        <f>'[2]Quarterly computing power'!$C15</f>
        <v>69099.161788137295</v>
      </c>
      <c r="F15">
        <f>'[3]Quarterly computing power'!$B15</f>
        <v>932953.48772654822</v>
      </c>
      <c r="G15">
        <f>'[3]Quarterly computing power'!$C15</f>
        <v>69586.398608410178</v>
      </c>
    </row>
    <row r="16" spans="1:14" x14ac:dyDescent="0.2">
      <c r="A16">
        <v>2023.25</v>
      </c>
      <c r="B16">
        <f>'[1]Quarterly computing power'!$B16</f>
        <v>1455342.185553404</v>
      </c>
      <c r="C16">
        <f>'[1]Quarterly computing power'!$C16</f>
        <v>112191.8405757248</v>
      </c>
      <c r="D16">
        <f>'[2]Quarterly computing power'!$B16</f>
        <v>1460003.416486637</v>
      </c>
      <c r="E16">
        <f>'[2]Quarterly computing power'!$C16</f>
        <v>112999.8909628126</v>
      </c>
      <c r="F16">
        <f>'[3]Quarterly computing power'!$B16</f>
        <v>1460203.734197547</v>
      </c>
      <c r="G16">
        <f>'[3]Quarterly computing power'!$C16</f>
        <v>112914.0684276215</v>
      </c>
    </row>
    <row r="17" spans="1:14" x14ac:dyDescent="0.2">
      <c r="A17">
        <v>2023.5</v>
      </c>
      <c r="B17">
        <f>'[1]Quarterly computing power'!$B17</f>
        <v>3121754.4208681458</v>
      </c>
      <c r="C17">
        <f>'[1]Quarterly computing power'!$C17</f>
        <v>254764.83164339501</v>
      </c>
      <c r="D17">
        <f>'[2]Quarterly computing power'!$B17</f>
        <v>3135411.3694453449</v>
      </c>
      <c r="E17">
        <f>'[2]Quarterly computing power'!$C17</f>
        <v>256513.36054745459</v>
      </c>
      <c r="F17">
        <f>'[3]Quarterly computing power'!$B17</f>
        <v>3139139.0832981979</v>
      </c>
      <c r="G17">
        <f>'[3]Quarterly computing power'!$C17</f>
        <v>261295.70587061759</v>
      </c>
    </row>
    <row r="18" spans="1:14" x14ac:dyDescent="0.2">
      <c r="A18">
        <v>2023.75</v>
      </c>
      <c r="B18">
        <f>'[1]Quarterly computing power'!$B18</f>
        <v>5057360.8990240078</v>
      </c>
      <c r="C18">
        <f>'[1]Quarterly computing power'!$C18</f>
        <v>433943.99831201072</v>
      </c>
      <c r="D18">
        <f>'[2]Quarterly computing power'!$B18</f>
        <v>5075673.667374826</v>
      </c>
      <c r="E18">
        <f>'[2]Quarterly computing power'!$C18</f>
        <v>439319.85321999009</v>
      </c>
      <c r="F18">
        <f>'[3]Quarterly computing power'!$B18</f>
        <v>5079876.0969552426</v>
      </c>
      <c r="G18">
        <f>'[3]Quarterly computing power'!$C18</f>
        <v>436713.97421663412</v>
      </c>
    </row>
    <row r="19" spans="1:14" x14ac:dyDescent="0.2">
      <c r="A19">
        <v>2024</v>
      </c>
      <c r="B19">
        <f>'[1]Quarterly computing power'!$B19</f>
        <v>8284809.8585969871</v>
      </c>
      <c r="C19">
        <f>'[1]Quarterly computing power'!$C19</f>
        <v>722947.63326543185</v>
      </c>
      <c r="D19">
        <f>'[2]Quarterly computing power'!$B19</f>
        <v>7052654.8682926251</v>
      </c>
      <c r="E19">
        <f>'[2]Quarterly computing power'!$C19</f>
        <v>619101.46643765946</v>
      </c>
      <c r="F19">
        <f>'[3]Quarterly computing power'!$B19</f>
        <v>7041237.2287132852</v>
      </c>
      <c r="G19">
        <f>'[3]Quarterly computing power'!$C19</f>
        <v>624992.19266542105</v>
      </c>
    </row>
    <row r="20" spans="1:14" x14ac:dyDescent="0.2">
      <c r="A20">
        <v>2024.25</v>
      </c>
      <c r="B20">
        <f>'[1]Quarterly computing power'!$B20</f>
        <v>12215453.80100809</v>
      </c>
      <c r="C20">
        <f>'[1]Quarterly computing power'!$C20</f>
        <v>1075742.9261557341</v>
      </c>
      <c r="D20">
        <f>'[2]Quarterly computing power'!$B20</f>
        <v>8752021.4407877475</v>
      </c>
      <c r="E20">
        <f>'[2]Quarterly computing power'!$C20</f>
        <v>764192.09025420621</v>
      </c>
      <c r="F20">
        <f>'[3]Quarterly computing power'!$B20</f>
        <v>8559111.0579933617</v>
      </c>
      <c r="G20">
        <f>'[3]Quarterly computing power'!$C20</f>
        <v>747525.360721629</v>
      </c>
    </row>
    <row r="21" spans="1:14" x14ac:dyDescent="0.2">
      <c r="A21">
        <v>2024.5</v>
      </c>
      <c r="B21">
        <f>'[1]Quarterly computing power'!$B21</f>
        <v>18223124.352494061</v>
      </c>
      <c r="C21">
        <f>'[1]Quarterly computing power'!$C21</f>
        <v>1633209.6055688891</v>
      </c>
      <c r="D21">
        <f>'[2]Quarterly computing power'!$B21</f>
        <v>13955870.451402711</v>
      </c>
      <c r="E21">
        <f>'[2]Quarterly computing power'!$C21</f>
        <v>1263462.392127811</v>
      </c>
      <c r="F21">
        <f>'[3]Quarterly computing power'!$B21</f>
        <v>12638659.304758079</v>
      </c>
      <c r="G21">
        <f>'[3]Quarterly computing power'!$C21</f>
        <v>1135862.335290048</v>
      </c>
    </row>
    <row r="22" spans="1:14" x14ac:dyDescent="0.2">
      <c r="A22">
        <v>2024.75</v>
      </c>
      <c r="B22">
        <f>'[1]Quarterly computing power'!$B22</f>
        <v>23690410.83971085</v>
      </c>
      <c r="C22">
        <f>'[1]Quarterly computing power'!$C22</f>
        <v>2116556.3038700512</v>
      </c>
      <c r="D22">
        <f>'[2]Quarterly computing power'!$B22</f>
        <v>17715843.008211631</v>
      </c>
      <c r="E22">
        <f>'[2]Quarterly computing power'!$C22</f>
        <v>1611206.292668815</v>
      </c>
      <c r="F22">
        <f>'[3]Quarterly computing power'!$B22</f>
        <v>14685667.941493601</v>
      </c>
      <c r="G22">
        <f>'[3]Quarterly computing power'!$C22</f>
        <v>1303834.449805947</v>
      </c>
    </row>
    <row r="23" spans="1:14" x14ac:dyDescent="0.2">
      <c r="A23">
        <v>2025</v>
      </c>
      <c r="B23">
        <f>'[1]Quarterly computing power'!$B23</f>
        <v>31245942.760904338</v>
      </c>
      <c r="C23">
        <f>'[1]Quarterly computing power'!$C23</f>
        <v>2779052.2799052359</v>
      </c>
      <c r="D23">
        <f>'[2]Quarterly computing power'!$B23</f>
        <v>22943782.934552599</v>
      </c>
      <c r="E23">
        <f>'[2]Quarterly computing power'!$C23</f>
        <v>2064233.9492284439</v>
      </c>
      <c r="F23">
        <f>'[3]Quarterly computing power'!$B23</f>
        <v>17066229.43832811</v>
      </c>
      <c r="G23">
        <f>'[3]Quarterly computing power'!$C23</f>
        <v>1518509.0010869331</v>
      </c>
      <c r="I23">
        <f>B27-B23</f>
        <v>54577919.426954955</v>
      </c>
      <c r="J23">
        <f t="shared" ref="J23:N23" si="1">C27-C23</f>
        <v>4853019.1071408745</v>
      </c>
      <c r="K23">
        <f t="shared" si="1"/>
        <v>26509243.821163189</v>
      </c>
      <c r="L23">
        <f t="shared" si="1"/>
        <v>2274848.7893861346</v>
      </c>
      <c r="M23">
        <f t="shared" si="1"/>
        <v>10410785.715394929</v>
      </c>
      <c r="N23">
        <f t="shared" si="1"/>
        <v>768097.73646356491</v>
      </c>
    </row>
    <row r="24" spans="1:14" x14ac:dyDescent="0.2">
      <c r="A24">
        <v>2025.25</v>
      </c>
      <c r="B24">
        <f>'[1]Quarterly computing power'!$B24</f>
        <v>40678097.058586553</v>
      </c>
      <c r="C24">
        <f>'[1]Quarterly computing power'!$C24</f>
        <v>3641864.7800246342</v>
      </c>
      <c r="D24">
        <f>'[2]Quarterly computing power'!$B24</f>
        <v>29281937.47615293</v>
      </c>
      <c r="E24">
        <f>'[2]Quarterly computing power'!$C24</f>
        <v>2637680.7657841411</v>
      </c>
      <c r="F24">
        <f>'[3]Quarterly computing power'!$B24</f>
        <v>19886251.7758798</v>
      </c>
      <c r="G24">
        <f>'[3]Quarterly computing power'!$C24</f>
        <v>1757245.359509324</v>
      </c>
    </row>
    <row r="25" spans="1:14" x14ac:dyDescent="0.2">
      <c r="A25">
        <v>2025.5</v>
      </c>
      <c r="B25">
        <f>'[1]Quarterly computing power'!$B25</f>
        <v>53139648.387775831</v>
      </c>
      <c r="C25">
        <f>'[1]Quarterly computing power'!$C25</f>
        <v>4780470.7226796458</v>
      </c>
      <c r="D25">
        <f>'[2]Quarterly computing power'!$B25</f>
        <v>35640852.548523322</v>
      </c>
      <c r="E25">
        <f>'[2]Quarterly computing power'!$C25</f>
        <v>3209142.735041603</v>
      </c>
      <c r="F25">
        <f>'[3]Quarterly computing power'!$B25</f>
        <v>22155770.753576741</v>
      </c>
      <c r="G25">
        <f>'[3]Quarterly computing power'!$C25</f>
        <v>1914951.9846476819</v>
      </c>
    </row>
    <row r="26" spans="1:14" x14ac:dyDescent="0.2">
      <c r="A26">
        <v>2025.75</v>
      </c>
      <c r="B26">
        <f>'[1]Quarterly computing power'!$B26</f>
        <v>67075300.746200413</v>
      </c>
      <c r="C26">
        <f>'[1]Quarterly computing power'!$C26</f>
        <v>6008298.0161759686</v>
      </c>
      <c r="D26">
        <f>'[2]Quarterly computing power'!$B26</f>
        <v>41531631.726661377</v>
      </c>
      <c r="E26">
        <f>'[2]Quarterly computing power'!$C26</f>
        <v>3688463.5826146598</v>
      </c>
      <c r="F26">
        <f>'[3]Quarterly computing power'!$B26</f>
        <v>24673772.324617479</v>
      </c>
      <c r="G26">
        <f>'[3]Quarterly computing power'!$C26</f>
        <v>2114562.3123654821</v>
      </c>
    </row>
    <row r="27" spans="1:14" x14ac:dyDescent="0.2">
      <c r="A27">
        <v>2026</v>
      </c>
      <c r="B27">
        <f>'[1]Quarterly computing power'!$B27</f>
        <v>85823862.187859297</v>
      </c>
      <c r="C27">
        <f>'[1]Quarterly computing power'!$C27</f>
        <v>7632071.3870461099</v>
      </c>
      <c r="D27">
        <f>'[2]Quarterly computing power'!$B27</f>
        <v>49453026.755715787</v>
      </c>
      <c r="E27">
        <f>'[2]Quarterly computing power'!$C27</f>
        <v>4339082.7386145787</v>
      </c>
      <c r="F27">
        <f>'[3]Quarterly computing power'!$B27</f>
        <v>27477015.153723039</v>
      </c>
      <c r="G27">
        <f>'[3]Quarterly computing power'!$C27</f>
        <v>2286606.737550498</v>
      </c>
    </row>
    <row r="28" spans="1:14" x14ac:dyDescent="0.2">
      <c r="A28">
        <v>2026.25</v>
      </c>
      <c r="B28">
        <f>'[1]Quarterly computing power'!$B28</f>
        <v>106558845.59441251</v>
      </c>
      <c r="C28">
        <f>'[1]Quarterly computing power'!$C28</f>
        <v>9520114.6166432705</v>
      </c>
      <c r="D28">
        <f>'[2]Quarterly computing power'!$B28</f>
        <v>55908902.468266293</v>
      </c>
      <c r="E28">
        <f>'[2]Quarterly computing power'!$C28</f>
        <v>4821334.7390957549</v>
      </c>
      <c r="F28">
        <f>'[3]Quarterly computing power'!$B28</f>
        <v>30250511.175711229</v>
      </c>
      <c r="G28">
        <f>'[3]Quarterly computing power'!$C28</f>
        <v>2477375.5295378058</v>
      </c>
    </row>
    <row r="29" spans="1:14" x14ac:dyDescent="0.2">
      <c r="A29">
        <v>2026.5</v>
      </c>
      <c r="B29">
        <f>'[1]Quarterly computing power'!$B29</f>
        <v>133745814.2355289</v>
      </c>
      <c r="C29">
        <f>'[1]Quarterly computing power'!$C29</f>
        <v>11968716.446143189</v>
      </c>
      <c r="D29">
        <f>'[2]Quarterly computing power'!$B29</f>
        <v>70994846.341472507</v>
      </c>
      <c r="E29">
        <f>'[2]Quarterly computing power'!$C29</f>
        <v>6038359.4041240579</v>
      </c>
      <c r="F29">
        <f>'[3]Quarterly computing power'!$B29</f>
        <v>36337192.949249342</v>
      </c>
      <c r="G29">
        <f>'[3]Quarterly computing power'!$C29</f>
        <v>2968893.2096366771</v>
      </c>
    </row>
    <row r="30" spans="1:14" x14ac:dyDescent="0.2">
      <c r="A30">
        <v>2026.75</v>
      </c>
      <c r="B30">
        <f>'[1]Quarterly computing power'!$B30</f>
        <v>169334076.26057899</v>
      </c>
      <c r="C30">
        <f>'[1]Quarterly computing power'!$C30</f>
        <v>15024224.654809849</v>
      </c>
      <c r="D30">
        <f>'[2]Quarterly computing power'!$B30</f>
        <v>91381962.314455748</v>
      </c>
      <c r="E30">
        <f>'[2]Quarterly computing power'!$C30</f>
        <v>7834595.2333401982</v>
      </c>
      <c r="F30">
        <f>'[3]Quarterly computing power'!$B30</f>
        <v>44636208.142702498</v>
      </c>
      <c r="G30">
        <f>'[3]Quarterly computing power'!$C30</f>
        <v>3686661.5331846098</v>
      </c>
    </row>
    <row r="31" spans="1:14" x14ac:dyDescent="0.2">
      <c r="A31">
        <v>2027</v>
      </c>
      <c r="B31">
        <f>'[1]Quarterly computing power'!$B31</f>
        <v>216283783.45126119</v>
      </c>
      <c r="C31">
        <f>'[1]Quarterly computing power'!$C31</f>
        <v>19187216.050368451</v>
      </c>
      <c r="D31">
        <f>'[2]Quarterly computing power'!$B31</f>
        <v>117858019.2735741</v>
      </c>
      <c r="E31">
        <f>'[2]Quarterly computing power'!$C31</f>
        <v>10195080.269950571</v>
      </c>
      <c r="F31">
        <f>'[3]Quarterly computing power'!$B31</f>
        <v>54763690.2530898</v>
      </c>
      <c r="G31">
        <f>'[3]Quarterly computing power'!$C31</f>
        <v>4524806.6754364036</v>
      </c>
    </row>
    <row r="32" spans="1:14" x14ac:dyDescent="0.2">
      <c r="A32">
        <v>2027.25</v>
      </c>
      <c r="B32">
        <f>'[1]Quarterly computing power'!$B32</f>
        <v>279759228.95584768</v>
      </c>
      <c r="C32">
        <f>'[1]Quarterly computing power'!$C32</f>
        <v>25134824.242167369</v>
      </c>
      <c r="D32">
        <f>'[2]Quarterly computing power'!$B32</f>
        <v>158829413.5245837</v>
      </c>
      <c r="E32">
        <f>'[2]Quarterly computing power'!$C32</f>
        <v>13955968.4312161</v>
      </c>
      <c r="F32">
        <f>'[3]Quarterly computing power'!$B32</f>
        <v>68655655.369201437</v>
      </c>
      <c r="G32">
        <f>'[3]Quarterly computing power'!$C32</f>
        <v>5713115.7182550011</v>
      </c>
    </row>
    <row r="33" spans="1:14" x14ac:dyDescent="0.2">
      <c r="A33">
        <v>2027.5</v>
      </c>
      <c r="B33">
        <f>'[1]Quarterly computing power'!$B33</f>
        <v>361654199.29737413</v>
      </c>
      <c r="C33">
        <f>'[1]Quarterly computing power'!$C33</f>
        <v>32559683.246082511</v>
      </c>
      <c r="D33">
        <f>'[2]Quarterly computing power'!$B33</f>
        <v>228501654.12169439</v>
      </c>
      <c r="E33">
        <f>'[2]Quarterly computing power'!$C33</f>
        <v>20267112.908868451</v>
      </c>
      <c r="F33">
        <f>'[3]Quarterly computing power'!$B33</f>
        <v>90104440.30798465</v>
      </c>
      <c r="G33">
        <f>'[3]Quarterly computing power'!$C33</f>
        <v>7637100.0373803293</v>
      </c>
    </row>
    <row r="34" spans="1:14" x14ac:dyDescent="0.2">
      <c r="A34">
        <v>2027.75</v>
      </c>
      <c r="B34">
        <f>'[1]Quarterly computing power'!$B34</f>
        <v>388014376.76151729</v>
      </c>
      <c r="C34">
        <f>'[1]Quarterly computing power'!$C34</f>
        <v>34736854.432633951</v>
      </c>
      <c r="D34">
        <f>'[2]Quarterly computing power'!$B34</f>
        <v>228588961.81729519</v>
      </c>
      <c r="E34">
        <f>'[2]Quarterly computing power'!$C34</f>
        <v>20106832.794936031</v>
      </c>
      <c r="F34">
        <f>'[3]Quarterly computing power'!$B34</f>
        <v>99129286.559609622</v>
      </c>
      <c r="G34">
        <f>'[3]Quarterly computing power'!$C34</f>
        <v>8317877.205190667</v>
      </c>
    </row>
    <row r="35" spans="1:14" x14ac:dyDescent="0.2">
      <c r="A35">
        <v>2028</v>
      </c>
      <c r="B35">
        <f>'[1]Quarterly computing power'!$B35</f>
        <v>420997266.98241681</v>
      </c>
      <c r="C35">
        <f>'[1]Quarterly computing power'!$C35</f>
        <v>36362479.01045379</v>
      </c>
      <c r="D35">
        <f>'[2]Quarterly computing power'!$B35</f>
        <v>233598858.78381139</v>
      </c>
      <c r="E35">
        <f>'[2]Quarterly computing power'!$C35</f>
        <v>19358555.366858151</v>
      </c>
      <c r="F35">
        <f>'[3]Quarterly computing power'!$B35</f>
        <v>113148537.02345879</v>
      </c>
      <c r="G35">
        <f>'[3]Quarterly computing power'!$C35</f>
        <v>9069157.3396386914</v>
      </c>
    </row>
    <row r="36" spans="1:14" x14ac:dyDescent="0.2">
      <c r="A36">
        <v>2028.25</v>
      </c>
      <c r="B36">
        <f>'[1]Quarterly computing power'!$B36</f>
        <v>516513695.96851069</v>
      </c>
      <c r="C36">
        <f>'[1]Quarterly computing power'!$C36</f>
        <v>44868085.376278989</v>
      </c>
      <c r="D36">
        <f>'[2]Quarterly computing power'!$B36</f>
        <v>303233119.19904208</v>
      </c>
      <c r="E36">
        <f>'[2]Quarterly computing power'!$C36</f>
        <v>25487252.09900599</v>
      </c>
      <c r="F36">
        <f>'[3]Quarterly computing power'!$B36</f>
        <v>140996130.86947829</v>
      </c>
      <c r="G36">
        <f>'[3]Quarterly computing power'!$C36</f>
        <v>11330071.22136981</v>
      </c>
    </row>
    <row r="37" spans="1:14" x14ac:dyDescent="0.2">
      <c r="A37">
        <v>2028.5</v>
      </c>
      <c r="B37">
        <f>'[1]Quarterly computing power'!$B37</f>
        <v>640712142.08918035</v>
      </c>
      <c r="C37">
        <f>'[1]Quarterly computing power'!$C37</f>
        <v>55546853.315957516</v>
      </c>
      <c r="D37">
        <f>'[2]Quarterly computing power'!$B37</f>
        <v>390891860.50661141</v>
      </c>
      <c r="E37">
        <f>'[2]Quarterly computing power'!$C37</f>
        <v>32731603.293648109</v>
      </c>
      <c r="F37">
        <f>'[3]Quarterly computing power'!$B37</f>
        <v>171254532.60474101</v>
      </c>
      <c r="G37">
        <f>'[3]Quarterly computing power'!$C37</f>
        <v>13814967.937263049</v>
      </c>
    </row>
    <row r="38" spans="1:14" x14ac:dyDescent="0.2">
      <c r="A38">
        <v>2028.75</v>
      </c>
      <c r="B38">
        <f>'[1]Quarterly computing power'!$B38</f>
        <v>730336153.26003826</v>
      </c>
      <c r="C38">
        <f>'[1]Quarterly computing power'!$C38</f>
        <v>62725765.425822482</v>
      </c>
      <c r="D38">
        <f>'[2]Quarterly computing power'!$B38</f>
        <v>433333852.21193123</v>
      </c>
      <c r="E38">
        <f>'[2]Quarterly computing power'!$C38</f>
        <v>35842438.957320563</v>
      </c>
      <c r="F38">
        <f>'[3]Quarterly computing power'!$B38</f>
        <v>189768398.753499</v>
      </c>
      <c r="G38">
        <f>'[3]Quarterly computing power'!$C38</f>
        <v>15159403.552592991</v>
      </c>
    </row>
    <row r="39" spans="1:14" x14ac:dyDescent="0.2">
      <c r="A39">
        <v>2029</v>
      </c>
      <c r="B39">
        <f>'[1]Quarterly computing power'!$B39</f>
        <v>840511758.27981269</v>
      </c>
      <c r="C39">
        <f>'[1]Quarterly computing power'!$C39</f>
        <v>71276789.175627008</v>
      </c>
      <c r="D39">
        <f>'[2]Quarterly computing power'!$B39</f>
        <v>481273885.0843429</v>
      </c>
      <c r="E39">
        <f>'[2]Quarterly computing power'!$C39</f>
        <v>39247288.317799397</v>
      </c>
      <c r="F39">
        <f>'[3]Quarterly computing power'!$B39</f>
        <v>210073447.87968469</v>
      </c>
      <c r="G39">
        <f>'[3]Quarterly computing power'!$C39</f>
        <v>16409603.74107277</v>
      </c>
    </row>
    <row r="40" spans="1:14" x14ac:dyDescent="0.2">
      <c r="A40">
        <v>2029.25</v>
      </c>
      <c r="B40">
        <f>'[1]Quarterly computing power'!$B40</f>
        <v>1005217819.264721</v>
      </c>
      <c r="C40">
        <f>'[1]Quarterly computing power'!$C40</f>
        <v>85952103.611354038</v>
      </c>
      <c r="D40">
        <f>'[2]Quarterly computing power'!$B40</f>
        <v>584320171.32528722</v>
      </c>
      <c r="E40">
        <f>'[2]Quarterly computing power'!$C40</f>
        <v>48546813.539818503</v>
      </c>
      <c r="F40">
        <f>'[3]Quarterly computing power'!$B40</f>
        <v>242745377.08005199</v>
      </c>
      <c r="G40">
        <f>'[3]Quarterly computing power'!$C40</f>
        <v>19070475.376683172</v>
      </c>
    </row>
    <row r="41" spans="1:14" x14ac:dyDescent="0.2">
      <c r="A41">
        <v>2029.5</v>
      </c>
      <c r="B41">
        <f>'[1]Quarterly computing power'!$B41</f>
        <v>1211177797.1150949</v>
      </c>
      <c r="C41">
        <f>'[1]Quarterly computing power'!$C41</f>
        <v>102492832.2845428</v>
      </c>
      <c r="D41">
        <f>'[2]Quarterly computing power'!$B41</f>
        <v>734852735.45658422</v>
      </c>
      <c r="E41">
        <f>'[2]Quarterly computing power'!$C41</f>
        <v>61195508.549508683</v>
      </c>
      <c r="F41">
        <f>'[3]Quarterly computing power'!$B41</f>
        <v>292701591.77730763</v>
      </c>
      <c r="G41">
        <f>'[3]Quarterly computing power'!$C41</f>
        <v>22118164.070389941</v>
      </c>
    </row>
    <row r="42" spans="1:14" x14ac:dyDescent="0.2">
      <c r="A42">
        <v>2029.75</v>
      </c>
      <c r="B42">
        <f>'[1]Quarterly computing power'!$B42</f>
        <v>1418914285.1610069</v>
      </c>
      <c r="C42">
        <f>'[1]Quarterly computing power'!$C42</f>
        <v>120794298.8316275</v>
      </c>
      <c r="D42">
        <f>'[2]Quarterly computing power'!$B42</f>
        <v>957605401.48504734</v>
      </c>
      <c r="E42">
        <f>'[2]Quarterly computing power'!$C42</f>
        <v>81511882.265090719</v>
      </c>
      <c r="F42">
        <f>'[3]Quarterly computing power'!$B42</f>
        <v>347882154.47983378</v>
      </c>
      <c r="G42">
        <f>'[3]Quarterly computing power'!$C42</f>
        <v>26693529.09900685</v>
      </c>
      <c r="I42">
        <f>I46/I23</f>
        <v>20.558612017579197</v>
      </c>
      <c r="J42">
        <f t="shared" ref="J42:N42" si="2">J46/J23</f>
        <v>18.34440749776622</v>
      </c>
      <c r="K42">
        <f t="shared" si="2"/>
        <v>21.129994422820825</v>
      </c>
      <c r="L42">
        <f t="shared" si="2"/>
        <v>17.909050319416675</v>
      </c>
      <c r="M42">
        <f t="shared" si="2"/>
        <v>18.604181980717758</v>
      </c>
      <c r="N42">
        <f t="shared" si="2"/>
        <v>13.922286646469779</v>
      </c>
    </row>
    <row r="43" spans="1:14" x14ac:dyDescent="0.2">
      <c r="A43">
        <v>2030</v>
      </c>
      <c r="B43">
        <f>'[1]Quarterly computing power'!$B43</f>
        <v>1661506219.1879051</v>
      </c>
      <c r="C43">
        <f>'[1]Quarterly computing power'!$C43</f>
        <v>139808663.36317641</v>
      </c>
      <c r="D43">
        <f>'[2]Quarterly computing power'!$B43</f>
        <v>1082817114.8172009</v>
      </c>
      <c r="E43">
        <f>'[2]Quarterly computing power'!$C43</f>
        <v>90079934.444039568</v>
      </c>
      <c r="F43">
        <f>'[3]Quarterly computing power'!$B43</f>
        <v>385694950.04952109</v>
      </c>
      <c r="G43">
        <f>'[3]Quarterly computing power'!$C43</f>
        <v>28898082.203192148</v>
      </c>
    </row>
    <row r="44" spans="1:14" x14ac:dyDescent="0.2">
      <c r="A44">
        <v>2030.25</v>
      </c>
      <c r="B44">
        <f>'[1]Quarterly computing power'!$B44</f>
        <v>1905511547.8504601</v>
      </c>
      <c r="C44">
        <f>'[1]Quarterly computing power'!$C44</f>
        <v>160081935.37518439</v>
      </c>
      <c r="D44">
        <f>'[2]Quarterly computing power'!$B44</f>
        <v>1194553142.4594679</v>
      </c>
      <c r="E44">
        <f>'[2]Quarterly computing power'!$C44</f>
        <v>98216696.934121981</v>
      </c>
      <c r="F44">
        <f>'[3]Quarterly computing power'!$B44</f>
        <v>423172529.1367566</v>
      </c>
      <c r="G44">
        <f>'[3]Quarterly computing power'!$C44</f>
        <v>31134029.85521514</v>
      </c>
    </row>
    <row r="45" spans="1:14" x14ac:dyDescent="0.2">
      <c r="A45">
        <v>2030.5</v>
      </c>
      <c r="B45">
        <f>'[1]Quarterly computing power'!$B45</f>
        <v>2202264057.5929041</v>
      </c>
      <c r="C45">
        <f>'[1]Quarterly computing power'!$C45</f>
        <v>184544802.2447696</v>
      </c>
      <c r="D45">
        <f>'[2]Quarterly computing power'!$B45</f>
        <v>1336717174.0482819</v>
      </c>
      <c r="E45">
        <f>'[2]Quarterly computing power'!$C45</f>
        <v>109310210.2150453</v>
      </c>
      <c r="F45">
        <f>'[3]Quarterly computing power'!$B45</f>
        <v>487827082.75477493</v>
      </c>
      <c r="G45">
        <f>'[3]Quarterly computing power'!$C45</f>
        <v>33863184.554381751</v>
      </c>
    </row>
    <row r="46" spans="1:14" x14ac:dyDescent="0.2">
      <c r="A46">
        <v>2030.75</v>
      </c>
      <c r="B46">
        <f>'[1]Quarterly computing power'!$B46</f>
        <v>2540960555.3864722</v>
      </c>
      <c r="C46">
        <f>'[1]Quarterly computing power'!$C46</f>
        <v>209820058.92746529</v>
      </c>
      <c r="D46">
        <f>'[2]Quarterly computing power'!$B46</f>
        <v>1517745575.579423</v>
      </c>
      <c r="E46">
        <f>'[2]Quarterly computing power'!$C46</f>
        <v>122252263.70327111</v>
      </c>
      <c r="F46" s="5">
        <f>'[3]Quarterly computing power'!$B46</f>
        <v>541566306.49129796</v>
      </c>
      <c r="G46">
        <f>'[3]Quarterly computing power'!$C46</f>
        <v>37387205.958557203</v>
      </c>
      <c r="I46">
        <f>B46-B42</f>
        <v>1122046270.2254653</v>
      </c>
      <c r="J46">
        <f t="shared" ref="J46:N46" si="3">C46-C42</f>
        <v>89025760.095837787</v>
      </c>
      <c r="K46">
        <f t="shared" si="3"/>
        <v>560140174.09437561</v>
      </c>
      <c r="L46">
        <f t="shared" si="3"/>
        <v>40740381.438180387</v>
      </c>
      <c r="M46">
        <f t="shared" si="3"/>
        <v>193684152.01146418</v>
      </c>
      <c r="N46">
        <f t="shared" si="3"/>
        <v>10693676.859550353</v>
      </c>
    </row>
    <row r="51" spans="1:7" x14ac:dyDescent="0.2">
      <c r="A51" t="s">
        <v>54</v>
      </c>
    </row>
    <row r="52" spans="1:7" x14ac:dyDescent="0.2">
      <c r="B52">
        <v>1322.7930890501441</v>
      </c>
      <c r="C52">
        <v>125.03401307699041</v>
      </c>
      <c r="D52">
        <v>1327.9200912633651</v>
      </c>
      <c r="E52">
        <v>126.7761113196738</v>
      </c>
      <c r="F52">
        <v>1328.241540230596</v>
      </c>
      <c r="G52">
        <v>129.02215375721741</v>
      </c>
    </row>
    <row r="53" spans="1:7" x14ac:dyDescent="0.2">
      <c r="B53">
        <v>2295.7481642586331</v>
      </c>
      <c r="C53">
        <v>210.58576831205761</v>
      </c>
      <c r="D53">
        <v>2307.0837540680091</v>
      </c>
      <c r="E53">
        <v>213.01175273436971</v>
      </c>
      <c r="F53">
        <v>2305.599182493891</v>
      </c>
      <c r="G53">
        <v>215.01613519555539</v>
      </c>
    </row>
    <row r="54" spans="1:7" x14ac:dyDescent="0.2">
      <c r="B54">
        <v>3901.6231218835992</v>
      </c>
      <c r="C54">
        <v>343.93141988796731</v>
      </c>
      <c r="D54">
        <v>3918.9342981532791</v>
      </c>
      <c r="E54">
        <v>345.29701005614731</v>
      </c>
      <c r="F54">
        <v>3920.3188279194042</v>
      </c>
      <c r="G54">
        <v>351.53888702805961</v>
      </c>
    </row>
    <row r="55" spans="1:7" x14ac:dyDescent="0.2">
      <c r="B55">
        <v>6512.994310014743</v>
      </c>
      <c r="C55">
        <v>535.59307644004184</v>
      </c>
      <c r="D55">
        <v>6534.9838104719374</v>
      </c>
      <c r="E55">
        <v>541.83006610499785</v>
      </c>
      <c r="F55">
        <v>6539.0936051036606</v>
      </c>
      <c r="G55">
        <v>541.29514099845687</v>
      </c>
    </row>
    <row r="56" spans="1:7" x14ac:dyDescent="0.2">
      <c r="B56">
        <v>10651.55301931489</v>
      </c>
      <c r="C56">
        <v>810.15238566561197</v>
      </c>
      <c r="D56">
        <v>10690.852811492719</v>
      </c>
      <c r="E56">
        <v>814.88921993536599</v>
      </c>
      <c r="F56">
        <v>10693.455895280191</v>
      </c>
      <c r="G56">
        <v>819.83037748627157</v>
      </c>
    </row>
    <row r="57" spans="1:7" x14ac:dyDescent="0.2">
      <c r="B57">
        <v>28770.75811919403</v>
      </c>
      <c r="C57">
        <v>2337.333688958945</v>
      </c>
      <c r="D57">
        <v>28890.807532891369</v>
      </c>
      <c r="E57">
        <v>2368.2203825642491</v>
      </c>
      <c r="F57">
        <v>28892.62013676545</v>
      </c>
      <c r="G57">
        <v>2379.8543445257519</v>
      </c>
    </row>
    <row r="58" spans="1:7" x14ac:dyDescent="0.2">
      <c r="B58">
        <v>75839.048435006916</v>
      </c>
      <c r="C58">
        <v>6476.5448856238836</v>
      </c>
      <c r="D58">
        <v>76165.741315016174</v>
      </c>
      <c r="E58">
        <v>6545.1414757617631</v>
      </c>
      <c r="F58">
        <v>76204.284524343369</v>
      </c>
      <c r="G58">
        <v>6592.1989819105474</v>
      </c>
    </row>
    <row r="59" spans="1:7" x14ac:dyDescent="0.2">
      <c r="B59">
        <v>108570.750313603</v>
      </c>
      <c r="C59">
        <v>8849.3771219556675</v>
      </c>
      <c r="D59">
        <v>108976.7401505593</v>
      </c>
      <c r="E59">
        <v>9005.0729314708078</v>
      </c>
      <c r="F59">
        <v>109033.96855916669</v>
      </c>
      <c r="G59">
        <v>8976.4848243564957</v>
      </c>
    </row>
    <row r="60" spans="1:7" x14ac:dyDescent="0.2">
      <c r="B60">
        <v>210015.3105794357</v>
      </c>
      <c r="C60">
        <v>17572.742972534539</v>
      </c>
      <c r="D60">
        <v>210921.41463397641</v>
      </c>
      <c r="E60">
        <v>17704.670691805852</v>
      </c>
      <c r="F60">
        <v>211097.70718277761</v>
      </c>
      <c r="G60">
        <v>17758.751120419711</v>
      </c>
    </row>
    <row r="61" spans="1:7" x14ac:dyDescent="0.2">
      <c r="B61">
        <v>356109.49393832783</v>
      </c>
      <c r="C61">
        <v>29856.556897673359</v>
      </c>
      <c r="D61">
        <v>357496.35024579533</v>
      </c>
      <c r="E61">
        <v>29980.327777764662</v>
      </c>
      <c r="F61">
        <v>357617.9747032515</v>
      </c>
      <c r="G61">
        <v>30659.371071124209</v>
      </c>
    </row>
    <row r="62" spans="1:7" x14ac:dyDescent="0.2">
      <c r="B62">
        <v>463152.39390569448</v>
      </c>
      <c r="C62">
        <v>37662.28471281744</v>
      </c>
      <c r="D62">
        <v>465088.7451955725</v>
      </c>
      <c r="E62">
        <v>37928.776909747823</v>
      </c>
      <c r="F62">
        <v>465416.88190980948</v>
      </c>
      <c r="G62">
        <v>37999.053414741997</v>
      </c>
    </row>
    <row r="63" spans="1:7" x14ac:dyDescent="0.2">
      <c r="B63">
        <v>703287.37142611283</v>
      </c>
      <c r="C63">
        <v>56954.124538076787</v>
      </c>
      <c r="D63">
        <v>705816.44112558465</v>
      </c>
      <c r="E63">
        <v>57975.833810309763</v>
      </c>
      <c r="F63">
        <v>706416.86870330363</v>
      </c>
      <c r="G63">
        <v>57874.739606035073</v>
      </c>
    </row>
    <row r="64" spans="1:7" x14ac:dyDescent="0.2">
      <c r="B64">
        <v>930041.92790445976</v>
      </c>
      <c r="C64">
        <v>67842.726998166458</v>
      </c>
      <c r="D64">
        <v>934325.02127583395</v>
      </c>
      <c r="E64">
        <v>69099.161788137295</v>
      </c>
      <c r="F64">
        <v>932953.48772654822</v>
      </c>
      <c r="G64">
        <v>69586.398608410178</v>
      </c>
    </row>
    <row r="65" spans="2:7" x14ac:dyDescent="0.2">
      <c r="B65">
        <v>1455342.185553404</v>
      </c>
      <c r="C65">
        <v>112191.8405757248</v>
      </c>
      <c r="D65">
        <v>1460003.416486637</v>
      </c>
      <c r="E65">
        <v>112999.8909628126</v>
      </c>
      <c r="F65">
        <v>1460203.734197547</v>
      </c>
      <c r="G65">
        <v>112914.0684276215</v>
      </c>
    </row>
    <row r="66" spans="2:7" x14ac:dyDescent="0.2">
      <c r="B66">
        <v>3121754.4208681458</v>
      </c>
      <c r="C66">
        <v>254764.83164339501</v>
      </c>
      <c r="D66">
        <v>3135411.3694453449</v>
      </c>
      <c r="E66">
        <v>256513.36054745459</v>
      </c>
      <c r="F66">
        <v>3139139.0832981979</v>
      </c>
      <c r="G66">
        <v>261295.70587061759</v>
      </c>
    </row>
    <row r="67" spans="2:7" x14ac:dyDescent="0.2">
      <c r="B67">
        <v>5057360.8990240078</v>
      </c>
      <c r="C67">
        <v>433943.99831201072</v>
      </c>
      <c r="D67">
        <v>5075673.667374826</v>
      </c>
      <c r="E67">
        <v>439319.85321999009</v>
      </c>
      <c r="F67">
        <v>5079876.0969552426</v>
      </c>
      <c r="G67">
        <v>436713.97421663412</v>
      </c>
    </row>
    <row r="68" spans="2:7" x14ac:dyDescent="0.2">
      <c r="B68">
        <v>7174832.5412499998</v>
      </c>
      <c r="C68">
        <v>630522.11708</v>
      </c>
      <c r="D68">
        <v>7363759.2261600001</v>
      </c>
      <c r="E68">
        <v>676257.84059000004</v>
      </c>
      <c r="F68">
        <v>7213938.3768800003</v>
      </c>
      <c r="G68">
        <v>648339.81759999995</v>
      </c>
    </row>
    <row r="69" spans="2:7" x14ac:dyDescent="0.2">
      <c r="B69" s="5">
        <v>10436900</v>
      </c>
      <c r="C69">
        <v>929439.47834000003</v>
      </c>
      <c r="D69">
        <v>9541561.5368600003</v>
      </c>
      <c r="E69">
        <v>874726.80206000002</v>
      </c>
      <c r="F69">
        <v>8839051.3568500001</v>
      </c>
      <c r="G69">
        <v>788772.44510999997</v>
      </c>
    </row>
    <row r="70" spans="2:7" x14ac:dyDescent="0.2">
      <c r="B70" s="5">
        <v>14400000</v>
      </c>
      <c r="C70">
        <v>1289742.2332599999</v>
      </c>
      <c r="D70" s="5">
        <v>11887400</v>
      </c>
      <c r="E70">
        <v>1080107.14493</v>
      </c>
      <c r="F70" s="5">
        <v>10527400</v>
      </c>
      <c r="G70">
        <v>932284.15072999999</v>
      </c>
    </row>
    <row r="71" spans="2:7" x14ac:dyDescent="0.2">
      <c r="B71" s="5">
        <v>19052500</v>
      </c>
      <c r="C71">
        <v>1692523.1748599999</v>
      </c>
      <c r="D71" s="5">
        <v>14122300</v>
      </c>
      <c r="E71">
        <v>1262487.6836999999</v>
      </c>
      <c r="F71" s="5">
        <v>12244800</v>
      </c>
      <c r="G71">
        <v>1073966.5014899999</v>
      </c>
    </row>
    <row r="72" spans="2:7" x14ac:dyDescent="0.2">
      <c r="B72" s="5">
        <v>24637100</v>
      </c>
      <c r="C72">
        <v>2177865.6937299999</v>
      </c>
      <c r="D72" s="5">
        <v>15537000</v>
      </c>
      <c r="E72">
        <v>1363456.2701699999</v>
      </c>
      <c r="F72" s="5">
        <v>13829500</v>
      </c>
      <c r="G72">
        <v>1195538.1018999999</v>
      </c>
    </row>
    <row r="73" spans="2:7" x14ac:dyDescent="0.2">
      <c r="B73" s="5">
        <v>35889900</v>
      </c>
      <c r="C73">
        <v>3187652.8878700002</v>
      </c>
      <c r="D73" s="5">
        <v>21668800</v>
      </c>
      <c r="E73">
        <v>1895274.12885</v>
      </c>
      <c r="F73" s="5">
        <v>16420400</v>
      </c>
      <c r="G73">
        <v>1407610.9545700001</v>
      </c>
    </row>
    <row r="74" spans="2:7" x14ac:dyDescent="0.2">
      <c r="B74" s="5">
        <v>52094100</v>
      </c>
      <c r="C74">
        <v>4715318.9806700004</v>
      </c>
      <c r="D74" s="5">
        <v>31515200</v>
      </c>
      <c r="E74">
        <v>2821067.4082999998</v>
      </c>
      <c r="F74" s="5">
        <v>19741200</v>
      </c>
      <c r="G74">
        <v>1703927.26856</v>
      </c>
    </row>
    <row r="75" spans="2:7" x14ac:dyDescent="0.2">
      <c r="B75" s="5">
        <v>69519200</v>
      </c>
      <c r="C75">
        <v>6313287.9000899997</v>
      </c>
      <c r="D75" s="5">
        <v>40881700</v>
      </c>
      <c r="E75">
        <v>3667512.9596799999</v>
      </c>
      <c r="F75" s="5">
        <v>23139600</v>
      </c>
      <c r="G75">
        <v>1996372.5925</v>
      </c>
    </row>
    <row r="76" spans="2:7" x14ac:dyDescent="0.2">
      <c r="B76" s="5">
        <v>88189900</v>
      </c>
      <c r="C76">
        <v>8008971.8782900004</v>
      </c>
      <c r="D76" s="5">
        <v>50197200</v>
      </c>
      <c r="E76">
        <v>4502858.3236199999</v>
      </c>
      <c r="F76" s="5">
        <v>27013600</v>
      </c>
      <c r="G76">
        <v>2316475.4608100001</v>
      </c>
    </row>
    <row r="77" spans="2:7" x14ac:dyDescent="0.2">
      <c r="B77" s="5">
        <v>112333000</v>
      </c>
      <c r="C77" s="5">
        <v>10193700</v>
      </c>
      <c r="D77" s="5">
        <v>63846900</v>
      </c>
      <c r="E77">
        <v>5710694.44087</v>
      </c>
      <c r="F77" s="5">
        <v>32625300</v>
      </c>
      <c r="G77">
        <v>2779455.4769700002</v>
      </c>
    </row>
    <row r="78" spans="2:7" x14ac:dyDescent="0.2">
      <c r="B78" s="5">
        <v>141580000</v>
      </c>
      <c r="C78" s="5">
        <v>12841300</v>
      </c>
      <c r="D78" s="5">
        <v>81655500</v>
      </c>
      <c r="E78">
        <v>7273504.45529</v>
      </c>
      <c r="F78" s="5">
        <v>39981300</v>
      </c>
      <c r="G78">
        <v>3395558.17857</v>
      </c>
    </row>
    <row r="79" spans="2:7" x14ac:dyDescent="0.2">
      <c r="B79" s="5">
        <v>174117000</v>
      </c>
      <c r="C79" s="5">
        <v>15687200</v>
      </c>
      <c r="D79" s="5">
        <v>100701000</v>
      </c>
      <c r="E79">
        <v>8857780.5999899991</v>
      </c>
      <c r="F79" s="5">
        <v>48485600</v>
      </c>
      <c r="G79">
        <v>4083804.6734099998</v>
      </c>
    </row>
    <row r="80" spans="2:7" x14ac:dyDescent="0.2">
      <c r="B80" s="5">
        <v>210207000</v>
      </c>
      <c r="C80" s="5">
        <v>18868000</v>
      </c>
      <c r="D80" s="5">
        <v>120022000</v>
      </c>
      <c r="E80" s="5">
        <v>10441900</v>
      </c>
      <c r="F80" s="5">
        <v>57550200</v>
      </c>
      <c r="G80">
        <v>4854137.6073899996</v>
      </c>
    </row>
    <row r="81" spans="2:7" x14ac:dyDescent="0.2">
      <c r="B81" s="5">
        <v>253221000</v>
      </c>
      <c r="C81" s="5">
        <v>22552100</v>
      </c>
      <c r="D81" s="5">
        <v>138749000</v>
      </c>
      <c r="E81" s="5">
        <v>11870700</v>
      </c>
      <c r="F81" s="5">
        <v>67952100</v>
      </c>
      <c r="G81">
        <v>5684097.3873100001</v>
      </c>
    </row>
    <row r="82" spans="2:7" x14ac:dyDescent="0.2">
      <c r="B82" s="5">
        <v>303922000</v>
      </c>
      <c r="C82" s="5">
        <v>26950700</v>
      </c>
      <c r="D82" s="5">
        <v>166944000</v>
      </c>
      <c r="E82" s="5">
        <v>14239500</v>
      </c>
      <c r="F82" s="5">
        <v>81417000</v>
      </c>
      <c r="G82">
        <v>6773161.0257900003</v>
      </c>
    </row>
    <row r="83" spans="2:7" x14ac:dyDescent="0.2">
      <c r="B83" s="5">
        <v>365578000</v>
      </c>
      <c r="C83" s="5">
        <v>32228800</v>
      </c>
      <c r="D83" s="5">
        <v>206438000</v>
      </c>
      <c r="E83" s="5">
        <v>17598700</v>
      </c>
      <c r="F83" s="5">
        <v>98149200</v>
      </c>
      <c r="G83">
        <v>8115017.3337899996</v>
      </c>
    </row>
    <row r="84" spans="2:7" x14ac:dyDescent="0.2">
      <c r="B84" s="5">
        <v>437919000</v>
      </c>
      <c r="C84" s="5">
        <v>38374600</v>
      </c>
      <c r="D84" s="5">
        <v>255816000</v>
      </c>
      <c r="E84" s="5">
        <v>21774400</v>
      </c>
      <c r="F84" s="5">
        <v>116709000</v>
      </c>
      <c r="G84">
        <v>9671569.80277</v>
      </c>
    </row>
    <row r="85" spans="2:7" x14ac:dyDescent="0.2">
      <c r="B85" s="5">
        <v>522316000</v>
      </c>
      <c r="C85" s="5">
        <v>45645500</v>
      </c>
      <c r="D85" s="5">
        <v>313728000</v>
      </c>
      <c r="E85" s="5">
        <v>26714800</v>
      </c>
      <c r="F85" s="5">
        <v>138445000</v>
      </c>
      <c r="G85" s="5">
        <v>11388000</v>
      </c>
    </row>
    <row r="86" spans="2:7" x14ac:dyDescent="0.2">
      <c r="B86" s="5">
        <v>619488000</v>
      </c>
      <c r="C86" s="5">
        <v>53828300</v>
      </c>
      <c r="D86" s="5">
        <v>377917000</v>
      </c>
      <c r="E86" s="5">
        <v>32069400</v>
      </c>
      <c r="F86" s="5">
        <v>162739000</v>
      </c>
      <c r="G86" s="5">
        <v>13264100</v>
      </c>
    </row>
    <row r="87" spans="2:7" x14ac:dyDescent="0.2">
      <c r="B87" s="5">
        <v>734202000</v>
      </c>
      <c r="C87" s="5">
        <v>63418800</v>
      </c>
      <c r="D87" s="5">
        <v>452708000</v>
      </c>
      <c r="E87" s="5">
        <v>38256700</v>
      </c>
      <c r="F87" s="5">
        <v>190125000</v>
      </c>
      <c r="G87" s="5">
        <v>15309600</v>
      </c>
    </row>
    <row r="88" spans="2:7" x14ac:dyDescent="0.2">
      <c r="B88" s="5">
        <v>868586000</v>
      </c>
      <c r="C88" s="5">
        <v>74584200</v>
      </c>
      <c r="D88" s="5">
        <v>539080000</v>
      </c>
      <c r="E88" s="5">
        <v>45345800</v>
      </c>
      <c r="F88" s="5">
        <v>220796000</v>
      </c>
      <c r="G88" s="5">
        <v>17523500</v>
      </c>
    </row>
    <row r="89" spans="2:7" x14ac:dyDescent="0.2">
      <c r="B89" s="5">
        <v>1024770000</v>
      </c>
      <c r="C89" s="5">
        <v>87492200</v>
      </c>
      <c r="D89" s="5">
        <v>638009000</v>
      </c>
      <c r="E89" s="5">
        <v>53405600</v>
      </c>
      <c r="F89" s="5">
        <v>254948000</v>
      </c>
      <c r="G89" s="5">
        <v>19905000</v>
      </c>
    </row>
    <row r="90" spans="2:7" x14ac:dyDescent="0.2">
      <c r="B90" s="5">
        <v>1204880000</v>
      </c>
      <c r="C90" s="5">
        <v>102310000</v>
      </c>
      <c r="D90" s="5">
        <v>750474000</v>
      </c>
      <c r="E90" s="5">
        <v>62505200</v>
      </c>
      <c r="F90" s="5">
        <v>292774000</v>
      </c>
      <c r="G90" s="5">
        <v>22453300</v>
      </c>
    </row>
    <row r="91" spans="2:7" x14ac:dyDescent="0.2">
      <c r="B91" s="5">
        <v>1411040000</v>
      </c>
      <c r="C91" s="5">
        <v>119205000</v>
      </c>
      <c r="D91" s="5">
        <v>877452000</v>
      </c>
      <c r="E91" s="5">
        <v>72713500</v>
      </c>
      <c r="F91" s="5">
        <v>334468000</v>
      </c>
      <c r="G91" s="5">
        <v>25167300</v>
      </c>
    </row>
    <row r="92" spans="2:7" x14ac:dyDescent="0.2">
      <c r="B92" s="5">
        <v>1645390000</v>
      </c>
      <c r="C92" s="5">
        <v>138345000</v>
      </c>
      <c r="D92" s="5">
        <v>1019920000</v>
      </c>
      <c r="E92" s="5">
        <v>84099800</v>
      </c>
      <c r="F92" s="5">
        <v>380224000</v>
      </c>
      <c r="G92" s="5">
        <v>28046400</v>
      </c>
    </row>
    <row r="93" spans="2:7" x14ac:dyDescent="0.2">
      <c r="B93" s="5">
        <v>1910050000</v>
      </c>
      <c r="C93" s="5">
        <v>159897000</v>
      </c>
      <c r="D93" s="5">
        <v>1178860000</v>
      </c>
      <c r="E93" s="5">
        <v>96732800</v>
      </c>
      <c r="F93" s="5">
        <v>430238000</v>
      </c>
      <c r="G93" s="5">
        <v>31089500</v>
      </c>
    </row>
    <row r="94" spans="2:7" x14ac:dyDescent="0.2">
      <c r="B94" s="5">
        <v>2207150000</v>
      </c>
      <c r="C94" s="5">
        <v>184028000</v>
      </c>
      <c r="D94" s="5">
        <v>1355240000</v>
      </c>
      <c r="E94" s="5">
        <v>110682000</v>
      </c>
      <c r="F94" s="5">
        <v>484702000</v>
      </c>
      <c r="G94" s="5">
        <v>34295900</v>
      </c>
    </row>
    <row r="95" spans="2:7" x14ac:dyDescent="0.2">
      <c r="B95" s="5">
        <v>2538820000</v>
      </c>
      <c r="C95" s="5">
        <v>210907000</v>
      </c>
      <c r="D95" s="5">
        <v>1550040000</v>
      </c>
      <c r="E95" s="5">
        <v>126016000</v>
      </c>
      <c r="F95" s="5">
        <v>543811000</v>
      </c>
      <c r="G95" s="5">
        <v>37664700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30E1-FAF4-F243-8493-91681046BA68}">
  <dimension ref="A1:AF95"/>
  <sheetViews>
    <sheetView tabSelected="1" topLeftCell="A56" workbookViewId="0">
      <selection activeCell="G95" sqref="G95"/>
    </sheetView>
  </sheetViews>
  <sheetFormatPr baseColWidth="10" defaultRowHeight="16" x14ac:dyDescent="0.2"/>
  <cols>
    <col min="2" max="2" width="17.5" customWidth="1"/>
    <col min="4" max="4" width="18.83203125" customWidth="1"/>
  </cols>
  <sheetData>
    <row r="1" spans="1:32" x14ac:dyDescent="0.2">
      <c r="B1" t="s">
        <v>1</v>
      </c>
      <c r="C1" s="3" t="s">
        <v>23</v>
      </c>
      <c r="J1" s="4" t="s">
        <v>25</v>
      </c>
      <c r="R1" s="4" t="s">
        <v>26</v>
      </c>
      <c r="Z1" s="4" t="s">
        <v>27</v>
      </c>
    </row>
    <row r="2" spans="1:32" x14ac:dyDescent="0.2">
      <c r="B2" t="str">
        <f>[1]Manu_water!R1</f>
        <v>photoacid generators</v>
      </c>
      <c r="C2" t="str">
        <f>[1]Manu_water!S1</f>
        <v>surfactant</v>
      </c>
      <c r="D2" t="str">
        <f>[1]Manu_water!T1</f>
        <v>Top antireflective coatings</v>
      </c>
      <c r="E2" t="str">
        <f>[1]Manu_water!U1</f>
        <v>polymer</v>
      </c>
      <c r="F2" t="str">
        <f>[1]Manu_water!V1</f>
        <v>immersion topcoat</v>
      </c>
      <c r="G2" t="str">
        <f>[1]Manu_water!W1</f>
        <v>PBO/PI</v>
      </c>
      <c r="H2" t="s">
        <v>24</v>
      </c>
      <c r="J2" t="str">
        <f>[1]Manu_solid!R1</f>
        <v>photoacid generators</v>
      </c>
      <c r="K2" t="str">
        <f>[1]Manu_solid!S1</f>
        <v>surfactant</v>
      </c>
      <c r="L2" t="str">
        <f>[1]Manu_solid!T1</f>
        <v>Top antireflective coatings</v>
      </c>
      <c r="M2" t="str">
        <f>[1]Manu_solid!U1</f>
        <v>polymer</v>
      </c>
      <c r="N2" t="str">
        <f>[1]Manu_solid!V1</f>
        <v>immersion topcoat</v>
      </c>
      <c r="O2" t="str">
        <f>[1]Manu_solid!W1</f>
        <v>PBO/PI</v>
      </c>
      <c r="P2" t="s">
        <v>24</v>
      </c>
      <c r="R2" t="str">
        <f>[1]Manu_gas!R1</f>
        <v>photoacid generators</v>
      </c>
      <c r="S2" t="str">
        <f>[1]Manu_gas!S1</f>
        <v>surfactant</v>
      </c>
      <c r="T2" t="str">
        <f>[1]Manu_gas!T1</f>
        <v>Top antireflective coatings</v>
      </c>
      <c r="U2" t="str">
        <f>[1]Manu_gas!U1</f>
        <v>polymer</v>
      </c>
      <c r="V2" t="str">
        <f>[1]Manu_gas!V1</f>
        <v>immersion topcoat</v>
      </c>
      <c r="W2" t="str">
        <f>[1]Manu_gas!W1</f>
        <v>PBO/PI</v>
      </c>
      <c r="X2" t="s">
        <v>24</v>
      </c>
      <c r="Z2" t="str">
        <f>[1]Manu_solvent!R1</f>
        <v>photoacid generators</v>
      </c>
      <c r="AA2" t="str">
        <f>[1]Manu_solvent!S1</f>
        <v>surfactant</v>
      </c>
      <c r="AB2" t="str">
        <f>[1]Manu_solvent!T1</f>
        <v>Top antireflective coatings</v>
      </c>
      <c r="AC2" t="str">
        <f>[1]Manu_solvent!U1</f>
        <v>polymer</v>
      </c>
      <c r="AD2" t="str">
        <f>[1]Manu_solvent!V1</f>
        <v>immersion topcoat</v>
      </c>
      <c r="AE2" t="str">
        <f>[1]Manu_solvent!W1</f>
        <v>PBO/PI</v>
      </c>
      <c r="AF2" t="s">
        <v>24</v>
      </c>
    </row>
    <row r="3" spans="1:32" x14ac:dyDescent="0.2">
      <c r="A3">
        <v>2020</v>
      </c>
      <c r="B3">
        <f>[1]Manu_water!R2</f>
        <v>5.6519089160315698E-3</v>
      </c>
      <c r="C3">
        <f>[1]Manu_water!S2</f>
        <v>4.4960884413719976E-3</v>
      </c>
      <c r="D3">
        <f>[1]Manu_water!T2</f>
        <v>0.20021511787003621</v>
      </c>
      <c r="E3">
        <f>[1]Manu_water!U2</f>
        <v>2.856161862701648E-4</v>
      </c>
      <c r="F3">
        <f>[1]Manu_water!V2</f>
        <v>0.1223368838021747</v>
      </c>
      <c r="G3">
        <f>[1]Manu_water!W2</f>
        <v>9.2897712876290842E-4</v>
      </c>
      <c r="H3">
        <f>SUM([1]Manu_water!$X2:$AC2)</f>
        <v>2.7283459985757069E-2</v>
      </c>
      <c r="J3">
        <f>[1]Manu_solid!R2</f>
        <v>1.3885312561876871E-3</v>
      </c>
      <c r="K3">
        <f>[1]Manu_solid!S2</f>
        <v>1.407541104186225E-5</v>
      </c>
      <c r="L3">
        <f>[1]Manu_solid!T2</f>
        <v>7.0912909334960015E-4</v>
      </c>
      <c r="M3">
        <f>[1]Manu_solid!U2</f>
        <v>9.8557698079141393E-5</v>
      </c>
      <c r="N3">
        <f>[1]Manu_solid!V2</f>
        <v>2.13141938633914E-4</v>
      </c>
      <c r="O3">
        <f>[1]Manu_solid!W2</f>
        <v>7.6409374227252196E-4</v>
      </c>
      <c r="P3">
        <f>SUM([1]Manu_solid!$X2:$AC2)</f>
        <v>2.6044631090271943E-4</v>
      </c>
      <c r="R3">
        <f>[1]Manu_gas!R2</f>
        <v>2.8748464036561961E-3</v>
      </c>
      <c r="S3">
        <f>[1]Manu_gas!S2</f>
        <v>0</v>
      </c>
      <c r="T3">
        <f>[1]Manu_gas!T2</f>
        <v>0</v>
      </c>
      <c r="U3">
        <f>[1]Manu_gas!U2</f>
        <v>1.951040145648309E-4</v>
      </c>
      <c r="V3">
        <f>[1]Manu_gas!V2</f>
        <v>0</v>
      </c>
      <c r="W3">
        <f>[1]Manu_gas!W2</f>
        <v>0</v>
      </c>
      <c r="X3">
        <f>SUM([1]Manu_gas!$X2:$AC2)</f>
        <v>2.5083920054425312E-4</v>
      </c>
      <c r="Z3">
        <f>[1]Manu_solvent!R2</f>
        <v>0.1855938256510021</v>
      </c>
      <c r="AA3">
        <f>[1]Manu_solvent!S2</f>
        <v>9.4506331281075088E-5</v>
      </c>
      <c r="AB3">
        <f>[1]Manu_solvent!T2</f>
        <v>2.264008481519824E-2</v>
      </c>
      <c r="AC3">
        <f>[1]Manu_solvent!U2</f>
        <v>1.271193167061579E-2</v>
      </c>
      <c r="AD3">
        <f>[1]Manu_solvent!V2</f>
        <v>3.2554414966821391E-2</v>
      </c>
      <c r="AE3">
        <f>[1]Manu_solvent!W2</f>
        <v>7.9089734644223975E-2</v>
      </c>
      <c r="AF3">
        <f>SUM([1]Manu_solvent!$X2:$AC2)</f>
        <v>2.7182951567014547E-2</v>
      </c>
    </row>
    <row r="4" spans="1:32" x14ac:dyDescent="0.2">
      <c r="A4">
        <v>2020.25</v>
      </c>
      <c r="B4">
        <f>[1]Manu_water!R3</f>
        <v>1.0113684246193353E-2</v>
      </c>
      <c r="C4">
        <f>[1]Manu_water!S3</f>
        <v>8.0454266893819158E-3</v>
      </c>
      <c r="D4">
        <f>[1]Manu_water!T3</f>
        <v>0.3582705442595317</v>
      </c>
      <c r="E4">
        <f>[1]Manu_water!U3</f>
        <v>5.1108960998023575E-4</v>
      </c>
      <c r="F4">
        <f>[1]Manu_water!V3</f>
        <v>0.21891304916979842</v>
      </c>
      <c r="G4">
        <f>[1]Manu_water!W3</f>
        <v>1.6623377148901812E-3</v>
      </c>
      <c r="H4">
        <f>SUM([1]Manu_water!$X3:$AC3)</f>
        <v>4.5252542970455403E-2</v>
      </c>
      <c r="J4">
        <f>[1]Manu_solid!R3</f>
        <v>2.484676752525011E-3</v>
      </c>
      <c r="K4">
        <f>[1]Manu_solid!S3</f>
        <v>2.5186935074093662E-5</v>
      </c>
      <c r="L4">
        <f>[1]Manu_solid!T3</f>
        <v>1.2689354776373339E-3</v>
      </c>
      <c r="M4">
        <f>[1]Manu_solid!U3</f>
        <v>1.7636190766923631E-4</v>
      </c>
      <c r="N4">
        <f>[1]Manu_solid!V3</f>
        <v>3.8140215969341808E-4</v>
      </c>
      <c r="O4">
        <f>[1]Manu_solid!W3</f>
        <v>1.367290761165084E-3</v>
      </c>
      <c r="P4">
        <f>SUM([1]Manu_solid!$X3:$AC3)</f>
        <v>4.3197812454045528E-4</v>
      </c>
      <c r="R4">
        <f>[1]Manu_gas!R3</f>
        <v>5.1443307411433315E-3</v>
      </c>
      <c r="S4">
        <f>[1]Manu_gas!S3</f>
        <v>0</v>
      </c>
      <c r="T4">
        <f>[1]Manu_gas!T3</f>
        <v>0</v>
      </c>
      <c r="U4">
        <f>[1]Manu_gas!U3</f>
        <v>3.4912459273297802E-4</v>
      </c>
      <c r="V4">
        <f>[1]Manu_gas!V3</f>
        <v>0</v>
      </c>
      <c r="W4">
        <f>[1]Manu_gas!W3</f>
        <v>0</v>
      </c>
      <c r="X4">
        <f>SUM([1]Manu_gas!$X3:$AC3)</f>
        <v>4.1604370220013067E-4</v>
      </c>
      <c r="Z4">
        <f>[1]Manu_solvent!R3</f>
        <v>0.33210679410510358</v>
      </c>
      <c r="AA4">
        <f>[1]Manu_solvent!S3</f>
        <v>1.6911227835462881E-4</v>
      </c>
      <c r="AB4">
        <f>[1]Manu_solvent!T3</f>
        <v>4.0512802405302042E-2</v>
      </c>
      <c r="AC4">
        <f>[1]Manu_solvent!U3</f>
        <v>2.2747086866725989E-2</v>
      </c>
      <c r="AD4">
        <f>[1]Manu_solvent!V3</f>
        <v>5.8253782692796588E-2</v>
      </c>
      <c r="AE4">
        <f>[1]Manu_solvent!W3</f>
        <v>0.14152538818133226</v>
      </c>
      <c r="AF4">
        <f>SUM([1]Manu_solvent!$X3:$AC3)</f>
        <v>4.508583898421565E-2</v>
      </c>
    </row>
    <row r="5" spans="1:32" x14ac:dyDescent="0.2">
      <c r="A5">
        <v>2020.5</v>
      </c>
      <c r="B5">
        <f>[1]Manu_water!R4</f>
        <v>1.7561453095145878E-2</v>
      </c>
      <c r="C5">
        <f>[1]Manu_water!S4</f>
        <v>1.3970120086475375E-2</v>
      </c>
      <c r="D5">
        <f>[1]Manu_water!T4</f>
        <v>0.62210280697207621</v>
      </c>
      <c r="E5">
        <f>[1]Manu_water!U4</f>
        <v>8.8745861494168702E-4</v>
      </c>
      <c r="F5">
        <f>[1]Manu_water!V4</f>
        <v>0.38012173915334246</v>
      </c>
      <c r="G5">
        <f>[1]Manu_water!W4</f>
        <v>2.8864917173307791E-3</v>
      </c>
      <c r="H5">
        <f>SUM([1]Manu_water!$X4:$AC4)</f>
        <v>7.1406100792420074E-2</v>
      </c>
      <c r="J5">
        <f>[1]Manu_solid!R4</f>
        <v>4.3144054316794382E-3</v>
      </c>
      <c r="K5">
        <f>[1]Manu_solid!S4</f>
        <v>4.37347229898603E-5</v>
      </c>
      <c r="L5">
        <f>[1]Manu_solid!T4</f>
        <v>2.2033860588125524E-3</v>
      </c>
      <c r="M5">
        <f>[1]Manu_solid!U4</f>
        <v>3.0623571924044132E-4</v>
      </c>
      <c r="N5">
        <f>[1]Manu_solid!V4</f>
        <v>6.6226866241788414E-4</v>
      </c>
      <c r="O5">
        <f>[1]Manu_solid!W4</f>
        <v>2.3741706765924159E-3</v>
      </c>
      <c r="P5">
        <f>SUM([1]Manu_solid!$X4:$AC4)</f>
        <v>6.8163845557132744E-4</v>
      </c>
      <c r="R5">
        <f>[1]Manu_gas!R4</f>
        <v>8.9326422317870038E-3</v>
      </c>
      <c r="S5">
        <f>[1]Manu_gas!S4</f>
        <v>0</v>
      </c>
      <c r="T5">
        <f>[1]Manu_gas!T4</f>
        <v>0</v>
      </c>
      <c r="U5">
        <f>[1]Manu_gas!U4</f>
        <v>6.0622172992495522E-4</v>
      </c>
      <c r="V5">
        <f>[1]Manu_gas!V4</f>
        <v>0</v>
      </c>
      <c r="W5">
        <f>[1]Manu_gas!W4</f>
        <v>0</v>
      </c>
      <c r="X5">
        <f>SUM([1]Manu_gas!$X4:$AC4)</f>
        <v>6.5649478644216777E-4</v>
      </c>
      <c r="Z5">
        <f>[1]Manu_solvent!R4</f>
        <v>0.57667193727658961</v>
      </c>
      <c r="AA5">
        <f>[1]Manu_solvent!S4</f>
        <v>2.9364742578906201E-4</v>
      </c>
      <c r="AB5">
        <f>[1]Manu_solvent!T4</f>
        <v>7.0346637474015442E-2</v>
      </c>
      <c r="AC5">
        <f>[1]Manu_solvent!U4</f>
        <v>3.9498158073461E-2</v>
      </c>
      <c r="AD5">
        <f>[1]Manu_solvent!V4</f>
        <v>0.10115216645797684</v>
      </c>
      <c r="AE5">
        <f>[1]Manu_solvent!W4</f>
        <v>0.24574540848002496</v>
      </c>
      <c r="AF5">
        <f>SUM([1]Manu_solvent!$X4:$AC4)</f>
        <v>7.1143050787656675E-2</v>
      </c>
    </row>
    <row r="6" spans="1:32" x14ac:dyDescent="0.2">
      <c r="A6">
        <v>2020.75</v>
      </c>
      <c r="B6">
        <f>[1]Manu_water!R5</f>
        <v>2.983103050511729E-2</v>
      </c>
      <c r="C6">
        <f>[1]Manu_water!S5</f>
        <v>2.3730557841764796E-2</v>
      </c>
      <c r="D6">
        <f>[1]Manu_water!T5</f>
        <v>1.0567444340487215</v>
      </c>
      <c r="E6">
        <f>[1]Manu_water!U5</f>
        <v>1.5074951298689608E-3</v>
      </c>
      <c r="F6">
        <f>[1]Manu_water!V5</f>
        <v>0.64569959757350037</v>
      </c>
      <c r="G6">
        <f>[1]Manu_water!W5</f>
        <v>4.903183239219738E-3</v>
      </c>
      <c r="H6">
        <f>SUM([1]Manu_water!$X5:$AC5)</f>
        <v>0.10848662407137627</v>
      </c>
      <c r="J6">
        <f>[1]Manu_solid!R5</f>
        <v>7.3287306777277787E-3</v>
      </c>
      <c r="K6">
        <f>[1]Manu_solid!S5</f>
        <v>7.429065513969302E-5</v>
      </c>
      <c r="L6">
        <f>[1]Manu_solid!T5</f>
        <v>3.7428153797338954E-3</v>
      </c>
      <c r="M6">
        <f>[1]Manu_solid!U5</f>
        <v>5.2019198143365562E-4</v>
      </c>
      <c r="N6">
        <f>[1]Manu_solid!V5</f>
        <v>1.1249727778296368E-3</v>
      </c>
      <c r="O6">
        <f>[1]Manu_solid!W5</f>
        <v>4.0329212790119057E-3</v>
      </c>
      <c r="P6">
        <f>SUM([1]Manu_solid!$X5:$AC5)</f>
        <v>1.0356069588105827E-3</v>
      </c>
      <c r="R6">
        <f>[1]Manu_gas!R5</f>
        <v>1.5173569149661736E-2</v>
      </c>
      <c r="S6">
        <f>[1]Manu_gas!S5</f>
        <v>0</v>
      </c>
      <c r="T6">
        <f>[1]Manu_gas!T5</f>
        <v>0</v>
      </c>
      <c r="U6">
        <f>[1]Manu_gas!U5</f>
        <v>1.0297677999809101E-3</v>
      </c>
      <c r="V6">
        <f>[1]Manu_gas!V5</f>
        <v>0</v>
      </c>
      <c r="W6">
        <f>[1]Manu_gas!W5</f>
        <v>0</v>
      </c>
      <c r="X6">
        <f>SUM([1]Manu_gas!$X5:$AC5)</f>
        <v>9.9740641641547453E-4</v>
      </c>
      <c r="Z6">
        <f>[1]Manu_solvent!R5</f>
        <v>0.97957259340333258</v>
      </c>
      <c r="AA6">
        <f>[1]Manu_solvent!S5</f>
        <v>4.9880868450936737E-4</v>
      </c>
      <c r="AB6">
        <f>[1]Manu_solvent!T5</f>
        <v>0.11949539010526566</v>
      </c>
      <c r="AC6">
        <f>[1]Manu_solvent!U5</f>
        <v>6.7094149442055162E-2</v>
      </c>
      <c r="AD6">
        <f>[1]Manu_solvent!V5</f>
        <v>0.17182367238737564</v>
      </c>
      <c r="AE6">
        <f>[1]Manu_solvent!W5</f>
        <v>0.417439191229935</v>
      </c>
      <c r="AF6">
        <f>SUM([1]Manu_solvent!$X5:$AC5)</f>
        <v>0.10808697464839909</v>
      </c>
    </row>
    <row r="7" spans="1:32" x14ac:dyDescent="0.2">
      <c r="A7">
        <v>2021</v>
      </c>
      <c r="B7">
        <f>[1]Manu_water!R6</f>
        <v>4.9386900087826105E-2</v>
      </c>
      <c r="C7">
        <f>[1]Manu_water!S6</f>
        <v>3.9287234443965056E-2</v>
      </c>
      <c r="D7">
        <f>[1]Manu_water!T6</f>
        <v>1.7494981198781536</v>
      </c>
      <c r="E7">
        <f>[1]Manu_water!U6</f>
        <v>2.495740512516032E-3</v>
      </c>
      <c r="F7">
        <f>[1]Manu_water!V6</f>
        <v>1.0689909457416045</v>
      </c>
      <c r="G7">
        <f>[1]Manu_water!W6</f>
        <v>8.1174876176707753E-3</v>
      </c>
      <c r="H7">
        <f>SUM([1]Manu_water!$X6:$AC6)</f>
        <v>0.15989820183310821</v>
      </c>
      <c r="J7">
        <f>[1]Manu_solid!R6</f>
        <v>1.2133113862407108E-2</v>
      </c>
      <c r="K7">
        <f>[1]Manu_solid!S6</f>
        <v>1.229922366313754E-4</v>
      </c>
      <c r="L7">
        <f>[1]Manu_solid!T6</f>
        <v>6.1964352580574722E-3</v>
      </c>
      <c r="M7">
        <f>[1]Manu_solid!U6</f>
        <v>8.61206233192152E-4</v>
      </c>
      <c r="N7">
        <f>[1]Manu_solid!V6</f>
        <v>1.8624538689893983E-3</v>
      </c>
      <c r="O7">
        <f>[1]Manu_solid!W6</f>
        <v>6.6767214171318057E-3</v>
      </c>
      <c r="P7">
        <f>SUM([1]Manu_solid!$X6:$AC6)</f>
        <v>1.5263788687047604E-3</v>
      </c>
      <c r="R7">
        <f>[1]Manu_gas!R6</f>
        <v>2.5120672363011895E-2</v>
      </c>
      <c r="S7">
        <f>[1]Manu_gas!S6</f>
        <v>0</v>
      </c>
      <c r="T7">
        <f>[1]Manu_gas!T6</f>
        <v>0</v>
      </c>
      <c r="U7">
        <f>[1]Manu_gas!U6</f>
        <v>1.7048368289722191E-3</v>
      </c>
      <c r="V7">
        <f>[1]Manu_gas!V6</f>
        <v>0</v>
      </c>
      <c r="W7">
        <f>[1]Manu_gas!W6</f>
        <v>0</v>
      </c>
      <c r="X7">
        <f>SUM([1]Manu_gas!$X6:$AC6)</f>
        <v>1.4700751714488806E-3</v>
      </c>
      <c r="Z7">
        <f>[1]Manu_solvent!R6</f>
        <v>1.6217359232992035</v>
      </c>
      <c r="AA7">
        <f>[1]Manu_solvent!S6</f>
        <v>8.2580501738209195E-4</v>
      </c>
      <c r="AB7">
        <f>[1]Manu_solvent!T6</f>
        <v>0.19783114401871565</v>
      </c>
      <c r="AC7">
        <f>[1]Manu_solvent!U6</f>
        <v>0.1110780284443755</v>
      </c>
      <c r="AD7">
        <f>[1]Manu_solvent!V6</f>
        <v>0.28446347300885244</v>
      </c>
      <c r="AE7">
        <f>[1]Manu_solvent!W6</f>
        <v>0.69109337763169831</v>
      </c>
      <c r="AF7">
        <f>SUM([1]Manu_solvent!$X6:$AC6)</f>
        <v>0.15930915940834212</v>
      </c>
    </row>
    <row r="8" spans="1:32" x14ac:dyDescent="0.2">
      <c r="A8">
        <v>2021.25</v>
      </c>
      <c r="B8">
        <f>[1]Manu_water!R7</f>
        <v>0.10396678976446169</v>
      </c>
      <c r="C8">
        <f>[1]Manu_water!S7</f>
        <v>8.2705487418710866E-2</v>
      </c>
      <c r="D8">
        <f>[1]Manu_water!T7</f>
        <v>3.7277364488442917</v>
      </c>
      <c r="E8">
        <f>[1]Manu_water!U7</f>
        <v>5.2539059691937336E-3</v>
      </c>
      <c r="F8">
        <f>[1]Manu_water!V7</f>
        <v>2.2386706189932646</v>
      </c>
      <c r="G8">
        <f>[1]Manu_water!W7</f>
        <v>1.7213340284655591E-2</v>
      </c>
      <c r="H8">
        <f>SUM([1]Manu_water!$X7:$AC7)</f>
        <v>0.36041802628753344</v>
      </c>
      <c r="J8">
        <f>[1]Manu_solid!R7</f>
        <v>2.5542014094383329E-2</v>
      </c>
      <c r="K8">
        <f>[1]Manu_solid!S7</f>
        <v>2.589169999691306E-4</v>
      </c>
      <c r="L8">
        <f>[1]Manu_solid!T7</f>
        <v>1.3203030801755571E-2</v>
      </c>
      <c r="M8">
        <f>[1]Manu_solid!U7</f>
        <v>1.8129675527499508E-3</v>
      </c>
      <c r="N8">
        <f>[1]Manu_solid!V7</f>
        <v>3.9003330873344224E-3</v>
      </c>
      <c r="O8">
        <f>[1]Manu_solid!W7</f>
        <v>1.4158158675690743E-2</v>
      </c>
      <c r="P8">
        <f>SUM([1]Manu_solid!$X7:$AC7)</f>
        <v>3.435852407087272E-3</v>
      </c>
      <c r="R8">
        <f>[1]Manu_gas!R7</f>
        <v>5.2882761575695048E-2</v>
      </c>
      <c r="S8">
        <f>[1]Manu_gas!S7</f>
        <v>0</v>
      </c>
      <c r="T8">
        <f>[1]Manu_gas!T7</f>
        <v>0</v>
      </c>
      <c r="U8">
        <f>[1]Manu_gas!U7</f>
        <v>3.5889357676886779E-3</v>
      </c>
      <c r="V8">
        <f>[1]Manu_gas!V7</f>
        <v>0</v>
      </c>
      <c r="W8">
        <f>[1]Manu_gas!W7</f>
        <v>0</v>
      </c>
      <c r="X8">
        <f>SUM([1]Manu_gas!$X7:$AC7)</f>
        <v>3.2948350981590862E-3</v>
      </c>
      <c r="Z8">
        <f>[1]Manu_solvent!R7</f>
        <v>3.4139959683901093</v>
      </c>
      <c r="AA8">
        <f>[1]Manu_solvent!S7</f>
        <v>1.7384427140784485E-3</v>
      </c>
      <c r="AB8">
        <f>[1]Manu_solvent!T7</f>
        <v>0.42152795587256325</v>
      </c>
      <c r="AC8">
        <f>[1]Manu_solvent!U7</f>
        <v>0.2338358149669324</v>
      </c>
      <c r="AD8">
        <f>[1]Manu_solvent!V7</f>
        <v>0.59572068569758774</v>
      </c>
      <c r="AE8">
        <f>[1]Manu_solvent!W7</f>
        <v>1.4654811978709055</v>
      </c>
      <c r="AF8">
        <f>SUM([1]Manu_solvent!$X7:$AC7)</f>
        <v>0.3578287006534796</v>
      </c>
    </row>
    <row r="9" spans="1:32" x14ac:dyDescent="0.2">
      <c r="A9">
        <v>2021.5</v>
      </c>
      <c r="B9">
        <f>[1]Manu_water!R8</f>
        <v>0.2176238841125655</v>
      </c>
      <c r="C9">
        <f>[1]Manu_water!S8</f>
        <v>0.17311960338738047</v>
      </c>
      <c r="D9">
        <f>[1]Manu_water!T8</f>
        <v>7.940293845151194</v>
      </c>
      <c r="E9">
        <f>[1]Manu_water!U8</f>
        <v>1.0997506284155424E-2</v>
      </c>
      <c r="F9">
        <f>[1]Manu_water!V8</f>
        <v>4.6500618199737156</v>
      </c>
      <c r="G9">
        <f>[1]Manu_water!W8</f>
        <v>3.6413958916717573E-2</v>
      </c>
      <c r="H9">
        <f>SUM([1]Manu_water!$X8:$AC8)</f>
        <v>0.84654995114941145</v>
      </c>
      <c r="J9">
        <f>[1]Manu_solid!R8</f>
        <v>5.3464691252568003E-2</v>
      </c>
      <c r="K9">
        <f>[1]Manu_solid!S8</f>
        <v>5.419665580105829E-4</v>
      </c>
      <c r="L9">
        <f>[1]Manu_solid!T8</f>
        <v>2.8123217843102521E-2</v>
      </c>
      <c r="M9">
        <f>[1]Manu_solid!U8</f>
        <v>3.7949141403071538E-3</v>
      </c>
      <c r="N9">
        <f>[1]Manu_solid!V8</f>
        <v>8.1015893185528848E-3</v>
      </c>
      <c r="O9">
        <f>[1]Manu_solid!W8</f>
        <v>2.9950875299464663E-2</v>
      </c>
      <c r="P9">
        <f>SUM([1]Manu_solid!$X8:$AC8)</f>
        <v>8.0540116974315845E-3</v>
      </c>
      <c r="R9">
        <f>[1]Manu_gas!R8</f>
        <v>0.11069450160742951</v>
      </c>
      <c r="S9">
        <f>[1]Manu_gas!S8</f>
        <v>0</v>
      </c>
      <c r="T9">
        <f>[1]Manu_gas!T8</f>
        <v>0</v>
      </c>
      <c r="U9">
        <f>[1]Manu_gas!U8</f>
        <v>7.5123810532611007E-3</v>
      </c>
      <c r="V9">
        <f>[1]Manu_gas!V8</f>
        <v>0</v>
      </c>
      <c r="W9">
        <f>[1]Manu_gas!W8</f>
        <v>0</v>
      </c>
      <c r="X9">
        <f>SUM([1]Manu_gas!$X8:$AC8)</f>
        <v>7.6741729078616764E-3</v>
      </c>
      <c r="Z9">
        <f>[1]Manu_solvent!R8</f>
        <v>7.1461960561531033</v>
      </c>
      <c r="AA9">
        <f>[1]Manu_solvent!S8</f>
        <v>3.6389183180710566E-3</v>
      </c>
      <c r="AB9">
        <f>[1]Manu_solvent!T8</f>
        <v>0.8978788815963008</v>
      </c>
      <c r="AC9">
        <f>[1]Manu_solvent!U8</f>
        <v>0.48946647687226957</v>
      </c>
      <c r="AD9">
        <f>[1]Manu_solvent!V8</f>
        <v>1.2374031232770868</v>
      </c>
      <c r="AE9">
        <f>[1]Manu_solvent!W8</f>
        <v>3.1001520477732738</v>
      </c>
      <c r="AF9">
        <f>SUM([1]Manu_solvent!$X8:$AC8)</f>
        <v>0.83612000719836033</v>
      </c>
    </row>
    <row r="10" spans="1:32" x14ac:dyDescent="0.2">
      <c r="A10">
        <v>2021.75</v>
      </c>
      <c r="B10">
        <f>[1]Manu_water!R9</f>
        <v>0.31144041347031215</v>
      </c>
      <c r="C10">
        <f>[1]Manu_water!S9</f>
        <v>0.24775056781402754</v>
      </c>
      <c r="D10">
        <f>[1]Manu_water!T9</f>
        <v>11.494167903101689</v>
      </c>
      <c r="E10">
        <f>[1]Manu_water!U9</f>
        <v>1.5738474286710699E-2</v>
      </c>
      <c r="F10">
        <f>[1]Manu_water!V9</f>
        <v>6.6204485256430559</v>
      </c>
      <c r="G10">
        <f>[1]Manu_water!W9</f>
        <v>5.2476551203949874E-2</v>
      </c>
      <c r="H10">
        <f>SUM([1]Manu_water!$X9:$AC9)</f>
        <v>1.1947560464017564</v>
      </c>
      <c r="J10">
        <f>[1]Manu_solid!R9</f>
        <v>7.6513042755682228E-2</v>
      </c>
      <c r="K10">
        <f>[1]Manu_solid!S9</f>
        <v>7.7560553430151738E-4</v>
      </c>
      <c r="L10">
        <f>[1]Manu_solid!T9</f>
        <v>4.0710456586127833E-2</v>
      </c>
      <c r="M10">
        <f>[1]Manu_solid!U9</f>
        <v>5.4308819721748201E-3</v>
      </c>
      <c r="N10">
        <f>[1]Manu_solid!V9</f>
        <v>1.153450365519703E-2</v>
      </c>
      <c r="O10">
        <f>[1]Manu_solid!W9</f>
        <v>4.3162531293292089E-2</v>
      </c>
      <c r="P10">
        <f>SUM([1]Manu_solid!$X9:$AC9)</f>
        <v>1.1354132474548218E-2</v>
      </c>
      <c r="R10">
        <f>[1]Manu_gas!R9</f>
        <v>0.15841432795894769</v>
      </c>
      <c r="S10">
        <f>[1]Manu_gas!S9</f>
        <v>0</v>
      </c>
      <c r="T10">
        <f>[1]Manu_gas!T9</f>
        <v>0</v>
      </c>
      <c r="U10">
        <f>[1]Manu_gas!U9</f>
        <v>1.075092961838689E-2</v>
      </c>
      <c r="V10">
        <f>[1]Manu_gas!V9</f>
        <v>0</v>
      </c>
      <c r="W10">
        <f>[1]Manu_gas!W9</f>
        <v>0</v>
      </c>
      <c r="X10">
        <f>SUM([1]Manu_gas!$X9:$AC9)</f>
        <v>1.0779796439640972E-2</v>
      </c>
      <c r="Z10">
        <f>[1]Manu_solvent!R9</f>
        <v>10.22688416551302</v>
      </c>
      <c r="AA10">
        <f>[1]Manu_solvent!S9</f>
        <v>5.2076371588816164E-3</v>
      </c>
      <c r="AB10">
        <f>[1]Manu_solvent!T9</f>
        <v>1.2997466873369254</v>
      </c>
      <c r="AC10">
        <f>[1]Manu_solvent!U9</f>
        <v>0.70047294008458894</v>
      </c>
      <c r="AD10">
        <f>[1]Manu_solvent!V9</f>
        <v>1.7617322092230179</v>
      </c>
      <c r="AE10">
        <f>[1]Manu_solvent!W9</f>
        <v>4.467662745681733</v>
      </c>
      <c r="AF10">
        <f>SUM([1]Manu_solvent!$X9:$AC9)</f>
        <v>1.1766141510521739</v>
      </c>
    </row>
    <row r="11" spans="1:32" x14ac:dyDescent="0.2">
      <c r="A11">
        <v>2022</v>
      </c>
      <c r="B11">
        <f>[1]Manu_water!R10</f>
        <v>0.51620344731144574</v>
      </c>
      <c r="C11">
        <f>[1]Manu_water!S10</f>
        <v>0.41063937641850112</v>
      </c>
      <c r="D11">
        <f>[1]Manu_water!T10</f>
        <v>19.417866243283136</v>
      </c>
      <c r="E11">
        <f>[1]Manu_water!U10</f>
        <v>2.6086064398951388E-2</v>
      </c>
      <c r="F11">
        <f>[1]Manu_water!V10</f>
        <v>10.877296322558998</v>
      </c>
      <c r="G11">
        <f>[1]Manu_water!W10</f>
        <v>8.8000209717446848E-2</v>
      </c>
      <c r="H11">
        <f>SUM([1]Manu_water!$X10:$AC10)</f>
        <v>2.0716216735138069</v>
      </c>
      <c r="J11">
        <f>[1]Manu_solid!R10</f>
        <v>0.12681814795540711</v>
      </c>
      <c r="K11">
        <f>[1]Manu_solid!S10</f>
        <v>1.2855436649953076E-3</v>
      </c>
      <c r="L11">
        <f>[1]Manu_solid!T10</f>
        <v>6.8774895873854158E-2</v>
      </c>
      <c r="M11">
        <f>[1]Manu_solid!U10</f>
        <v>9.0015292644268895E-3</v>
      </c>
      <c r="N11">
        <f>[1]Manu_solid!V10</f>
        <v>1.8951014225887575E-2</v>
      </c>
      <c r="O11">
        <f>[1]Manu_solid!W10</f>
        <v>7.2381124875822059E-2</v>
      </c>
      <c r="P11">
        <f>SUM([1]Manu_solid!$X10:$AC10)</f>
        <v>1.9645475530962637E-2</v>
      </c>
      <c r="R11">
        <f>[1]Manu_gas!R10</f>
        <v>0.26256715140063158</v>
      </c>
      <c r="S11">
        <f>[1]Manu_gas!S10</f>
        <v>0</v>
      </c>
      <c r="T11">
        <f>[1]Manu_gas!T10</f>
        <v>0</v>
      </c>
      <c r="U11">
        <f>[1]Manu_gas!U10</f>
        <v>1.7819353849987927E-2</v>
      </c>
      <c r="V11">
        <f>[1]Manu_gas!V10</f>
        <v>0</v>
      </c>
      <c r="W11">
        <f>[1]Manu_gas!W10</f>
        <v>0</v>
      </c>
      <c r="X11">
        <f>SUM([1]Manu_gas!$X10:$AC10)</f>
        <v>1.8523607222504249E-2</v>
      </c>
      <c r="Z11">
        <f>[1]Manu_solvent!R10</f>
        <v>16.950763719673429</v>
      </c>
      <c r="AA11">
        <f>[1]Manu_solvent!S10</f>
        <v>8.6315074649684943E-3</v>
      </c>
      <c r="AB11">
        <f>[1]Manu_solvent!T10</f>
        <v>2.195748969183601</v>
      </c>
      <c r="AC11">
        <f>[1]Manu_solvent!U10</f>
        <v>1.1610135704322029</v>
      </c>
      <c r="AD11">
        <f>[1]Manu_solvent!V10</f>
        <v>2.8944992482747152</v>
      </c>
      <c r="AE11">
        <f>[1]Manu_solvent!W10</f>
        <v>7.4920178545808156</v>
      </c>
      <c r="AF11">
        <f>SUM([1]Manu_solvent!$X10:$AC10)</f>
        <v>2.0288950391633884</v>
      </c>
    </row>
    <row r="12" spans="1:32" x14ac:dyDescent="0.2">
      <c r="A12">
        <v>2022.25</v>
      </c>
      <c r="B12">
        <f>[1]Manu_water!R11</f>
        <v>0.78196941005883325</v>
      </c>
      <c r="C12">
        <f>[1]Manu_water!S11</f>
        <v>0.6220559599075397</v>
      </c>
      <c r="D12">
        <f>[1]Manu_water!T11</f>
        <v>29.918592728521048</v>
      </c>
      <c r="E12">
        <f>[1]Manu_water!U11</f>
        <v>3.9516404811023149E-2</v>
      </c>
      <c r="F12">
        <f>[1]Manu_water!V11</f>
        <v>16.345732818731392</v>
      </c>
      <c r="G12">
        <f>[1]Manu_water!W11</f>
        <v>0.13471023072717855</v>
      </c>
      <c r="H12">
        <f>SUM([1]Manu_water!$X11:$AC11)</f>
        <v>3.2431747780804128</v>
      </c>
      <c r="J12">
        <f>[1]Manu_solid!R11</f>
        <v>0.192110131882966</v>
      </c>
      <c r="K12">
        <f>[1]Manu_solid!S11</f>
        <v>1.947402378959203E-3</v>
      </c>
      <c r="L12">
        <f>[1]Manu_solid!T11</f>
        <v>0.10596674597591532</v>
      </c>
      <c r="M12">
        <f>[1]Manu_solid!U11</f>
        <v>1.3635942505212217E-2</v>
      </c>
      <c r="N12">
        <f>[1]Manu_solid!V11</f>
        <v>2.8478420187734652E-2</v>
      </c>
      <c r="O12">
        <f>[1]Manu_solid!W11</f>
        <v>0.11080062267603429</v>
      </c>
      <c r="P12">
        <f>SUM([1]Manu_solid!$X11:$AC11)</f>
        <v>3.0698249753132206E-2</v>
      </c>
      <c r="R12">
        <f>[1]Manu_gas!R11</f>
        <v>0.39774914629290137</v>
      </c>
      <c r="S12">
        <f>[1]Manu_gas!S11</f>
        <v>0</v>
      </c>
      <c r="T12">
        <f>[1]Manu_gas!T11</f>
        <v>0</v>
      </c>
      <c r="U12">
        <f>[1]Manu_gas!U11</f>
        <v>2.6993600469501736E-2</v>
      </c>
      <c r="V12">
        <f>[1]Manu_gas!V11</f>
        <v>0</v>
      </c>
      <c r="W12">
        <f>[1]Manu_gas!W11</f>
        <v>0</v>
      </c>
      <c r="X12">
        <f>SUM([1]Manu_gas!$X11:$AC11)</f>
        <v>2.8769337539863781E-2</v>
      </c>
      <c r="Z12">
        <f>[1]Manu_solvent!R11</f>
        <v>25.677819036187987</v>
      </c>
      <c r="AA12">
        <f>[1]Manu_solvent!S11</f>
        <v>1.3075415973011793E-2</v>
      </c>
      <c r="AB12">
        <f>[1]Manu_solvent!T11</f>
        <v>3.383158495377848</v>
      </c>
      <c r="AC12">
        <f>[1]Manu_solvent!U11</f>
        <v>1.7587582986314532</v>
      </c>
      <c r="AD12">
        <f>[1]Manu_solvent!V11</f>
        <v>4.3496756871643774</v>
      </c>
      <c r="AE12">
        <f>[1]Manu_solvent!W11</f>
        <v>11.46873918872752</v>
      </c>
      <c r="AF12">
        <f>SUM([1]Manu_solvent!$X11:$AC11)</f>
        <v>3.1608485548129082</v>
      </c>
    </row>
    <row r="13" spans="1:32" x14ac:dyDescent="0.2">
      <c r="A13">
        <v>2022.5</v>
      </c>
      <c r="B13">
        <f>[1]Manu_water!R12</f>
        <v>1.0037765612907219</v>
      </c>
      <c r="C13">
        <f>[1]Manu_water!S12</f>
        <v>0.79850334851258542</v>
      </c>
      <c r="D13">
        <f>[1]Manu_water!T12</f>
        <v>38.862720906315154</v>
      </c>
      <c r="E13">
        <f>[1]Manu_water!U12</f>
        <v>5.0725310255802236E-2</v>
      </c>
      <c r="F13">
        <f>[1]Manu_water!V12</f>
        <v>20.862510152101873</v>
      </c>
      <c r="G13">
        <f>[1]Manu_water!W12</f>
        <v>0.17419666261567929</v>
      </c>
      <c r="H13">
        <f>SUM([1]Manu_water!$X12:$AC12)</f>
        <v>4.1742695447581939</v>
      </c>
      <c r="J13">
        <f>[1]Manu_solid!R12</f>
        <v>0.24660254619945077</v>
      </c>
      <c r="K13">
        <f>[1]Manu_solid!S12</f>
        <v>2.4997868692254463E-3</v>
      </c>
      <c r="L13">
        <f>[1]Manu_solid!T12</f>
        <v>0.13764538030181483</v>
      </c>
      <c r="M13">
        <f>[1]Manu_solid!U12</f>
        <v>1.7503804243199368E-2</v>
      </c>
      <c r="N13">
        <f>[1]Manu_solid!V12</f>
        <v>3.6347794061676597E-2</v>
      </c>
      <c r="O13">
        <f>[1]Manu_solid!W12</f>
        <v>0.14327864024666259</v>
      </c>
      <c r="P13">
        <f>SUM([1]Manu_solid!$X12:$AC12)</f>
        <v>3.9462994042709525E-2</v>
      </c>
      <c r="R13">
        <f>[1]Manu_gas!R12</f>
        <v>0.51057146889182059</v>
      </c>
      <c r="S13">
        <f>[1]Manu_gas!S12</f>
        <v>0</v>
      </c>
      <c r="T13">
        <f>[1]Manu_gas!T12</f>
        <v>0</v>
      </c>
      <c r="U13">
        <f>[1]Manu_gas!U12</f>
        <v>3.4650387991639567E-2</v>
      </c>
      <c r="V13">
        <f>[1]Manu_gas!V12</f>
        <v>0</v>
      </c>
      <c r="W13">
        <f>[1]Manu_gas!W12</f>
        <v>0</v>
      </c>
      <c r="X13">
        <f>SUM([1]Manu_gas!$X12:$AC12)</f>
        <v>3.6833941074260516E-2</v>
      </c>
      <c r="Z13">
        <f>[1]Manu_solvent!R12</f>
        <v>32.961382583560386</v>
      </c>
      <c r="AA13">
        <f>[1]Manu_solvent!S12</f>
        <v>1.6784283264799426E-2</v>
      </c>
      <c r="AB13">
        <f>[1]Manu_solvent!T12</f>
        <v>4.3945497564249152</v>
      </c>
      <c r="AC13">
        <f>[1]Manu_solvent!U12</f>
        <v>2.2576335268779593</v>
      </c>
      <c r="AD13">
        <f>[1]Manu_solvent!V12</f>
        <v>5.5516111873447551</v>
      </c>
      <c r="AE13">
        <f>[1]Manu_solvent!W12</f>
        <v>14.830470412689422</v>
      </c>
      <c r="AF13">
        <f>SUM([1]Manu_solvent!$X12:$AC12)</f>
        <v>4.0552179274278579</v>
      </c>
    </row>
    <row r="14" spans="1:32" x14ac:dyDescent="0.2">
      <c r="A14">
        <v>2022.75</v>
      </c>
      <c r="B14">
        <f>[1]Manu_water!R13</f>
        <v>1.3714938181654615</v>
      </c>
      <c r="C14">
        <f>[1]Manu_water!S13</f>
        <v>1.0910220944601714</v>
      </c>
      <c r="D14">
        <f>[1]Manu_water!T13</f>
        <v>53.988795850198606</v>
      </c>
      <c r="E14">
        <f>[1]Manu_water!U13</f>
        <v>6.9307704645843571E-2</v>
      </c>
      <c r="F14">
        <f>[1]Manu_water!V13</f>
        <v>28.272503491032516</v>
      </c>
      <c r="G14">
        <f>[1]Manu_water!W13</f>
        <v>0.2404896109619073</v>
      </c>
      <c r="H14">
        <f>SUM([1]Manu_water!$X13:$AC13)</f>
        <v>5.8171210192568124</v>
      </c>
      <c r="J14">
        <f>[1]Manu_solid!R13</f>
        <v>0.33694138785379857</v>
      </c>
      <c r="K14">
        <f>[1]Manu_solid!S13</f>
        <v>3.4155432295264756E-3</v>
      </c>
      <c r="L14">
        <f>[1]Manu_solid!T13</f>
        <v>0.19121945565139392</v>
      </c>
      <c r="M14">
        <f>[1]Manu_solid!U13</f>
        <v>2.3916038927086873E-2</v>
      </c>
      <c r="N14">
        <f>[1]Manu_solid!V13</f>
        <v>4.9257885413014346E-2</v>
      </c>
      <c r="O14">
        <f>[1]Manu_solid!W13</f>
        <v>0.19780530771758603</v>
      </c>
      <c r="P14">
        <f>SUM([1]Manu_solid!$X13:$AC13)</f>
        <v>5.4894124818406678E-2</v>
      </c>
      <c r="R14">
        <f>[1]Manu_gas!R13</f>
        <v>0.69761104245786454</v>
      </c>
      <c r="S14">
        <f>[1]Manu_gas!S13</f>
        <v>0</v>
      </c>
      <c r="T14">
        <f>[1]Manu_gas!T13</f>
        <v>0</v>
      </c>
      <c r="U14">
        <f>[1]Manu_gas!U13</f>
        <v>4.7343995427090349E-2</v>
      </c>
      <c r="V14">
        <f>[1]Manu_gas!V13</f>
        <v>0</v>
      </c>
      <c r="W14">
        <f>[1]Manu_gas!W13</f>
        <v>0</v>
      </c>
      <c r="X14">
        <f>SUM([1]Manu_gas!$X13:$AC13)</f>
        <v>5.092824197105493E-2</v>
      </c>
      <c r="Z14">
        <f>[1]Manu_solvent!R13</f>
        <v>45.036250292007715</v>
      </c>
      <c r="AA14">
        <f>[1]Manu_solvent!S13</f>
        <v>2.2932933112534908E-2</v>
      </c>
      <c r="AB14">
        <f>[1]Manu_solvent!T13</f>
        <v>6.1049881253839526</v>
      </c>
      <c r="AC14">
        <f>[1]Manu_solvent!U13</f>
        <v>3.0846809391671233</v>
      </c>
      <c r="AD14">
        <f>[1]Manu_solvent!V13</f>
        <v>7.523444951289644</v>
      </c>
      <c r="AE14">
        <f>[1]Manu_solvent!W13</f>
        <v>20.474410969620557</v>
      </c>
      <c r="AF14">
        <f>SUM([1]Manu_solvent!$X13:$AC13)</f>
        <v>5.6241940038330958</v>
      </c>
    </row>
    <row r="15" spans="1:32" x14ac:dyDescent="0.2">
      <c r="A15">
        <v>2023</v>
      </c>
      <c r="B15">
        <f>[1]Manu_water!R14</f>
        <v>1.8569511274491128</v>
      </c>
      <c r="C15">
        <f>[1]Manu_water!S14</f>
        <v>1.4772029458285809</v>
      </c>
      <c r="D15">
        <f>[1]Manu_water!T14</f>
        <v>74.351161065720618</v>
      </c>
      <c r="E15">
        <f>[1]Manu_water!U14</f>
        <v>9.3840029446988313E-2</v>
      </c>
      <c r="F15">
        <f>[1]Manu_water!V14</f>
        <v>37.952297429199874</v>
      </c>
      <c r="G15">
        <f>[1]Manu_water!W14</f>
        <v>0.32910452978552451</v>
      </c>
      <c r="H15">
        <f>SUM([1]Manu_water!$X14:$AC14)</f>
        <v>7.3493134273362184</v>
      </c>
      <c r="J15">
        <f>[1]Manu_solid!R14</f>
        <v>0.45620598632832887</v>
      </c>
      <c r="K15">
        <f>[1]Manu_solid!S14</f>
        <v>4.6245172722719436E-3</v>
      </c>
      <c r="L15">
        <f>[1]Manu_solid!T14</f>
        <v>0.26333961189808436</v>
      </c>
      <c r="M15">
        <f>[1]Manu_solid!U14</f>
        <v>3.2381418611988934E-2</v>
      </c>
      <c r="N15">
        <f>[1]Manu_solid!V14</f>
        <v>6.612254618771625E-2</v>
      </c>
      <c r="O15">
        <f>[1]Manu_solid!W14</f>
        <v>0.27069203748592918</v>
      </c>
      <c r="P15">
        <f>SUM([1]Manu_solid!$X14:$AC14)</f>
        <v>6.9255114760962647E-2</v>
      </c>
      <c r="R15">
        <f>[1]Manu_gas!R14</f>
        <v>0.94453915479245543</v>
      </c>
      <c r="S15">
        <f>[1]Manu_gas!S14</f>
        <v>0</v>
      </c>
      <c r="T15">
        <f>[1]Manu_gas!T14</f>
        <v>0</v>
      </c>
      <c r="U15">
        <f>[1]Manu_gas!U14</f>
        <v>6.4101991946182185E-2</v>
      </c>
      <c r="V15">
        <f>[1]Manu_gas!V14</f>
        <v>0</v>
      </c>
      <c r="W15">
        <f>[1]Manu_gas!W14</f>
        <v>0</v>
      </c>
      <c r="X15">
        <f>SUM([1]Manu_gas!$X14:$AC14)</f>
        <v>6.3949757942336122E-2</v>
      </c>
      <c r="Z15">
        <f>[1]Manu_solvent!R14</f>
        <v>60.977391693744224</v>
      </c>
      <c r="AA15">
        <f>[1]Manu_solvent!S14</f>
        <v>3.1050330256683051E-2</v>
      </c>
      <c r="AB15">
        <f>[1]Manu_solvent!T14</f>
        <v>8.4075399028012257</v>
      </c>
      <c r="AC15">
        <f>[1]Manu_solvent!U14</f>
        <v>4.1765421556687761</v>
      </c>
      <c r="AD15">
        <f>[1]Manu_solvent!V14</f>
        <v>10.099283233765339</v>
      </c>
      <c r="AE15">
        <f>[1]Manu_solvent!W14</f>
        <v>28.018762922194881</v>
      </c>
      <c r="AF15">
        <f>SUM([1]Manu_solvent!$X14:$AC14)</f>
        <v>7.0791972713133751</v>
      </c>
    </row>
    <row r="16" spans="1:32" x14ac:dyDescent="0.2">
      <c r="A16">
        <v>2023.25</v>
      </c>
      <c r="B16">
        <f>[1]Manu_water!R15</f>
        <v>2.4961536675816993</v>
      </c>
      <c r="C16">
        <f>[1]Manu_water!S15</f>
        <v>1.9856879895691</v>
      </c>
      <c r="D16">
        <f>[1]Manu_water!T15</f>
        <v>101.06648358622101</v>
      </c>
      <c r="E16">
        <f>[1]Manu_water!U15</f>
        <v>0.12614178704414694</v>
      </c>
      <c r="F16">
        <f>[1]Manu_water!V15</f>
        <v>50.675224458003626</v>
      </c>
      <c r="G16">
        <f>[1]Manu_water!W15</f>
        <v>0.45031179537678961</v>
      </c>
      <c r="H16">
        <f>SUM([1]Manu_water!$X15:$AC15)</f>
        <v>10.343899106555776</v>
      </c>
      <c r="J16">
        <f>[1]Manu_solid!R15</f>
        <v>0.61324190449238991</v>
      </c>
      <c r="K16">
        <f>[1]Manu_solid!S15</f>
        <v>6.2163756381859126E-3</v>
      </c>
      <c r="L16">
        <f>[1]Manu_solid!T15</f>
        <v>0.35796090043535628</v>
      </c>
      <c r="M16">
        <f>[1]Manu_solid!U15</f>
        <v>4.3527799754670436E-2</v>
      </c>
      <c r="N16">
        <f>[1]Manu_solid!V15</f>
        <v>8.8289118097477845E-2</v>
      </c>
      <c r="O16">
        <f>[1]Manu_solid!W15</f>
        <v>0.37038632520168835</v>
      </c>
      <c r="P16">
        <f>SUM([1]Manu_solid!$X15:$AC15)</f>
        <v>9.7647194455014921E-2</v>
      </c>
      <c r="R16">
        <f>[1]Manu_gas!R15</f>
        <v>1.2696698585969197</v>
      </c>
      <c r="S16">
        <f>[1]Manu_gas!S15</f>
        <v>0</v>
      </c>
      <c r="T16">
        <f>[1]Manu_gas!T15</f>
        <v>0</v>
      </c>
      <c r="U16">
        <f>[1]Manu_gas!U15</f>
        <v>8.6167277065368003E-2</v>
      </c>
      <c r="V16">
        <f>[1]Manu_gas!V15</f>
        <v>0</v>
      </c>
      <c r="W16">
        <f>[1]Manu_gas!W15</f>
        <v>0</v>
      </c>
      <c r="X16">
        <f>SUM([1]Manu_gas!$X15:$AC15)</f>
        <v>8.9470677699630782E-2</v>
      </c>
      <c r="Z16">
        <f>[1]Manu_solvent!R15</f>
        <v>81.967122163841964</v>
      </c>
      <c r="AA16">
        <f>[1]Manu_solvent!S15</f>
        <v>4.1738522142105411E-2</v>
      </c>
      <c r="AB16">
        <f>[1]Manu_solvent!T15</f>
        <v>11.428476454266422</v>
      </c>
      <c r="AC16">
        <f>[1]Manu_solvent!U15</f>
        <v>5.614197845908512</v>
      </c>
      <c r="AD16">
        <f>[1]Manu_solvent!V15</f>
        <v>13.48491341507704</v>
      </c>
      <c r="AE16">
        <f>[1]Manu_solvent!W15</f>
        <v>38.337908760942128</v>
      </c>
      <c r="AF16">
        <f>SUM([1]Manu_solvent!$X15:$AC15)</f>
        <v>9.9579628543239789</v>
      </c>
    </row>
    <row r="17" spans="1:32" x14ac:dyDescent="0.2">
      <c r="A17">
        <v>2023.5</v>
      </c>
      <c r="B17">
        <f>[1]Manu_water!R16</f>
        <v>4.1724843963459382</v>
      </c>
      <c r="C17">
        <f>[1]Manu_water!S16</f>
        <v>3.3192075712692191</v>
      </c>
      <c r="D17">
        <f>[1]Manu_water!T16</f>
        <v>170.880742875875</v>
      </c>
      <c r="E17">
        <f>[1]Manu_water!U16</f>
        <v>0.21085426150017611</v>
      </c>
      <c r="F17">
        <f>[1]Manu_water!V16</f>
        <v>83.98347649712278</v>
      </c>
      <c r="G17">
        <f>[1]Manu_water!W16</f>
        <v>0.77987921402199167</v>
      </c>
      <c r="H17">
        <f>SUM([1]Manu_water!$X16:$AC16)</f>
        <v>18.03186078783737</v>
      </c>
      <c r="J17">
        <f>[1]Manu_solid!R16</f>
        <v>1.0250740212476182</v>
      </c>
      <c r="K17">
        <f>[1]Manu_solid!S16</f>
        <v>1.0391079158714012E-2</v>
      </c>
      <c r="L17">
        <f>[1]Manu_solid!T16</f>
        <v>0.60523155072202672</v>
      </c>
      <c r="M17">
        <f>[1]Manu_solid!U16</f>
        <v>7.275956910921573E-2</v>
      </c>
      <c r="N17">
        <f>[1]Manu_solid!V16</f>
        <v>0.14632055711635103</v>
      </c>
      <c r="O17">
        <f>[1]Manu_solid!W16</f>
        <v>0.64145909378432209</v>
      </c>
      <c r="P17">
        <f>SUM([1]Manu_solid!$X16:$AC16)</f>
        <v>0.17136256384298559</v>
      </c>
      <c r="R17">
        <f>[1]Manu_gas!R16</f>
        <v>2.1223363538507019</v>
      </c>
      <c r="S17">
        <f>[1]Manu_gas!S16</f>
        <v>0</v>
      </c>
      <c r="T17">
        <f>[1]Manu_gas!T16</f>
        <v>0</v>
      </c>
      <c r="U17">
        <f>[1]Manu_gas!U16</f>
        <v>0.14403424905293724</v>
      </c>
      <c r="V17">
        <f>[1]Manu_gas!V16</f>
        <v>0</v>
      </c>
      <c r="W17">
        <f>[1]Manu_gas!W16</f>
        <v>0</v>
      </c>
      <c r="X17">
        <f>SUM([1]Manu_gas!$X16:$AC16)</f>
        <v>0.15517097857257114</v>
      </c>
      <c r="Z17">
        <f>[1]Manu_solvent!R16</f>
        <v>137.01341495267457</v>
      </c>
      <c r="AA17">
        <f>[1]Manu_solvent!S16</f>
        <v>6.9768674351365509E-2</v>
      </c>
      <c r="AB17">
        <f>[1]Manu_solvent!T16</f>
        <v>19.322988958831683</v>
      </c>
      <c r="AC17">
        <f>[1]Manu_solvent!U16</f>
        <v>9.3844995259233315</v>
      </c>
      <c r="AD17">
        <f>[1]Manu_solvent!V16</f>
        <v>22.348394525601162</v>
      </c>
      <c r="AE17">
        <f>[1]Manu_solvent!W16</f>
        <v>66.396080357417745</v>
      </c>
      <c r="AF17">
        <f>SUM([1]Manu_solvent!$X16:$AC16)</f>
        <v>17.437693502076915</v>
      </c>
    </row>
    <row r="18" spans="1:32" x14ac:dyDescent="0.2">
      <c r="A18">
        <v>2023.75</v>
      </c>
      <c r="B18">
        <f>[1]Manu_water!R17</f>
        <v>5.7604849452367137</v>
      </c>
      <c r="C18">
        <f>[1]Manu_water!S17</f>
        <v>4.5824605746055402</v>
      </c>
      <c r="D18">
        <f>[1]Manu_water!T17</f>
        <v>236.78523417018295</v>
      </c>
      <c r="E18">
        <f>[1]Manu_water!U17</f>
        <v>0.29110301768281704</v>
      </c>
      <c r="F18">
        <f>[1]Manu_water!V17</f>
        <v>115.48244207133411</v>
      </c>
      <c r="G18">
        <f>[1]Manu_water!W17</f>
        <v>1.1029975425630556</v>
      </c>
      <c r="H18">
        <f>SUM([1]Manu_water!$X17:$AC17)</f>
        <v>26.554338016322799</v>
      </c>
      <c r="J18">
        <f>[1]Manu_solid!R17</f>
        <v>1.4152056439854905</v>
      </c>
      <c r="K18">
        <f>[1]Manu_solid!S17</f>
        <v>1.4345806807799094E-2</v>
      </c>
      <c r="L18">
        <f>[1]Manu_solid!T17</f>
        <v>0.83865444433955938</v>
      </c>
      <c r="M18">
        <f>[1]Manu_solid!U17</f>
        <v>0.10045104131308479</v>
      </c>
      <c r="N18">
        <f>[1]Manu_solid!V17</f>
        <v>0.20119975935520171</v>
      </c>
      <c r="O18">
        <f>[1]Manu_solid!W17</f>
        <v>0.90722741596095458</v>
      </c>
      <c r="P18">
        <f>SUM([1]Manu_solid!$X17:$AC17)</f>
        <v>0.25398528638328355</v>
      </c>
      <c r="R18">
        <f>[1]Manu_gas!R17</f>
        <v>2.9300736572657335</v>
      </c>
      <c r="S18">
        <f>[1]Manu_gas!S17</f>
        <v>0</v>
      </c>
      <c r="T18">
        <f>[1]Manu_gas!T17</f>
        <v>0</v>
      </c>
      <c r="U18">
        <f>[1]Manu_gas!U17</f>
        <v>0.19885206137488209</v>
      </c>
      <c r="V18">
        <f>[1]Manu_gas!V17</f>
        <v>0</v>
      </c>
      <c r="W18">
        <f>[1]Manu_gas!W17</f>
        <v>0</v>
      </c>
      <c r="X18">
        <f>SUM([1]Manu_gas!$X17:$AC17)</f>
        <v>0.22820144482385149</v>
      </c>
      <c r="Z18">
        <f>[1]Manu_solvent!R17</f>
        <v>189.15917692144089</v>
      </c>
      <c r="AA18">
        <f>[1]Manu_solvent!S17</f>
        <v>9.6321845709508205E-2</v>
      </c>
      <c r="AB18">
        <f>[1]Manu_solvent!T17</f>
        <v>26.775389599097863</v>
      </c>
      <c r="AC18">
        <f>[1]Manu_solvent!U17</f>
        <v>12.956134308136647</v>
      </c>
      <c r="AD18">
        <f>[1]Manu_solvent!V17</f>
        <v>30.73041607510109</v>
      </c>
      <c r="AE18">
        <f>[1]Manu_solvent!W17</f>
        <v>93.905199873663761</v>
      </c>
      <c r="AF18">
        <f>SUM([1]Manu_solvent!$X17:$AC17)</f>
        <v>25.827193003341094</v>
      </c>
    </row>
    <row r="19" spans="1:32" x14ac:dyDescent="0.2">
      <c r="A19">
        <v>2024</v>
      </c>
      <c r="B19">
        <f>[1]Manu_water!R18</f>
        <v>8.3253038315336703</v>
      </c>
      <c r="C19">
        <f>[1]Manu_water!S18</f>
        <v>6.6227716836863966</v>
      </c>
      <c r="D19">
        <f>[1]Manu_water!T18</f>
        <v>342.86147840240278</v>
      </c>
      <c r="E19">
        <f>[1]Manu_water!U18</f>
        <v>0.42071476473343716</v>
      </c>
      <c r="F19">
        <f>[1]Manu_water!V18</f>
        <v>166.27096409591903</v>
      </c>
      <c r="G19">
        <f>[1]Manu_water!W18</f>
        <v>1.6422464159091277</v>
      </c>
      <c r="H19">
        <f>SUM([1]Manu_water!$X18:$AC18)</f>
        <v>39.78534632196618</v>
      </c>
      <c r="J19">
        <f>[1]Manu_solid!R18</f>
        <v>2.0453168582660579</v>
      </c>
      <c r="K19">
        <f>[1]Manu_solid!S18</f>
        <v>2.0733185056263311E-2</v>
      </c>
      <c r="L19">
        <f>[1]Manu_solid!T18</f>
        <v>1.2143590949102161</v>
      </c>
      <c r="M19">
        <f>[1]Manu_solid!U18</f>
        <v>0.14517622163336921</v>
      </c>
      <c r="N19">
        <f>[1]Manu_solid!V18</f>
        <v>0.28968627060373198</v>
      </c>
      <c r="O19">
        <f>[1]Manu_solid!W18</f>
        <v>1.3507654503148665</v>
      </c>
      <c r="P19">
        <f>SUM([1]Manu_solid!$X18:$AC18)</f>
        <v>0.38364860893443697</v>
      </c>
      <c r="R19">
        <f>[1]Manu_gas!R18</f>
        <v>4.2346701150015562</v>
      </c>
      <c r="S19">
        <f>[1]Manu_gas!S18</f>
        <v>0</v>
      </c>
      <c r="T19">
        <f>[1]Manu_gas!T18</f>
        <v>0</v>
      </c>
      <c r="U19">
        <f>[1]Manu_gas!U18</f>
        <v>0.28738966323340431</v>
      </c>
      <c r="V19">
        <f>[1]Manu_gas!V18</f>
        <v>0</v>
      </c>
      <c r="W19">
        <f>[1]Manu_gas!W18</f>
        <v>0</v>
      </c>
      <c r="X19">
        <f>SUM([1]Manu_gas!$X18:$AC18)</f>
        <v>0.34188535771984813</v>
      </c>
      <c r="Z19">
        <f>[1]Manu_solvent!R18</f>
        <v>273.3810842949984</v>
      </c>
      <c r="AA19">
        <f>[1]Manu_solvent!S18</f>
        <v>0.13920852823491081</v>
      </c>
      <c r="AB19">
        <f>[1]Manu_solvent!T18</f>
        <v>38.77036376410598</v>
      </c>
      <c r="AC19">
        <f>[1]Manu_solvent!U18</f>
        <v>18.72476981067129</v>
      </c>
      <c r="AD19">
        <f>[1]Manu_solvent!V18</f>
        <v>44.245478500702077</v>
      </c>
      <c r="AE19">
        <f>[1]Manu_solvent!W18</f>
        <v>139.81488804535434</v>
      </c>
      <c r="AF19">
        <f>SUM([1]Manu_solvent!$X18:$AC18)</f>
        <v>39.002254086800342</v>
      </c>
    </row>
    <row r="20" spans="1:32" x14ac:dyDescent="0.2">
      <c r="A20">
        <v>2024.25</v>
      </c>
      <c r="B20">
        <f>[1]Manu_water!R19</f>
        <v>11.064705842869721</v>
      </c>
      <c r="C20">
        <f>[1]Manu_water!S19</f>
        <v>8.8019635111596504</v>
      </c>
      <c r="D20">
        <f>[1]Manu_water!T19</f>
        <v>455.77113976808198</v>
      </c>
      <c r="E20">
        <f>[1]Manu_water!U19</f>
        <v>0.55914897638877781</v>
      </c>
      <c r="F20">
        <f>[1]Manu_water!V19</f>
        <v>220.42581959593826</v>
      </c>
      <c r="G20">
        <f>[1]Manu_water!W19</f>
        <v>2.2364852248633955</v>
      </c>
      <c r="H20">
        <f>SUM([1]Manu_water!$X19:$AC19)</f>
        <v>55.567474388473791</v>
      </c>
      <c r="J20">
        <f>[1]Manu_solid!R19</f>
        <v>2.7183187364835648</v>
      </c>
      <c r="K20">
        <f>[1]Manu_solid!S19</f>
        <v>2.7555341940124125E-2</v>
      </c>
      <c r="L20">
        <f>[1]Manu_solid!T19</f>
        <v>1.6142665876432472</v>
      </c>
      <c r="M20">
        <f>[1]Manu_solid!U19</f>
        <v>0.19294577354260647</v>
      </c>
      <c r="N20">
        <f>[1]Manu_solid!V19</f>
        <v>0.38403779018615569</v>
      </c>
      <c r="O20">
        <f>[1]Manu_solid!W19</f>
        <v>1.839533301835693</v>
      </c>
      <c r="P20">
        <f>SUM([1]Manu_solid!$X19:$AC19)</f>
        <v>0.53995876453329938</v>
      </c>
      <c r="R20">
        <f>[1]Manu_gas!R19</f>
        <v>5.628068369902592</v>
      </c>
      <c r="S20">
        <f>[1]Manu_gas!S19</f>
        <v>0</v>
      </c>
      <c r="T20">
        <f>[1]Manu_gas!T19</f>
        <v>0</v>
      </c>
      <c r="U20">
        <f>[1]Manu_gas!U19</f>
        <v>0.38195387823740462</v>
      </c>
      <c r="V20">
        <f>[1]Manu_gas!V19</f>
        <v>0</v>
      </c>
      <c r="W20">
        <f>[1]Manu_gas!W19</f>
        <v>0</v>
      </c>
      <c r="X20">
        <f>SUM([1]Manu_gas!$X19:$AC19)</f>
        <v>0.47784985240420497</v>
      </c>
      <c r="Z20">
        <f>[1]Manu_solvent!R19</f>
        <v>363.33584238350744</v>
      </c>
      <c r="AA20">
        <f>[1]Manu_solvent!S19</f>
        <v>0.1850144387408334</v>
      </c>
      <c r="AB20">
        <f>[1]Manu_solvent!T19</f>
        <v>51.538052522922023</v>
      </c>
      <c r="AC20">
        <f>[1]Manu_solvent!U19</f>
        <v>24.886067118148425</v>
      </c>
      <c r="AD20">
        <f>[1]Manu_solvent!V19</f>
        <v>58.656337953904341</v>
      </c>
      <c r="AE20">
        <f>[1]Manu_solvent!W19</f>
        <v>190.40621937132451</v>
      </c>
      <c r="AF20">
        <f>SUM([1]Manu_solvent!$X19:$AC19)</f>
        <v>54.895491807372423</v>
      </c>
    </row>
    <row r="21" spans="1:32" x14ac:dyDescent="0.2">
      <c r="A21">
        <v>2024.5</v>
      </c>
      <c r="B21">
        <f>[1]Manu_water!R20</f>
        <v>15.141051931836712</v>
      </c>
      <c r="C21">
        <f>[1]Manu_water!S20</f>
        <v>12.044693145681959</v>
      </c>
      <c r="D21">
        <f>[1]Manu_water!T20</f>
        <v>623.21793206750181</v>
      </c>
      <c r="E21">
        <f>[1]Manu_water!U20</f>
        <v>0.76514494007913647</v>
      </c>
      <c r="F21">
        <f>[1]Manu_water!V20</f>
        <v>300.87743816369209</v>
      </c>
      <c r="G21">
        <f>[1]Manu_water!W20</f>
        <v>3.147550953904783</v>
      </c>
      <c r="H21">
        <f>SUM([1]Manu_water!$X20:$AC20)</f>
        <v>77.122053387442421</v>
      </c>
      <c r="J21">
        <f>[1]Manu_solid!R20</f>
        <v>3.7197740040152478</v>
      </c>
      <c r="K21">
        <f>[1]Manu_solid!S20</f>
        <v>3.7707000008843347E-2</v>
      </c>
      <c r="L21">
        <f>[1]Manu_solid!T20</f>
        <v>2.2073356489149534</v>
      </c>
      <c r="M21">
        <f>[1]Manu_solid!U20</f>
        <v>0.26402888777378658</v>
      </c>
      <c r="N21">
        <f>[1]Manu_solid!V20</f>
        <v>0.52420495330840633</v>
      </c>
      <c r="O21">
        <f>[1]Manu_solid!W20</f>
        <v>2.5888947239909466</v>
      </c>
      <c r="P21">
        <f>SUM([1]Manu_solid!$X20:$AC20)</f>
        <v>0.75566786992492008</v>
      </c>
      <c r="R21">
        <f>[1]Manu_gas!R20</f>
        <v>7.7015039238062171</v>
      </c>
      <c r="S21">
        <f>[1]Manu_gas!S20</f>
        <v>0</v>
      </c>
      <c r="T21">
        <f>[1]Manu_gas!T20</f>
        <v>0</v>
      </c>
      <c r="U21">
        <f>[1]Manu_gas!U20</f>
        <v>0.52266943089912854</v>
      </c>
      <c r="V21">
        <f>[1]Manu_gas!V20</f>
        <v>0</v>
      </c>
      <c r="W21">
        <f>[1]Manu_gas!W20</f>
        <v>0</v>
      </c>
      <c r="X21">
        <f>SUM([1]Manu_gas!$X20:$AC20)</f>
        <v>0.66403269534020049</v>
      </c>
      <c r="Z21">
        <f>[1]Manu_solvent!R20</f>
        <v>497.19232814231975</v>
      </c>
      <c r="AA21">
        <f>[1]Manu_solvent!S20</f>
        <v>0.25317557148794811</v>
      </c>
      <c r="AB21">
        <f>[1]Manu_solvent!T20</f>
        <v>70.472734479119609</v>
      </c>
      <c r="AC21">
        <f>[1]Manu_solvent!U20</f>
        <v>34.054338178170028</v>
      </c>
      <c r="AD21">
        <f>[1]Manu_solvent!V20</f>
        <v>80.064888623236783</v>
      </c>
      <c r="AE21">
        <f>[1]Manu_solvent!W20</f>
        <v>267.9710425756208</v>
      </c>
      <c r="AF21">
        <f>SUM([1]Manu_solvent!$X20:$AC20)</f>
        <v>76.842459728214038</v>
      </c>
    </row>
    <row r="22" spans="1:32" x14ac:dyDescent="0.2">
      <c r="A22">
        <v>2024.75</v>
      </c>
      <c r="B22">
        <f>[1]Manu_water!R21</f>
        <v>18.490292462229071</v>
      </c>
      <c r="C22">
        <f>[1]Manu_water!S21</f>
        <v>14.709010964633094</v>
      </c>
      <c r="D22">
        <f>[1]Manu_water!T21</f>
        <v>760.33730932970172</v>
      </c>
      <c r="E22">
        <f>[1]Manu_water!U21</f>
        <v>0.93439701427282229</v>
      </c>
      <c r="F22">
        <f>[1]Manu_water!V21</f>
        <v>366.87096621586807</v>
      </c>
      <c r="G22">
        <f>[1]Manu_water!W21</f>
        <v>3.9178216929720966</v>
      </c>
      <c r="H22">
        <f>SUM([1]Manu_water!$X21:$AC21)</f>
        <v>98.562562272169686</v>
      </c>
      <c r="J22">
        <f>[1]Manu_solid!R21</f>
        <v>4.5425978021393218</v>
      </c>
      <c r="K22">
        <f>[1]Manu_solid!S21</f>
        <v>4.6047887635255663E-2</v>
      </c>
      <c r="L22">
        <f>[1]Manu_solid!T21</f>
        <v>2.6929899826787156</v>
      </c>
      <c r="M22">
        <f>[1]Manu_solid!U21</f>
        <v>0.32243277253076269</v>
      </c>
      <c r="N22">
        <f>[1]Manu_solid!V21</f>
        <v>0.63918244880418695</v>
      </c>
      <c r="O22">
        <f>[1]Manu_solid!W21</f>
        <v>3.2224507431372214</v>
      </c>
      <c r="P22">
        <f>SUM([1]Manu_solid!$X21:$AC21)</f>
        <v>0.97243032220177417</v>
      </c>
      <c r="R22">
        <f>[1]Manu_gas!R21</f>
        <v>9.4050968579504275</v>
      </c>
      <c r="S22">
        <f>[1]Manu_gas!S21</f>
        <v>0</v>
      </c>
      <c r="T22">
        <f>[1]Manu_gas!T21</f>
        <v>0</v>
      </c>
      <c r="U22">
        <f>[1]Manu_gas!U21</f>
        <v>0.63828528439763221</v>
      </c>
      <c r="V22">
        <f>[1]Manu_gas!V21</f>
        <v>0</v>
      </c>
      <c r="W22">
        <f>[1]Manu_gas!W21</f>
        <v>0</v>
      </c>
      <c r="X22">
        <f>SUM([1]Manu_gas!$X21:$AC21)</f>
        <v>0.84971131389609778</v>
      </c>
      <c r="Z22">
        <f>[1]Manu_solvent!R21</f>
        <v>607.17257946904465</v>
      </c>
      <c r="AA22">
        <f>[1]Manu_solvent!S21</f>
        <v>0.30917867412243083</v>
      </c>
      <c r="AB22">
        <f>[1]Manu_solvent!T21</f>
        <v>85.978028804788352</v>
      </c>
      <c r="AC22">
        <f>[1]Manu_solvent!U21</f>
        <v>41.587247395804496</v>
      </c>
      <c r="AD22">
        <f>[1]Manu_solvent!V21</f>
        <v>97.626074020186678</v>
      </c>
      <c r="AE22">
        <f>[1]Manu_solvent!W21</f>
        <v>333.54909231530615</v>
      </c>
      <c r="AF22">
        <f>SUM([1]Manu_solvent!$X21:$AC21)</f>
        <v>98.910437918569912</v>
      </c>
    </row>
    <row r="23" spans="1:32" x14ac:dyDescent="0.2">
      <c r="A23">
        <v>2025</v>
      </c>
      <c r="B23">
        <f>[1]Manu_water!R22</f>
        <v>23.160529981162512</v>
      </c>
      <c r="C23">
        <f>[1]Manu_water!S22</f>
        <v>18.424180695655913</v>
      </c>
      <c r="D23">
        <f>[1]Manu_water!T22</f>
        <v>950.90714501065156</v>
      </c>
      <c r="E23">
        <f>[1]Manu_water!U22</f>
        <v>1.1704049629058988</v>
      </c>
      <c r="F23">
        <f>[1]Manu_water!V22</f>
        <v>458.74530780884157</v>
      </c>
      <c r="G23">
        <f>[1]Manu_water!W22</f>
        <v>5.0217453801819447</v>
      </c>
      <c r="H23">
        <f>SUM([1]Manu_water!$X22:$AC22)</f>
        <v>124.36508620191286</v>
      </c>
      <c r="J23">
        <f>[1]Manu_solid!R22</f>
        <v>5.6899571926039387</v>
      </c>
      <c r="K23">
        <f>[1]Manu_solid!S22</f>
        <v>5.7678562106257332E-2</v>
      </c>
      <c r="L23">
        <f>[1]Manu_solid!T22</f>
        <v>3.3679570692497478</v>
      </c>
      <c r="M23">
        <f>[1]Manu_solid!U22</f>
        <v>0.40387213508724684</v>
      </c>
      <c r="N23">
        <f>[1]Manu_solid!V22</f>
        <v>0.7992508980668509</v>
      </c>
      <c r="O23">
        <f>[1]Manu_solid!W22</f>
        <v>4.1304399230933733</v>
      </c>
      <c r="P23">
        <f>SUM([1]Manu_solid!$X22:$AC22)</f>
        <v>1.2359097157304282</v>
      </c>
      <c r="R23">
        <f>[1]Manu_gas!R22</f>
        <v>11.780615595954636</v>
      </c>
      <c r="S23">
        <f>[1]Manu_gas!S22</f>
        <v>0</v>
      </c>
      <c r="T23">
        <f>[1]Manu_gas!T22</f>
        <v>0</v>
      </c>
      <c r="U23">
        <f>[1]Manu_gas!U22</f>
        <v>0.79950198170332532</v>
      </c>
      <c r="V23">
        <f>[1]Manu_gas!V22</f>
        <v>0</v>
      </c>
      <c r="W23">
        <f>[1]Manu_gas!W22</f>
        <v>0</v>
      </c>
      <c r="X23">
        <f>SUM([1]Manu_gas!$X22:$AC22)</f>
        <v>1.0737393974324678</v>
      </c>
      <c r="Z23">
        <f>[1]Manu_solvent!R22</f>
        <v>760.53089799734346</v>
      </c>
      <c r="AA23">
        <f>[1]Manu_solvent!S22</f>
        <v>0.38727034557058493</v>
      </c>
      <c r="AB23">
        <f>[1]Manu_solvent!T22</f>
        <v>107.52743670632223</v>
      </c>
      <c r="AC23">
        <f>[1]Manu_solvent!U22</f>
        <v>52.091263137783677</v>
      </c>
      <c r="AD23">
        <f>[1]Manu_solvent!V22</f>
        <v>122.07426452549356</v>
      </c>
      <c r="AE23">
        <f>[1]Manu_solvent!W22</f>
        <v>427.53314077639914</v>
      </c>
      <c r="AF23">
        <f>SUM([1]Manu_solvent!$X22:$AC22)</f>
        <v>125.75087171715063</v>
      </c>
    </row>
    <row r="24" spans="1:32" x14ac:dyDescent="0.2">
      <c r="A24">
        <v>2025.25</v>
      </c>
      <c r="B24">
        <f>[1]Manu_water!R23</f>
        <v>28.193731181429861</v>
      </c>
      <c r="C24">
        <f>[1]Manu_water!S23</f>
        <v>22.428087707574093</v>
      </c>
      <c r="D24">
        <f>[1]Manu_water!T23</f>
        <v>1154.2980692553072</v>
      </c>
      <c r="E24">
        <f>[1]Manu_water!U23</f>
        <v>1.4247550865381364</v>
      </c>
      <c r="F24">
        <f>[1]Manu_water!V23</f>
        <v>558.4838852294007</v>
      </c>
      <c r="G24">
        <f>[1]Manu_water!W23</f>
        <v>6.2375662893114159</v>
      </c>
      <c r="H24">
        <f>SUM([1]Manu_water!$X23:$AC23)</f>
        <v>155.71841793780686</v>
      </c>
      <c r="J24">
        <f>[1]Manu_solid!R23</f>
        <v>6.9264875912855368</v>
      </c>
      <c r="K24">
        <f>[1]Manu_solid!S23</f>
        <v>7.021315471959691E-2</v>
      </c>
      <c r="L24">
        <f>[1]Manu_solid!T23</f>
        <v>4.0883343476467404</v>
      </c>
      <c r="M24">
        <f>[1]Manu_solid!U23</f>
        <v>0.49164083972090633</v>
      </c>
      <c r="N24">
        <f>[1]Manu_solid!V23</f>
        <v>0.97302084452374094</v>
      </c>
      <c r="O24">
        <f>[1]Manu_solid!W23</f>
        <v>5.1304657790873103</v>
      </c>
      <c r="P24">
        <f>SUM([1]Manu_solid!$X23:$AC23)</f>
        <v>1.5589038078749011</v>
      </c>
      <c r="R24">
        <f>[1]Manu_gas!R23</f>
        <v>14.340755998858789</v>
      </c>
      <c r="S24">
        <f>[1]Manu_gas!S23</f>
        <v>0</v>
      </c>
      <c r="T24">
        <f>[1]Manu_gas!T23</f>
        <v>0</v>
      </c>
      <c r="U24">
        <f>[1]Manu_gas!U23</f>
        <v>0.97324819291689613</v>
      </c>
      <c r="V24">
        <f>[1]Manu_gas!V23</f>
        <v>0</v>
      </c>
      <c r="W24">
        <f>[1]Manu_gas!W23</f>
        <v>0</v>
      </c>
      <c r="X24">
        <f>SUM([1]Manu_gas!$X23:$AC23)</f>
        <v>1.3470378724774139</v>
      </c>
      <c r="Z24">
        <f>[1]Manu_solvent!R23</f>
        <v>925.80798931408094</v>
      </c>
      <c r="AA24">
        <f>[1]Manu_solvent!S23</f>
        <v>0.471431181688722</v>
      </c>
      <c r="AB24">
        <f>[1]Manu_solvent!T23</f>
        <v>130.52663788817117</v>
      </c>
      <c r="AC24">
        <f>[1]Manu_solvent!U23</f>
        <v>63.411634837472008</v>
      </c>
      <c r="AD24">
        <f>[1]Manu_solvent!V23</f>
        <v>148.61516483810726</v>
      </c>
      <c r="AE24">
        <f>[1]Manu_solvent!W23</f>
        <v>531.04371181274007</v>
      </c>
      <c r="AF24">
        <f>SUM([1]Manu_solvent!$X23:$AC23)</f>
        <v>158.71322403611063</v>
      </c>
    </row>
    <row r="25" spans="1:32" x14ac:dyDescent="0.2">
      <c r="A25">
        <v>2025.5</v>
      </c>
      <c r="B25">
        <f>[1]Manu_water!R24</f>
        <v>34.825908705864961</v>
      </c>
      <c r="C25">
        <f>[1]Manu_water!S24</f>
        <v>27.703978942154855</v>
      </c>
      <c r="D25">
        <f>[1]Manu_water!T24</f>
        <v>1419.7603295619492</v>
      </c>
      <c r="E25">
        <f>[1]Manu_water!U24</f>
        <v>1.7599086212709449</v>
      </c>
      <c r="F25">
        <f>[1]Manu_water!V24</f>
        <v>690.83321587417595</v>
      </c>
      <c r="G25">
        <f>[1]Manu_water!W24</f>
        <v>7.8729973705042422</v>
      </c>
      <c r="H25">
        <f>SUM([1]Manu_water!$X24:$AC24)</f>
        <v>193.81468734025756</v>
      </c>
      <c r="J25">
        <f>[1]Manu_solid!R24</f>
        <v>8.5558460834477934</v>
      </c>
      <c r="K25">
        <f>[1]Manu_solid!S24</f>
        <v>8.6729808852899826E-2</v>
      </c>
      <c r="L25">
        <f>[1]Manu_solid!T24</f>
        <v>5.0285581128270485</v>
      </c>
      <c r="M25">
        <f>[1]Manu_solid!U24</f>
        <v>0.60729241156532621</v>
      </c>
      <c r="N25">
        <f>[1]Manu_solid!V24</f>
        <v>1.203607009822377</v>
      </c>
      <c r="O25">
        <f>[1]Manu_solid!W24</f>
        <v>6.4756255428389853</v>
      </c>
      <c r="P25">
        <f>SUM([1]Manu_solid!$X24:$AC24)</f>
        <v>1.9547272648050733</v>
      </c>
      <c r="R25">
        <f>[1]Manu_gas!R24</f>
        <v>17.714216538969378</v>
      </c>
      <c r="S25">
        <f>[1]Manu_gas!S24</f>
        <v>0</v>
      </c>
      <c r="T25">
        <f>[1]Manu_gas!T24</f>
        <v>0</v>
      </c>
      <c r="U25">
        <f>[1]Manu_gas!U24</f>
        <v>1.2021911004456456</v>
      </c>
      <c r="V25">
        <f>[1]Manu_gas!V24</f>
        <v>0</v>
      </c>
      <c r="W25">
        <f>[1]Manu_gas!W24</f>
        <v>0</v>
      </c>
      <c r="X25">
        <f>SUM([1]Manu_gas!$X24:$AC24)</f>
        <v>1.6803907612789097</v>
      </c>
      <c r="Z25">
        <f>[1]Manu_solvent!R24</f>
        <v>1143.5912581960501</v>
      </c>
      <c r="AA25">
        <f>[1]Manu_solvent!S24</f>
        <v>0.58232871658375585</v>
      </c>
      <c r="AB25">
        <f>[1]Manu_solvent!T24</f>
        <v>160.54479112512044</v>
      </c>
      <c r="AC25">
        <f>[1]Manu_solvent!U24</f>
        <v>78.328327369242075</v>
      </c>
      <c r="AD25">
        <f>[1]Manu_solvent!V24</f>
        <v>183.83393857570081</v>
      </c>
      <c r="AE25">
        <f>[1]Manu_solvent!W24</f>
        <v>670.27836704338381</v>
      </c>
      <c r="AF25">
        <f>SUM([1]Manu_solvent!$X24:$AC24)</f>
        <v>199.1776992398303</v>
      </c>
    </row>
    <row r="26" spans="1:32" x14ac:dyDescent="0.2">
      <c r="A26">
        <v>2025.75</v>
      </c>
      <c r="B26">
        <f>[1]Manu_water!R25</f>
        <v>41.416113824187399</v>
      </c>
      <c r="C26">
        <f>[1]Manu_water!S25</f>
        <v>32.946481165556676</v>
      </c>
      <c r="D26">
        <f>[1]Manu_water!T25</f>
        <v>1681.0903887106581</v>
      </c>
      <c r="E26">
        <f>[1]Manu_water!U25</f>
        <v>2.0929411029682949</v>
      </c>
      <c r="F26">
        <f>[1]Manu_water!V25</f>
        <v>823.23712875905437</v>
      </c>
      <c r="G26">
        <f>[1]Manu_water!W25</f>
        <v>9.5302476112719798</v>
      </c>
      <c r="H26">
        <f>SUM([1]Manu_water!$X25:$AC25)</f>
        <v>237.22032722231921</v>
      </c>
      <c r="J26">
        <f>[1]Manu_solid!R25</f>
        <v>10.174893015630815</v>
      </c>
      <c r="K26">
        <f>[1]Manu_solid!S25</f>
        <v>0.10314193567034738</v>
      </c>
      <c r="L26">
        <f>[1]Manu_solid!T25</f>
        <v>5.9541462995763341</v>
      </c>
      <c r="M26">
        <f>[1]Manu_solid!U25</f>
        <v>0.72221207074258087</v>
      </c>
      <c r="N26">
        <f>[1]Manu_solid!V25</f>
        <v>1.4342882712531768</v>
      </c>
      <c r="O26">
        <f>[1]Manu_solid!W25</f>
        <v>7.8387318014791161</v>
      </c>
      <c r="P26">
        <f>SUM([1]Manu_solid!$X25:$AC25)</f>
        <v>2.4094647375803193</v>
      </c>
      <c r="R26">
        <f>[1]Manu_gas!R25</f>
        <v>21.066327792925772</v>
      </c>
      <c r="S26">
        <f>[1]Manu_gas!S25</f>
        <v>0</v>
      </c>
      <c r="T26">
        <f>[1]Manu_gas!T25</f>
        <v>0</v>
      </c>
      <c r="U26">
        <f>[1]Manu_gas!U25</f>
        <v>1.4296851196332721</v>
      </c>
      <c r="V26">
        <f>[1]Manu_gas!V25</f>
        <v>0</v>
      </c>
      <c r="W26">
        <f>[1]Manu_gas!W25</f>
        <v>0</v>
      </c>
      <c r="X26">
        <f>SUM([1]Manu_gas!$X25:$AC25)</f>
        <v>2.0616259550203488</v>
      </c>
      <c r="Z26">
        <f>[1]Manu_solvent!R25</f>
        <v>1359.9962636385412</v>
      </c>
      <c r="AA26">
        <f>[1]Manu_solvent!S25</f>
        <v>0.69252442521518942</v>
      </c>
      <c r="AB26">
        <f>[1]Manu_solvent!T25</f>
        <v>190.09568002317104</v>
      </c>
      <c r="AC26">
        <f>[1]Manu_solvent!U25</f>
        <v>93.150618103941042</v>
      </c>
      <c r="AD26">
        <f>[1]Manu_solvent!V25</f>
        <v>219.06723690178242</v>
      </c>
      <c r="AE26">
        <f>[1]Manu_solvent!W25</f>
        <v>811.37062617783704</v>
      </c>
      <c r="AF26">
        <f>SUM([1]Manu_solvent!$X25:$AC25)</f>
        <v>245.74186699977594</v>
      </c>
    </row>
    <row r="27" spans="1:32" x14ac:dyDescent="0.2">
      <c r="A27">
        <v>2026</v>
      </c>
      <c r="B27">
        <f>[1]Manu_water!R26</f>
        <v>50.226986509766</v>
      </c>
      <c r="C27">
        <f>[1]Manu_water!S26</f>
        <v>39.955522434368397</v>
      </c>
      <c r="D27">
        <f>[1]Manu_water!T26</f>
        <v>2027.2965913920148</v>
      </c>
      <c r="E27">
        <f>[1]Manu_water!U26</f>
        <v>2.538193829357573</v>
      </c>
      <c r="F27">
        <f>[1]Manu_water!V26</f>
        <v>1001.4145255712335</v>
      </c>
      <c r="G27">
        <f>[1]Manu_water!W26</f>
        <v>11.787687896647201</v>
      </c>
      <c r="H27">
        <f>SUM([1]Manu_water!$X26:$AC26)</f>
        <v>288.4880023835031</v>
      </c>
      <c r="J27">
        <f>[1]Manu_solid!R26</f>
        <v>12.339501876101682</v>
      </c>
      <c r="K27">
        <f>[1]Manu_solid!S26</f>
        <v>0.12508437255839838</v>
      </c>
      <c r="L27">
        <f>[1]Manu_solid!T26</f>
        <v>7.1803518590326423</v>
      </c>
      <c r="M27">
        <f>[1]Manu_solid!U26</f>
        <v>0.8758556171726839</v>
      </c>
      <c r="N27">
        <f>[1]Manu_solid!V26</f>
        <v>1.744718573194683</v>
      </c>
      <c r="O27">
        <f>[1]Manu_solid!W26</f>
        <v>9.6955008673721554</v>
      </c>
      <c r="P27">
        <f>SUM([1]Manu_solid!$X26:$AC26)</f>
        <v>2.9508995693624205</v>
      </c>
      <c r="R27">
        <f>[1]Manu_gas!R26</f>
        <v>25.547982757562639</v>
      </c>
      <c r="S27">
        <f>[1]Manu_gas!S26</f>
        <v>0</v>
      </c>
      <c r="T27">
        <f>[1]Manu_gas!T26</f>
        <v>0</v>
      </c>
      <c r="U27">
        <f>[1]Manu_gas!U26</f>
        <v>1.7338366299132719</v>
      </c>
      <c r="V27">
        <f>[1]Manu_gas!V26</f>
        <v>0</v>
      </c>
      <c r="W27">
        <f>[1]Manu_gas!W26</f>
        <v>0</v>
      </c>
      <c r="X27">
        <f>SUM([1]Manu_gas!$X26:$AC26)</f>
        <v>2.5135588465971663</v>
      </c>
      <c r="Z27">
        <f>[1]Manu_solvent!R26</f>
        <v>1649.3221521719011</v>
      </c>
      <c r="AA27">
        <f>[1]Manu_solvent!S26</f>
        <v>0.83985221574924629</v>
      </c>
      <c r="AB27">
        <f>[1]Manu_solvent!T26</f>
        <v>229.24426118746419</v>
      </c>
      <c r="AC27">
        <f>[1]Manu_solvent!U26</f>
        <v>112.96750001084412</v>
      </c>
      <c r="AD27">
        <f>[1]Manu_solvent!V26</f>
        <v>266.48107264171625</v>
      </c>
      <c r="AE27">
        <f>[1]Manu_solvent!W26</f>
        <v>1003.5608832009184</v>
      </c>
      <c r="AF27">
        <f>SUM([1]Manu_solvent!$X26:$AC26)</f>
        <v>301.27187469756444</v>
      </c>
    </row>
    <row r="28" spans="1:32" x14ac:dyDescent="0.2">
      <c r="A28">
        <v>2026.25</v>
      </c>
      <c r="B28">
        <f>[1]Manu_water!R27</f>
        <v>59.013916965742524</v>
      </c>
      <c r="C28">
        <f>[1]Manu_water!S27</f>
        <v>46.945517681141574</v>
      </c>
      <c r="D28">
        <f>[1]Manu_water!T27</f>
        <v>2371.4052931766082</v>
      </c>
      <c r="E28">
        <f>[1]Manu_water!U27</f>
        <v>2.9822366480127838</v>
      </c>
      <c r="F28">
        <f>[1]Manu_water!V27</f>
        <v>1179.2879843866037</v>
      </c>
      <c r="G28">
        <f>[1]Manu_water!W27</f>
        <v>14.019739313964116</v>
      </c>
      <c r="H28">
        <f>SUM([1]Manu_water!$X27:$AC27)</f>
        <v>347.67938355323355</v>
      </c>
      <c r="J28">
        <f>[1]Manu_solid!R27</f>
        <v>14.498228735528441</v>
      </c>
      <c r="K28">
        <f>[1]Manu_solid!S27</f>
        <v>0.14696718415384216</v>
      </c>
      <c r="L28">
        <f>[1]Manu_solid!T27</f>
        <v>8.3991284145004137</v>
      </c>
      <c r="M28">
        <f>[1]Manu_solid!U27</f>
        <v>1.0290816602297637</v>
      </c>
      <c r="N28">
        <f>[1]Manu_solid!V27</f>
        <v>2.0546193379120017</v>
      </c>
      <c r="O28">
        <f>[1]Manu_solid!W27</f>
        <v>11.531387314515937</v>
      </c>
      <c r="P28">
        <f>SUM([1]Manu_solid!$X27:$AC27)</f>
        <v>3.5750190714000558</v>
      </c>
      <c r="R28">
        <f>[1]Manu_gas!R27</f>
        <v>30.017459494685646</v>
      </c>
      <c r="S28">
        <f>[1]Manu_gas!S27</f>
        <v>0</v>
      </c>
      <c r="T28">
        <f>[1]Manu_gas!T27</f>
        <v>0</v>
      </c>
      <c r="U28">
        <f>[1]Manu_gas!U27</f>
        <v>2.0371616539242257</v>
      </c>
      <c r="V28">
        <f>[1]Manu_gas!V27</f>
        <v>0</v>
      </c>
      <c r="W28">
        <f>[1]Manu_gas!W27</f>
        <v>0</v>
      </c>
      <c r="X28">
        <f>SUM([1]Manu_gas!$X27:$AC27)</f>
        <v>3.0363018849190735</v>
      </c>
      <c r="Z28">
        <f>[1]Manu_solvent!R27</f>
        <v>1937.8618408473931</v>
      </c>
      <c r="AA28">
        <f>[1]Manu_solvent!S27</f>
        <v>0.98677966503294012</v>
      </c>
      <c r="AB28">
        <f>[1]Manu_solvent!T27</f>
        <v>268.15565947212332</v>
      </c>
      <c r="AC28">
        <f>[1]Manu_solvent!U27</f>
        <v>132.7305325031042</v>
      </c>
      <c r="AD28">
        <f>[1]Manu_solvent!V27</f>
        <v>313.81402906410671</v>
      </c>
      <c r="AE28">
        <f>[1]Manu_solvent!W27</f>
        <v>1193.5896243206721</v>
      </c>
      <c r="AF28">
        <f>SUM([1]Manu_solvent!$X27:$AC27)</f>
        <v>365.31386917040328</v>
      </c>
    </row>
    <row r="29" spans="1:32" x14ac:dyDescent="0.2">
      <c r="A29">
        <v>2026.5</v>
      </c>
      <c r="B29">
        <f>[1]Manu_water!R28</f>
        <v>70.539343822742197</v>
      </c>
      <c r="C29">
        <f>[1]Manu_water!S28</f>
        <v>56.11398434320148</v>
      </c>
      <c r="D29">
        <f>[1]Manu_water!T28</f>
        <v>2821.2848176498374</v>
      </c>
      <c r="E29">
        <f>[1]Manu_water!U28</f>
        <v>3.5646679137918005</v>
      </c>
      <c r="F29">
        <f>[1]Manu_water!V28</f>
        <v>1412.8261555237468</v>
      </c>
      <c r="G29">
        <f>[1]Manu_water!W28</f>
        <v>16.922909898252367</v>
      </c>
      <c r="H29">
        <f>SUM([1]Manu_water!$X28:$AC28)</f>
        <v>412.43308736632287</v>
      </c>
      <c r="J29">
        <f>[1]Manu_solid!R28</f>
        <v>17.329734987594104</v>
      </c>
      <c r="K29">
        <f>[1]Manu_solid!S28</f>
        <v>0.17566989731771485</v>
      </c>
      <c r="L29">
        <f>[1]Manu_solid!T28</f>
        <v>9.9925278675493807</v>
      </c>
      <c r="M29">
        <f>[1]Manu_solid!U28</f>
        <v>1.2300614632098468</v>
      </c>
      <c r="N29">
        <f>[1]Manu_solid!V28</f>
        <v>2.461502176465264</v>
      </c>
      <c r="O29">
        <f>[1]Manu_solid!W28</f>
        <v>13.91927653968809</v>
      </c>
      <c r="P29">
        <f>SUM([1]Manu_solid!$X28:$AC28)</f>
        <v>4.2567256632862023</v>
      </c>
      <c r="R29">
        <f>[1]Manu_gas!R28</f>
        <v>35.879873847553988</v>
      </c>
      <c r="S29">
        <f>[1]Manu_gas!S28</f>
        <v>0</v>
      </c>
      <c r="T29">
        <f>[1]Manu_gas!T28</f>
        <v>0</v>
      </c>
      <c r="U29">
        <f>[1]Manu_gas!U28</f>
        <v>2.4350196312521453</v>
      </c>
      <c r="V29">
        <f>[1]Manu_gas!V28</f>
        <v>0</v>
      </c>
      <c r="W29">
        <f>[1]Manu_gas!W28</f>
        <v>0</v>
      </c>
      <c r="X29">
        <f>SUM([1]Manu_gas!$X28:$AC28)</f>
        <v>3.6091925428054648</v>
      </c>
      <c r="Z29">
        <f>[1]Manu_solvent!R28</f>
        <v>2316.3265497502539</v>
      </c>
      <c r="AA29">
        <f>[1]Manu_solvent!S28</f>
        <v>1.179497881990371</v>
      </c>
      <c r="AB29">
        <f>[1]Manu_solvent!T28</f>
        <v>319.02749522084264</v>
      </c>
      <c r="AC29">
        <f>[1]Manu_solvent!U28</f>
        <v>158.6528254589027</v>
      </c>
      <c r="AD29">
        <f>[1]Manu_solvent!V28</f>
        <v>375.95962487710023</v>
      </c>
      <c r="AE29">
        <f>[1]Manu_solvent!W28</f>
        <v>1440.7550108830308</v>
      </c>
      <c r="AF29">
        <f>SUM([1]Manu_solvent!$X28:$AC28)</f>
        <v>435.29889386698073</v>
      </c>
    </row>
    <row r="30" spans="1:32" x14ac:dyDescent="0.2">
      <c r="A30">
        <v>2026.75</v>
      </c>
      <c r="B30">
        <f>[1]Manu_water!R29</f>
        <v>83.375601080870481</v>
      </c>
      <c r="C30">
        <f>[1]Manu_water!S29</f>
        <v>66.325215406222668</v>
      </c>
      <c r="D30">
        <f>[1]Manu_water!T29</f>
        <v>3320.7383273492119</v>
      </c>
      <c r="E30">
        <f>[1]Manu_water!U29</f>
        <v>4.2133412909670893</v>
      </c>
      <c r="F30">
        <f>[1]Manu_water!V29</f>
        <v>1673.173637871653</v>
      </c>
      <c r="G30">
        <f>[1]Manu_water!W29</f>
        <v>20.129760651894088</v>
      </c>
      <c r="H30">
        <f>SUM([1]Manu_water!$X29:$AC29)</f>
        <v>496.75654208278257</v>
      </c>
      <c r="J30">
        <f>[1]Manu_solid!R29</f>
        <v>20.48327915827614</v>
      </c>
      <c r="K30">
        <f>[1]Manu_solid!S29</f>
        <v>0.20763707864202091</v>
      </c>
      <c r="L30">
        <f>[1]Manu_solid!T29</f>
        <v>11.761510241464306</v>
      </c>
      <c r="M30">
        <f>[1]Manu_solid!U29</f>
        <v>1.4538994595590662</v>
      </c>
      <c r="N30">
        <f>[1]Manu_solid!V29</f>
        <v>2.9150936476672222</v>
      </c>
      <c r="O30">
        <f>[1]Manu_solid!W29</f>
        <v>16.55694599073539</v>
      </c>
      <c r="P30">
        <f>SUM([1]Manu_solid!$X29:$AC29)</f>
        <v>5.1431081106815064</v>
      </c>
      <c r="R30">
        <f>[1]Manu_gas!R29</f>
        <v>42.409042764318201</v>
      </c>
      <c r="S30">
        <f>[1]Manu_gas!S29</f>
        <v>0</v>
      </c>
      <c r="T30">
        <f>[1]Manu_gas!T29</f>
        <v>0</v>
      </c>
      <c r="U30">
        <f>[1]Manu_gas!U29</f>
        <v>2.8781275015761101</v>
      </c>
      <c r="V30">
        <f>[1]Manu_gas!V29</f>
        <v>0</v>
      </c>
      <c r="W30">
        <f>[1]Manu_gas!W29</f>
        <v>0</v>
      </c>
      <c r="X30">
        <f>SUM([1]Manu_gas!$X29:$AC29)</f>
        <v>4.3565212236870119</v>
      </c>
      <c r="Z30">
        <f>[1]Manu_solvent!R29</f>
        <v>2737.8354818597259</v>
      </c>
      <c r="AA30">
        <f>[1]Manu_solvent!S29</f>
        <v>1.3941346708821403</v>
      </c>
      <c r="AB30">
        <f>[1]Manu_solvent!T29</f>
        <v>375.50509761739255</v>
      </c>
      <c r="AC30">
        <f>[1]Manu_solvent!U29</f>
        <v>187.52335886557751</v>
      </c>
      <c r="AD30">
        <f>[1]Manu_solvent!V29</f>
        <v>445.23930335596538</v>
      </c>
      <c r="AE30">
        <f>[1]Manu_solvent!W29</f>
        <v>1713.7746227726188</v>
      </c>
      <c r="AF30">
        <f>SUM([1]Manu_solvent!$X29:$AC29)</f>
        <v>526.33935664669139</v>
      </c>
    </row>
    <row r="31" spans="1:32" x14ac:dyDescent="0.2">
      <c r="A31">
        <v>2027</v>
      </c>
      <c r="B31">
        <f>[1]Manu_water!R30</f>
        <v>100.14393337854192</v>
      </c>
      <c r="C31">
        <f>[1]Manu_water!S30</f>
        <v>79.664408614166462</v>
      </c>
      <c r="D31">
        <f>[1]Manu_water!T30</f>
        <v>3971.1663896924974</v>
      </c>
      <c r="E31">
        <f>[1]Manu_water!U30</f>
        <v>5.0607199717145681</v>
      </c>
      <c r="F31">
        <f>[1]Manu_water!V30</f>
        <v>2013.5871106322656</v>
      </c>
      <c r="G31">
        <f>[1]Manu_water!W30</f>
        <v>24.285313360374733</v>
      </c>
      <c r="H31">
        <f>SUM([1]Manu_water!$X30:$AC30)</f>
        <v>595.22063196277054</v>
      </c>
      <c r="J31">
        <f>[1]Manu_solid!R30</f>
        <v>24.602834843863238</v>
      </c>
      <c r="K31">
        <f>[1]Manu_solid!S30</f>
        <v>0.24939662804077162</v>
      </c>
      <c r="L31">
        <f>[1]Manu_solid!T30</f>
        <v>14.065219706790646</v>
      </c>
      <c r="M31">
        <f>[1]Manu_solid!U30</f>
        <v>1.7463047789719286</v>
      </c>
      <c r="N31">
        <f>[1]Manu_solid!V30</f>
        <v>3.5081804197532893</v>
      </c>
      <c r="O31">
        <f>[1]Manu_solid!W30</f>
        <v>19.974933066974881</v>
      </c>
      <c r="P31">
        <f>SUM([1]Manu_solid!$X30:$AC30)</f>
        <v>6.1765979240508955</v>
      </c>
      <c r="R31">
        <f>[1]Manu_gas!R30</f>
        <v>50.938263690815432</v>
      </c>
      <c r="S31">
        <f>[1]Manu_gas!S30</f>
        <v>0</v>
      </c>
      <c r="T31">
        <f>[1]Manu_gas!T30</f>
        <v>0</v>
      </c>
      <c r="U31">
        <f>[1]Manu_gas!U30</f>
        <v>3.456970684903613</v>
      </c>
      <c r="V31">
        <f>[1]Manu_gas!V30</f>
        <v>0</v>
      </c>
      <c r="W31">
        <f>[1]Manu_gas!W30</f>
        <v>0</v>
      </c>
      <c r="X31">
        <f>SUM([1]Manu_gas!$X30:$AC30)</f>
        <v>5.2306530058138838</v>
      </c>
      <c r="Z31">
        <f>[1]Manu_solvent!R30</f>
        <v>3288.4634178628467</v>
      </c>
      <c r="AA31">
        <f>[1]Manu_solvent!S30</f>
        <v>1.6745202168451807</v>
      </c>
      <c r="AB31">
        <f>[1]Manu_solvent!T30</f>
        <v>449.05472091405005</v>
      </c>
      <c r="AC31">
        <f>[1]Manu_solvent!U30</f>
        <v>225.23767761433854</v>
      </c>
      <c r="AD31">
        <f>[1]Manu_solvent!V30</f>
        <v>535.82491505477128</v>
      </c>
      <c r="AE31">
        <f>[1]Manu_solvent!W30</f>
        <v>2067.5632692719028</v>
      </c>
      <c r="AF31">
        <f>SUM([1]Manu_solvent!$X30:$AC30)</f>
        <v>632.53837670601126</v>
      </c>
    </row>
    <row r="32" spans="1:32" x14ac:dyDescent="0.2">
      <c r="A32">
        <v>2027.25</v>
      </c>
      <c r="B32">
        <f>[1]Manu_water!R31</f>
        <v>119.66857063118142</v>
      </c>
      <c r="C32">
        <f>[1]Manu_water!S31</f>
        <v>95.196239925986433</v>
      </c>
      <c r="D32">
        <f>[1]Manu_water!T31</f>
        <v>4726.2222225564574</v>
      </c>
      <c r="E32">
        <f>[1]Manu_water!U31</f>
        <v>6.0473870453097325</v>
      </c>
      <c r="F32">
        <f>[1]Manu_water!V31</f>
        <v>2410.3125575882709</v>
      </c>
      <c r="G32">
        <f>[1]Manu_water!W31</f>
        <v>29.085873345946307</v>
      </c>
      <c r="H32">
        <f>SUM([1]Manu_water!$X31:$AC31)</f>
        <v>712.87175180653924</v>
      </c>
      <c r="J32">
        <f>[1]Manu_solid!R31</f>
        <v>29.399545033958066</v>
      </c>
      <c r="K32">
        <f>[1]Manu_solid!S31</f>
        <v>0.29802042910639764</v>
      </c>
      <c r="L32">
        <f>[1]Manu_solid!T31</f>
        <v>16.739503566487532</v>
      </c>
      <c r="M32">
        <f>[1]Manu_solid!U31</f>
        <v>2.0867744029589925</v>
      </c>
      <c r="N32">
        <f>[1]Manu_solid!V31</f>
        <v>4.1993769603349929</v>
      </c>
      <c r="O32">
        <f>[1]Manu_solid!W31</f>
        <v>23.923445609219897</v>
      </c>
      <c r="P32">
        <f>SUM([1]Manu_solid!$X31:$AC31)</f>
        <v>7.409688873099908</v>
      </c>
      <c r="R32">
        <f>[1]Manu_gas!R31</f>
        <v>60.869480563265284</v>
      </c>
      <c r="S32">
        <f>[1]Manu_gas!S31</f>
        <v>0</v>
      </c>
      <c r="T32">
        <f>[1]Manu_gas!T31</f>
        <v>0</v>
      </c>
      <c r="U32">
        <f>[1]Manu_gas!U31</f>
        <v>4.1309615732045355</v>
      </c>
      <c r="V32">
        <f>[1]Manu_gas!V31</f>
        <v>0</v>
      </c>
      <c r="W32">
        <f>[1]Manu_gas!W31</f>
        <v>0</v>
      </c>
      <c r="X32">
        <f>SUM([1]Manu_gas!$X31:$AC31)</f>
        <v>6.2768448891962301</v>
      </c>
      <c r="Z32">
        <f>[1]Manu_solvent!R31</f>
        <v>3929.6011601727046</v>
      </c>
      <c r="AA32">
        <f>[1]Manu_solvent!S31</f>
        <v>2.0009943097143843</v>
      </c>
      <c r="AB32">
        <f>[1]Manu_solvent!T31</f>
        <v>534.43552670987719</v>
      </c>
      <c r="AC32">
        <f>[1]Manu_solvent!U31</f>
        <v>269.15131074899654</v>
      </c>
      <c r="AD32">
        <f>[1]Manu_solvent!V31</f>
        <v>641.39540554550501</v>
      </c>
      <c r="AE32">
        <f>[1]Manu_solvent!W31</f>
        <v>2476.2654898617011</v>
      </c>
      <c r="AF32">
        <f>SUM([1]Manu_solvent!$X31:$AC31)</f>
        <v>759.30528365990313</v>
      </c>
    </row>
    <row r="33" spans="1:32" x14ac:dyDescent="0.2">
      <c r="A33">
        <v>2027.5</v>
      </c>
      <c r="B33">
        <f>[1]Manu_water!R32</f>
        <v>143.92038305545881</v>
      </c>
      <c r="C33">
        <f>[1]Manu_water!S32</f>
        <v>114.4885348201645</v>
      </c>
      <c r="D33">
        <f>[1]Manu_water!T32</f>
        <v>5661.32568979802</v>
      </c>
      <c r="E33">
        <f>[1]Manu_water!U32</f>
        <v>7.2729393812849246</v>
      </c>
      <c r="F33">
        <f>[1]Manu_water!V32</f>
        <v>2903.5207936947522</v>
      </c>
      <c r="G33">
        <f>[1]Manu_water!W32</f>
        <v>35.002746790763958</v>
      </c>
      <c r="H33">
        <f>SUM([1]Manu_water!$X32:$AC32)</f>
        <v>858.88055302885527</v>
      </c>
      <c r="J33">
        <f>[1]Manu_solid!R32</f>
        <v>35.357602757569467</v>
      </c>
      <c r="K33">
        <f>[1]Manu_solid!S32</f>
        <v>0.35841670113647212</v>
      </c>
      <c r="L33">
        <f>[1]Manu_solid!T32</f>
        <v>20.05148660237154</v>
      </c>
      <c r="M33">
        <f>[1]Manu_solid!U32</f>
        <v>2.5096762653729674</v>
      </c>
      <c r="N33">
        <f>[1]Manu_solid!V32</f>
        <v>5.0586710368780796</v>
      </c>
      <c r="O33">
        <f>[1]Manu_solid!W32</f>
        <v>28.790138053009301</v>
      </c>
      <c r="P33">
        <f>SUM([1]Manu_solid!$X32:$AC32)</f>
        <v>8.9378298078024514</v>
      </c>
      <c r="R33">
        <f>[1]Manu_gas!R32</f>
        <v>73.20517754031988</v>
      </c>
      <c r="S33">
        <f>[1]Manu_gas!S32</f>
        <v>0</v>
      </c>
      <c r="T33">
        <f>[1]Manu_gas!T32</f>
        <v>0</v>
      </c>
      <c r="U33">
        <f>[1]Manu_gas!U32</f>
        <v>4.9681346477791388</v>
      </c>
      <c r="V33">
        <f>[1]Manu_gas!V32</f>
        <v>0</v>
      </c>
      <c r="W33">
        <f>[1]Manu_gas!W32</f>
        <v>0</v>
      </c>
      <c r="X33">
        <f>SUM([1]Manu_gas!$X32:$AC32)</f>
        <v>7.5772892829068184</v>
      </c>
      <c r="Z33">
        <f>[1]Manu_solvent!R32</f>
        <v>4725.96690379344</v>
      </c>
      <c r="AA33">
        <f>[1]Manu_solvent!S32</f>
        <v>2.4065121362020268</v>
      </c>
      <c r="AB33">
        <f>[1]Manu_solvent!T32</f>
        <v>640.17590253443086</v>
      </c>
      <c r="AC33">
        <f>[1]Manu_solvent!U32</f>
        <v>323.69702035014592</v>
      </c>
      <c r="AD33">
        <f>[1]Manu_solvent!V32</f>
        <v>772.64041591562363</v>
      </c>
      <c r="AE33">
        <f>[1]Manu_solvent!W32</f>
        <v>2980.0065790500398</v>
      </c>
      <c r="AF33">
        <f>SUM([1]Manu_solvent!$X32:$AC32)</f>
        <v>916.47406816478906</v>
      </c>
    </row>
    <row r="34" spans="1:32" x14ac:dyDescent="0.2">
      <c r="A34">
        <v>2027.75</v>
      </c>
      <c r="B34">
        <f>[1]Manu_water!R33</f>
        <v>154.87744535494255</v>
      </c>
      <c r="C34">
        <f>[1]Manu_water!S33</f>
        <v>123.20486798971811</v>
      </c>
      <c r="D34">
        <f>[1]Manu_water!T33</f>
        <v>6082.5956006433335</v>
      </c>
      <c r="E34">
        <f>[1]Manu_water!U33</f>
        <v>7.8266486489318821</v>
      </c>
      <c r="F34">
        <f>[1]Manu_water!V33</f>
        <v>3126.5432423432599</v>
      </c>
      <c r="G34">
        <f>[1]Manu_water!W33</f>
        <v>37.655814569024031</v>
      </c>
      <c r="H34">
        <f>SUM([1]Manu_water!$X33:$AC33)</f>
        <v>969.88949138521275</v>
      </c>
      <c r="J34">
        <f>[1]Manu_solid!R33</f>
        <v>38.049476194466855</v>
      </c>
      <c r="K34">
        <f>[1]Manu_solid!S33</f>
        <v>0.38570396955636266</v>
      </c>
      <c r="L34">
        <f>[1]Manu_solid!T33</f>
        <v>21.543555498623018</v>
      </c>
      <c r="M34">
        <f>[1]Manu_solid!U33</f>
        <v>2.7007449563215653</v>
      </c>
      <c r="N34">
        <f>[1]Manu_solid!V33</f>
        <v>5.4472328147037494</v>
      </c>
      <c r="O34">
        <f>[1]Manu_solid!W33</f>
        <v>30.972315013482955</v>
      </c>
      <c r="P34">
        <f>SUM([1]Manu_solid!$X33:$AC33)</f>
        <v>10.098053589168133</v>
      </c>
      <c r="R34">
        <f>[1]Manu_gas!R33</f>
        <v>78.778492966008841</v>
      </c>
      <c r="S34">
        <f>[1]Manu_gas!S33</f>
        <v>0</v>
      </c>
      <c r="T34">
        <f>[1]Manu_gas!T33</f>
        <v>0</v>
      </c>
      <c r="U34">
        <f>[1]Manu_gas!U33</f>
        <v>5.3463726686365671</v>
      </c>
      <c r="V34">
        <f>[1]Manu_gas!V33</f>
        <v>0</v>
      </c>
      <c r="W34">
        <f>[1]Manu_gas!W33</f>
        <v>0</v>
      </c>
      <c r="X34">
        <f>SUM([1]Manu_gas!$X33:$AC33)</f>
        <v>8.5675513185500289</v>
      </c>
      <c r="Z34">
        <f>[1]Manu_solvent!R33</f>
        <v>5085.7680152885978</v>
      </c>
      <c r="AA34">
        <f>[1]Manu_solvent!S33</f>
        <v>2.5897266527355773</v>
      </c>
      <c r="AB34">
        <f>[1]Manu_solvent!T33</f>
        <v>687.81259757071655</v>
      </c>
      <c r="AC34">
        <f>[1]Manu_solvent!U33</f>
        <v>348.34098212147529</v>
      </c>
      <c r="AD34">
        <f>[1]Manu_solvent!V33</f>
        <v>831.9877289627708</v>
      </c>
      <c r="AE34">
        <f>[1]Manu_solvent!W33</f>
        <v>3205.8791221719089</v>
      </c>
      <c r="AF34">
        <f>SUM([1]Manu_solvent!$X33:$AC33)</f>
        <v>1035.8543280550889</v>
      </c>
    </row>
    <row r="35" spans="1:32" x14ac:dyDescent="0.2">
      <c r="A35">
        <v>2028</v>
      </c>
      <c r="B35">
        <f>[1]Manu_water!R34</f>
        <v>169.25818054670324</v>
      </c>
      <c r="C35">
        <f>[1]Manu_water!S34</f>
        <v>134.64472985492046</v>
      </c>
      <c r="D35">
        <f>[1]Manu_water!T34</f>
        <v>6633.9471007278253</v>
      </c>
      <c r="E35">
        <f>[1]Manu_water!U34</f>
        <v>8.5533713902664648</v>
      </c>
      <c r="F35">
        <f>[1]Manu_water!V34</f>
        <v>3419.4933136575473</v>
      </c>
      <c r="G35">
        <f>[1]Manu_water!W34</f>
        <v>41.112074086531564</v>
      </c>
      <c r="H35">
        <f>SUM([1]Manu_water!$X34:$AC34)</f>
        <v>1086.1349417940426</v>
      </c>
      <c r="J35">
        <f>[1]Manu_solid!R34</f>
        <v>41.582459580677956</v>
      </c>
      <c r="K35">
        <f>[1]Manu_solid!S34</f>
        <v>0.42151749060127164</v>
      </c>
      <c r="L35">
        <f>[1]Manu_solid!T34</f>
        <v>23.496352038321135</v>
      </c>
      <c r="M35">
        <f>[1]Manu_solid!U34</f>
        <v>2.9515154797398369</v>
      </c>
      <c r="N35">
        <f>[1]Manu_solid!V34</f>
        <v>5.9576262805356839</v>
      </c>
      <c r="O35">
        <f>[1]Manu_solid!W34</f>
        <v>33.815125872038934</v>
      </c>
      <c r="P35">
        <f>SUM([1]Manu_solid!$X34:$AC34)</f>
        <v>11.311366579253956</v>
      </c>
      <c r="R35">
        <f>[1]Manu_gas!R34</f>
        <v>86.093261385347319</v>
      </c>
      <c r="S35">
        <f>[1]Manu_gas!S34</f>
        <v>0</v>
      </c>
      <c r="T35">
        <f>[1]Manu_gas!T34</f>
        <v>0</v>
      </c>
      <c r="U35">
        <f>[1]Manu_gas!U34</f>
        <v>5.842795949689064</v>
      </c>
      <c r="V35">
        <f>[1]Manu_gas!V34</f>
        <v>0</v>
      </c>
      <c r="W35">
        <f>[1]Manu_gas!W34</f>
        <v>0</v>
      </c>
      <c r="X35">
        <f>SUM([1]Manu_gas!$X34:$AC34)</f>
        <v>9.606108047513052</v>
      </c>
      <c r="Z35">
        <f>[1]Manu_solvent!R34</f>
        <v>5557.9935411356873</v>
      </c>
      <c r="AA35">
        <f>[1]Manu_solvent!S34</f>
        <v>2.8301888654656806</v>
      </c>
      <c r="AB35">
        <f>[1]Manu_solvent!T34</f>
        <v>750.1587623243812</v>
      </c>
      <c r="AC35">
        <f>[1]Manu_solvent!U34</f>
        <v>380.68526187664827</v>
      </c>
      <c r="AD35">
        <f>[1]Manu_solvent!V34</f>
        <v>909.94310831955397</v>
      </c>
      <c r="AE35">
        <f>[1]Manu_solvent!W34</f>
        <v>3500.1324892760731</v>
      </c>
      <c r="AF35">
        <f>SUM([1]Manu_solvent!$X34:$AC34)</f>
        <v>1160.7499989148785</v>
      </c>
    </row>
    <row r="36" spans="1:32" x14ac:dyDescent="0.2">
      <c r="A36">
        <v>2028.25</v>
      </c>
      <c r="B36">
        <f>[1]Manu_water!R35</f>
        <v>193.34948135279726</v>
      </c>
      <c r="C36">
        <f>[1]Manu_water!S35</f>
        <v>153.80933790170911</v>
      </c>
      <c r="D36">
        <f>[1]Manu_water!T35</f>
        <v>7565.1569846516213</v>
      </c>
      <c r="E36">
        <f>[1]Manu_water!U35</f>
        <v>9.7708123576901311</v>
      </c>
      <c r="F36">
        <f>[1]Manu_water!V35</f>
        <v>3909.9715994606236</v>
      </c>
      <c r="G36">
        <f>[1]Manu_water!W35</f>
        <v>47.078575810225821</v>
      </c>
      <c r="H36">
        <f>SUM([1]Manu_water!$X35:$AC35)</f>
        <v>1240.1279530511988</v>
      </c>
      <c r="J36">
        <f>[1]Manu_solid!R35</f>
        <v>47.501083654147422</v>
      </c>
      <c r="K36">
        <f>[1]Manu_solid!S35</f>
        <v>0.48151402742037747</v>
      </c>
      <c r="L36">
        <f>[1]Manu_solid!T35</f>
        <v>26.79454464100818</v>
      </c>
      <c r="M36">
        <f>[1]Manu_solid!U35</f>
        <v>3.3716183487803977</v>
      </c>
      <c r="N36">
        <f>[1]Manu_solid!V35</f>
        <v>6.8121640899420095</v>
      </c>
      <c r="O36">
        <f>[1]Manu_solid!W35</f>
        <v>38.722638112306939</v>
      </c>
      <c r="P36">
        <f>SUM([1]Manu_solid!$X35:$AC35)</f>
        <v>12.928462858344067</v>
      </c>
      <c r="R36">
        <f>[1]Manu_gas!R35</f>
        <v>98.347314044502411</v>
      </c>
      <c r="S36">
        <f>[1]Manu_gas!S35</f>
        <v>0</v>
      </c>
      <c r="T36">
        <f>[1]Manu_gas!T35</f>
        <v>0</v>
      </c>
      <c r="U36">
        <f>[1]Manu_gas!U35</f>
        <v>6.6744281598305824</v>
      </c>
      <c r="V36">
        <f>[1]Manu_gas!V35</f>
        <v>0</v>
      </c>
      <c r="W36">
        <f>[1]Manu_gas!W35</f>
        <v>0</v>
      </c>
      <c r="X36">
        <f>SUM([1]Manu_gas!$X35:$AC35)</f>
        <v>10.974945531936163</v>
      </c>
      <c r="Z36">
        <f>[1]Manu_solvent!R35</f>
        <v>6349.0885053219581</v>
      </c>
      <c r="AA36">
        <f>[1]Manu_solvent!S35</f>
        <v>3.2330227555368198</v>
      </c>
      <c r="AB36">
        <f>[1]Manu_solvent!T35</f>
        <v>855.45885642851795</v>
      </c>
      <c r="AC36">
        <f>[1]Manu_solvent!U35</f>
        <v>434.86995845494101</v>
      </c>
      <c r="AD36">
        <f>[1]Manu_solvent!V35</f>
        <v>1040.4616661901996</v>
      </c>
      <c r="AE36">
        <f>[1]Manu_solvent!W35</f>
        <v>4008.0987496614975</v>
      </c>
      <c r="AF36">
        <f>SUM([1]Manu_solvent!$X35:$AC35)</f>
        <v>1327.0173810750352</v>
      </c>
    </row>
    <row r="37" spans="1:32" x14ac:dyDescent="0.2">
      <c r="A37">
        <v>2028.5</v>
      </c>
      <c r="B37">
        <f>[1]Manu_water!R36</f>
        <v>223.56879838278402</v>
      </c>
      <c r="C37">
        <f>[1]Manu_water!S36</f>
        <v>177.84877732354579</v>
      </c>
      <c r="D37">
        <f>[1]Manu_water!T36</f>
        <v>8742.6619049852397</v>
      </c>
      <c r="E37">
        <f>[1]Manu_water!U36</f>
        <v>11.297929338877104</v>
      </c>
      <c r="F37">
        <f>[1]Manu_water!V36</f>
        <v>4524.8546632812431</v>
      </c>
      <c r="G37">
        <f>[1]Manu_water!W36</f>
        <v>54.782740864518267</v>
      </c>
      <c r="H37">
        <f>SUM([1]Manu_water!$X36:$AC36)</f>
        <v>1413.5872779631798</v>
      </c>
      <c r="J37">
        <f>[1]Manu_solid!R36</f>
        <v>54.925206523106112</v>
      </c>
      <c r="K37">
        <f>[1]Manu_solid!S36</f>
        <v>0.55677166425081426</v>
      </c>
      <c r="L37">
        <f>[1]Manu_solid!T36</f>
        <v>30.965073847063888</v>
      </c>
      <c r="M37">
        <f>[1]Manu_solid!U36</f>
        <v>3.8985812507392823</v>
      </c>
      <c r="N37">
        <f>[1]Manu_solid!V36</f>
        <v>7.8834466351784425</v>
      </c>
      <c r="O37">
        <f>[1]Manu_solid!W36</f>
        <v>45.059397247872155</v>
      </c>
      <c r="P37">
        <f>SUM([1]Manu_solid!$X36:$AC36)</f>
        <v>14.76083285088227</v>
      </c>
      <c r="R37">
        <f>[1]Manu_gas!R36</f>
        <v>113.71838533657181</v>
      </c>
      <c r="S37">
        <f>[1]Manu_gas!S36</f>
        <v>0</v>
      </c>
      <c r="T37">
        <f>[1]Manu_gas!T36</f>
        <v>0</v>
      </c>
      <c r="U37">
        <f>[1]Manu_gas!U36</f>
        <v>7.7175996188104152</v>
      </c>
      <c r="V37">
        <f>[1]Manu_gas!V36</f>
        <v>0</v>
      </c>
      <c r="W37">
        <f>[1]Manu_gas!W36</f>
        <v>0</v>
      </c>
      <c r="X37">
        <f>SUM([1]Manu_gas!$X36:$AC36)</f>
        <v>12.509099949307755</v>
      </c>
      <c r="Z37">
        <f>[1]Manu_solvent!R36</f>
        <v>7341.4114071024924</v>
      </c>
      <c r="AA37">
        <f>[1]Manu_solvent!S36</f>
        <v>3.7383240313983239</v>
      </c>
      <c r="AB37">
        <f>[1]Manu_solvent!T36</f>
        <v>988.60969713561758</v>
      </c>
      <c r="AC37">
        <f>[1]Manu_solvent!U36</f>
        <v>502.83741846269919</v>
      </c>
      <c r="AD37">
        <f>[1]Manu_solvent!V36</f>
        <v>1204.0849153164056</v>
      </c>
      <c r="AE37">
        <f>[1]Manu_solvent!W36</f>
        <v>4664.0033472383047</v>
      </c>
      <c r="AF37">
        <f>SUM([1]Manu_solvent!$X36:$AC36)</f>
        <v>1515.2064200635714</v>
      </c>
    </row>
    <row r="38" spans="1:32" x14ac:dyDescent="0.2">
      <c r="A38">
        <v>2028.75</v>
      </c>
      <c r="B38">
        <f>[1]Manu_water!R37</f>
        <v>245.75036974184164</v>
      </c>
      <c r="C38">
        <f>[1]Manu_water!S37</f>
        <v>195.49419731891112</v>
      </c>
      <c r="D38">
        <f>[1]Manu_water!T37</f>
        <v>9613.852507078198</v>
      </c>
      <c r="E38">
        <f>[1]Manu_water!U37</f>
        <v>12.418863152775488</v>
      </c>
      <c r="F38">
        <f>[1]Manu_water!V37</f>
        <v>4975.9308191867913</v>
      </c>
      <c r="G38">
        <f>[1]Manu_water!W37</f>
        <v>60.598280488599087</v>
      </c>
      <c r="H38">
        <f>SUM([1]Manu_water!$X37:$AC37)</f>
        <v>1581.8181042691629</v>
      </c>
      <c r="J38">
        <f>[1]Manu_solid!R37</f>
        <v>60.374658310279436</v>
      </c>
      <c r="K38">
        <f>[1]Manu_solid!S37</f>
        <v>0.61201224563165391</v>
      </c>
      <c r="L38">
        <f>[1]Manu_solid!T37</f>
        <v>34.05068800232408</v>
      </c>
      <c r="M38">
        <f>[1]Manu_solid!U37</f>
        <v>4.2853823555352033</v>
      </c>
      <c r="N38">
        <f>[1]Manu_solid!V37</f>
        <v>8.6693359218200001</v>
      </c>
      <c r="O38">
        <f>[1]Manu_solid!W37</f>
        <v>49.84274152741915</v>
      </c>
      <c r="P38">
        <f>SUM([1]Manu_solid!$X37:$AC37)</f>
        <v>16.548333928792015</v>
      </c>
      <c r="R38">
        <f>[1]Manu_gas!R37</f>
        <v>125.00105312128278</v>
      </c>
      <c r="S38">
        <f>[1]Manu_gas!S37</f>
        <v>0</v>
      </c>
      <c r="T38">
        <f>[1]Manu_gas!T37</f>
        <v>0</v>
      </c>
      <c r="U38">
        <f>[1]Manu_gas!U37</f>
        <v>8.4833079283043826</v>
      </c>
      <c r="V38">
        <f>[1]Manu_gas!V37</f>
        <v>0</v>
      </c>
      <c r="W38">
        <f>[1]Manu_gas!W37</f>
        <v>0</v>
      </c>
      <c r="X38">
        <f>SUM([1]Manu_gas!$X37:$AC37)</f>
        <v>13.989643060942859</v>
      </c>
      <c r="Z38">
        <f>[1]Manu_solvent!R37</f>
        <v>8069.7958783739687</v>
      </c>
      <c r="AA38">
        <f>[1]Manu_solvent!S37</f>
        <v>4.1092250778125328</v>
      </c>
      <c r="AB38">
        <f>[1]Manu_solvent!T37</f>
        <v>1087.1228830099797</v>
      </c>
      <c r="AC38">
        <f>[1]Manu_solvent!U37</f>
        <v>552.72686708127515</v>
      </c>
      <c r="AD38">
        <f>[1]Manu_solvent!V37</f>
        <v>1324.1183827760924</v>
      </c>
      <c r="AE38">
        <f>[1]Manu_solvent!W37</f>
        <v>5159.1172434157306</v>
      </c>
      <c r="AF38">
        <f>SUM([1]Manu_solvent!$X37:$AC37)</f>
        <v>1698.5856920415986</v>
      </c>
    </row>
    <row r="39" spans="1:32" x14ac:dyDescent="0.2">
      <c r="A39">
        <v>2029</v>
      </c>
      <c r="B39">
        <f>[1]Manu_water!R38</f>
        <v>272.83794484864075</v>
      </c>
      <c r="C39">
        <f>[1]Manu_water!S38</f>
        <v>217.04233886751686</v>
      </c>
      <c r="D39">
        <f>[1]Manu_water!T38</f>
        <v>10686.079918738646</v>
      </c>
      <c r="E39">
        <f>[1]Manu_water!U38</f>
        <v>13.787719235251569</v>
      </c>
      <c r="F39">
        <f>[1]Manu_water!V38</f>
        <v>5526.4578915678039</v>
      </c>
      <c r="G39">
        <f>[1]Manu_water!W38</f>
        <v>67.89496640842647</v>
      </c>
      <c r="H39">
        <f>SUM([1]Manu_water!$X38:$AC38)</f>
        <v>1758.3637464160915</v>
      </c>
      <c r="J39">
        <f>[1]Manu_solid!R38</f>
        <v>67.029391294994781</v>
      </c>
      <c r="K39">
        <f>[1]Manu_solid!S38</f>
        <v>0.67947064940635882</v>
      </c>
      <c r="L39">
        <f>[1]Manu_solid!T38</f>
        <v>37.848341548091383</v>
      </c>
      <c r="M39">
        <f>[1]Manu_solid!U38</f>
        <v>4.7577341023051183</v>
      </c>
      <c r="N39">
        <f>[1]Manu_solid!V38</f>
        <v>9.6284939764545108</v>
      </c>
      <c r="O39">
        <f>[1]Manu_solid!W38</f>
        <v>55.844344664939513</v>
      </c>
      <c r="P39">
        <f>SUM([1]Manu_solid!$X38:$AC38)</f>
        <v>18.434888282676472</v>
      </c>
      <c r="R39">
        <f>[1]Manu_gas!R38</f>
        <v>138.77916225865118</v>
      </c>
      <c r="S39">
        <f>[1]Manu_gas!S38</f>
        <v>0</v>
      </c>
      <c r="T39">
        <f>[1]Manu_gas!T38</f>
        <v>0</v>
      </c>
      <c r="U39">
        <f>[1]Manu_gas!U38</f>
        <v>9.4183715902774807</v>
      </c>
      <c r="V39">
        <f>[1]Manu_gas!V38</f>
        <v>0</v>
      </c>
      <c r="W39">
        <f>[1]Manu_gas!W38</f>
        <v>0</v>
      </c>
      <c r="X39">
        <f>SUM([1]Manu_gas!$X38:$AC38)</f>
        <v>15.535750415515071</v>
      </c>
      <c r="Z39">
        <f>[1]Manu_solvent!R38</f>
        <v>8959.2806111197242</v>
      </c>
      <c r="AA39">
        <f>[1]Manu_solvent!S38</f>
        <v>4.5621600745855515</v>
      </c>
      <c r="AB39">
        <f>[1]Manu_solvent!T38</f>
        <v>1208.369069608789</v>
      </c>
      <c r="AC39">
        <f>[1]Manu_solvent!U38</f>
        <v>613.65060258302742</v>
      </c>
      <c r="AD39">
        <f>[1]Manu_solvent!V38</f>
        <v>1470.6162026301747</v>
      </c>
      <c r="AE39">
        <f>[1]Manu_solvent!W38</f>
        <v>5780.3305492264899</v>
      </c>
      <c r="AF39">
        <f>SUM([1]Manu_solvent!$X38:$AC38)</f>
        <v>1891.9197394235289</v>
      </c>
    </row>
    <row r="40" spans="1:32" x14ac:dyDescent="0.2">
      <c r="A40">
        <v>2029.25</v>
      </c>
      <c r="B40">
        <f>[1]Manu_water!R39</f>
        <v>304.26646212822777</v>
      </c>
      <c r="C40">
        <f>[1]Manu_water!S39</f>
        <v>242.04369599650389</v>
      </c>
      <c r="D40">
        <f>[1]Manu_water!T39</f>
        <v>11939.771598174493</v>
      </c>
      <c r="E40">
        <f>[1]Manu_water!U39</f>
        <v>15.375942502625872</v>
      </c>
      <c r="F40">
        <f>[1]Manu_water!V39</f>
        <v>6164.8459256796223</v>
      </c>
      <c r="G40">
        <f>[1]Manu_water!W39</f>
        <v>76.585805250333692</v>
      </c>
      <c r="H40">
        <f>SUM([1]Manu_water!$X39:$AC39)</f>
        <v>1970.0186979685586</v>
      </c>
      <c r="J40">
        <f>[1]Manu_solid!R39</f>
        <v>74.75058412146771</v>
      </c>
      <c r="K40">
        <f>[1]Manu_solid!S39</f>
        <v>0.75773965651857222</v>
      </c>
      <c r="L40">
        <f>[1]Manu_solid!T39</f>
        <v>42.28871175307944</v>
      </c>
      <c r="M40">
        <f>[1]Manu_solid!U39</f>
        <v>5.3057829762582225</v>
      </c>
      <c r="N40">
        <f>[1]Manu_solid!V39</f>
        <v>10.740728152791014</v>
      </c>
      <c r="O40">
        <f>[1]Manu_solid!W39</f>
        <v>62.992653669105621</v>
      </c>
      <c r="P40">
        <f>SUM([1]Manu_solid!$X39:$AC39)</f>
        <v>20.70925472926416</v>
      </c>
      <c r="R40">
        <f>[1]Manu_gas!R39</f>
        <v>154.76529388529232</v>
      </c>
      <c r="S40">
        <f>[1]Manu_gas!S39</f>
        <v>0</v>
      </c>
      <c r="T40">
        <f>[1]Manu_gas!T39</f>
        <v>0</v>
      </c>
      <c r="U40">
        <f>[1]Manu_gas!U39</f>
        <v>10.503284667286687</v>
      </c>
      <c r="V40">
        <f>[1]Manu_gas!V39</f>
        <v>0</v>
      </c>
      <c r="W40">
        <f>[1]Manu_gas!W39</f>
        <v>0</v>
      </c>
      <c r="X40">
        <f>SUM([1]Manu_gas!$X39:$AC39)</f>
        <v>17.380345103962064</v>
      </c>
      <c r="Z40">
        <f>[1]Manu_solvent!R39</f>
        <v>9991.3104691933586</v>
      </c>
      <c r="AA40">
        <f>[1]Manu_solvent!S39</f>
        <v>5.087680550910413</v>
      </c>
      <c r="AB40">
        <f>[1]Manu_solvent!T39</f>
        <v>1350.1350174377656</v>
      </c>
      <c r="AC40">
        <f>[1]Manu_solvent!U39</f>
        <v>684.33772265208086</v>
      </c>
      <c r="AD40">
        <f>[1]Manu_solvent!V39</f>
        <v>1640.4942339027027</v>
      </c>
      <c r="AE40">
        <f>[1]Manu_solvent!W39</f>
        <v>6520.2369651761364</v>
      </c>
      <c r="AF40">
        <f>SUM([1]Manu_solvent!$X39:$AC39)</f>
        <v>2124.7537337904573</v>
      </c>
    </row>
    <row r="41" spans="1:32" x14ac:dyDescent="0.2">
      <c r="A41">
        <v>2029.5</v>
      </c>
      <c r="B41">
        <f>[1]Manu_water!R40</f>
        <v>342.58750104503429</v>
      </c>
      <c r="C41">
        <f>[1]Manu_water!S40</f>
        <v>272.52804786680883</v>
      </c>
      <c r="D41">
        <f>[1]Manu_water!T40</f>
        <v>13480.086042616833</v>
      </c>
      <c r="E41">
        <f>[1]Manu_water!U40</f>
        <v>17.31247565486461</v>
      </c>
      <c r="F41">
        <f>[1]Manu_water!V40</f>
        <v>6942.7959651809651</v>
      </c>
      <c r="G41">
        <f>[1]Manu_water!W40</f>
        <v>87.45514748401537</v>
      </c>
      <c r="H41">
        <f>SUM([1]Manu_water!$X40:$AC40)</f>
        <v>2205.5490897864529</v>
      </c>
      <c r="J41">
        <f>[1]Manu_solid!R40</f>
        <v>84.165095412447855</v>
      </c>
      <c r="K41">
        <f>[1]Manu_solid!S40</f>
        <v>0.85317367400163779</v>
      </c>
      <c r="L41">
        <f>[1]Manu_solid!T40</f>
        <v>47.7442527585779</v>
      </c>
      <c r="M41">
        <f>[1]Manu_solid!U40</f>
        <v>5.9740232893546885</v>
      </c>
      <c r="N41">
        <f>[1]Manu_solid!V40</f>
        <v>12.096114806645758</v>
      </c>
      <c r="O41">
        <f>[1]Manu_solid!W40</f>
        <v>71.932805289882751</v>
      </c>
      <c r="P41">
        <f>SUM([1]Manu_solid!$X40:$AC40)</f>
        <v>23.254023941398586</v>
      </c>
      <c r="R41">
        <f>[1]Manu_gas!R40</f>
        <v>174.25731022013855</v>
      </c>
      <c r="S41">
        <f>[1]Manu_gas!S40</f>
        <v>0</v>
      </c>
      <c r="T41">
        <f>[1]Manu_gas!T40</f>
        <v>0</v>
      </c>
      <c r="U41">
        <f>[1]Manu_gas!U40</f>
        <v>11.826127736069488</v>
      </c>
      <c r="V41">
        <f>[1]Manu_gas!V40</f>
        <v>0</v>
      </c>
      <c r="W41">
        <f>[1]Manu_gas!W40</f>
        <v>0</v>
      </c>
      <c r="X41">
        <f>SUM([1]Manu_gas!$X40:$AC40)</f>
        <v>19.423172525645334</v>
      </c>
      <c r="Z41">
        <f>[1]Manu_solvent!R40</f>
        <v>11249.672612170845</v>
      </c>
      <c r="AA41">
        <f>[1]Manu_solvent!S40</f>
        <v>5.7284518111538532</v>
      </c>
      <c r="AB41">
        <f>[1]Manu_solvent!T40</f>
        <v>1524.3119229344136</v>
      </c>
      <c r="AC41">
        <f>[1]Manu_solvent!U40</f>
        <v>770.52708548411488</v>
      </c>
      <c r="AD41">
        <f>[1]Manu_solvent!V40</f>
        <v>1847.5103652791963</v>
      </c>
      <c r="AE41">
        <f>[1]Manu_solvent!W40</f>
        <v>7445.6132380709441</v>
      </c>
      <c r="AF41">
        <f>SUM([1]Manu_solvent!$X40:$AC40)</f>
        <v>2385.004892845318</v>
      </c>
    </row>
    <row r="42" spans="1:32" x14ac:dyDescent="0.2">
      <c r="A42">
        <v>2029.75</v>
      </c>
      <c r="B42">
        <f>[1]Manu_water!R41</f>
        <v>377.65088195933527</v>
      </c>
      <c r="C42">
        <f>[1]Manu_water!S41</f>
        <v>300.42093573643558</v>
      </c>
      <c r="D42">
        <f>[1]Manu_water!T41</f>
        <v>14900.082762912381</v>
      </c>
      <c r="E42">
        <f>[1]Manu_water!U41</f>
        <v>19.084384806845854</v>
      </c>
      <c r="F42">
        <f>[1]Manu_water!V41</f>
        <v>7654.2110874739128</v>
      </c>
      <c r="G42">
        <f>[1]Manu_water!W41</f>
        <v>97.648417633521689</v>
      </c>
      <c r="H42">
        <f>SUM([1]Manu_water!$X41:$AC41)</f>
        <v>2460.5048296863642</v>
      </c>
      <c r="J42">
        <f>[1]Manu_solid!R41</f>
        <v>92.779282419075429</v>
      </c>
      <c r="K42">
        <f>[1]Manu_solid!S41</f>
        <v>0.94049487931800058</v>
      </c>
      <c r="L42">
        <f>[1]Manu_solid!T41</f>
        <v>52.773648128593003</v>
      </c>
      <c r="M42">
        <f>[1]Manu_solid!U41</f>
        <v>6.5854567291228641</v>
      </c>
      <c r="N42">
        <f>[1]Manu_solid!V41</f>
        <v>13.335580727522078</v>
      </c>
      <c r="O42">
        <f>[1]Manu_solid!W41</f>
        <v>80.316880304628214</v>
      </c>
      <c r="P42">
        <f>SUM([1]Manu_solid!$X41:$AC41)</f>
        <v>26.023432431400813</v>
      </c>
      <c r="R42">
        <f>[1]Manu_gas!R41</f>
        <v>192.09231712118438</v>
      </c>
      <c r="S42">
        <f>[1]Manu_gas!S41</f>
        <v>0</v>
      </c>
      <c r="T42">
        <f>[1]Manu_gas!T41</f>
        <v>0</v>
      </c>
      <c r="U42">
        <f>[1]Manu_gas!U41</f>
        <v>13.036516382141182</v>
      </c>
      <c r="V42">
        <f>[1]Manu_gas!V41</f>
        <v>0</v>
      </c>
      <c r="W42">
        <f>[1]Manu_gas!W41</f>
        <v>0</v>
      </c>
      <c r="X42">
        <f>SUM([1]Manu_gas!$X41:$AC41)</f>
        <v>21.623988211075464</v>
      </c>
      <c r="Z42">
        <f>[1]Manu_solvent!R41</f>
        <v>12401.061833197546</v>
      </c>
      <c r="AA42">
        <f>[1]Manu_solvent!S41</f>
        <v>6.3147513325637172</v>
      </c>
      <c r="AB42">
        <f>[1]Manu_solvent!T41</f>
        <v>1684.883444839483</v>
      </c>
      <c r="AC42">
        <f>[1]Manu_solvent!U41</f>
        <v>849.38952098074492</v>
      </c>
      <c r="AD42">
        <f>[1]Manu_solvent!V41</f>
        <v>2036.8212450809663</v>
      </c>
      <c r="AE42">
        <f>[1]Manu_solvent!W41</f>
        <v>8313.4311921630051</v>
      </c>
      <c r="AF42">
        <f>SUM([1]Manu_solvent!$X41:$AC41)</f>
        <v>2667.9489519356357</v>
      </c>
    </row>
    <row r="43" spans="1:32" x14ac:dyDescent="0.2">
      <c r="A43">
        <v>2030</v>
      </c>
      <c r="B43">
        <f>[1]Manu_water!R42</f>
        <v>418.90180357101696</v>
      </c>
      <c r="C43">
        <f>[1]Manu_water!S42</f>
        <v>333.23600664604402</v>
      </c>
      <c r="D43">
        <f>[1]Manu_water!T42</f>
        <v>16583.089201216797</v>
      </c>
      <c r="E43">
        <f>[1]Manu_water!U42</f>
        <v>21.168978009938485</v>
      </c>
      <c r="F43">
        <f>[1]Manu_water!V42</f>
        <v>8490.6979071985788</v>
      </c>
      <c r="G43">
        <f>[1]Manu_water!W42</f>
        <v>109.93046629120914</v>
      </c>
      <c r="H43">
        <f>SUM([1]Manu_water!$X42:$AC42)</f>
        <v>2727.1990679258024</v>
      </c>
      <c r="J43">
        <f>[1]Manu_solid!R42</f>
        <v>102.91359188076885</v>
      </c>
      <c r="K43">
        <f>[1]Manu_solid!S42</f>
        <v>1.0432254233105136</v>
      </c>
      <c r="L43">
        <f>[1]Manu_solid!T42</f>
        <v>58.734580761417739</v>
      </c>
      <c r="M43">
        <f>[1]Manu_solid!U42</f>
        <v>7.3047881865280671</v>
      </c>
      <c r="N43">
        <f>[1]Manu_solid!V42</f>
        <v>14.792953327319029</v>
      </c>
      <c r="O43">
        <f>[1]Manu_solid!W42</f>
        <v>90.418998248180657</v>
      </c>
      <c r="P43">
        <f>SUM([1]Manu_solid!$X42:$AC42)</f>
        <v>28.935553928380241</v>
      </c>
      <c r="R43">
        <f>[1]Manu_gas!R42</f>
        <v>213.0746198094792</v>
      </c>
      <c r="S43">
        <f>[1]Manu_gas!S42</f>
        <v>0</v>
      </c>
      <c r="T43">
        <f>[1]Manu_gas!T42</f>
        <v>0</v>
      </c>
      <c r="U43">
        <f>[1]Manu_gas!U42</f>
        <v>14.460499063126992</v>
      </c>
      <c r="V43">
        <f>[1]Manu_gas!V42</f>
        <v>0</v>
      </c>
      <c r="W43">
        <f>[1]Manu_gas!W42</f>
        <v>0</v>
      </c>
      <c r="X43">
        <f>SUM([1]Manu_gas!$X42:$AC42)</f>
        <v>23.915321421779172</v>
      </c>
      <c r="Z43">
        <f>[1]Manu_solvent!R42</f>
        <v>13755.633618992906</v>
      </c>
      <c r="AA43">
        <f>[1]Manu_solvent!S42</f>
        <v>7.004513556513448</v>
      </c>
      <c r="AB43">
        <f>[1]Manu_solvent!T42</f>
        <v>1875.1957894470984</v>
      </c>
      <c r="AC43">
        <f>[1]Manu_solvent!U42</f>
        <v>942.16859875219154</v>
      </c>
      <c r="AD43">
        <f>[1]Manu_solvent!V42</f>
        <v>2259.4142865027834</v>
      </c>
      <c r="AE43">
        <f>[1]Manu_solvent!W42</f>
        <v>9359.0801528833963</v>
      </c>
      <c r="AF43">
        <f>SUM([1]Manu_solvent!$X42:$AC42)</f>
        <v>2965.1859763188736</v>
      </c>
    </row>
    <row r="44" spans="1:32" x14ac:dyDescent="0.2">
      <c r="A44">
        <v>2030.25</v>
      </c>
      <c r="B44">
        <f>[1]Manu_water!R43</f>
        <v>455.72976408705381</v>
      </c>
      <c r="C44">
        <f>[1]Manu_water!S43</f>
        <v>362.53261599616764</v>
      </c>
      <c r="D44">
        <f>[1]Manu_water!T43</f>
        <v>18096.672818815052</v>
      </c>
      <c r="E44">
        <f>[1]Manu_water!U43</f>
        <v>23.030059245848459</v>
      </c>
      <c r="F44">
        <f>[1]Manu_water!V43</f>
        <v>9237.0788159165149</v>
      </c>
      <c r="G44">
        <f>[1]Manu_water!W43</f>
        <v>121.15304256269459</v>
      </c>
      <c r="H44">
        <f>SUM([1]Manu_water!$X43:$AC43)</f>
        <v>3007.8137269449062</v>
      </c>
      <c r="J44">
        <f>[1]Manu_solid!R43</f>
        <v>111.961291523117</v>
      </c>
      <c r="K44">
        <f>[1]Manu_solid!S43</f>
        <v>1.1349411055336198</v>
      </c>
      <c r="L44">
        <f>[1]Manu_solid!T43</f>
        <v>64.095445564608951</v>
      </c>
      <c r="M44">
        <f>[1]Manu_solid!U43</f>
        <v>7.9469922749758757</v>
      </c>
      <c r="N44">
        <f>[1]Manu_solid!V43</f>
        <v>16.09333853331081</v>
      </c>
      <c r="O44">
        <f>[1]Manu_solid!W43</f>
        <v>99.649688687930592</v>
      </c>
      <c r="P44">
        <f>SUM([1]Manu_solid!$X43:$AC43)</f>
        <v>32.015436436033525</v>
      </c>
      <c r="R44">
        <f>[1]Manu_gas!R43</f>
        <v>231.80718104081973</v>
      </c>
      <c r="S44">
        <f>[1]Manu_gas!S43</f>
        <v>0</v>
      </c>
      <c r="T44">
        <f>[1]Manu_gas!T43</f>
        <v>0</v>
      </c>
      <c r="U44">
        <f>[1]Manu_gas!U43</f>
        <v>15.73180103413592</v>
      </c>
      <c r="V44">
        <f>[1]Manu_gas!V43</f>
        <v>0</v>
      </c>
      <c r="W44">
        <f>[1]Manu_gas!W43</f>
        <v>0</v>
      </c>
      <c r="X44">
        <f>SUM([1]Manu_gas!$X43:$AC43)</f>
        <v>26.315048950555187</v>
      </c>
      <c r="Z44">
        <f>[1]Manu_solvent!R43</f>
        <v>14964.966993723665</v>
      </c>
      <c r="AA44">
        <f>[1]Manu_solvent!S43</f>
        <v>7.6203188514400173</v>
      </c>
      <c r="AB44">
        <f>[1]Manu_solvent!T43</f>
        <v>2046.3500051820106</v>
      </c>
      <c r="AC44">
        <f>[1]Manu_solvent!U43</f>
        <v>1024.9998199560723</v>
      </c>
      <c r="AD44">
        <f>[1]Manu_solvent!V43</f>
        <v>2458.0297250405847</v>
      </c>
      <c r="AE44">
        <f>[1]Manu_solvent!W43</f>
        <v>10314.529487269408</v>
      </c>
      <c r="AF44">
        <f>SUM([1]Manu_solvent!$X43:$AC43)</f>
        <v>3279.2495720695124</v>
      </c>
    </row>
    <row r="45" spans="1:32" x14ac:dyDescent="0.2">
      <c r="A45">
        <v>2030.5</v>
      </c>
      <c r="B45">
        <f>[1]Manu_water!R44</f>
        <v>499.35151378677097</v>
      </c>
      <c r="C45">
        <f>[1]Manu_water!S44</f>
        <v>397.23367850993321</v>
      </c>
      <c r="D45">
        <f>[1]Manu_water!T44</f>
        <v>19902.463531529629</v>
      </c>
      <c r="E45">
        <f>[1]Manu_water!U44</f>
        <v>25.23446097502794</v>
      </c>
      <c r="F45">
        <f>[1]Manu_water!V44</f>
        <v>10120.656208430506</v>
      </c>
      <c r="G45">
        <f>[1]Manu_water!W44</f>
        <v>134.74905144005916</v>
      </c>
      <c r="H45">
        <f>SUM([1]Manu_water!$X44:$AC44)</f>
        <v>3302.0658372940261</v>
      </c>
      <c r="J45">
        <f>[1]Manu_solid!R44</f>
        <v>122.67805356007173</v>
      </c>
      <c r="K45">
        <f>[1]Manu_solid!S44</f>
        <v>1.2435759166232259</v>
      </c>
      <c r="L45">
        <f>[1]Manu_solid!T44</f>
        <v>70.491259949203226</v>
      </c>
      <c r="M45">
        <f>[1]Manu_solid!U44</f>
        <v>8.7076661111011902</v>
      </c>
      <c r="N45">
        <f>[1]Manu_solid!V44</f>
        <v>17.632754877101831</v>
      </c>
      <c r="O45">
        <f>[1]Manu_solid!W44</f>
        <v>110.83255313251617</v>
      </c>
      <c r="P45">
        <f>SUM([1]Manu_solid!$X44:$AC44)</f>
        <v>35.261275756218133</v>
      </c>
      <c r="R45">
        <f>[1]Manu_gas!R44</f>
        <v>253.99540666662742</v>
      </c>
      <c r="S45">
        <f>[1]Manu_gas!S44</f>
        <v>0</v>
      </c>
      <c r="T45">
        <f>[1]Manu_gas!T44</f>
        <v>0</v>
      </c>
      <c r="U45">
        <f>[1]Manu_gas!U44</f>
        <v>17.237624750547255</v>
      </c>
      <c r="V45">
        <f>[1]Manu_gas!V44</f>
        <v>0</v>
      </c>
      <c r="W45">
        <f>[1]Manu_gas!W44</f>
        <v>0</v>
      </c>
      <c r="X45">
        <f>SUM([1]Manu_gas!$X44:$AC44)</f>
        <v>28.819825578169823</v>
      </c>
      <c r="Z45">
        <f>[1]Manu_solvent!R44</f>
        <v>16397.390539226486</v>
      </c>
      <c r="AA45">
        <f>[1]Manu_solvent!S44</f>
        <v>8.3497240116130875</v>
      </c>
      <c r="AB45">
        <f>[1]Manu_solvent!T44</f>
        <v>2250.5466479195156</v>
      </c>
      <c r="AC45">
        <f>[1]Manu_solvent!U44</f>
        <v>1123.1112208603986</v>
      </c>
      <c r="AD45">
        <f>[1]Manu_solvent!V44</f>
        <v>2693.1537873611192</v>
      </c>
      <c r="AE45">
        <f>[1]Manu_solvent!W44</f>
        <v>11472.044243055945</v>
      </c>
      <c r="AF45">
        <f>SUM([1]Manu_solvent!$X44:$AC44)</f>
        <v>3609.9313895085425</v>
      </c>
    </row>
    <row r="46" spans="1:32" x14ac:dyDescent="0.2">
      <c r="A46">
        <v>2030.75</v>
      </c>
      <c r="B46">
        <f>[1]Manu_water!R45</f>
        <v>546.09272252556741</v>
      </c>
      <c r="C46">
        <f>[1]Manu_water!S45</f>
        <v>434.41626787370785</v>
      </c>
      <c r="D46">
        <f>[1]Manu_water!T45</f>
        <v>21851.229484137199</v>
      </c>
      <c r="E46">
        <f>[1]Manu_water!U45</f>
        <v>27.596502893956515</v>
      </c>
      <c r="F46">
        <f>[1]Manu_water!V45</f>
        <v>11066.896327074513</v>
      </c>
      <c r="G46">
        <f>[1]Manu_water!W45</f>
        <v>149.64032118242059</v>
      </c>
      <c r="H46">
        <f>SUM([1]Manu_water!$X45:$AC45)</f>
        <v>3623.8576293767046</v>
      </c>
      <c r="J46">
        <f>[1]Manu_solid!R45</f>
        <v>134.16118788690406</v>
      </c>
      <c r="K46">
        <f>[1]Manu_solid!S45</f>
        <v>1.3599793716976545</v>
      </c>
      <c r="L46">
        <f>[1]Manu_solid!T45</f>
        <v>77.393469172086256</v>
      </c>
      <c r="M46">
        <f>[1]Manu_solid!U45</f>
        <v>9.5227369141117553</v>
      </c>
      <c r="N46">
        <f>[1]Manu_solid!V45</f>
        <v>19.281345613049474</v>
      </c>
      <c r="O46">
        <f>[1]Manu_solid!W45</f>
        <v>123.08078365653638</v>
      </c>
      <c r="P46">
        <f>SUM([1]Manu_solid!$X45:$AC45)</f>
        <v>38.828439641565808</v>
      </c>
      <c r="R46">
        <f>[1]Manu_gas!R45</f>
        <v>277.77034675175918</v>
      </c>
      <c r="S46">
        <f>[1]Manu_gas!S45</f>
        <v>0</v>
      </c>
      <c r="T46">
        <f>[1]Manu_gas!T45</f>
        <v>0</v>
      </c>
      <c r="U46">
        <f>[1]Manu_gas!U45</f>
        <v>18.851132258547761</v>
      </c>
      <c r="V46">
        <f>[1]Manu_gas!V45</f>
        <v>0</v>
      </c>
      <c r="W46">
        <f>[1]Manu_gas!W45</f>
        <v>0</v>
      </c>
      <c r="X46">
        <f>SUM([1]Manu_gas!$X45:$AC45)</f>
        <v>31.546559411053284</v>
      </c>
      <c r="Z46">
        <f>[1]Manu_solvent!R45</f>
        <v>17932.248916150977</v>
      </c>
      <c r="AA46">
        <f>[1]Manu_solvent!S45</f>
        <v>9.1312900671128219</v>
      </c>
      <c r="AB46">
        <f>[1]Manu_solvent!T45</f>
        <v>2470.9107588886254</v>
      </c>
      <c r="AC46">
        <f>[1]Manu_solvent!U45</f>
        <v>1228.2387203507408</v>
      </c>
      <c r="AD46">
        <f>[1]Manu_solvent!V45</f>
        <v>2944.9526931629339</v>
      </c>
      <c r="AE46">
        <f>[1]Manu_solvent!W45</f>
        <v>12739.832798848805</v>
      </c>
      <c r="AF46">
        <f>SUM([1]Manu_solvent!$X45:$AC45)</f>
        <v>3973.0225507128853</v>
      </c>
    </row>
    <row r="49" spans="1:32" x14ac:dyDescent="0.2">
      <c r="A49" t="s">
        <v>55</v>
      </c>
    </row>
    <row r="50" spans="1:32" x14ac:dyDescent="0.2">
      <c r="A50">
        <v>2020</v>
      </c>
      <c r="B50">
        <f>B3/1000</f>
        <v>5.6519089160315695E-6</v>
      </c>
      <c r="C50">
        <f t="shared" ref="C50:AF50" si="0">C3/1000</f>
        <v>4.4960884413719973E-6</v>
      </c>
      <c r="D50">
        <f t="shared" si="0"/>
        <v>2.0021511787003622E-4</v>
      </c>
      <c r="E50">
        <f t="shared" si="0"/>
        <v>2.8561618627016478E-7</v>
      </c>
      <c r="F50">
        <f t="shared" si="0"/>
        <v>1.2233688380217469E-4</v>
      </c>
      <c r="G50">
        <f t="shared" si="0"/>
        <v>9.2897712876290845E-7</v>
      </c>
      <c r="H50">
        <f t="shared" si="0"/>
        <v>2.7283459985757068E-5</v>
      </c>
      <c r="I50">
        <f t="shared" si="0"/>
        <v>0</v>
      </c>
      <c r="J50">
        <f t="shared" si="0"/>
        <v>1.3885312561876871E-6</v>
      </c>
      <c r="K50">
        <f t="shared" si="0"/>
        <v>1.407541104186225E-8</v>
      </c>
      <c r="L50">
        <f t="shared" si="0"/>
        <v>7.0912909334960013E-7</v>
      </c>
      <c r="M50">
        <f t="shared" si="0"/>
        <v>9.855769807914139E-8</v>
      </c>
      <c r="N50">
        <f t="shared" si="0"/>
        <v>2.1314193863391401E-7</v>
      </c>
      <c r="O50">
        <f t="shared" si="0"/>
        <v>7.6409374227252192E-7</v>
      </c>
      <c r="P50">
        <f t="shared" si="0"/>
        <v>2.6044631090271942E-7</v>
      </c>
      <c r="R50">
        <f t="shared" si="0"/>
        <v>2.8748464036561959E-6</v>
      </c>
      <c r="S50">
        <f t="shared" si="0"/>
        <v>0</v>
      </c>
      <c r="T50">
        <f t="shared" si="0"/>
        <v>0</v>
      </c>
      <c r="U50">
        <f t="shared" si="0"/>
        <v>1.9510401456483089E-7</v>
      </c>
      <c r="V50">
        <f t="shared" si="0"/>
        <v>0</v>
      </c>
      <c r="W50">
        <f t="shared" si="0"/>
        <v>0</v>
      </c>
      <c r="X50">
        <f t="shared" si="0"/>
        <v>2.5083920054425313E-7</v>
      </c>
      <c r="Z50">
        <f t="shared" si="0"/>
        <v>1.8559382565100211E-4</v>
      </c>
      <c r="AA50">
        <f t="shared" si="0"/>
        <v>9.4506331281075094E-8</v>
      </c>
      <c r="AB50">
        <f t="shared" si="0"/>
        <v>2.264008481519824E-5</v>
      </c>
      <c r="AC50">
        <f t="shared" si="0"/>
        <v>1.2711931670615789E-5</v>
      </c>
      <c r="AD50">
        <f t="shared" si="0"/>
        <v>3.255441496682139E-5</v>
      </c>
      <c r="AE50">
        <f t="shared" si="0"/>
        <v>7.9089734644223968E-5</v>
      </c>
      <c r="AF50">
        <f t="shared" si="0"/>
        <v>2.7182951567014548E-5</v>
      </c>
    </row>
    <row r="51" spans="1:32" x14ac:dyDescent="0.2">
      <c r="A51">
        <v>2020.25</v>
      </c>
      <c r="B51">
        <f t="shared" ref="B51:AF51" si="1">B4/1000</f>
        <v>1.0113684246193354E-5</v>
      </c>
      <c r="C51">
        <f t="shared" si="1"/>
        <v>8.0454266893819151E-6</v>
      </c>
      <c r="D51">
        <f t="shared" si="1"/>
        <v>3.582705442595317E-4</v>
      </c>
      <c r="E51">
        <f t="shared" si="1"/>
        <v>5.1108960998023572E-7</v>
      </c>
      <c r="F51">
        <f t="shared" si="1"/>
        <v>2.1891304916979844E-4</v>
      </c>
      <c r="G51">
        <f t="shared" si="1"/>
        <v>1.6623377148901812E-6</v>
      </c>
      <c r="H51">
        <f t="shared" si="1"/>
        <v>4.5252542970455401E-5</v>
      </c>
      <c r="I51">
        <f t="shared" si="1"/>
        <v>0</v>
      </c>
      <c r="J51">
        <f t="shared" si="1"/>
        <v>2.484676752525011E-6</v>
      </c>
      <c r="K51">
        <f t="shared" si="1"/>
        <v>2.5186935074093663E-8</v>
      </c>
      <c r="L51">
        <f t="shared" si="1"/>
        <v>1.2689354776373339E-6</v>
      </c>
      <c r="M51">
        <f t="shared" si="1"/>
        <v>1.7636190766923632E-7</v>
      </c>
      <c r="N51">
        <f t="shared" si="1"/>
        <v>3.8140215969341808E-7</v>
      </c>
      <c r="O51">
        <f t="shared" si="1"/>
        <v>1.367290761165084E-6</v>
      </c>
      <c r="P51">
        <f t="shared" si="1"/>
        <v>4.3197812454045525E-7</v>
      </c>
      <c r="R51">
        <f t="shared" si="1"/>
        <v>5.1443307411433312E-6</v>
      </c>
      <c r="S51">
        <f t="shared" si="1"/>
        <v>0</v>
      </c>
      <c r="T51">
        <f t="shared" si="1"/>
        <v>0</v>
      </c>
      <c r="U51">
        <f t="shared" si="1"/>
        <v>3.4912459273297803E-7</v>
      </c>
      <c r="V51">
        <f t="shared" si="1"/>
        <v>0</v>
      </c>
      <c r="W51">
        <f t="shared" si="1"/>
        <v>0</v>
      </c>
      <c r="X51">
        <f t="shared" si="1"/>
        <v>4.1604370220013069E-7</v>
      </c>
      <c r="Z51">
        <f t="shared" si="1"/>
        <v>3.321067941051036E-4</v>
      </c>
      <c r="AA51">
        <f t="shared" si="1"/>
        <v>1.6911227835462881E-7</v>
      </c>
      <c r="AB51">
        <f t="shared" si="1"/>
        <v>4.0512802405302041E-5</v>
      </c>
      <c r="AC51">
        <f t="shared" si="1"/>
        <v>2.2747086866725988E-5</v>
      </c>
      <c r="AD51">
        <f t="shared" si="1"/>
        <v>5.8253782692796588E-5</v>
      </c>
      <c r="AE51">
        <f t="shared" si="1"/>
        <v>1.4152538818133225E-4</v>
      </c>
      <c r="AF51">
        <f t="shared" si="1"/>
        <v>4.5085838984215651E-5</v>
      </c>
    </row>
    <row r="52" spans="1:32" x14ac:dyDescent="0.2">
      <c r="A52">
        <v>2020.5</v>
      </c>
      <c r="B52">
        <f t="shared" ref="B52:AF52" si="2">B5/1000</f>
        <v>1.7561453095145879E-5</v>
      </c>
      <c r="C52">
        <f t="shared" si="2"/>
        <v>1.3970120086475374E-5</v>
      </c>
      <c r="D52">
        <f t="shared" si="2"/>
        <v>6.2210280697207621E-4</v>
      </c>
      <c r="E52">
        <f t="shared" si="2"/>
        <v>8.8745861494168706E-7</v>
      </c>
      <c r="F52">
        <f t="shared" si="2"/>
        <v>3.8012173915334246E-4</v>
      </c>
      <c r="G52">
        <f t="shared" si="2"/>
        <v>2.8864917173307792E-6</v>
      </c>
      <c r="H52">
        <f t="shared" si="2"/>
        <v>7.1406100792420078E-5</v>
      </c>
      <c r="I52">
        <f t="shared" si="2"/>
        <v>0</v>
      </c>
      <c r="J52">
        <f t="shared" si="2"/>
        <v>4.3144054316794378E-6</v>
      </c>
      <c r="K52">
        <f t="shared" si="2"/>
        <v>4.3734722989860303E-8</v>
      </c>
      <c r="L52">
        <f t="shared" si="2"/>
        <v>2.2033860588125523E-6</v>
      </c>
      <c r="M52">
        <f t="shared" si="2"/>
        <v>3.0623571924044132E-7</v>
      </c>
      <c r="N52">
        <f t="shared" si="2"/>
        <v>6.6226866241788416E-7</v>
      </c>
      <c r="O52">
        <f t="shared" si="2"/>
        <v>2.3741706765924157E-6</v>
      </c>
      <c r="P52">
        <f t="shared" si="2"/>
        <v>6.8163845557132744E-7</v>
      </c>
      <c r="R52">
        <f t="shared" si="2"/>
        <v>8.9326422317870031E-6</v>
      </c>
      <c r="S52">
        <f t="shared" si="2"/>
        <v>0</v>
      </c>
      <c r="T52">
        <f t="shared" si="2"/>
        <v>0</v>
      </c>
      <c r="U52">
        <f t="shared" si="2"/>
        <v>6.0622172992495517E-7</v>
      </c>
      <c r="V52">
        <f t="shared" si="2"/>
        <v>0</v>
      </c>
      <c r="W52">
        <f t="shared" si="2"/>
        <v>0</v>
      </c>
      <c r="X52">
        <f t="shared" si="2"/>
        <v>6.5649478644216774E-7</v>
      </c>
      <c r="Z52">
        <f t="shared" si="2"/>
        <v>5.7667193727658963E-4</v>
      </c>
      <c r="AA52">
        <f t="shared" si="2"/>
        <v>2.9364742578906203E-7</v>
      </c>
      <c r="AB52">
        <f t="shared" si="2"/>
        <v>7.0346637474015436E-5</v>
      </c>
      <c r="AC52">
        <f t="shared" si="2"/>
        <v>3.9498158073460998E-5</v>
      </c>
      <c r="AD52">
        <f t="shared" si="2"/>
        <v>1.0115216645797683E-4</v>
      </c>
      <c r="AE52">
        <f t="shared" si="2"/>
        <v>2.4574540848002494E-4</v>
      </c>
      <c r="AF52">
        <f t="shared" si="2"/>
        <v>7.1143050787656679E-5</v>
      </c>
    </row>
    <row r="53" spans="1:32" x14ac:dyDescent="0.2">
      <c r="A53">
        <v>2020.75</v>
      </c>
      <c r="B53">
        <f t="shared" ref="B53:AF53" si="3">B6/1000</f>
        <v>2.9831030505117288E-5</v>
      </c>
      <c r="C53">
        <f t="shared" si="3"/>
        <v>2.3730557841764797E-5</v>
      </c>
      <c r="D53">
        <f t="shared" si="3"/>
        <v>1.0567444340487215E-3</v>
      </c>
      <c r="E53">
        <f t="shared" si="3"/>
        <v>1.5074951298689609E-6</v>
      </c>
      <c r="F53">
        <f t="shared" si="3"/>
        <v>6.4569959757350035E-4</v>
      </c>
      <c r="G53">
        <f t="shared" si="3"/>
        <v>4.9031832392197379E-6</v>
      </c>
      <c r="H53">
        <f t="shared" si="3"/>
        <v>1.0848662407137627E-4</v>
      </c>
      <c r="I53">
        <f t="shared" si="3"/>
        <v>0</v>
      </c>
      <c r="J53">
        <f t="shared" si="3"/>
        <v>7.3287306777277784E-6</v>
      </c>
      <c r="K53">
        <f t="shared" si="3"/>
        <v>7.4290655139693024E-8</v>
      </c>
      <c r="L53">
        <f t="shared" si="3"/>
        <v>3.7428153797338956E-6</v>
      </c>
      <c r="M53">
        <f t="shared" si="3"/>
        <v>5.201919814336556E-7</v>
      </c>
      <c r="N53">
        <f t="shared" si="3"/>
        <v>1.1249727778296369E-6</v>
      </c>
      <c r="O53">
        <f t="shared" si="3"/>
        <v>4.0329212790119056E-6</v>
      </c>
      <c r="P53">
        <f t="shared" si="3"/>
        <v>1.0356069588105827E-6</v>
      </c>
      <c r="R53">
        <f t="shared" si="3"/>
        <v>1.5173569149661737E-5</v>
      </c>
      <c r="S53">
        <f t="shared" si="3"/>
        <v>0</v>
      </c>
      <c r="T53">
        <f t="shared" si="3"/>
        <v>0</v>
      </c>
      <c r="U53">
        <f t="shared" si="3"/>
        <v>1.0297677999809102E-6</v>
      </c>
      <c r="V53">
        <f t="shared" si="3"/>
        <v>0</v>
      </c>
      <c r="W53">
        <f t="shared" si="3"/>
        <v>0</v>
      </c>
      <c r="X53">
        <f t="shared" si="3"/>
        <v>9.9740641641547448E-7</v>
      </c>
      <c r="Z53">
        <f t="shared" si="3"/>
        <v>9.795725934033325E-4</v>
      </c>
      <c r="AA53">
        <f t="shared" si="3"/>
        <v>4.9880868450936733E-7</v>
      </c>
      <c r="AB53">
        <f t="shared" si="3"/>
        <v>1.1949539010526567E-4</v>
      </c>
      <c r="AC53">
        <f t="shared" si="3"/>
        <v>6.7094149442055158E-5</v>
      </c>
      <c r="AD53">
        <f t="shared" si="3"/>
        <v>1.7182367238737563E-4</v>
      </c>
      <c r="AE53">
        <f t="shared" si="3"/>
        <v>4.1743919122993502E-4</v>
      </c>
      <c r="AF53">
        <f t="shared" si="3"/>
        <v>1.0808697464839909E-4</v>
      </c>
    </row>
    <row r="54" spans="1:32" x14ac:dyDescent="0.2">
      <c r="A54">
        <v>2021</v>
      </c>
      <c r="B54">
        <f t="shared" ref="B54:AF54" si="4">B7/1000</f>
        <v>4.9386900087826102E-5</v>
      </c>
      <c r="C54">
        <f t="shared" si="4"/>
        <v>3.9287234443965054E-5</v>
      </c>
      <c r="D54">
        <f t="shared" si="4"/>
        <v>1.7494981198781536E-3</v>
      </c>
      <c r="E54">
        <f t="shared" si="4"/>
        <v>2.495740512516032E-6</v>
      </c>
      <c r="F54">
        <f t="shared" si="4"/>
        <v>1.0689909457416045E-3</v>
      </c>
      <c r="G54">
        <f t="shared" si="4"/>
        <v>8.1174876176707748E-6</v>
      </c>
      <c r="H54">
        <f t="shared" si="4"/>
        <v>1.598982018331082E-4</v>
      </c>
      <c r="I54">
        <f t="shared" si="4"/>
        <v>0</v>
      </c>
      <c r="J54">
        <f t="shared" si="4"/>
        <v>1.2133113862407108E-5</v>
      </c>
      <c r="K54">
        <f t="shared" si="4"/>
        <v>1.229922366313754E-7</v>
      </c>
      <c r="L54">
        <f t="shared" si="4"/>
        <v>6.1964352580574723E-6</v>
      </c>
      <c r="M54">
        <f t="shared" si="4"/>
        <v>8.6120623319215203E-7</v>
      </c>
      <c r="N54">
        <f t="shared" si="4"/>
        <v>1.8624538689893983E-6</v>
      </c>
      <c r="O54">
        <f t="shared" si="4"/>
        <v>6.676721417131806E-6</v>
      </c>
      <c r="P54">
        <f t="shared" si="4"/>
        <v>1.5263788687047603E-6</v>
      </c>
      <c r="R54">
        <f t="shared" si="4"/>
        <v>2.5120672363011895E-5</v>
      </c>
      <c r="S54">
        <f t="shared" si="4"/>
        <v>0</v>
      </c>
      <c r="T54">
        <f t="shared" si="4"/>
        <v>0</v>
      </c>
      <c r="U54">
        <f t="shared" si="4"/>
        <v>1.7048368289722191E-6</v>
      </c>
      <c r="V54">
        <f t="shared" si="4"/>
        <v>0</v>
      </c>
      <c r="W54">
        <f t="shared" si="4"/>
        <v>0</v>
      </c>
      <c r="X54">
        <f t="shared" si="4"/>
        <v>1.4700751714488806E-6</v>
      </c>
      <c r="Z54">
        <f t="shared" si="4"/>
        <v>1.6217359232992034E-3</v>
      </c>
      <c r="AA54">
        <f t="shared" si="4"/>
        <v>8.2580501738209199E-7</v>
      </c>
      <c r="AB54">
        <f t="shared" si="4"/>
        <v>1.9783114401871566E-4</v>
      </c>
      <c r="AC54">
        <f t="shared" si="4"/>
        <v>1.110780284443755E-4</v>
      </c>
      <c r="AD54">
        <f t="shared" si="4"/>
        <v>2.8446347300885245E-4</v>
      </c>
      <c r="AE54">
        <f t="shared" si="4"/>
        <v>6.9109337763169831E-4</v>
      </c>
      <c r="AF54">
        <f t="shared" si="4"/>
        <v>1.5930915940834211E-4</v>
      </c>
    </row>
    <row r="55" spans="1:32" x14ac:dyDescent="0.2">
      <c r="A55">
        <v>2021.25</v>
      </c>
      <c r="B55">
        <f t="shared" ref="B55:AF55" si="5">B8/1000</f>
        <v>1.0396678976446169E-4</v>
      </c>
      <c r="C55">
        <f t="shared" si="5"/>
        <v>8.2705487418710863E-5</v>
      </c>
      <c r="D55">
        <f t="shared" si="5"/>
        <v>3.7277364488442918E-3</v>
      </c>
      <c r="E55">
        <f t="shared" si="5"/>
        <v>5.253905969193734E-6</v>
      </c>
      <c r="F55">
        <f t="shared" si="5"/>
        <v>2.2386706189932645E-3</v>
      </c>
      <c r="G55">
        <f t="shared" si="5"/>
        <v>1.7213340284655593E-5</v>
      </c>
      <c r="H55">
        <f t="shared" si="5"/>
        <v>3.6041802628753345E-4</v>
      </c>
      <c r="I55">
        <f t="shared" si="5"/>
        <v>0</v>
      </c>
      <c r="J55">
        <f t="shared" si="5"/>
        <v>2.5542014094383328E-5</v>
      </c>
      <c r="K55">
        <f t="shared" si="5"/>
        <v>2.5891699996913059E-7</v>
      </c>
      <c r="L55">
        <f t="shared" si="5"/>
        <v>1.3203030801755571E-5</v>
      </c>
      <c r="M55">
        <f t="shared" si="5"/>
        <v>1.8129675527499508E-6</v>
      </c>
      <c r="N55">
        <f t="shared" si="5"/>
        <v>3.9003330873344222E-6</v>
      </c>
      <c r="O55">
        <f t="shared" si="5"/>
        <v>1.4158158675690743E-5</v>
      </c>
      <c r="P55">
        <f t="shared" si="5"/>
        <v>3.4358524070872718E-6</v>
      </c>
      <c r="R55">
        <f t="shared" si="5"/>
        <v>5.2882761575695044E-5</v>
      </c>
      <c r="S55">
        <f t="shared" si="5"/>
        <v>0</v>
      </c>
      <c r="T55">
        <f t="shared" si="5"/>
        <v>0</v>
      </c>
      <c r="U55">
        <f t="shared" si="5"/>
        <v>3.5889357676886779E-6</v>
      </c>
      <c r="V55">
        <f t="shared" si="5"/>
        <v>0</v>
      </c>
      <c r="W55">
        <f t="shared" si="5"/>
        <v>0</v>
      </c>
      <c r="X55">
        <f t="shared" si="5"/>
        <v>3.2948350981590862E-6</v>
      </c>
      <c r="Z55">
        <f t="shared" si="5"/>
        <v>3.4139959683901094E-3</v>
      </c>
      <c r="AA55">
        <f t="shared" si="5"/>
        <v>1.7384427140784485E-6</v>
      </c>
      <c r="AB55">
        <f t="shared" si="5"/>
        <v>4.2152795587256328E-4</v>
      </c>
      <c r="AC55">
        <f t="shared" si="5"/>
        <v>2.338358149669324E-4</v>
      </c>
      <c r="AD55">
        <f t="shared" si="5"/>
        <v>5.9572068569758779E-4</v>
      </c>
      <c r="AE55">
        <f t="shared" si="5"/>
        <v>1.4654811978709055E-3</v>
      </c>
      <c r="AF55">
        <f t="shared" si="5"/>
        <v>3.578287006534796E-4</v>
      </c>
    </row>
    <row r="56" spans="1:32" x14ac:dyDescent="0.2">
      <c r="A56">
        <v>2021.5</v>
      </c>
      <c r="B56">
        <f t="shared" ref="B56:AF56" si="6">B9/1000</f>
        <v>2.1762388411256551E-4</v>
      </c>
      <c r="C56">
        <f t="shared" si="6"/>
        <v>1.7311960338738046E-4</v>
      </c>
      <c r="D56">
        <f t="shared" si="6"/>
        <v>7.9402938451511931E-3</v>
      </c>
      <c r="E56">
        <f t="shared" si="6"/>
        <v>1.0997506284155424E-5</v>
      </c>
      <c r="F56">
        <f t="shared" si="6"/>
        <v>4.6500618199737153E-3</v>
      </c>
      <c r="G56">
        <f t="shared" si="6"/>
        <v>3.6413958916717574E-5</v>
      </c>
      <c r="H56">
        <f t="shared" si="6"/>
        <v>8.4654995114941145E-4</v>
      </c>
      <c r="I56">
        <f t="shared" si="6"/>
        <v>0</v>
      </c>
      <c r="J56">
        <f t="shared" si="6"/>
        <v>5.3464691252568005E-5</v>
      </c>
      <c r="K56">
        <f t="shared" si="6"/>
        <v>5.4196655801058292E-7</v>
      </c>
      <c r="L56">
        <f t="shared" si="6"/>
        <v>2.812321784310252E-5</v>
      </c>
      <c r="M56">
        <f t="shared" si="6"/>
        <v>3.794914140307154E-6</v>
      </c>
      <c r="N56">
        <f t="shared" si="6"/>
        <v>8.1015893185528847E-6</v>
      </c>
      <c r="O56">
        <f t="shared" si="6"/>
        <v>2.9950875299464663E-5</v>
      </c>
      <c r="P56">
        <f t="shared" si="6"/>
        <v>8.0540116974315852E-6</v>
      </c>
      <c r="R56">
        <f t="shared" si="6"/>
        <v>1.1069450160742951E-4</v>
      </c>
      <c r="S56">
        <f t="shared" si="6"/>
        <v>0</v>
      </c>
      <c r="T56">
        <f t="shared" si="6"/>
        <v>0</v>
      </c>
      <c r="U56">
        <f t="shared" si="6"/>
        <v>7.5123810532611005E-6</v>
      </c>
      <c r="V56">
        <f t="shared" si="6"/>
        <v>0</v>
      </c>
      <c r="W56">
        <f t="shared" si="6"/>
        <v>0</v>
      </c>
      <c r="X56">
        <f t="shared" si="6"/>
        <v>7.6741729078616767E-6</v>
      </c>
      <c r="Z56">
        <f t="shared" si="6"/>
        <v>7.1461960561531035E-3</v>
      </c>
      <c r="AA56">
        <f t="shared" si="6"/>
        <v>3.6389183180710565E-6</v>
      </c>
      <c r="AB56">
        <f t="shared" si="6"/>
        <v>8.978788815963008E-4</v>
      </c>
      <c r="AC56">
        <f t="shared" si="6"/>
        <v>4.8946647687226957E-4</v>
      </c>
      <c r="AD56">
        <f t="shared" si="6"/>
        <v>1.2374031232770869E-3</v>
      </c>
      <c r="AE56">
        <f t="shared" si="6"/>
        <v>3.1001520477732737E-3</v>
      </c>
      <c r="AF56">
        <f t="shared" si="6"/>
        <v>8.3612000719836027E-4</v>
      </c>
    </row>
    <row r="57" spans="1:32" x14ac:dyDescent="0.2">
      <c r="A57">
        <v>2021.75</v>
      </c>
      <c r="B57">
        <f t="shared" ref="B57:AF57" si="7">B10/1000</f>
        <v>3.1144041347031215E-4</v>
      </c>
      <c r="C57">
        <f t="shared" si="7"/>
        <v>2.4775056781402755E-4</v>
      </c>
      <c r="D57">
        <f t="shared" si="7"/>
        <v>1.1494167903101688E-2</v>
      </c>
      <c r="E57">
        <f t="shared" si="7"/>
        <v>1.5738474286710699E-5</v>
      </c>
      <c r="F57">
        <f t="shared" si="7"/>
        <v>6.6204485256430561E-3</v>
      </c>
      <c r="G57">
        <f t="shared" si="7"/>
        <v>5.2476551203949871E-5</v>
      </c>
      <c r="H57">
        <f t="shared" si="7"/>
        <v>1.1947560464017563E-3</v>
      </c>
      <c r="I57">
        <f t="shared" si="7"/>
        <v>0</v>
      </c>
      <c r="J57">
        <f t="shared" si="7"/>
        <v>7.6513042755682232E-5</v>
      </c>
      <c r="K57">
        <f t="shared" si="7"/>
        <v>7.7560553430151736E-7</v>
      </c>
      <c r="L57">
        <f t="shared" si="7"/>
        <v>4.0710456586127835E-5</v>
      </c>
      <c r="M57">
        <f t="shared" si="7"/>
        <v>5.4308819721748202E-6</v>
      </c>
      <c r="N57">
        <f t="shared" si="7"/>
        <v>1.153450365519703E-5</v>
      </c>
      <c r="O57">
        <f t="shared" si="7"/>
        <v>4.3162531293292087E-5</v>
      </c>
      <c r="P57">
        <f t="shared" si="7"/>
        <v>1.1354132474548218E-5</v>
      </c>
      <c r="R57">
        <f t="shared" si="7"/>
        <v>1.5841432795894768E-4</v>
      </c>
      <c r="S57">
        <f t="shared" si="7"/>
        <v>0</v>
      </c>
      <c r="T57">
        <f t="shared" si="7"/>
        <v>0</v>
      </c>
      <c r="U57">
        <f t="shared" si="7"/>
        <v>1.0750929618386889E-5</v>
      </c>
      <c r="V57">
        <f t="shared" si="7"/>
        <v>0</v>
      </c>
      <c r="W57">
        <f t="shared" si="7"/>
        <v>0</v>
      </c>
      <c r="X57">
        <f t="shared" si="7"/>
        <v>1.0779796439640973E-5</v>
      </c>
      <c r="Z57">
        <f t="shared" si="7"/>
        <v>1.022688416551302E-2</v>
      </c>
      <c r="AA57">
        <f t="shared" si="7"/>
        <v>5.2076371588816167E-6</v>
      </c>
      <c r="AB57">
        <f t="shared" si="7"/>
        <v>1.2997466873369255E-3</v>
      </c>
      <c r="AC57">
        <f t="shared" si="7"/>
        <v>7.0047294008458889E-4</v>
      </c>
      <c r="AD57">
        <f t="shared" si="7"/>
        <v>1.7617322092230178E-3</v>
      </c>
      <c r="AE57">
        <f t="shared" si="7"/>
        <v>4.4676627456817332E-3</v>
      </c>
      <c r="AF57">
        <f t="shared" si="7"/>
        <v>1.1766141510521739E-3</v>
      </c>
    </row>
    <row r="58" spans="1:32" x14ac:dyDescent="0.2">
      <c r="A58">
        <v>2022</v>
      </c>
      <c r="B58">
        <f t="shared" ref="B58:AF58" si="8">B11/1000</f>
        <v>5.1620344731144571E-4</v>
      </c>
      <c r="C58">
        <f t="shared" si="8"/>
        <v>4.106393764185011E-4</v>
      </c>
      <c r="D58">
        <f t="shared" si="8"/>
        <v>1.9417866243283136E-2</v>
      </c>
      <c r="E58">
        <f t="shared" si="8"/>
        <v>2.6086064398951389E-5</v>
      </c>
      <c r="F58">
        <f t="shared" si="8"/>
        <v>1.0877296322558998E-2</v>
      </c>
      <c r="G58">
        <f t="shared" si="8"/>
        <v>8.8000209717446843E-5</v>
      </c>
      <c r="H58">
        <f t="shared" si="8"/>
        <v>2.0716216735138068E-3</v>
      </c>
      <c r="I58">
        <f t="shared" si="8"/>
        <v>0</v>
      </c>
      <c r="J58">
        <f t="shared" si="8"/>
        <v>1.268181479554071E-4</v>
      </c>
      <c r="K58">
        <f t="shared" si="8"/>
        <v>1.2855436649953076E-6</v>
      </c>
      <c r="L58">
        <f t="shared" si="8"/>
        <v>6.8774895873854162E-5</v>
      </c>
      <c r="M58">
        <f t="shared" si="8"/>
        <v>9.0015292644268889E-6</v>
      </c>
      <c r="N58">
        <f t="shared" si="8"/>
        <v>1.8951014225887573E-5</v>
      </c>
      <c r="O58">
        <f t="shared" si="8"/>
        <v>7.2381124875822055E-5</v>
      </c>
      <c r="P58">
        <f t="shared" si="8"/>
        <v>1.9645475530962639E-5</v>
      </c>
      <c r="R58">
        <f t="shared" si="8"/>
        <v>2.6256715140063157E-4</v>
      </c>
      <c r="S58">
        <f t="shared" si="8"/>
        <v>0</v>
      </c>
      <c r="T58">
        <f t="shared" si="8"/>
        <v>0</v>
      </c>
      <c r="U58">
        <f t="shared" si="8"/>
        <v>1.7819353849987926E-5</v>
      </c>
      <c r="V58">
        <f t="shared" si="8"/>
        <v>0</v>
      </c>
      <c r="W58">
        <f t="shared" si="8"/>
        <v>0</v>
      </c>
      <c r="X58">
        <f t="shared" si="8"/>
        <v>1.8523607222504248E-5</v>
      </c>
      <c r="Z58">
        <f t="shared" si="8"/>
        <v>1.6950763719673429E-2</v>
      </c>
      <c r="AA58">
        <f t="shared" si="8"/>
        <v>8.6315074649684935E-6</v>
      </c>
      <c r="AB58">
        <f t="shared" si="8"/>
        <v>2.195748969183601E-3</v>
      </c>
      <c r="AC58">
        <f t="shared" si="8"/>
        <v>1.1610135704322028E-3</v>
      </c>
      <c r="AD58">
        <f t="shared" si="8"/>
        <v>2.8944992482747151E-3</v>
      </c>
      <c r="AE58">
        <f t="shared" si="8"/>
        <v>7.492017854580816E-3</v>
      </c>
      <c r="AF58">
        <f t="shared" si="8"/>
        <v>2.0288950391633884E-3</v>
      </c>
    </row>
    <row r="59" spans="1:32" x14ac:dyDescent="0.2">
      <c r="A59">
        <v>2022.25</v>
      </c>
      <c r="B59">
        <f t="shared" ref="B59:AF59" si="9">B12/1000</f>
        <v>7.8196941005883322E-4</v>
      </c>
      <c r="C59">
        <f t="shared" si="9"/>
        <v>6.2205595990753968E-4</v>
      </c>
      <c r="D59">
        <f t="shared" si="9"/>
        <v>2.991859272852105E-2</v>
      </c>
      <c r="E59">
        <f t="shared" si="9"/>
        <v>3.9516404811023148E-5</v>
      </c>
      <c r="F59">
        <f t="shared" si="9"/>
        <v>1.6345732818731393E-2</v>
      </c>
      <c r="G59">
        <f t="shared" si="9"/>
        <v>1.3471023072717856E-4</v>
      </c>
      <c r="H59">
        <f t="shared" si="9"/>
        <v>3.2431747780804127E-3</v>
      </c>
      <c r="I59">
        <f t="shared" si="9"/>
        <v>0</v>
      </c>
      <c r="J59">
        <f t="shared" si="9"/>
        <v>1.92110131882966E-4</v>
      </c>
      <c r="K59">
        <f t="shared" si="9"/>
        <v>1.9474023789592031E-6</v>
      </c>
      <c r="L59">
        <f t="shared" si="9"/>
        <v>1.0596674597591533E-4</v>
      </c>
      <c r="M59">
        <f t="shared" si="9"/>
        <v>1.3635942505212218E-5</v>
      </c>
      <c r="N59">
        <f t="shared" si="9"/>
        <v>2.8478420187734651E-5</v>
      </c>
      <c r="O59">
        <f t="shared" si="9"/>
        <v>1.1080062267603428E-4</v>
      </c>
      <c r="P59">
        <f t="shared" si="9"/>
        <v>3.0698249753132207E-5</v>
      </c>
      <c r="R59">
        <f t="shared" si="9"/>
        <v>3.9774914629290138E-4</v>
      </c>
      <c r="S59">
        <f t="shared" si="9"/>
        <v>0</v>
      </c>
      <c r="T59">
        <f t="shared" si="9"/>
        <v>0</v>
      </c>
      <c r="U59">
        <f t="shared" si="9"/>
        <v>2.6993600469501735E-5</v>
      </c>
      <c r="V59">
        <f t="shared" si="9"/>
        <v>0</v>
      </c>
      <c r="W59">
        <f t="shared" si="9"/>
        <v>0</v>
      </c>
      <c r="X59">
        <f t="shared" si="9"/>
        <v>2.8769337539863781E-5</v>
      </c>
      <c r="Z59">
        <f t="shared" si="9"/>
        <v>2.5677819036187988E-2</v>
      </c>
      <c r="AA59">
        <f t="shared" si="9"/>
        <v>1.3075415973011793E-5</v>
      </c>
      <c r="AB59">
        <f t="shared" si="9"/>
        <v>3.3831584953778479E-3</v>
      </c>
      <c r="AC59">
        <f t="shared" si="9"/>
        <v>1.7587582986314531E-3</v>
      </c>
      <c r="AD59">
        <f t="shared" si="9"/>
        <v>4.3496756871643774E-3</v>
      </c>
      <c r="AE59">
        <f t="shared" si="9"/>
        <v>1.146873918872752E-2</v>
      </c>
      <c r="AF59">
        <f t="shared" si="9"/>
        <v>3.1608485548129082E-3</v>
      </c>
    </row>
    <row r="60" spans="1:32" x14ac:dyDescent="0.2">
      <c r="A60">
        <v>2022.5</v>
      </c>
      <c r="B60">
        <f t="shared" ref="B60:AF60" si="10">B13/1000</f>
        <v>1.0037765612907219E-3</v>
      </c>
      <c r="C60">
        <f t="shared" si="10"/>
        <v>7.9850334851258543E-4</v>
      </c>
      <c r="D60">
        <f t="shared" si="10"/>
        <v>3.8862720906315151E-2</v>
      </c>
      <c r="E60">
        <f t="shared" si="10"/>
        <v>5.0725310255802237E-5</v>
      </c>
      <c r="F60">
        <f t="shared" si="10"/>
        <v>2.0862510152101874E-2</v>
      </c>
      <c r="G60">
        <f t="shared" si="10"/>
        <v>1.7419666261567928E-4</v>
      </c>
      <c r="H60">
        <f t="shared" si="10"/>
        <v>4.1742695447581938E-3</v>
      </c>
      <c r="I60">
        <f t="shared" si="10"/>
        <v>0</v>
      </c>
      <c r="J60">
        <f t="shared" si="10"/>
        <v>2.4660254619945075E-4</v>
      </c>
      <c r="K60">
        <f t="shared" si="10"/>
        <v>2.4997868692254462E-6</v>
      </c>
      <c r="L60">
        <f t="shared" si="10"/>
        <v>1.3764538030181485E-4</v>
      </c>
      <c r="M60">
        <f t="shared" si="10"/>
        <v>1.7503804243199369E-5</v>
      </c>
      <c r="N60">
        <f t="shared" si="10"/>
        <v>3.6347794061676597E-5</v>
      </c>
      <c r="O60">
        <f t="shared" si="10"/>
        <v>1.4327864024666259E-4</v>
      </c>
      <c r="P60">
        <f t="shared" si="10"/>
        <v>3.9462994042709524E-5</v>
      </c>
      <c r="R60">
        <f t="shared" si="10"/>
        <v>5.1057146889182058E-4</v>
      </c>
      <c r="S60">
        <f t="shared" si="10"/>
        <v>0</v>
      </c>
      <c r="T60">
        <f t="shared" si="10"/>
        <v>0</v>
      </c>
      <c r="U60">
        <f t="shared" si="10"/>
        <v>3.4650387991639565E-5</v>
      </c>
      <c r="V60">
        <f t="shared" si="10"/>
        <v>0</v>
      </c>
      <c r="W60">
        <f t="shared" si="10"/>
        <v>0</v>
      </c>
      <c r="X60">
        <f t="shared" si="10"/>
        <v>3.6833941074260516E-5</v>
      </c>
      <c r="Z60">
        <f t="shared" si="10"/>
        <v>3.2961382583560385E-2</v>
      </c>
      <c r="AA60">
        <f t="shared" si="10"/>
        <v>1.6784283264799424E-5</v>
      </c>
      <c r="AB60">
        <f t="shared" si="10"/>
        <v>4.3945497564249151E-3</v>
      </c>
      <c r="AC60">
        <f t="shared" si="10"/>
        <v>2.2576335268779594E-3</v>
      </c>
      <c r="AD60">
        <f t="shared" si="10"/>
        <v>5.5516111873447549E-3</v>
      </c>
      <c r="AE60">
        <f t="shared" si="10"/>
        <v>1.4830470412689423E-2</v>
      </c>
      <c r="AF60">
        <f t="shared" si="10"/>
        <v>4.0552179274278583E-3</v>
      </c>
    </row>
    <row r="61" spans="1:32" x14ac:dyDescent="0.2">
      <c r="A61">
        <v>2022.75</v>
      </c>
      <c r="B61">
        <f t="shared" ref="B61:AF61" si="11">B14/1000</f>
        <v>1.3714938181654615E-3</v>
      </c>
      <c r="C61">
        <f t="shared" si="11"/>
        <v>1.0910220944601713E-3</v>
      </c>
      <c r="D61">
        <f t="shared" si="11"/>
        <v>5.3988795850198605E-2</v>
      </c>
      <c r="E61">
        <f t="shared" si="11"/>
        <v>6.9307704645843566E-5</v>
      </c>
      <c r="F61">
        <f t="shared" si="11"/>
        <v>2.8272503491032518E-2</v>
      </c>
      <c r="G61">
        <f t="shared" si="11"/>
        <v>2.4048961096190729E-4</v>
      </c>
      <c r="H61">
        <f t="shared" si="11"/>
        <v>5.817121019256812E-3</v>
      </c>
      <c r="I61">
        <f t="shared" si="11"/>
        <v>0</v>
      </c>
      <c r="J61">
        <f t="shared" si="11"/>
        <v>3.3694138785379856E-4</v>
      </c>
      <c r="K61">
        <f t="shared" si="11"/>
        <v>3.4155432295264756E-6</v>
      </c>
      <c r="L61">
        <f t="shared" si="11"/>
        <v>1.9121945565139391E-4</v>
      </c>
      <c r="M61">
        <f t="shared" si="11"/>
        <v>2.3916038927086875E-5</v>
      </c>
      <c r="N61">
        <f t="shared" si="11"/>
        <v>4.9257885413014343E-5</v>
      </c>
      <c r="O61">
        <f t="shared" si="11"/>
        <v>1.9780530771758604E-4</v>
      </c>
      <c r="P61">
        <f t="shared" si="11"/>
        <v>5.4894124818406675E-5</v>
      </c>
      <c r="R61">
        <f t="shared" si="11"/>
        <v>6.9761104245786459E-4</v>
      </c>
      <c r="S61">
        <f t="shared" si="11"/>
        <v>0</v>
      </c>
      <c r="T61">
        <f t="shared" si="11"/>
        <v>0</v>
      </c>
      <c r="U61">
        <f t="shared" si="11"/>
        <v>4.7343995427090349E-5</v>
      </c>
      <c r="V61">
        <f t="shared" si="11"/>
        <v>0</v>
      </c>
      <c r="W61">
        <f t="shared" si="11"/>
        <v>0</v>
      </c>
      <c r="X61">
        <f t="shared" si="11"/>
        <v>5.0928241971054932E-5</v>
      </c>
      <c r="Z61">
        <f t="shared" si="11"/>
        <v>4.5036250292007717E-2</v>
      </c>
      <c r="AA61">
        <f t="shared" si="11"/>
        <v>2.2932933112534909E-5</v>
      </c>
      <c r="AB61">
        <f t="shared" si="11"/>
        <v>6.1049881253839528E-3</v>
      </c>
      <c r="AC61">
        <f t="shared" si="11"/>
        <v>3.0846809391671232E-3</v>
      </c>
      <c r="AD61">
        <f t="shared" si="11"/>
        <v>7.5234449512896441E-3</v>
      </c>
      <c r="AE61">
        <f t="shared" si="11"/>
        <v>2.0474410969620556E-2</v>
      </c>
      <c r="AF61">
        <f t="shared" si="11"/>
        <v>5.6241940038330961E-3</v>
      </c>
    </row>
    <row r="62" spans="1:32" x14ac:dyDescent="0.2">
      <c r="A62">
        <v>2023</v>
      </c>
      <c r="B62">
        <f t="shared" ref="B62:AF62" si="12">B15/1000</f>
        <v>1.8569511274491128E-3</v>
      </c>
      <c r="C62">
        <f t="shared" si="12"/>
        <v>1.477202945828581E-3</v>
      </c>
      <c r="D62">
        <f t="shared" si="12"/>
        <v>7.4351161065720622E-2</v>
      </c>
      <c r="E62">
        <f t="shared" si="12"/>
        <v>9.3840029446988314E-5</v>
      </c>
      <c r="F62">
        <f t="shared" si="12"/>
        <v>3.7952297429199873E-2</v>
      </c>
      <c r="G62">
        <f t="shared" si="12"/>
        <v>3.2910452978552452E-4</v>
      </c>
      <c r="H62">
        <f t="shared" si="12"/>
        <v>7.3493134273362182E-3</v>
      </c>
      <c r="I62">
        <f t="shared" si="12"/>
        <v>0</v>
      </c>
      <c r="J62">
        <f t="shared" si="12"/>
        <v>4.5620598632832885E-4</v>
      </c>
      <c r="K62">
        <f t="shared" si="12"/>
        <v>4.6245172722719437E-6</v>
      </c>
      <c r="L62">
        <f t="shared" si="12"/>
        <v>2.6333961189808436E-4</v>
      </c>
      <c r="M62">
        <f t="shared" si="12"/>
        <v>3.2381418611988932E-5</v>
      </c>
      <c r="N62">
        <f t="shared" si="12"/>
        <v>6.6122546187716245E-5</v>
      </c>
      <c r="O62">
        <f t="shared" si="12"/>
        <v>2.7069203748592919E-4</v>
      </c>
      <c r="P62">
        <f t="shared" si="12"/>
        <v>6.9255114760962642E-5</v>
      </c>
      <c r="R62">
        <f t="shared" si="12"/>
        <v>9.4453915479245543E-4</v>
      </c>
      <c r="S62">
        <f t="shared" si="12"/>
        <v>0</v>
      </c>
      <c r="T62">
        <f t="shared" si="12"/>
        <v>0</v>
      </c>
      <c r="U62">
        <f t="shared" si="12"/>
        <v>6.4101991946182192E-5</v>
      </c>
      <c r="V62">
        <f t="shared" si="12"/>
        <v>0</v>
      </c>
      <c r="W62">
        <f t="shared" si="12"/>
        <v>0</v>
      </c>
      <c r="X62">
        <f t="shared" si="12"/>
        <v>6.3949757942336125E-5</v>
      </c>
      <c r="Z62">
        <f t="shared" si="12"/>
        <v>6.0977391693744221E-2</v>
      </c>
      <c r="AA62">
        <f t="shared" si="12"/>
        <v>3.1050330256683054E-5</v>
      </c>
      <c r="AB62">
        <f t="shared" si="12"/>
        <v>8.4075399028012265E-3</v>
      </c>
      <c r="AC62">
        <f t="shared" si="12"/>
        <v>4.1765421556687757E-3</v>
      </c>
      <c r="AD62">
        <f t="shared" si="12"/>
        <v>1.0099283233765339E-2</v>
      </c>
      <c r="AE62">
        <f t="shared" si="12"/>
        <v>2.8018762922194882E-2</v>
      </c>
      <c r="AF62">
        <f t="shared" si="12"/>
        <v>7.0791972713133752E-3</v>
      </c>
    </row>
    <row r="63" spans="1:32" x14ac:dyDescent="0.2">
      <c r="A63">
        <v>2023.25</v>
      </c>
      <c r="B63">
        <f t="shared" ref="B63:AF63" si="13">B16/1000</f>
        <v>2.4961536675816992E-3</v>
      </c>
      <c r="C63">
        <f t="shared" si="13"/>
        <v>1.9856879895691001E-3</v>
      </c>
      <c r="D63">
        <f t="shared" si="13"/>
        <v>0.10106648358622101</v>
      </c>
      <c r="E63">
        <f t="shared" si="13"/>
        <v>1.2614178704414695E-4</v>
      </c>
      <c r="F63">
        <f t="shared" si="13"/>
        <v>5.0675224458003626E-2</v>
      </c>
      <c r="G63">
        <f t="shared" si="13"/>
        <v>4.5031179537678961E-4</v>
      </c>
      <c r="H63">
        <f t="shared" si="13"/>
        <v>1.0343899106555777E-2</v>
      </c>
      <c r="I63">
        <f t="shared" si="13"/>
        <v>0</v>
      </c>
      <c r="J63">
        <f t="shared" si="13"/>
        <v>6.1324190449238989E-4</v>
      </c>
      <c r="K63">
        <f t="shared" si="13"/>
        <v>6.216375638185913E-6</v>
      </c>
      <c r="L63">
        <f t="shared" si="13"/>
        <v>3.5796090043535626E-4</v>
      </c>
      <c r="M63">
        <f t="shared" si="13"/>
        <v>4.3527799754670439E-5</v>
      </c>
      <c r="N63">
        <f t="shared" si="13"/>
        <v>8.828911809747785E-5</v>
      </c>
      <c r="O63">
        <f t="shared" si="13"/>
        <v>3.7038632520168833E-4</v>
      </c>
      <c r="P63">
        <f t="shared" si="13"/>
        <v>9.7647194455014925E-5</v>
      </c>
      <c r="R63">
        <f t="shared" si="13"/>
        <v>1.2696698585969197E-3</v>
      </c>
      <c r="S63">
        <f t="shared" si="13"/>
        <v>0</v>
      </c>
      <c r="T63">
        <f t="shared" si="13"/>
        <v>0</v>
      </c>
      <c r="U63">
        <f t="shared" si="13"/>
        <v>8.6167277065368007E-5</v>
      </c>
      <c r="V63">
        <f t="shared" si="13"/>
        <v>0</v>
      </c>
      <c r="W63">
        <f t="shared" si="13"/>
        <v>0</v>
      </c>
      <c r="X63">
        <f t="shared" si="13"/>
        <v>8.9470677699630784E-5</v>
      </c>
      <c r="Z63">
        <f t="shared" si="13"/>
        <v>8.1967122163841957E-2</v>
      </c>
      <c r="AA63">
        <f t="shared" si="13"/>
        <v>4.173852214210541E-5</v>
      </c>
      <c r="AB63">
        <f t="shared" si="13"/>
        <v>1.1428476454266421E-2</v>
      </c>
      <c r="AC63">
        <f t="shared" si="13"/>
        <v>5.6141978459085121E-3</v>
      </c>
      <c r="AD63">
        <f t="shared" si="13"/>
        <v>1.348491341507704E-2</v>
      </c>
      <c r="AE63">
        <f t="shared" si="13"/>
        <v>3.8337908760942126E-2</v>
      </c>
      <c r="AF63">
        <f t="shared" si="13"/>
        <v>9.9579628543239786E-3</v>
      </c>
    </row>
    <row r="64" spans="1:32" x14ac:dyDescent="0.2">
      <c r="A64">
        <v>2023.5</v>
      </c>
      <c r="B64">
        <f t="shared" ref="B64:AF64" si="14">B17/1000</f>
        <v>4.1724843963459384E-3</v>
      </c>
      <c r="C64">
        <f t="shared" si="14"/>
        <v>3.3192075712692192E-3</v>
      </c>
      <c r="D64">
        <f t="shared" si="14"/>
        <v>0.17088074287587501</v>
      </c>
      <c r="E64">
        <f t="shared" si="14"/>
        <v>2.108542615001761E-4</v>
      </c>
      <c r="F64">
        <f t="shared" si="14"/>
        <v>8.3983476497122775E-2</v>
      </c>
      <c r="G64">
        <f t="shared" si="14"/>
        <v>7.7987921402199168E-4</v>
      </c>
      <c r="H64">
        <f t="shared" si="14"/>
        <v>1.8031860787837372E-2</v>
      </c>
      <c r="I64">
        <f t="shared" si="14"/>
        <v>0</v>
      </c>
      <c r="J64">
        <f t="shared" si="14"/>
        <v>1.0250740212476182E-3</v>
      </c>
      <c r="K64">
        <f t="shared" si="14"/>
        <v>1.0391079158714012E-5</v>
      </c>
      <c r="L64">
        <f t="shared" si="14"/>
        <v>6.052315507220267E-4</v>
      </c>
      <c r="M64">
        <f t="shared" si="14"/>
        <v>7.2759569109215726E-5</v>
      </c>
      <c r="N64">
        <f t="shared" si="14"/>
        <v>1.4632055711635104E-4</v>
      </c>
      <c r="O64">
        <f t="shared" si="14"/>
        <v>6.4145909378432204E-4</v>
      </c>
      <c r="P64">
        <f t="shared" si="14"/>
        <v>1.7136256384298558E-4</v>
      </c>
      <c r="R64">
        <f t="shared" si="14"/>
        <v>2.1223363538507021E-3</v>
      </c>
      <c r="S64">
        <f t="shared" si="14"/>
        <v>0</v>
      </c>
      <c r="T64">
        <f t="shared" si="14"/>
        <v>0</v>
      </c>
      <c r="U64">
        <f t="shared" si="14"/>
        <v>1.4403424905293723E-4</v>
      </c>
      <c r="V64">
        <f t="shared" si="14"/>
        <v>0</v>
      </c>
      <c r="W64">
        <f t="shared" si="14"/>
        <v>0</v>
      </c>
      <c r="X64">
        <f t="shared" si="14"/>
        <v>1.5517097857257114E-4</v>
      </c>
      <c r="Z64">
        <f t="shared" si="14"/>
        <v>0.13701341495267458</v>
      </c>
      <c r="AA64">
        <f t="shared" si="14"/>
        <v>6.9768674351365506E-5</v>
      </c>
      <c r="AB64">
        <f t="shared" si="14"/>
        <v>1.9322988958831683E-2</v>
      </c>
      <c r="AC64">
        <f t="shared" si="14"/>
        <v>9.3844995259233319E-3</v>
      </c>
      <c r="AD64">
        <f t="shared" si="14"/>
        <v>2.234839452560116E-2</v>
      </c>
      <c r="AE64">
        <f t="shared" si="14"/>
        <v>6.6396080357417744E-2</v>
      </c>
      <c r="AF64">
        <f t="shared" si="14"/>
        <v>1.7437693502076915E-2</v>
      </c>
    </row>
    <row r="65" spans="1:32" x14ac:dyDescent="0.2">
      <c r="A65">
        <v>2023.75</v>
      </c>
      <c r="B65">
        <f t="shared" ref="B65:AF65" si="15">B18/1000</f>
        <v>5.7604849452367133E-3</v>
      </c>
      <c r="C65">
        <f t="shared" si="15"/>
        <v>4.5824605746055402E-3</v>
      </c>
      <c r="D65">
        <f t="shared" si="15"/>
        <v>0.23678523417018293</v>
      </c>
      <c r="E65">
        <f t="shared" si="15"/>
        <v>2.9110301768281704E-4</v>
      </c>
      <c r="F65">
        <f t="shared" si="15"/>
        <v>0.11548244207133411</v>
      </c>
      <c r="G65">
        <f t="shared" si="15"/>
        <v>1.1029975425630556E-3</v>
      </c>
      <c r="H65">
        <f t="shared" si="15"/>
        <v>2.6554338016322798E-2</v>
      </c>
      <c r="I65">
        <f t="shared" si="15"/>
        <v>0</v>
      </c>
      <c r="J65">
        <f t="shared" si="15"/>
        <v>1.4152056439854905E-3</v>
      </c>
      <c r="K65">
        <f t="shared" si="15"/>
        <v>1.4345806807799095E-5</v>
      </c>
      <c r="L65">
        <f t="shared" si="15"/>
        <v>8.3865444433955938E-4</v>
      </c>
      <c r="M65">
        <f t="shared" si="15"/>
        <v>1.0045104131308478E-4</v>
      </c>
      <c r="N65">
        <f t="shared" si="15"/>
        <v>2.0119975935520171E-4</v>
      </c>
      <c r="O65">
        <f t="shared" si="15"/>
        <v>9.0722741596095462E-4</v>
      </c>
      <c r="P65">
        <f t="shared" si="15"/>
        <v>2.5398528638328354E-4</v>
      </c>
      <c r="R65">
        <f t="shared" si="15"/>
        <v>2.9300736572657336E-3</v>
      </c>
      <c r="S65">
        <f t="shared" si="15"/>
        <v>0</v>
      </c>
      <c r="T65">
        <f t="shared" si="15"/>
        <v>0</v>
      </c>
      <c r="U65">
        <f t="shared" si="15"/>
        <v>1.988520613748821E-4</v>
      </c>
      <c r="V65">
        <f t="shared" si="15"/>
        <v>0</v>
      </c>
      <c r="W65">
        <f t="shared" si="15"/>
        <v>0</v>
      </c>
      <c r="X65">
        <f t="shared" si="15"/>
        <v>2.2820144482385148E-4</v>
      </c>
      <c r="Z65">
        <f t="shared" si="15"/>
        <v>0.18915917692144088</v>
      </c>
      <c r="AA65">
        <f t="shared" si="15"/>
        <v>9.6321845709508203E-5</v>
      </c>
      <c r="AB65">
        <f t="shared" si="15"/>
        <v>2.6775389599097862E-2</v>
      </c>
      <c r="AC65">
        <f t="shared" si="15"/>
        <v>1.2956134308136648E-2</v>
      </c>
      <c r="AD65">
        <f t="shared" si="15"/>
        <v>3.0730416075101089E-2</v>
      </c>
      <c r="AE65">
        <f t="shared" si="15"/>
        <v>9.3905199873663761E-2</v>
      </c>
      <c r="AF65">
        <f t="shared" si="15"/>
        <v>2.5827193003341093E-2</v>
      </c>
    </row>
    <row r="66" spans="1:32" x14ac:dyDescent="0.2">
      <c r="A66">
        <v>2024</v>
      </c>
      <c r="B66">
        <f t="shared" ref="B66:AF66" si="16">B19/1000</f>
        <v>8.325303831533671E-3</v>
      </c>
      <c r="C66">
        <f t="shared" si="16"/>
        <v>6.6227716836863969E-3</v>
      </c>
      <c r="D66">
        <f t="shared" si="16"/>
        <v>0.34286147840240278</v>
      </c>
      <c r="E66">
        <f t="shared" si="16"/>
        <v>4.2071476473343715E-4</v>
      </c>
      <c r="F66">
        <f t="shared" si="16"/>
        <v>0.16627096409591902</v>
      </c>
      <c r="G66">
        <f t="shared" si="16"/>
        <v>1.6422464159091277E-3</v>
      </c>
      <c r="H66">
        <f t="shared" si="16"/>
        <v>3.9785346321966182E-2</v>
      </c>
      <c r="I66">
        <f t="shared" si="16"/>
        <v>0</v>
      </c>
      <c r="J66">
        <f t="shared" si="16"/>
        <v>2.0453168582660578E-3</v>
      </c>
      <c r="K66">
        <f t="shared" si="16"/>
        <v>2.0733185056263312E-5</v>
      </c>
      <c r="L66">
        <f t="shared" si="16"/>
        <v>1.2143590949102161E-3</v>
      </c>
      <c r="M66">
        <f t="shared" si="16"/>
        <v>1.4517622163336922E-4</v>
      </c>
      <c r="N66">
        <f t="shared" si="16"/>
        <v>2.8968627060373196E-4</v>
      </c>
      <c r="O66">
        <f t="shared" si="16"/>
        <v>1.3507654503148664E-3</v>
      </c>
      <c r="P66">
        <f t="shared" si="16"/>
        <v>3.83648608934437E-4</v>
      </c>
      <c r="R66">
        <f t="shared" si="16"/>
        <v>4.2346701150015563E-3</v>
      </c>
      <c r="S66">
        <f t="shared" si="16"/>
        <v>0</v>
      </c>
      <c r="T66">
        <f t="shared" si="16"/>
        <v>0</v>
      </c>
      <c r="U66">
        <f t="shared" si="16"/>
        <v>2.8738966323340432E-4</v>
      </c>
      <c r="V66">
        <f t="shared" si="16"/>
        <v>0</v>
      </c>
      <c r="W66">
        <f t="shared" si="16"/>
        <v>0</v>
      </c>
      <c r="X66">
        <f t="shared" si="16"/>
        <v>3.4188535771984815E-4</v>
      </c>
      <c r="Z66">
        <f t="shared" si="16"/>
        <v>0.27338108429499841</v>
      </c>
      <c r="AA66">
        <f t="shared" si="16"/>
        <v>1.3920852823491082E-4</v>
      </c>
      <c r="AB66">
        <f t="shared" si="16"/>
        <v>3.8770363764105982E-2</v>
      </c>
      <c r="AC66">
        <f t="shared" si="16"/>
        <v>1.8724769810671289E-2</v>
      </c>
      <c r="AD66">
        <f t="shared" si="16"/>
        <v>4.4245478500702075E-2</v>
      </c>
      <c r="AE66">
        <f t="shared" si="16"/>
        <v>0.13981488804535433</v>
      </c>
      <c r="AF66">
        <f t="shared" si="16"/>
        <v>3.9002254086800345E-2</v>
      </c>
    </row>
    <row r="67" spans="1:32" x14ac:dyDescent="0.2">
      <c r="A67">
        <v>2024.25</v>
      </c>
      <c r="B67">
        <f t="shared" ref="B67:AF67" si="17">B20/1000</f>
        <v>1.1064705842869721E-2</v>
      </c>
      <c r="C67">
        <f t="shared" si="17"/>
        <v>8.8019635111596505E-3</v>
      </c>
      <c r="D67">
        <f t="shared" si="17"/>
        <v>0.45577113976808198</v>
      </c>
      <c r="E67">
        <f t="shared" si="17"/>
        <v>5.5914897638877786E-4</v>
      </c>
      <c r="F67">
        <f t="shared" si="17"/>
        <v>0.22042581959593827</v>
      </c>
      <c r="G67">
        <f t="shared" si="17"/>
        <v>2.2364852248633956E-3</v>
      </c>
      <c r="H67">
        <f t="shared" si="17"/>
        <v>5.5567474388473793E-2</v>
      </c>
      <c r="I67">
        <f t="shared" si="17"/>
        <v>0</v>
      </c>
      <c r="J67">
        <f t="shared" si="17"/>
        <v>2.7183187364835646E-3</v>
      </c>
      <c r="K67">
        <f t="shared" si="17"/>
        <v>2.7555341940124124E-5</v>
      </c>
      <c r="L67">
        <f t="shared" si="17"/>
        <v>1.614266587643247E-3</v>
      </c>
      <c r="M67">
        <f t="shared" si="17"/>
        <v>1.9294577354260646E-4</v>
      </c>
      <c r="N67">
        <f t="shared" si="17"/>
        <v>3.8403779018615571E-4</v>
      </c>
      <c r="O67">
        <f t="shared" si="17"/>
        <v>1.8395333018356929E-3</v>
      </c>
      <c r="P67">
        <f t="shared" si="17"/>
        <v>5.399587645332994E-4</v>
      </c>
      <c r="R67">
        <f t="shared" si="17"/>
        <v>5.628068369902592E-3</v>
      </c>
      <c r="S67">
        <f t="shared" si="17"/>
        <v>0</v>
      </c>
      <c r="T67">
        <f t="shared" si="17"/>
        <v>0</v>
      </c>
      <c r="U67">
        <f t="shared" si="17"/>
        <v>3.819538782374046E-4</v>
      </c>
      <c r="V67">
        <f t="shared" si="17"/>
        <v>0</v>
      </c>
      <c r="W67">
        <f t="shared" si="17"/>
        <v>0</v>
      </c>
      <c r="X67">
        <f t="shared" si="17"/>
        <v>4.7784985240420497E-4</v>
      </c>
      <c r="Z67">
        <f t="shared" si="17"/>
        <v>0.36333584238350747</v>
      </c>
      <c r="AA67">
        <f t="shared" si="17"/>
        <v>1.8501443874083341E-4</v>
      </c>
      <c r="AB67">
        <f t="shared" si="17"/>
        <v>5.1538052522922026E-2</v>
      </c>
      <c r="AC67">
        <f t="shared" si="17"/>
        <v>2.4886067118148426E-2</v>
      </c>
      <c r="AD67">
        <f t="shared" si="17"/>
        <v>5.865633795390434E-2</v>
      </c>
      <c r="AE67">
        <f t="shared" si="17"/>
        <v>0.19040621937132451</v>
      </c>
      <c r="AF67">
        <f t="shared" si="17"/>
        <v>5.4895491807372424E-2</v>
      </c>
    </row>
    <row r="68" spans="1:32" x14ac:dyDescent="0.2">
      <c r="A68">
        <v>2024.5</v>
      </c>
      <c r="B68">
        <f t="shared" ref="B68:AF68" si="18">B21/1000</f>
        <v>1.5141051931836711E-2</v>
      </c>
      <c r="C68">
        <f t="shared" si="18"/>
        <v>1.204469314568196E-2</v>
      </c>
      <c r="D68">
        <f t="shared" si="18"/>
        <v>0.62321793206750176</v>
      </c>
      <c r="E68">
        <f t="shared" si="18"/>
        <v>7.6514494007913643E-4</v>
      </c>
      <c r="F68">
        <f t="shared" si="18"/>
        <v>0.30087743816369211</v>
      </c>
      <c r="G68">
        <f t="shared" si="18"/>
        <v>3.1475509539047831E-3</v>
      </c>
      <c r="H68">
        <f t="shared" si="18"/>
        <v>7.7122053387442421E-2</v>
      </c>
      <c r="I68">
        <f t="shared" si="18"/>
        <v>0</v>
      </c>
      <c r="J68">
        <f t="shared" si="18"/>
        <v>3.7197740040152477E-3</v>
      </c>
      <c r="K68">
        <f t="shared" si="18"/>
        <v>3.7707000008843346E-5</v>
      </c>
      <c r="L68">
        <f t="shared" si="18"/>
        <v>2.2073356489149534E-3</v>
      </c>
      <c r="M68">
        <f t="shared" si="18"/>
        <v>2.6402888777378659E-4</v>
      </c>
      <c r="N68">
        <f t="shared" si="18"/>
        <v>5.2420495330840629E-4</v>
      </c>
      <c r="O68">
        <f t="shared" si="18"/>
        <v>2.5888947239909466E-3</v>
      </c>
      <c r="P68">
        <f t="shared" si="18"/>
        <v>7.5566786992492009E-4</v>
      </c>
      <c r="R68">
        <f t="shared" si="18"/>
        <v>7.7015039238062175E-3</v>
      </c>
      <c r="S68">
        <f t="shared" si="18"/>
        <v>0</v>
      </c>
      <c r="T68">
        <f t="shared" si="18"/>
        <v>0</v>
      </c>
      <c r="U68">
        <f t="shared" si="18"/>
        <v>5.2266943089912857E-4</v>
      </c>
      <c r="V68">
        <f t="shared" si="18"/>
        <v>0</v>
      </c>
      <c r="W68">
        <f t="shared" si="18"/>
        <v>0</v>
      </c>
      <c r="X68">
        <f t="shared" si="18"/>
        <v>6.6403269534020051E-4</v>
      </c>
      <c r="Z68">
        <f t="shared" si="18"/>
        <v>0.49719232814231973</v>
      </c>
      <c r="AA68">
        <f t="shared" si="18"/>
        <v>2.5317557148794812E-4</v>
      </c>
      <c r="AB68">
        <f t="shared" si="18"/>
        <v>7.0472734479119614E-2</v>
      </c>
      <c r="AC68">
        <f t="shared" si="18"/>
        <v>3.4054338178170031E-2</v>
      </c>
      <c r="AD68">
        <f t="shared" si="18"/>
        <v>8.0064888623236782E-2</v>
      </c>
      <c r="AE68">
        <f t="shared" si="18"/>
        <v>0.26797104257562082</v>
      </c>
      <c r="AF68">
        <f t="shared" si="18"/>
        <v>7.6842459728214033E-2</v>
      </c>
    </row>
    <row r="69" spans="1:32" x14ac:dyDescent="0.2">
      <c r="A69">
        <v>2024.75</v>
      </c>
      <c r="B69">
        <f t="shared" ref="B69:AF69" si="19">B22/1000</f>
        <v>1.8490292462229073E-2</v>
      </c>
      <c r="C69">
        <f t="shared" si="19"/>
        <v>1.4709010964633094E-2</v>
      </c>
      <c r="D69">
        <f t="shared" si="19"/>
        <v>0.76033730932970167</v>
      </c>
      <c r="E69">
        <f t="shared" si="19"/>
        <v>9.343970142728223E-4</v>
      </c>
      <c r="F69">
        <f t="shared" si="19"/>
        <v>0.36687096621586807</v>
      </c>
      <c r="G69">
        <f t="shared" si="19"/>
        <v>3.9178216929720965E-3</v>
      </c>
      <c r="H69">
        <f t="shared" si="19"/>
        <v>9.8562562272169682E-2</v>
      </c>
      <c r="I69">
        <f t="shared" si="19"/>
        <v>0</v>
      </c>
      <c r="J69">
        <f t="shared" si="19"/>
        <v>4.5425978021393218E-3</v>
      </c>
      <c r="K69">
        <f t="shared" si="19"/>
        <v>4.6047887635255664E-5</v>
      </c>
      <c r="L69">
        <f t="shared" si="19"/>
        <v>2.6929899826787155E-3</v>
      </c>
      <c r="M69">
        <f t="shared" si="19"/>
        <v>3.2243277253076271E-4</v>
      </c>
      <c r="N69">
        <f t="shared" si="19"/>
        <v>6.3918244880418692E-4</v>
      </c>
      <c r="O69">
        <f t="shared" si="19"/>
        <v>3.2224507431372214E-3</v>
      </c>
      <c r="P69">
        <f t="shared" si="19"/>
        <v>9.724303222017742E-4</v>
      </c>
      <c r="R69">
        <f t="shared" si="19"/>
        <v>9.4050968579504277E-3</v>
      </c>
      <c r="S69">
        <f t="shared" si="19"/>
        <v>0</v>
      </c>
      <c r="T69">
        <f t="shared" si="19"/>
        <v>0</v>
      </c>
      <c r="U69">
        <f t="shared" si="19"/>
        <v>6.3828528439763223E-4</v>
      </c>
      <c r="V69">
        <f t="shared" si="19"/>
        <v>0</v>
      </c>
      <c r="W69">
        <f t="shared" si="19"/>
        <v>0</v>
      </c>
      <c r="X69">
        <f t="shared" si="19"/>
        <v>8.4971131389609776E-4</v>
      </c>
      <c r="Z69">
        <f t="shared" si="19"/>
        <v>0.60717257946904468</v>
      </c>
      <c r="AA69">
        <f t="shared" si="19"/>
        <v>3.0917867412243085E-4</v>
      </c>
      <c r="AB69">
        <f t="shared" si="19"/>
        <v>8.5978028804788345E-2</v>
      </c>
      <c r="AC69">
        <f t="shared" si="19"/>
        <v>4.1587247395804494E-2</v>
      </c>
      <c r="AD69">
        <f t="shared" si="19"/>
        <v>9.7626074020186679E-2</v>
      </c>
      <c r="AE69">
        <f t="shared" si="19"/>
        <v>0.33354909231530616</v>
      </c>
      <c r="AF69">
        <f t="shared" si="19"/>
        <v>9.8910437918569918E-2</v>
      </c>
    </row>
    <row r="70" spans="1:32" x14ac:dyDescent="0.2">
      <c r="A70">
        <v>2025</v>
      </c>
      <c r="B70">
        <f t="shared" ref="B70:AF70" si="20">B23/1000</f>
        <v>2.3160529981162511E-2</v>
      </c>
      <c r="C70">
        <f t="shared" si="20"/>
        <v>1.8424180695655913E-2</v>
      </c>
      <c r="D70">
        <f t="shared" si="20"/>
        <v>0.95090714501065154</v>
      </c>
      <c r="E70">
        <f t="shared" si="20"/>
        <v>1.1704049629058988E-3</v>
      </c>
      <c r="F70">
        <f t="shared" si="20"/>
        <v>0.4587453078088416</v>
      </c>
      <c r="G70">
        <f t="shared" si="20"/>
        <v>5.0217453801819443E-3</v>
      </c>
      <c r="H70">
        <f t="shared" si="20"/>
        <v>0.12436508620191286</v>
      </c>
      <c r="I70">
        <f t="shared" si="20"/>
        <v>0</v>
      </c>
      <c r="J70">
        <f t="shared" si="20"/>
        <v>5.6899571926039387E-3</v>
      </c>
      <c r="K70">
        <f t="shared" si="20"/>
        <v>5.7678562106257332E-5</v>
      </c>
      <c r="L70">
        <f t="shared" si="20"/>
        <v>3.3679570692497478E-3</v>
      </c>
      <c r="M70">
        <f t="shared" si="20"/>
        <v>4.0387213508724683E-4</v>
      </c>
      <c r="N70">
        <f t="shared" si="20"/>
        <v>7.9925089806685086E-4</v>
      </c>
      <c r="O70">
        <f t="shared" si="20"/>
        <v>4.1304399230933731E-3</v>
      </c>
      <c r="P70">
        <f t="shared" si="20"/>
        <v>1.2359097157304281E-3</v>
      </c>
      <c r="R70">
        <f t="shared" si="20"/>
        <v>1.1780615595954636E-2</v>
      </c>
      <c r="S70">
        <f t="shared" si="20"/>
        <v>0</v>
      </c>
      <c r="T70">
        <f t="shared" si="20"/>
        <v>0</v>
      </c>
      <c r="U70">
        <f t="shared" si="20"/>
        <v>7.9950198170332528E-4</v>
      </c>
      <c r="V70">
        <f t="shared" si="20"/>
        <v>0</v>
      </c>
      <c r="W70">
        <f t="shared" si="20"/>
        <v>0</v>
      </c>
      <c r="X70">
        <f t="shared" si="20"/>
        <v>1.0737393974324678E-3</v>
      </c>
      <c r="Z70">
        <f t="shared" si="20"/>
        <v>0.76053089799734341</v>
      </c>
      <c r="AA70">
        <f t="shared" si="20"/>
        <v>3.8727034557058495E-4</v>
      </c>
      <c r="AB70">
        <f t="shared" si="20"/>
        <v>0.10752743670632224</v>
      </c>
      <c r="AC70">
        <f t="shared" si="20"/>
        <v>5.2091263137783679E-2</v>
      </c>
      <c r="AD70">
        <f t="shared" si="20"/>
        <v>0.12207426452549357</v>
      </c>
      <c r="AE70">
        <f t="shared" si="20"/>
        <v>0.42753314077639915</v>
      </c>
      <c r="AF70">
        <f t="shared" si="20"/>
        <v>0.12575087171715063</v>
      </c>
    </row>
    <row r="71" spans="1:32" x14ac:dyDescent="0.2">
      <c r="A71">
        <v>2025.25</v>
      </c>
      <c r="B71">
        <f t="shared" ref="B71:AF71" si="21">B24/1000</f>
        <v>2.819373118142986E-2</v>
      </c>
      <c r="C71">
        <f t="shared" si="21"/>
        <v>2.2428087707574092E-2</v>
      </c>
      <c r="D71">
        <f t="shared" si="21"/>
        <v>1.1542980692553071</v>
      </c>
      <c r="E71">
        <f t="shared" si="21"/>
        <v>1.4247550865381365E-3</v>
      </c>
      <c r="F71">
        <f t="shared" si="21"/>
        <v>0.55848388522940073</v>
      </c>
      <c r="G71">
        <f t="shared" si="21"/>
        <v>6.2375662893114159E-3</v>
      </c>
      <c r="H71">
        <f t="shared" si="21"/>
        <v>0.15571841793780686</v>
      </c>
      <c r="I71">
        <f t="shared" si="21"/>
        <v>0</v>
      </c>
      <c r="J71">
        <f t="shared" si="21"/>
        <v>6.9264875912855364E-3</v>
      </c>
      <c r="K71">
        <f t="shared" si="21"/>
        <v>7.0213154719596916E-5</v>
      </c>
      <c r="L71">
        <f t="shared" si="21"/>
        <v>4.0883343476467403E-3</v>
      </c>
      <c r="M71">
        <f t="shared" si="21"/>
        <v>4.9164083972090631E-4</v>
      </c>
      <c r="N71">
        <f t="shared" si="21"/>
        <v>9.7302084452374098E-4</v>
      </c>
      <c r="O71">
        <f t="shared" si="21"/>
        <v>5.1304657790873101E-3</v>
      </c>
      <c r="P71">
        <f t="shared" si="21"/>
        <v>1.558903807874901E-3</v>
      </c>
      <c r="R71">
        <f t="shared" si="21"/>
        <v>1.4340755998858789E-2</v>
      </c>
      <c r="S71">
        <f t="shared" si="21"/>
        <v>0</v>
      </c>
      <c r="T71">
        <f t="shared" si="21"/>
        <v>0</v>
      </c>
      <c r="U71">
        <f t="shared" si="21"/>
        <v>9.7324819291689612E-4</v>
      </c>
      <c r="V71">
        <f t="shared" si="21"/>
        <v>0</v>
      </c>
      <c r="W71">
        <f t="shared" si="21"/>
        <v>0</v>
      </c>
      <c r="X71">
        <f t="shared" si="21"/>
        <v>1.3470378724774138E-3</v>
      </c>
      <c r="Z71">
        <f t="shared" si="21"/>
        <v>0.92580798931408093</v>
      </c>
      <c r="AA71">
        <f t="shared" si="21"/>
        <v>4.7143118168872198E-4</v>
      </c>
      <c r="AB71">
        <f t="shared" si="21"/>
        <v>0.13052663788817118</v>
      </c>
      <c r="AC71">
        <f t="shared" si="21"/>
        <v>6.3411634837472003E-2</v>
      </c>
      <c r="AD71">
        <f t="shared" si="21"/>
        <v>0.14861516483810727</v>
      </c>
      <c r="AE71">
        <f t="shared" si="21"/>
        <v>0.53104371181274002</v>
      </c>
      <c r="AF71">
        <f t="shared" si="21"/>
        <v>0.15871322403611063</v>
      </c>
    </row>
    <row r="72" spans="1:32" x14ac:dyDescent="0.2">
      <c r="A72">
        <v>2025.5</v>
      </c>
      <c r="B72">
        <f t="shared" ref="B72:AF72" si="22">B25/1000</f>
        <v>3.4825908705864959E-2</v>
      </c>
      <c r="C72">
        <f t="shared" si="22"/>
        <v>2.7703978942154855E-2</v>
      </c>
      <c r="D72">
        <f t="shared" si="22"/>
        <v>1.4197603295619492</v>
      </c>
      <c r="E72">
        <f t="shared" si="22"/>
        <v>1.759908621270945E-3</v>
      </c>
      <c r="F72">
        <f t="shared" si="22"/>
        <v>0.6908332158741759</v>
      </c>
      <c r="G72">
        <f t="shared" si="22"/>
        <v>7.8729973705042415E-3</v>
      </c>
      <c r="H72">
        <f t="shared" si="22"/>
        <v>0.19381468734025756</v>
      </c>
      <c r="I72">
        <f t="shared" si="22"/>
        <v>0</v>
      </c>
      <c r="J72">
        <f t="shared" si="22"/>
        <v>8.5558460834477927E-3</v>
      </c>
      <c r="K72">
        <f t="shared" si="22"/>
        <v>8.6729808852899822E-5</v>
      </c>
      <c r="L72">
        <f t="shared" si="22"/>
        <v>5.0285581128270487E-3</v>
      </c>
      <c r="M72">
        <f t="shared" si="22"/>
        <v>6.0729241156532625E-4</v>
      </c>
      <c r="N72">
        <f t="shared" si="22"/>
        <v>1.2036070098223771E-3</v>
      </c>
      <c r="O72">
        <f t="shared" si="22"/>
        <v>6.4756255428389852E-3</v>
      </c>
      <c r="P72">
        <f t="shared" si="22"/>
        <v>1.9547272648050731E-3</v>
      </c>
      <c r="R72">
        <f t="shared" si="22"/>
        <v>1.7714216538969377E-2</v>
      </c>
      <c r="S72">
        <f t="shared" si="22"/>
        <v>0</v>
      </c>
      <c r="T72">
        <f t="shared" si="22"/>
        <v>0</v>
      </c>
      <c r="U72">
        <f t="shared" si="22"/>
        <v>1.2021911004456455E-3</v>
      </c>
      <c r="V72">
        <f t="shared" si="22"/>
        <v>0</v>
      </c>
      <c r="W72">
        <f t="shared" si="22"/>
        <v>0</v>
      </c>
      <c r="X72">
        <f t="shared" si="22"/>
        <v>1.6803907612789098E-3</v>
      </c>
      <c r="Z72">
        <f t="shared" si="22"/>
        <v>1.1435912581960501</v>
      </c>
      <c r="AA72">
        <f t="shared" si="22"/>
        <v>5.8232871658375589E-4</v>
      </c>
      <c r="AB72">
        <f t="shared" si="22"/>
        <v>0.16054479112512043</v>
      </c>
      <c r="AC72">
        <f t="shared" si="22"/>
        <v>7.8328327369242071E-2</v>
      </c>
      <c r="AD72">
        <f t="shared" si="22"/>
        <v>0.18383393857570082</v>
      </c>
      <c r="AE72">
        <f t="shared" si="22"/>
        <v>0.67027836704338384</v>
      </c>
      <c r="AF72">
        <f t="shared" si="22"/>
        <v>0.19917769923983031</v>
      </c>
    </row>
    <row r="73" spans="1:32" x14ac:dyDescent="0.2">
      <c r="A73">
        <v>2025.75</v>
      </c>
      <c r="B73">
        <f t="shared" ref="B73:AF73" si="23">B26/1000</f>
        <v>4.1416113824187396E-2</v>
      </c>
      <c r="C73">
        <f t="shared" si="23"/>
        <v>3.2946481165556679E-2</v>
      </c>
      <c r="D73">
        <f t="shared" si="23"/>
        <v>1.6810903887106581</v>
      </c>
      <c r="E73">
        <f t="shared" si="23"/>
        <v>2.092941102968295E-3</v>
      </c>
      <c r="F73">
        <f t="shared" si="23"/>
        <v>0.82323712875905442</v>
      </c>
      <c r="G73">
        <f t="shared" si="23"/>
        <v>9.5302476112719796E-3</v>
      </c>
      <c r="H73">
        <f t="shared" si="23"/>
        <v>0.2372203272223192</v>
      </c>
      <c r="I73">
        <f t="shared" si="23"/>
        <v>0</v>
      </c>
      <c r="J73">
        <f t="shared" si="23"/>
        <v>1.0174893015630815E-2</v>
      </c>
      <c r="K73">
        <f t="shared" si="23"/>
        <v>1.0314193567034738E-4</v>
      </c>
      <c r="L73">
        <f t="shared" si="23"/>
        <v>5.9541462995763338E-3</v>
      </c>
      <c r="M73">
        <f t="shared" si="23"/>
        <v>7.2221207074258092E-4</v>
      </c>
      <c r="N73">
        <f t="shared" si="23"/>
        <v>1.4342882712531767E-3</v>
      </c>
      <c r="O73">
        <f t="shared" si="23"/>
        <v>7.8387318014791155E-3</v>
      </c>
      <c r="P73">
        <f t="shared" si="23"/>
        <v>2.4094647375803194E-3</v>
      </c>
      <c r="R73">
        <f t="shared" si="23"/>
        <v>2.1066327792925773E-2</v>
      </c>
      <c r="S73">
        <f t="shared" si="23"/>
        <v>0</v>
      </c>
      <c r="T73">
        <f t="shared" si="23"/>
        <v>0</v>
      </c>
      <c r="U73">
        <f t="shared" si="23"/>
        <v>1.429685119633272E-3</v>
      </c>
      <c r="V73">
        <f t="shared" si="23"/>
        <v>0</v>
      </c>
      <c r="W73">
        <f t="shared" si="23"/>
        <v>0</v>
      </c>
      <c r="X73">
        <f t="shared" si="23"/>
        <v>2.0616259550203489E-3</v>
      </c>
      <c r="Z73">
        <f t="shared" si="23"/>
        <v>1.3599962636385412</v>
      </c>
      <c r="AA73">
        <f t="shared" si="23"/>
        <v>6.9252442521518947E-4</v>
      </c>
      <c r="AB73">
        <f t="shared" si="23"/>
        <v>0.19009568002317104</v>
      </c>
      <c r="AC73">
        <f t="shared" si="23"/>
        <v>9.3150618103941041E-2</v>
      </c>
      <c r="AD73">
        <f t="shared" si="23"/>
        <v>0.21906723690178243</v>
      </c>
      <c r="AE73">
        <f t="shared" si="23"/>
        <v>0.81137062617783706</v>
      </c>
      <c r="AF73">
        <f t="shared" si="23"/>
        <v>0.24574186699977593</v>
      </c>
    </row>
    <row r="74" spans="1:32" x14ac:dyDescent="0.2">
      <c r="A74">
        <v>2026</v>
      </c>
      <c r="B74">
        <f t="shared" ref="B74:AF74" si="24">B27/1000</f>
        <v>5.0226986509766001E-2</v>
      </c>
      <c r="C74">
        <f t="shared" si="24"/>
        <v>3.9955522434368396E-2</v>
      </c>
      <c r="D74">
        <f t="shared" si="24"/>
        <v>2.0272965913920147</v>
      </c>
      <c r="E74">
        <f t="shared" si="24"/>
        <v>2.5381938293575729E-3</v>
      </c>
      <c r="F74">
        <f t="shared" si="24"/>
        <v>1.0014145255712334</v>
      </c>
      <c r="G74">
        <f t="shared" si="24"/>
        <v>1.1787687896647201E-2</v>
      </c>
      <c r="H74">
        <f t="shared" si="24"/>
        <v>0.28848800238350308</v>
      </c>
      <c r="I74">
        <f t="shared" si="24"/>
        <v>0</v>
      </c>
      <c r="J74">
        <f t="shared" si="24"/>
        <v>1.2339501876101682E-2</v>
      </c>
      <c r="K74">
        <f t="shared" si="24"/>
        <v>1.2508437255839838E-4</v>
      </c>
      <c r="L74">
        <f t="shared" si="24"/>
        <v>7.1803518590326425E-3</v>
      </c>
      <c r="M74">
        <f t="shared" si="24"/>
        <v>8.7585561717268387E-4</v>
      </c>
      <c r="N74">
        <f t="shared" si="24"/>
        <v>1.744718573194683E-3</v>
      </c>
      <c r="O74">
        <f t="shared" si="24"/>
        <v>9.695500867372156E-3</v>
      </c>
      <c r="P74">
        <f t="shared" si="24"/>
        <v>2.9508995693624204E-3</v>
      </c>
      <c r="R74">
        <f t="shared" si="24"/>
        <v>2.5547982757562638E-2</v>
      </c>
      <c r="S74">
        <f t="shared" si="24"/>
        <v>0</v>
      </c>
      <c r="T74">
        <f t="shared" si="24"/>
        <v>0</v>
      </c>
      <c r="U74">
        <f t="shared" si="24"/>
        <v>1.7338366299132718E-3</v>
      </c>
      <c r="V74">
        <f t="shared" si="24"/>
        <v>0</v>
      </c>
      <c r="W74">
        <f t="shared" si="24"/>
        <v>0</v>
      </c>
      <c r="X74">
        <f t="shared" si="24"/>
        <v>2.5135588465971664E-3</v>
      </c>
      <c r="Z74">
        <f t="shared" si="24"/>
        <v>1.649322152171901</v>
      </c>
      <c r="AA74">
        <f t="shared" si="24"/>
        <v>8.3985221574924625E-4</v>
      </c>
      <c r="AB74">
        <f t="shared" si="24"/>
        <v>0.22924426118746419</v>
      </c>
      <c r="AC74">
        <f t="shared" si="24"/>
        <v>0.11296750001084412</v>
      </c>
      <c r="AD74">
        <f t="shared" si="24"/>
        <v>0.26648107264171628</v>
      </c>
      <c r="AE74">
        <f t="shared" si="24"/>
        <v>1.0035608832009184</v>
      </c>
      <c r="AF74">
        <f t="shared" si="24"/>
        <v>0.30127187469756445</v>
      </c>
    </row>
    <row r="75" spans="1:32" x14ac:dyDescent="0.2">
      <c r="A75">
        <v>2026.25</v>
      </c>
      <c r="B75">
        <f t="shared" ref="B75:AF75" si="25">B28/1000</f>
        <v>5.9013916965742527E-2</v>
      </c>
      <c r="C75">
        <f t="shared" si="25"/>
        <v>4.6945517681141573E-2</v>
      </c>
      <c r="D75">
        <f t="shared" si="25"/>
        <v>2.3714052931766081</v>
      </c>
      <c r="E75">
        <f t="shared" si="25"/>
        <v>2.9822366480127837E-3</v>
      </c>
      <c r="F75">
        <f t="shared" si="25"/>
        <v>1.1792879843866038</v>
      </c>
      <c r="G75">
        <f t="shared" si="25"/>
        <v>1.4019739313964117E-2</v>
      </c>
      <c r="H75">
        <f t="shared" si="25"/>
        <v>0.34767938355323352</v>
      </c>
      <c r="I75">
        <f t="shared" si="25"/>
        <v>0</v>
      </c>
      <c r="J75">
        <f t="shared" si="25"/>
        <v>1.449822873552844E-2</v>
      </c>
      <c r="K75">
        <f t="shared" si="25"/>
        <v>1.4696718415384215E-4</v>
      </c>
      <c r="L75">
        <f t="shared" si="25"/>
        <v>8.3991284145004137E-3</v>
      </c>
      <c r="M75">
        <f t="shared" si="25"/>
        <v>1.0290816602297637E-3</v>
      </c>
      <c r="N75">
        <f t="shared" si="25"/>
        <v>2.0546193379120015E-3</v>
      </c>
      <c r="O75">
        <f t="shared" si="25"/>
        <v>1.1531387314515938E-2</v>
      </c>
      <c r="P75">
        <f t="shared" si="25"/>
        <v>3.5750190714000556E-3</v>
      </c>
      <c r="R75">
        <f t="shared" si="25"/>
        <v>3.0017459494685646E-2</v>
      </c>
      <c r="S75">
        <f t="shared" si="25"/>
        <v>0</v>
      </c>
      <c r="T75">
        <f t="shared" si="25"/>
        <v>0</v>
      </c>
      <c r="U75">
        <f t="shared" si="25"/>
        <v>2.0371616539242255E-3</v>
      </c>
      <c r="V75">
        <f t="shared" si="25"/>
        <v>0</v>
      </c>
      <c r="W75">
        <f t="shared" si="25"/>
        <v>0</v>
      </c>
      <c r="X75">
        <f t="shared" si="25"/>
        <v>3.0363018849190733E-3</v>
      </c>
      <c r="Z75">
        <f t="shared" si="25"/>
        <v>1.9378618408473931</v>
      </c>
      <c r="AA75">
        <f t="shared" si="25"/>
        <v>9.8677966503294009E-4</v>
      </c>
      <c r="AB75">
        <f t="shared" si="25"/>
        <v>0.26815565947212333</v>
      </c>
      <c r="AC75">
        <f t="shared" si="25"/>
        <v>0.13273053250310421</v>
      </c>
      <c r="AD75">
        <f t="shared" si="25"/>
        <v>0.31381402906410671</v>
      </c>
      <c r="AE75">
        <f t="shared" si="25"/>
        <v>1.1935896243206721</v>
      </c>
      <c r="AF75">
        <f t="shared" si="25"/>
        <v>0.36531386917040326</v>
      </c>
    </row>
    <row r="76" spans="1:32" x14ac:dyDescent="0.2">
      <c r="A76">
        <v>2026.5</v>
      </c>
      <c r="B76">
        <f t="shared" ref="B76:AF76" si="26">B29/1000</f>
        <v>7.0539343822742198E-2</v>
      </c>
      <c r="C76">
        <f t="shared" si="26"/>
        <v>5.611398434320148E-2</v>
      </c>
      <c r="D76">
        <f t="shared" si="26"/>
        <v>2.8212848176498375</v>
      </c>
      <c r="E76">
        <f t="shared" si="26"/>
        <v>3.5646679137918006E-3</v>
      </c>
      <c r="F76">
        <f t="shared" si="26"/>
        <v>1.4128261555237469</v>
      </c>
      <c r="G76">
        <f t="shared" si="26"/>
        <v>1.6922909898252368E-2</v>
      </c>
      <c r="H76">
        <f t="shared" si="26"/>
        <v>0.41243308736632289</v>
      </c>
      <c r="I76">
        <f t="shared" si="26"/>
        <v>0</v>
      </c>
      <c r="J76">
        <f t="shared" si="26"/>
        <v>1.7329734987594103E-2</v>
      </c>
      <c r="K76">
        <f t="shared" si="26"/>
        <v>1.7566989731771486E-4</v>
      </c>
      <c r="L76">
        <f t="shared" si="26"/>
        <v>9.9925278675493806E-3</v>
      </c>
      <c r="M76">
        <f t="shared" si="26"/>
        <v>1.2300614632098467E-3</v>
      </c>
      <c r="N76">
        <f t="shared" si="26"/>
        <v>2.4615021764652642E-3</v>
      </c>
      <c r="O76">
        <f t="shared" si="26"/>
        <v>1.3919276539688091E-2</v>
      </c>
      <c r="P76">
        <f t="shared" si="26"/>
        <v>4.2567256632862023E-3</v>
      </c>
      <c r="R76">
        <f t="shared" si="26"/>
        <v>3.5879873847553985E-2</v>
      </c>
      <c r="S76">
        <f t="shared" si="26"/>
        <v>0</v>
      </c>
      <c r="T76">
        <f t="shared" si="26"/>
        <v>0</v>
      </c>
      <c r="U76">
        <f t="shared" si="26"/>
        <v>2.4350196312521452E-3</v>
      </c>
      <c r="V76">
        <f t="shared" si="26"/>
        <v>0</v>
      </c>
      <c r="W76">
        <f t="shared" si="26"/>
        <v>0</v>
      </c>
      <c r="X76">
        <f t="shared" si="26"/>
        <v>3.6091925428054649E-3</v>
      </c>
      <c r="Z76">
        <f t="shared" si="26"/>
        <v>2.3163265497502539</v>
      </c>
      <c r="AA76">
        <f t="shared" si="26"/>
        <v>1.179497881990371E-3</v>
      </c>
      <c r="AB76">
        <f t="shared" si="26"/>
        <v>0.31902749522084262</v>
      </c>
      <c r="AC76">
        <f t="shared" si="26"/>
        <v>0.15865282545890269</v>
      </c>
      <c r="AD76">
        <f t="shared" si="26"/>
        <v>0.37595962487710022</v>
      </c>
      <c r="AE76">
        <f t="shared" si="26"/>
        <v>1.4407550108830307</v>
      </c>
      <c r="AF76">
        <f t="shared" si="26"/>
        <v>0.43529889386698073</v>
      </c>
    </row>
    <row r="77" spans="1:32" x14ac:dyDescent="0.2">
      <c r="A77">
        <v>2026.75</v>
      </c>
      <c r="B77">
        <f t="shared" ref="B77:AF77" si="27">B30/1000</f>
        <v>8.3375601080870484E-2</v>
      </c>
      <c r="C77">
        <f t="shared" si="27"/>
        <v>6.6325215406222673E-2</v>
      </c>
      <c r="D77">
        <f t="shared" si="27"/>
        <v>3.3207383273492117</v>
      </c>
      <c r="E77">
        <f t="shared" si="27"/>
        <v>4.2133412909670896E-3</v>
      </c>
      <c r="F77">
        <f t="shared" si="27"/>
        <v>1.6731736378716531</v>
      </c>
      <c r="G77">
        <f t="shared" si="27"/>
        <v>2.0129760651894087E-2</v>
      </c>
      <c r="H77">
        <f t="shared" si="27"/>
        <v>0.49675654208278258</v>
      </c>
      <c r="I77">
        <f t="shared" si="27"/>
        <v>0</v>
      </c>
      <c r="J77">
        <f t="shared" si="27"/>
        <v>2.0483279158276139E-2</v>
      </c>
      <c r="K77">
        <f t="shared" si="27"/>
        <v>2.0763707864202092E-4</v>
      </c>
      <c r="L77">
        <f t="shared" si="27"/>
        <v>1.1761510241464306E-2</v>
      </c>
      <c r="M77">
        <f t="shared" si="27"/>
        <v>1.4538994595590662E-3</v>
      </c>
      <c r="N77">
        <f t="shared" si="27"/>
        <v>2.915093647667222E-3</v>
      </c>
      <c r="O77">
        <f t="shared" si="27"/>
        <v>1.655694599073539E-2</v>
      </c>
      <c r="P77">
        <f t="shared" si="27"/>
        <v>5.143108110681506E-3</v>
      </c>
      <c r="R77">
        <f t="shared" si="27"/>
        <v>4.24090427643182E-2</v>
      </c>
      <c r="S77">
        <f t="shared" si="27"/>
        <v>0</v>
      </c>
      <c r="T77">
        <f t="shared" si="27"/>
        <v>0</v>
      </c>
      <c r="U77">
        <f t="shared" si="27"/>
        <v>2.8781275015761099E-3</v>
      </c>
      <c r="V77">
        <f t="shared" si="27"/>
        <v>0</v>
      </c>
      <c r="W77">
        <f t="shared" si="27"/>
        <v>0</v>
      </c>
      <c r="X77">
        <f t="shared" si="27"/>
        <v>4.356521223687012E-3</v>
      </c>
      <c r="Z77">
        <f t="shared" si="27"/>
        <v>2.7378354818597259</v>
      </c>
      <c r="AA77">
        <f t="shared" si="27"/>
        <v>1.3941346708821402E-3</v>
      </c>
      <c r="AB77">
        <f t="shared" si="27"/>
        <v>0.37550509761739254</v>
      </c>
      <c r="AC77">
        <f t="shared" si="27"/>
        <v>0.1875233588655775</v>
      </c>
      <c r="AD77">
        <f t="shared" si="27"/>
        <v>0.4452393033559654</v>
      </c>
      <c r="AE77">
        <f t="shared" si="27"/>
        <v>1.7137746227726189</v>
      </c>
      <c r="AF77">
        <f t="shared" si="27"/>
        <v>0.5263393566466914</v>
      </c>
    </row>
    <row r="78" spans="1:32" x14ac:dyDescent="0.2">
      <c r="A78">
        <v>2027</v>
      </c>
      <c r="B78">
        <f t="shared" ref="B78:AF78" si="28">B31/1000</f>
        <v>0.10014393337854191</v>
      </c>
      <c r="C78">
        <f t="shared" si="28"/>
        <v>7.966440861416646E-2</v>
      </c>
      <c r="D78">
        <f t="shared" si="28"/>
        <v>3.9711663896924976</v>
      </c>
      <c r="E78">
        <f t="shared" si="28"/>
        <v>5.0607199717145682E-3</v>
      </c>
      <c r="F78">
        <f t="shared" si="28"/>
        <v>2.0135871106322658</v>
      </c>
      <c r="G78">
        <f t="shared" si="28"/>
        <v>2.4285313360374733E-2</v>
      </c>
      <c r="H78">
        <f t="shared" si="28"/>
        <v>0.59522063196277053</v>
      </c>
      <c r="I78">
        <f t="shared" si="28"/>
        <v>0</v>
      </c>
      <c r="J78">
        <f t="shared" si="28"/>
        <v>2.460283484386324E-2</v>
      </c>
      <c r="K78">
        <f t="shared" si="28"/>
        <v>2.4939662804077161E-4</v>
      </c>
      <c r="L78">
        <f t="shared" si="28"/>
        <v>1.4065219706790647E-2</v>
      </c>
      <c r="M78">
        <f t="shared" si="28"/>
        <v>1.7463047789719286E-3</v>
      </c>
      <c r="N78">
        <f t="shared" si="28"/>
        <v>3.5081804197532895E-3</v>
      </c>
      <c r="O78">
        <f t="shared" si="28"/>
        <v>1.9974933066974881E-2</v>
      </c>
      <c r="P78">
        <f t="shared" si="28"/>
        <v>6.1765979240508955E-3</v>
      </c>
      <c r="R78">
        <f t="shared" si="28"/>
        <v>5.093826369081543E-2</v>
      </c>
      <c r="S78">
        <f t="shared" si="28"/>
        <v>0</v>
      </c>
      <c r="T78">
        <f t="shared" si="28"/>
        <v>0</v>
      </c>
      <c r="U78">
        <f t="shared" si="28"/>
        <v>3.4569706849036132E-3</v>
      </c>
      <c r="V78">
        <f t="shared" si="28"/>
        <v>0</v>
      </c>
      <c r="W78">
        <f t="shared" si="28"/>
        <v>0</v>
      </c>
      <c r="X78">
        <f t="shared" si="28"/>
        <v>5.2306530058138841E-3</v>
      </c>
      <c r="Z78">
        <f t="shared" si="28"/>
        <v>3.2884634178628467</v>
      </c>
      <c r="AA78">
        <f t="shared" si="28"/>
        <v>1.6745202168451808E-3</v>
      </c>
      <c r="AB78">
        <f t="shared" si="28"/>
        <v>0.44905472091405008</v>
      </c>
      <c r="AC78">
        <f t="shared" si="28"/>
        <v>0.22523767761433855</v>
      </c>
      <c r="AD78">
        <f t="shared" si="28"/>
        <v>0.53582491505477126</v>
      </c>
      <c r="AE78">
        <f t="shared" si="28"/>
        <v>2.0675632692719028</v>
      </c>
      <c r="AF78">
        <f t="shared" si="28"/>
        <v>0.63253837670601132</v>
      </c>
    </row>
    <row r="79" spans="1:32" x14ac:dyDescent="0.2">
      <c r="A79">
        <v>2027.25</v>
      </c>
      <c r="B79">
        <f t="shared" ref="B79:AF79" si="29">B32/1000</f>
        <v>0.11966857063118143</v>
      </c>
      <c r="C79">
        <f t="shared" si="29"/>
        <v>9.5196239925986428E-2</v>
      </c>
      <c r="D79">
        <f t="shared" si="29"/>
        <v>4.7262222225564576</v>
      </c>
      <c r="E79">
        <f t="shared" si="29"/>
        <v>6.0473870453097321E-3</v>
      </c>
      <c r="F79">
        <f t="shared" si="29"/>
        <v>2.4103125575882709</v>
      </c>
      <c r="G79">
        <f t="shared" si="29"/>
        <v>2.9085873345946308E-2</v>
      </c>
      <c r="H79">
        <f t="shared" si="29"/>
        <v>0.71287175180653928</v>
      </c>
      <c r="I79">
        <f t="shared" si="29"/>
        <v>0</v>
      </c>
      <c r="J79">
        <f t="shared" si="29"/>
        <v>2.9399545033958065E-2</v>
      </c>
      <c r="K79">
        <f t="shared" si="29"/>
        <v>2.9802042910639763E-4</v>
      </c>
      <c r="L79">
        <f t="shared" si="29"/>
        <v>1.6739503566487533E-2</v>
      </c>
      <c r="M79">
        <f t="shared" si="29"/>
        <v>2.0867744029589926E-3</v>
      </c>
      <c r="N79">
        <f t="shared" si="29"/>
        <v>4.1993769603349933E-3</v>
      </c>
      <c r="O79">
        <f t="shared" si="29"/>
        <v>2.3923445609219898E-2</v>
      </c>
      <c r="P79">
        <f t="shared" si="29"/>
        <v>7.4096888730999077E-3</v>
      </c>
      <c r="R79">
        <f t="shared" si="29"/>
        <v>6.0869480563265285E-2</v>
      </c>
      <c r="S79">
        <f t="shared" si="29"/>
        <v>0</v>
      </c>
      <c r="T79">
        <f t="shared" si="29"/>
        <v>0</v>
      </c>
      <c r="U79">
        <f t="shared" si="29"/>
        <v>4.1309615732045358E-3</v>
      </c>
      <c r="V79">
        <f t="shared" si="29"/>
        <v>0</v>
      </c>
      <c r="W79">
        <f t="shared" si="29"/>
        <v>0</v>
      </c>
      <c r="X79">
        <f t="shared" si="29"/>
        <v>6.2768448891962298E-3</v>
      </c>
      <c r="Z79">
        <f t="shared" si="29"/>
        <v>3.9296011601727048</v>
      </c>
      <c r="AA79">
        <f t="shared" si="29"/>
        <v>2.0009943097143842E-3</v>
      </c>
      <c r="AB79">
        <f t="shared" si="29"/>
        <v>0.53443552670987715</v>
      </c>
      <c r="AC79">
        <f t="shared" si="29"/>
        <v>0.26915131074899656</v>
      </c>
      <c r="AD79">
        <f t="shared" si="29"/>
        <v>0.641395405545505</v>
      </c>
      <c r="AE79">
        <f t="shared" si="29"/>
        <v>2.4762654898617011</v>
      </c>
      <c r="AF79">
        <f t="shared" si="29"/>
        <v>0.75930528365990313</v>
      </c>
    </row>
    <row r="80" spans="1:32" x14ac:dyDescent="0.2">
      <c r="A80">
        <v>2027.5</v>
      </c>
      <c r="B80">
        <f t="shared" ref="B80:AF80" si="30">B33/1000</f>
        <v>0.14392038305545882</v>
      </c>
      <c r="C80">
        <f t="shared" si="30"/>
        <v>0.11448853482016451</v>
      </c>
      <c r="D80">
        <f t="shared" si="30"/>
        <v>5.6613256897980202</v>
      </c>
      <c r="E80">
        <f t="shared" si="30"/>
        <v>7.2729393812849246E-3</v>
      </c>
      <c r="F80">
        <f t="shared" si="30"/>
        <v>2.903520793694752</v>
      </c>
      <c r="G80">
        <f t="shared" si="30"/>
        <v>3.5002746790763956E-2</v>
      </c>
      <c r="H80">
        <f t="shared" si="30"/>
        <v>0.85888055302885524</v>
      </c>
      <c r="I80">
        <f t="shared" si="30"/>
        <v>0</v>
      </c>
      <c r="J80">
        <f t="shared" si="30"/>
        <v>3.5357602757569467E-2</v>
      </c>
      <c r="K80">
        <f t="shared" si="30"/>
        <v>3.5841670113647214E-4</v>
      </c>
      <c r="L80">
        <f t="shared" si="30"/>
        <v>2.0051486602371538E-2</v>
      </c>
      <c r="M80">
        <f t="shared" si="30"/>
        <v>2.5096762653729673E-3</v>
      </c>
      <c r="N80">
        <f t="shared" si="30"/>
        <v>5.0586710368780794E-3</v>
      </c>
      <c r="O80">
        <f t="shared" si="30"/>
        <v>2.8790138053009302E-2</v>
      </c>
      <c r="P80">
        <f t="shared" si="30"/>
        <v>8.9378298078024512E-3</v>
      </c>
      <c r="R80">
        <f t="shared" si="30"/>
        <v>7.3205177540319882E-2</v>
      </c>
      <c r="S80">
        <f t="shared" si="30"/>
        <v>0</v>
      </c>
      <c r="T80">
        <f t="shared" si="30"/>
        <v>0</v>
      </c>
      <c r="U80">
        <f t="shared" si="30"/>
        <v>4.9681346477791384E-3</v>
      </c>
      <c r="V80">
        <f t="shared" si="30"/>
        <v>0</v>
      </c>
      <c r="W80">
        <f t="shared" si="30"/>
        <v>0</v>
      </c>
      <c r="X80">
        <f t="shared" si="30"/>
        <v>7.5772892829068187E-3</v>
      </c>
      <c r="Z80">
        <f t="shared" si="30"/>
        <v>4.7259669037934398</v>
      </c>
      <c r="AA80">
        <f t="shared" si="30"/>
        <v>2.4065121362020266E-3</v>
      </c>
      <c r="AB80">
        <f t="shared" si="30"/>
        <v>0.64017590253443091</v>
      </c>
      <c r="AC80">
        <f t="shared" si="30"/>
        <v>0.32369702035014591</v>
      </c>
      <c r="AD80">
        <f t="shared" si="30"/>
        <v>0.7726404159156236</v>
      </c>
      <c r="AE80">
        <f t="shared" si="30"/>
        <v>2.9800065790500398</v>
      </c>
      <c r="AF80">
        <f t="shared" si="30"/>
        <v>0.91647406816478905</v>
      </c>
    </row>
    <row r="81" spans="1:32" x14ac:dyDescent="0.2">
      <c r="A81">
        <v>2027.75</v>
      </c>
      <c r="B81">
        <f t="shared" ref="B81:AF81" si="31">B34/1000</f>
        <v>0.15487744535494255</v>
      </c>
      <c r="C81">
        <f t="shared" si="31"/>
        <v>0.12320486798971811</v>
      </c>
      <c r="D81">
        <f t="shared" si="31"/>
        <v>6.0825956006433337</v>
      </c>
      <c r="E81">
        <f t="shared" si="31"/>
        <v>7.8266486489318825E-3</v>
      </c>
      <c r="F81">
        <f t="shared" si="31"/>
        <v>3.12654324234326</v>
      </c>
      <c r="G81">
        <f t="shared" si="31"/>
        <v>3.7655814569024032E-2</v>
      </c>
      <c r="H81">
        <f t="shared" si="31"/>
        <v>0.96988949138521274</v>
      </c>
      <c r="I81">
        <f t="shared" si="31"/>
        <v>0</v>
      </c>
      <c r="J81">
        <f t="shared" si="31"/>
        <v>3.8049476194466858E-2</v>
      </c>
      <c r="K81">
        <f t="shared" si="31"/>
        <v>3.8570396955636265E-4</v>
      </c>
      <c r="L81">
        <f t="shared" si="31"/>
        <v>2.1543555498623017E-2</v>
      </c>
      <c r="M81">
        <f t="shared" si="31"/>
        <v>2.7007449563215655E-3</v>
      </c>
      <c r="N81">
        <f t="shared" si="31"/>
        <v>5.4472328147037495E-3</v>
      </c>
      <c r="O81">
        <f t="shared" si="31"/>
        <v>3.0972315013482955E-2</v>
      </c>
      <c r="P81">
        <f t="shared" si="31"/>
        <v>1.0098053589168134E-2</v>
      </c>
      <c r="R81">
        <f t="shared" si="31"/>
        <v>7.8778492966008834E-2</v>
      </c>
      <c r="S81">
        <f t="shared" si="31"/>
        <v>0</v>
      </c>
      <c r="T81">
        <f t="shared" si="31"/>
        <v>0</v>
      </c>
      <c r="U81">
        <f t="shared" si="31"/>
        <v>5.3463726686365674E-3</v>
      </c>
      <c r="V81">
        <f t="shared" si="31"/>
        <v>0</v>
      </c>
      <c r="W81">
        <f t="shared" si="31"/>
        <v>0</v>
      </c>
      <c r="X81">
        <f t="shared" si="31"/>
        <v>8.5675513185500297E-3</v>
      </c>
      <c r="Z81">
        <f t="shared" si="31"/>
        <v>5.0857680152885978</v>
      </c>
      <c r="AA81">
        <f t="shared" si="31"/>
        <v>2.5897266527355775E-3</v>
      </c>
      <c r="AB81">
        <f t="shared" si="31"/>
        <v>0.68781259757071656</v>
      </c>
      <c r="AC81">
        <f t="shared" si="31"/>
        <v>0.3483409821214753</v>
      </c>
      <c r="AD81">
        <f t="shared" si="31"/>
        <v>0.83198772896277084</v>
      </c>
      <c r="AE81">
        <f t="shared" si="31"/>
        <v>3.205879122171909</v>
      </c>
      <c r="AF81">
        <f t="shared" si="31"/>
        <v>1.0358543280550889</v>
      </c>
    </row>
    <row r="82" spans="1:32" x14ac:dyDescent="0.2">
      <c r="A82">
        <v>2028</v>
      </c>
      <c r="B82">
        <f t="shared" ref="B82:AF82" si="32">B35/1000</f>
        <v>0.16925818054670325</v>
      </c>
      <c r="C82">
        <f t="shared" si="32"/>
        <v>0.13464472985492046</v>
      </c>
      <c r="D82">
        <f t="shared" si="32"/>
        <v>6.6339471007278252</v>
      </c>
      <c r="E82">
        <f t="shared" si="32"/>
        <v>8.5533713902664656E-3</v>
      </c>
      <c r="F82">
        <f t="shared" si="32"/>
        <v>3.4194933136575472</v>
      </c>
      <c r="G82">
        <f t="shared" si="32"/>
        <v>4.1112074086531565E-2</v>
      </c>
      <c r="H82">
        <f t="shared" si="32"/>
        <v>1.0861349417940425</v>
      </c>
      <c r="I82">
        <f t="shared" si="32"/>
        <v>0</v>
      </c>
      <c r="J82">
        <f t="shared" si="32"/>
        <v>4.1582459580677952E-2</v>
      </c>
      <c r="K82">
        <f t="shared" si="32"/>
        <v>4.2151749060127163E-4</v>
      </c>
      <c r="L82">
        <f t="shared" si="32"/>
        <v>2.3496352038321136E-2</v>
      </c>
      <c r="M82">
        <f t="shared" si="32"/>
        <v>2.9515154797398369E-3</v>
      </c>
      <c r="N82">
        <f t="shared" si="32"/>
        <v>5.9576262805356838E-3</v>
      </c>
      <c r="O82">
        <f t="shared" si="32"/>
        <v>3.3815125872038936E-2</v>
      </c>
      <c r="P82">
        <f t="shared" si="32"/>
        <v>1.1311366579253957E-2</v>
      </c>
      <c r="R82">
        <f t="shared" si="32"/>
        <v>8.6093261385347314E-2</v>
      </c>
      <c r="S82">
        <f t="shared" si="32"/>
        <v>0</v>
      </c>
      <c r="T82">
        <f t="shared" si="32"/>
        <v>0</v>
      </c>
      <c r="U82">
        <f t="shared" si="32"/>
        <v>5.842795949689064E-3</v>
      </c>
      <c r="V82">
        <f t="shared" si="32"/>
        <v>0</v>
      </c>
      <c r="W82">
        <f t="shared" si="32"/>
        <v>0</v>
      </c>
      <c r="X82">
        <f t="shared" si="32"/>
        <v>9.6061080475130529E-3</v>
      </c>
      <c r="Z82">
        <f t="shared" si="32"/>
        <v>5.5579935411356871</v>
      </c>
      <c r="AA82">
        <f t="shared" si="32"/>
        <v>2.8301888654656804E-3</v>
      </c>
      <c r="AB82">
        <f t="shared" si="32"/>
        <v>0.75015876232438117</v>
      </c>
      <c r="AC82">
        <f t="shared" si="32"/>
        <v>0.38068526187664825</v>
      </c>
      <c r="AD82">
        <f t="shared" si="32"/>
        <v>0.90994310831955394</v>
      </c>
      <c r="AE82">
        <f t="shared" si="32"/>
        <v>3.5001324892760732</v>
      </c>
      <c r="AF82">
        <f t="shared" si="32"/>
        <v>1.1607499989148784</v>
      </c>
    </row>
    <row r="83" spans="1:32" x14ac:dyDescent="0.2">
      <c r="A83">
        <v>2028.25</v>
      </c>
      <c r="B83">
        <f t="shared" ref="B83:AF83" si="33">B36/1000</f>
        <v>0.19334948135279725</v>
      </c>
      <c r="C83">
        <f t="shared" si="33"/>
        <v>0.15380933790170911</v>
      </c>
      <c r="D83">
        <f t="shared" si="33"/>
        <v>7.5651569846516216</v>
      </c>
      <c r="E83">
        <f t="shared" si="33"/>
        <v>9.7708123576901312E-3</v>
      </c>
      <c r="F83">
        <f t="shared" si="33"/>
        <v>3.9099715994606234</v>
      </c>
      <c r="G83">
        <f t="shared" si="33"/>
        <v>4.7078575810225821E-2</v>
      </c>
      <c r="H83">
        <f t="shared" si="33"/>
        <v>1.2401279530511988</v>
      </c>
      <c r="I83">
        <f t="shared" si="33"/>
        <v>0</v>
      </c>
      <c r="J83">
        <f t="shared" si="33"/>
        <v>4.7501083654147423E-2</v>
      </c>
      <c r="K83">
        <f t="shared" si="33"/>
        <v>4.8151402742037749E-4</v>
      </c>
      <c r="L83">
        <f t="shared" si="33"/>
        <v>2.6794544641008181E-2</v>
      </c>
      <c r="M83">
        <f t="shared" si="33"/>
        <v>3.3716183487803976E-3</v>
      </c>
      <c r="N83">
        <f t="shared" si="33"/>
        <v>6.8121640899420095E-3</v>
      </c>
      <c r="O83">
        <f t="shared" si="33"/>
        <v>3.8722638112306938E-2</v>
      </c>
      <c r="P83">
        <f t="shared" si="33"/>
        <v>1.2928462858344068E-2</v>
      </c>
      <c r="R83">
        <f t="shared" si="33"/>
        <v>9.8347314044502407E-2</v>
      </c>
      <c r="S83">
        <f t="shared" si="33"/>
        <v>0</v>
      </c>
      <c r="T83">
        <f t="shared" si="33"/>
        <v>0</v>
      </c>
      <c r="U83">
        <f t="shared" si="33"/>
        <v>6.6744281598305824E-3</v>
      </c>
      <c r="V83">
        <f t="shared" si="33"/>
        <v>0</v>
      </c>
      <c r="W83">
        <f t="shared" si="33"/>
        <v>0</v>
      </c>
      <c r="X83">
        <f t="shared" si="33"/>
        <v>1.0974945531936163E-2</v>
      </c>
      <c r="Z83">
        <f t="shared" si="33"/>
        <v>6.3490885053219577</v>
      </c>
      <c r="AA83">
        <f t="shared" si="33"/>
        <v>3.2330227555368196E-3</v>
      </c>
      <c r="AB83">
        <f t="shared" si="33"/>
        <v>0.85545885642851793</v>
      </c>
      <c r="AC83">
        <f t="shared" si="33"/>
        <v>0.43486995845494103</v>
      </c>
      <c r="AD83">
        <f t="shared" si="33"/>
        <v>1.0404616661901995</v>
      </c>
      <c r="AE83">
        <f t="shared" si="33"/>
        <v>4.0080987496614977</v>
      </c>
      <c r="AF83">
        <f t="shared" si="33"/>
        <v>1.3270173810750352</v>
      </c>
    </row>
    <row r="84" spans="1:32" x14ac:dyDescent="0.2">
      <c r="A84">
        <v>2028.5</v>
      </c>
      <c r="B84">
        <f t="shared" ref="B84:AF84" si="34">B37/1000</f>
        <v>0.22356879838278401</v>
      </c>
      <c r="C84">
        <f t="shared" si="34"/>
        <v>0.17784877732354579</v>
      </c>
      <c r="D84">
        <f t="shared" si="34"/>
        <v>8.7426619049852405</v>
      </c>
      <c r="E84">
        <f t="shared" si="34"/>
        <v>1.1297929338877103E-2</v>
      </c>
      <c r="F84">
        <f t="shared" si="34"/>
        <v>4.5248546632812428</v>
      </c>
      <c r="G84">
        <f t="shared" si="34"/>
        <v>5.4782740864518266E-2</v>
      </c>
      <c r="H84">
        <f t="shared" si="34"/>
        <v>1.4135872779631797</v>
      </c>
      <c r="I84">
        <f t="shared" si="34"/>
        <v>0</v>
      </c>
      <c r="J84">
        <f t="shared" si="34"/>
        <v>5.4925206523106111E-2</v>
      </c>
      <c r="K84">
        <f t="shared" si="34"/>
        <v>5.5677166425081425E-4</v>
      </c>
      <c r="L84">
        <f t="shared" si="34"/>
        <v>3.0965073847063887E-2</v>
      </c>
      <c r="M84">
        <f t="shared" si="34"/>
        <v>3.8985812507392821E-3</v>
      </c>
      <c r="N84">
        <f t="shared" si="34"/>
        <v>7.8834466351784416E-3</v>
      </c>
      <c r="O84">
        <f t="shared" si="34"/>
        <v>4.5059397247872154E-2</v>
      </c>
      <c r="P84">
        <f t="shared" si="34"/>
        <v>1.4760832850882271E-2</v>
      </c>
      <c r="R84">
        <f t="shared" si="34"/>
        <v>0.11371838533657182</v>
      </c>
      <c r="S84">
        <f t="shared" si="34"/>
        <v>0</v>
      </c>
      <c r="T84">
        <f t="shared" si="34"/>
        <v>0</v>
      </c>
      <c r="U84">
        <f t="shared" si="34"/>
        <v>7.7175996188104156E-3</v>
      </c>
      <c r="V84">
        <f t="shared" si="34"/>
        <v>0</v>
      </c>
      <c r="W84">
        <f t="shared" si="34"/>
        <v>0</v>
      </c>
      <c r="X84">
        <f t="shared" si="34"/>
        <v>1.2509099949307755E-2</v>
      </c>
      <c r="Z84">
        <f t="shared" si="34"/>
        <v>7.3414114071024921</v>
      </c>
      <c r="AA84">
        <f t="shared" si="34"/>
        <v>3.7383240313983239E-3</v>
      </c>
      <c r="AB84">
        <f t="shared" si="34"/>
        <v>0.98860969713561753</v>
      </c>
      <c r="AC84">
        <f t="shared" si="34"/>
        <v>0.50283741846269914</v>
      </c>
      <c r="AD84">
        <f t="shared" si="34"/>
        <v>1.2040849153164057</v>
      </c>
      <c r="AE84">
        <f t="shared" si="34"/>
        <v>4.6640033472383049</v>
      </c>
      <c r="AF84">
        <f t="shared" si="34"/>
        <v>1.5152064200635713</v>
      </c>
    </row>
    <row r="85" spans="1:32" x14ac:dyDescent="0.2">
      <c r="A85">
        <v>2028.75</v>
      </c>
      <c r="B85">
        <f t="shared" ref="B85:AF85" si="35">B38/1000</f>
        <v>0.24575036974184164</v>
      </c>
      <c r="C85">
        <f t="shared" si="35"/>
        <v>0.19549419731891113</v>
      </c>
      <c r="D85">
        <f t="shared" si="35"/>
        <v>9.6138525070781977</v>
      </c>
      <c r="E85">
        <f t="shared" si="35"/>
        <v>1.2418863152775489E-2</v>
      </c>
      <c r="F85">
        <f t="shared" si="35"/>
        <v>4.9759308191867913</v>
      </c>
      <c r="G85">
        <f t="shared" si="35"/>
        <v>6.0598280488599089E-2</v>
      </c>
      <c r="H85">
        <f t="shared" si="35"/>
        <v>1.5818181042691628</v>
      </c>
      <c r="I85">
        <f t="shared" si="35"/>
        <v>0</v>
      </c>
      <c r="J85">
        <f t="shared" si="35"/>
        <v>6.0374658310279439E-2</v>
      </c>
      <c r="K85">
        <f t="shared" si="35"/>
        <v>6.120122456316539E-4</v>
      </c>
      <c r="L85">
        <f t="shared" si="35"/>
        <v>3.4050688002324081E-2</v>
      </c>
      <c r="M85">
        <f t="shared" si="35"/>
        <v>4.2853823555352036E-3</v>
      </c>
      <c r="N85">
        <f t="shared" si="35"/>
        <v>8.6693359218200008E-3</v>
      </c>
      <c r="O85">
        <f t="shared" si="35"/>
        <v>4.9842741527419153E-2</v>
      </c>
      <c r="P85">
        <f t="shared" si="35"/>
        <v>1.6548333928792014E-2</v>
      </c>
      <c r="R85">
        <f t="shared" si="35"/>
        <v>0.12500105312128279</v>
      </c>
      <c r="S85">
        <f t="shared" si="35"/>
        <v>0</v>
      </c>
      <c r="T85">
        <f t="shared" si="35"/>
        <v>0</v>
      </c>
      <c r="U85">
        <f t="shared" si="35"/>
        <v>8.483307928304382E-3</v>
      </c>
      <c r="V85">
        <f t="shared" si="35"/>
        <v>0</v>
      </c>
      <c r="W85">
        <f t="shared" si="35"/>
        <v>0</v>
      </c>
      <c r="X85">
        <f t="shared" si="35"/>
        <v>1.398964306094286E-2</v>
      </c>
      <c r="Z85">
        <f t="shared" si="35"/>
        <v>8.0697958783739683</v>
      </c>
      <c r="AA85">
        <f t="shared" si="35"/>
        <v>4.1092250778125327E-3</v>
      </c>
      <c r="AB85">
        <f t="shared" si="35"/>
        <v>1.0871228830099797</v>
      </c>
      <c r="AC85">
        <f t="shared" si="35"/>
        <v>0.55272686708127516</v>
      </c>
      <c r="AD85">
        <f t="shared" si="35"/>
        <v>1.3241183827760925</v>
      </c>
      <c r="AE85">
        <f t="shared" si="35"/>
        <v>5.1591172434157304</v>
      </c>
      <c r="AF85">
        <f t="shared" si="35"/>
        <v>1.6985856920415985</v>
      </c>
    </row>
    <row r="86" spans="1:32" x14ac:dyDescent="0.2">
      <c r="A86">
        <v>2029</v>
      </c>
      <c r="B86">
        <f t="shared" ref="B86:AF86" si="36">B39/1000</f>
        <v>0.27283794484864077</v>
      </c>
      <c r="C86">
        <f t="shared" si="36"/>
        <v>0.21704233886751687</v>
      </c>
      <c r="D86">
        <f t="shared" si="36"/>
        <v>10.686079918738645</v>
      </c>
      <c r="E86">
        <f t="shared" si="36"/>
        <v>1.3787719235251569E-2</v>
      </c>
      <c r="F86">
        <f t="shared" si="36"/>
        <v>5.5264578915678042</v>
      </c>
      <c r="G86">
        <f t="shared" si="36"/>
        <v>6.7894966408426474E-2</v>
      </c>
      <c r="H86">
        <f t="shared" si="36"/>
        <v>1.7583637464160915</v>
      </c>
      <c r="I86">
        <f t="shared" si="36"/>
        <v>0</v>
      </c>
      <c r="J86">
        <f t="shared" si="36"/>
        <v>6.7029391294994786E-2</v>
      </c>
      <c r="K86">
        <f t="shared" si="36"/>
        <v>6.7947064940635882E-4</v>
      </c>
      <c r="L86">
        <f t="shared" si="36"/>
        <v>3.7848341548091385E-2</v>
      </c>
      <c r="M86">
        <f t="shared" si="36"/>
        <v>4.7577341023051179E-3</v>
      </c>
      <c r="N86">
        <f t="shared" si="36"/>
        <v>9.6284939764545111E-3</v>
      </c>
      <c r="O86">
        <f t="shared" si="36"/>
        <v>5.584434466493951E-2</v>
      </c>
      <c r="P86">
        <f t="shared" si="36"/>
        <v>1.8434888282676472E-2</v>
      </c>
      <c r="R86">
        <f t="shared" si="36"/>
        <v>0.1387791622586512</v>
      </c>
      <c r="S86">
        <f t="shared" si="36"/>
        <v>0</v>
      </c>
      <c r="T86">
        <f t="shared" si="36"/>
        <v>0</v>
      </c>
      <c r="U86">
        <f t="shared" si="36"/>
        <v>9.4183715902774814E-3</v>
      </c>
      <c r="V86">
        <f t="shared" si="36"/>
        <v>0</v>
      </c>
      <c r="W86">
        <f t="shared" si="36"/>
        <v>0</v>
      </c>
      <c r="X86">
        <f t="shared" si="36"/>
        <v>1.5535750415515071E-2</v>
      </c>
      <c r="Z86">
        <f t="shared" si="36"/>
        <v>8.9592806111197234</v>
      </c>
      <c r="AA86">
        <f t="shared" si="36"/>
        <v>4.5621600745855513E-3</v>
      </c>
      <c r="AB86">
        <f t="shared" si="36"/>
        <v>1.208369069608789</v>
      </c>
      <c r="AC86">
        <f t="shared" si="36"/>
        <v>0.61365060258302739</v>
      </c>
      <c r="AD86">
        <f t="shared" si="36"/>
        <v>1.4706162026301748</v>
      </c>
      <c r="AE86">
        <f t="shared" si="36"/>
        <v>5.7803305492264903</v>
      </c>
      <c r="AF86">
        <f t="shared" si="36"/>
        <v>1.891919739423529</v>
      </c>
    </row>
    <row r="87" spans="1:32" x14ac:dyDescent="0.2">
      <c r="A87">
        <v>2029.25</v>
      </c>
      <c r="B87">
        <f t="shared" ref="B87:AF87" si="37">B40/1000</f>
        <v>0.30426646212822778</v>
      </c>
      <c r="C87">
        <f t="shared" si="37"/>
        <v>0.24204369599650388</v>
      </c>
      <c r="D87">
        <f t="shared" si="37"/>
        <v>11.939771598174493</v>
      </c>
      <c r="E87">
        <f t="shared" si="37"/>
        <v>1.5375942502625872E-2</v>
      </c>
      <c r="F87">
        <f t="shared" si="37"/>
        <v>6.1648459256796224</v>
      </c>
      <c r="G87">
        <f t="shared" si="37"/>
        <v>7.6585805250333691E-2</v>
      </c>
      <c r="H87">
        <f t="shared" si="37"/>
        <v>1.9700186979685586</v>
      </c>
      <c r="I87">
        <f t="shared" si="37"/>
        <v>0</v>
      </c>
      <c r="J87">
        <f t="shared" si="37"/>
        <v>7.4750584121467706E-2</v>
      </c>
      <c r="K87">
        <f t="shared" si="37"/>
        <v>7.5773965651857226E-4</v>
      </c>
      <c r="L87">
        <f t="shared" si="37"/>
        <v>4.2288711753079439E-2</v>
      </c>
      <c r="M87">
        <f t="shared" si="37"/>
        <v>5.3057829762582229E-3</v>
      </c>
      <c r="N87">
        <f t="shared" si="37"/>
        <v>1.0740728152791014E-2</v>
      </c>
      <c r="O87">
        <f t="shared" si="37"/>
        <v>6.2992653669105628E-2</v>
      </c>
      <c r="P87">
        <f t="shared" si="37"/>
        <v>2.0709254729264159E-2</v>
      </c>
      <c r="R87">
        <f t="shared" si="37"/>
        <v>0.15476529388529231</v>
      </c>
      <c r="S87">
        <f t="shared" si="37"/>
        <v>0</v>
      </c>
      <c r="T87">
        <f t="shared" si="37"/>
        <v>0</v>
      </c>
      <c r="U87">
        <f t="shared" si="37"/>
        <v>1.0503284667286688E-2</v>
      </c>
      <c r="V87">
        <f t="shared" si="37"/>
        <v>0</v>
      </c>
      <c r="W87">
        <f t="shared" si="37"/>
        <v>0</v>
      </c>
      <c r="X87">
        <f t="shared" si="37"/>
        <v>1.7380345103962063E-2</v>
      </c>
      <c r="Z87">
        <f t="shared" si="37"/>
        <v>9.9913104691933583</v>
      </c>
      <c r="AA87">
        <f t="shared" si="37"/>
        <v>5.0876805509104134E-3</v>
      </c>
      <c r="AB87">
        <f t="shared" si="37"/>
        <v>1.3501350174377655</v>
      </c>
      <c r="AC87">
        <f t="shared" si="37"/>
        <v>0.68433772265208082</v>
      </c>
      <c r="AD87">
        <f t="shared" si="37"/>
        <v>1.6404942339027027</v>
      </c>
      <c r="AE87">
        <f t="shared" si="37"/>
        <v>6.520236965176136</v>
      </c>
      <c r="AF87">
        <f t="shared" si="37"/>
        <v>2.1247537337904574</v>
      </c>
    </row>
    <row r="88" spans="1:32" x14ac:dyDescent="0.2">
      <c r="A88">
        <v>2029.5</v>
      </c>
      <c r="B88">
        <f t="shared" ref="B88:AF88" si="38">B41/1000</f>
        <v>0.34258750104503427</v>
      </c>
      <c r="C88">
        <f t="shared" si="38"/>
        <v>0.27252804786680884</v>
      </c>
      <c r="D88">
        <f t="shared" si="38"/>
        <v>13.480086042616833</v>
      </c>
      <c r="E88">
        <f t="shared" si="38"/>
        <v>1.7312475654864611E-2</v>
      </c>
      <c r="F88">
        <f t="shared" si="38"/>
        <v>6.9427959651809648</v>
      </c>
      <c r="G88">
        <f t="shared" si="38"/>
        <v>8.7455147484015366E-2</v>
      </c>
      <c r="H88">
        <f t="shared" si="38"/>
        <v>2.2055490897864529</v>
      </c>
      <c r="I88">
        <f t="shared" si="38"/>
        <v>0</v>
      </c>
      <c r="J88">
        <f t="shared" si="38"/>
        <v>8.4165095412447849E-2</v>
      </c>
      <c r="K88">
        <f t="shared" si="38"/>
        <v>8.5317367400163774E-4</v>
      </c>
      <c r="L88">
        <f t="shared" si="38"/>
        <v>4.7744252758577903E-2</v>
      </c>
      <c r="M88">
        <f t="shared" si="38"/>
        <v>5.9740232893546888E-3</v>
      </c>
      <c r="N88">
        <f t="shared" si="38"/>
        <v>1.2096114806645759E-2</v>
      </c>
      <c r="O88">
        <f t="shared" si="38"/>
        <v>7.1932805289882745E-2</v>
      </c>
      <c r="P88">
        <f t="shared" si="38"/>
        <v>2.3254023941398586E-2</v>
      </c>
      <c r="R88">
        <f t="shared" si="38"/>
        <v>0.17425731022013854</v>
      </c>
      <c r="S88">
        <f t="shared" si="38"/>
        <v>0</v>
      </c>
      <c r="T88">
        <f t="shared" si="38"/>
        <v>0</v>
      </c>
      <c r="U88">
        <f t="shared" si="38"/>
        <v>1.1826127736069487E-2</v>
      </c>
      <c r="V88">
        <f t="shared" si="38"/>
        <v>0</v>
      </c>
      <c r="W88">
        <f t="shared" si="38"/>
        <v>0</v>
      </c>
      <c r="X88">
        <f t="shared" si="38"/>
        <v>1.9423172525645335E-2</v>
      </c>
      <c r="Z88">
        <f t="shared" si="38"/>
        <v>11.249672612170846</v>
      </c>
      <c r="AA88">
        <f t="shared" si="38"/>
        <v>5.7284518111538531E-3</v>
      </c>
      <c r="AB88">
        <f t="shared" si="38"/>
        <v>1.5243119229344135</v>
      </c>
      <c r="AC88">
        <f t="shared" si="38"/>
        <v>0.77052708548411486</v>
      </c>
      <c r="AD88">
        <f t="shared" si="38"/>
        <v>1.8475103652791964</v>
      </c>
      <c r="AE88">
        <f t="shared" si="38"/>
        <v>7.4456132380709441</v>
      </c>
      <c r="AF88">
        <f t="shared" si="38"/>
        <v>2.385004892845318</v>
      </c>
    </row>
    <row r="89" spans="1:32" x14ac:dyDescent="0.2">
      <c r="A89">
        <v>2029.75</v>
      </c>
      <c r="B89">
        <f t="shared" ref="B89:AF89" si="39">B42/1000</f>
        <v>0.37765088195933527</v>
      </c>
      <c r="C89">
        <f t="shared" si="39"/>
        <v>0.30042093573643558</v>
      </c>
      <c r="D89">
        <f t="shared" si="39"/>
        <v>14.900082762912382</v>
      </c>
      <c r="E89">
        <f t="shared" si="39"/>
        <v>1.9084384806845853E-2</v>
      </c>
      <c r="F89">
        <f t="shared" si="39"/>
        <v>7.6542110874739127</v>
      </c>
      <c r="G89">
        <f t="shared" si="39"/>
        <v>9.7648417633521695E-2</v>
      </c>
      <c r="H89">
        <f t="shared" si="39"/>
        <v>2.4605048296863643</v>
      </c>
      <c r="I89">
        <f t="shared" si="39"/>
        <v>0</v>
      </c>
      <c r="J89">
        <f t="shared" si="39"/>
        <v>9.2779282419075432E-2</v>
      </c>
      <c r="K89">
        <f t="shared" si="39"/>
        <v>9.4049487931800063E-4</v>
      </c>
      <c r="L89">
        <f t="shared" si="39"/>
        <v>5.2773648128593004E-2</v>
      </c>
      <c r="M89">
        <f t="shared" si="39"/>
        <v>6.5854567291228645E-3</v>
      </c>
      <c r="N89">
        <f t="shared" si="39"/>
        <v>1.3335580727522079E-2</v>
      </c>
      <c r="O89">
        <f t="shared" si="39"/>
        <v>8.0316880304628219E-2</v>
      </c>
      <c r="P89">
        <f t="shared" si="39"/>
        <v>2.6023432431400813E-2</v>
      </c>
      <c r="R89">
        <f t="shared" si="39"/>
        <v>0.19209231712118438</v>
      </c>
      <c r="S89">
        <f t="shared" si="39"/>
        <v>0</v>
      </c>
      <c r="T89">
        <f t="shared" si="39"/>
        <v>0</v>
      </c>
      <c r="U89">
        <f t="shared" si="39"/>
        <v>1.3036516382141181E-2</v>
      </c>
      <c r="V89">
        <f t="shared" si="39"/>
        <v>0</v>
      </c>
      <c r="W89">
        <f t="shared" si="39"/>
        <v>0</v>
      </c>
      <c r="X89">
        <f t="shared" si="39"/>
        <v>2.1623988211075463E-2</v>
      </c>
      <c r="Z89">
        <f t="shared" si="39"/>
        <v>12.401061833197545</v>
      </c>
      <c r="AA89">
        <f t="shared" si="39"/>
        <v>6.3147513325637174E-3</v>
      </c>
      <c r="AB89">
        <f t="shared" si="39"/>
        <v>1.6848834448394829</v>
      </c>
      <c r="AC89">
        <f t="shared" si="39"/>
        <v>0.84938952098074494</v>
      </c>
      <c r="AD89">
        <f t="shared" si="39"/>
        <v>2.0368212450809664</v>
      </c>
      <c r="AE89">
        <f t="shared" si="39"/>
        <v>8.3134311921630051</v>
      </c>
      <c r="AF89">
        <f t="shared" si="39"/>
        <v>2.6679489519356356</v>
      </c>
    </row>
    <row r="90" spans="1:32" x14ac:dyDescent="0.2">
      <c r="A90">
        <v>2030</v>
      </c>
      <c r="B90">
        <f t="shared" ref="B90:AF90" si="40">B43/1000</f>
        <v>0.41890180357101697</v>
      </c>
      <c r="C90">
        <f t="shared" si="40"/>
        <v>0.33323600664604403</v>
      </c>
      <c r="D90">
        <f t="shared" si="40"/>
        <v>16.583089201216797</v>
      </c>
      <c r="E90">
        <f t="shared" si="40"/>
        <v>2.1168978009938486E-2</v>
      </c>
      <c r="F90">
        <f t="shared" si="40"/>
        <v>8.4906979071985784</v>
      </c>
      <c r="G90">
        <f t="shared" si="40"/>
        <v>0.10993046629120914</v>
      </c>
      <c r="H90">
        <f t="shared" si="40"/>
        <v>2.7271990679258025</v>
      </c>
      <c r="I90">
        <f t="shared" si="40"/>
        <v>0</v>
      </c>
      <c r="J90">
        <f t="shared" si="40"/>
        <v>0.10291359188076885</v>
      </c>
      <c r="K90">
        <f t="shared" si="40"/>
        <v>1.0432254233105137E-3</v>
      </c>
      <c r="L90">
        <f t="shared" si="40"/>
        <v>5.8734580761417736E-2</v>
      </c>
      <c r="M90">
        <f t="shared" si="40"/>
        <v>7.3047881865280669E-3</v>
      </c>
      <c r="N90">
        <f t="shared" si="40"/>
        <v>1.4792953327319029E-2</v>
      </c>
      <c r="O90">
        <f t="shared" si="40"/>
        <v>9.0418998248180657E-2</v>
      </c>
      <c r="P90">
        <f t="shared" si="40"/>
        <v>2.893555392838024E-2</v>
      </c>
      <c r="R90">
        <f t="shared" si="40"/>
        <v>0.2130746198094792</v>
      </c>
      <c r="S90">
        <f t="shared" si="40"/>
        <v>0</v>
      </c>
      <c r="T90">
        <f t="shared" si="40"/>
        <v>0</v>
      </c>
      <c r="U90">
        <f t="shared" si="40"/>
        <v>1.4460499063126991E-2</v>
      </c>
      <c r="V90">
        <f t="shared" si="40"/>
        <v>0</v>
      </c>
      <c r="W90">
        <f t="shared" si="40"/>
        <v>0</v>
      </c>
      <c r="X90">
        <f t="shared" si="40"/>
        <v>2.391532142177917E-2</v>
      </c>
      <c r="Z90">
        <f t="shared" si="40"/>
        <v>13.755633618992906</v>
      </c>
      <c r="AA90">
        <f t="shared" si="40"/>
        <v>7.0045135565134477E-3</v>
      </c>
      <c r="AB90">
        <f t="shared" si="40"/>
        <v>1.8751957894470983</v>
      </c>
      <c r="AC90">
        <f t="shared" si="40"/>
        <v>0.9421685987521915</v>
      </c>
      <c r="AD90">
        <f t="shared" si="40"/>
        <v>2.2594142865027833</v>
      </c>
      <c r="AE90">
        <f t="shared" si="40"/>
        <v>9.3590801528833971</v>
      </c>
      <c r="AF90">
        <f t="shared" si="40"/>
        <v>2.9651859763188737</v>
      </c>
    </row>
    <row r="91" spans="1:32" x14ac:dyDescent="0.2">
      <c r="A91">
        <v>2030.25</v>
      </c>
      <c r="B91">
        <f t="shared" ref="B91:AF91" si="41">B44/1000</f>
        <v>0.45572976408705379</v>
      </c>
      <c r="C91">
        <f t="shared" si="41"/>
        <v>0.36253261599616765</v>
      </c>
      <c r="D91">
        <f t="shared" si="41"/>
        <v>18.096672818815051</v>
      </c>
      <c r="E91">
        <f t="shared" si="41"/>
        <v>2.3030059245848458E-2</v>
      </c>
      <c r="F91">
        <f t="shared" si="41"/>
        <v>9.2370788159165151</v>
      </c>
      <c r="G91">
        <f t="shared" si="41"/>
        <v>0.12115304256269459</v>
      </c>
      <c r="H91">
        <f t="shared" si="41"/>
        <v>3.0078137269449061</v>
      </c>
      <c r="I91">
        <f t="shared" si="41"/>
        <v>0</v>
      </c>
      <c r="J91">
        <f t="shared" si="41"/>
        <v>0.111961291523117</v>
      </c>
      <c r="K91">
        <f t="shared" si="41"/>
        <v>1.1349411055336198E-3</v>
      </c>
      <c r="L91">
        <f t="shared" si="41"/>
        <v>6.4095445564608958E-2</v>
      </c>
      <c r="M91">
        <f t="shared" si="41"/>
        <v>7.9469922749758753E-3</v>
      </c>
      <c r="N91">
        <f t="shared" si="41"/>
        <v>1.6093338533310811E-2</v>
      </c>
      <c r="O91">
        <f t="shared" si="41"/>
        <v>9.9649688687930588E-2</v>
      </c>
      <c r="P91">
        <f t="shared" si="41"/>
        <v>3.2015436436033523E-2</v>
      </c>
      <c r="R91">
        <f t="shared" si="41"/>
        <v>0.23180718104081974</v>
      </c>
      <c r="S91">
        <f t="shared" si="41"/>
        <v>0</v>
      </c>
      <c r="T91">
        <f t="shared" si="41"/>
        <v>0</v>
      </c>
      <c r="U91">
        <f t="shared" si="41"/>
        <v>1.573180103413592E-2</v>
      </c>
      <c r="V91">
        <f t="shared" si="41"/>
        <v>0</v>
      </c>
      <c r="W91">
        <f t="shared" si="41"/>
        <v>0</v>
      </c>
      <c r="X91">
        <f t="shared" si="41"/>
        <v>2.6315048950555187E-2</v>
      </c>
      <c r="Z91">
        <f t="shared" si="41"/>
        <v>14.964966993723666</v>
      </c>
      <c r="AA91">
        <f t="shared" si="41"/>
        <v>7.6203188514400175E-3</v>
      </c>
      <c r="AB91">
        <f t="shared" si="41"/>
        <v>2.0463500051820107</v>
      </c>
      <c r="AC91">
        <f t="shared" si="41"/>
        <v>1.0249998199560724</v>
      </c>
      <c r="AD91">
        <f t="shared" si="41"/>
        <v>2.4580297250405847</v>
      </c>
      <c r="AE91">
        <f t="shared" si="41"/>
        <v>10.314529487269409</v>
      </c>
      <c r="AF91">
        <f t="shared" si="41"/>
        <v>3.2792495720695123</v>
      </c>
    </row>
    <row r="92" spans="1:32" x14ac:dyDescent="0.2">
      <c r="A92">
        <v>2030.5</v>
      </c>
      <c r="B92">
        <f t="shared" ref="B92:AF92" si="42">B45/1000</f>
        <v>0.49935151378677095</v>
      </c>
      <c r="C92">
        <f t="shared" si="42"/>
        <v>0.39723367850993319</v>
      </c>
      <c r="D92">
        <f t="shared" si="42"/>
        <v>19.90246353152963</v>
      </c>
      <c r="E92">
        <f t="shared" si="42"/>
        <v>2.5234460975027941E-2</v>
      </c>
      <c r="F92">
        <f t="shared" si="42"/>
        <v>10.120656208430505</v>
      </c>
      <c r="G92">
        <f t="shared" si="42"/>
        <v>0.13474905144005916</v>
      </c>
      <c r="H92">
        <f t="shared" si="42"/>
        <v>3.3020658372940259</v>
      </c>
      <c r="I92">
        <f t="shared" si="42"/>
        <v>0</v>
      </c>
      <c r="J92">
        <f t="shared" si="42"/>
        <v>0.12267805356007173</v>
      </c>
      <c r="K92">
        <f t="shared" si="42"/>
        <v>1.2435759166232259E-3</v>
      </c>
      <c r="L92">
        <f t="shared" si="42"/>
        <v>7.049125994920323E-2</v>
      </c>
      <c r="M92">
        <f t="shared" si="42"/>
        <v>8.7076661111011901E-3</v>
      </c>
      <c r="N92">
        <f t="shared" si="42"/>
        <v>1.7632754877101833E-2</v>
      </c>
      <c r="O92">
        <f t="shared" si="42"/>
        <v>0.11083255313251617</v>
      </c>
      <c r="P92">
        <f t="shared" si="42"/>
        <v>3.5261275756218131E-2</v>
      </c>
      <c r="R92">
        <f t="shared" si="42"/>
        <v>0.2539954066666274</v>
      </c>
      <c r="S92">
        <f t="shared" si="42"/>
        <v>0</v>
      </c>
      <c r="T92">
        <f t="shared" si="42"/>
        <v>0</v>
      </c>
      <c r="U92">
        <f t="shared" si="42"/>
        <v>1.7237624750547256E-2</v>
      </c>
      <c r="V92">
        <f t="shared" si="42"/>
        <v>0</v>
      </c>
      <c r="W92">
        <f t="shared" si="42"/>
        <v>0</v>
      </c>
      <c r="X92">
        <f t="shared" si="42"/>
        <v>2.8819825578169821E-2</v>
      </c>
      <c r="Z92">
        <f t="shared" si="42"/>
        <v>16.397390539226485</v>
      </c>
      <c r="AA92">
        <f t="shared" si="42"/>
        <v>8.3497240116130883E-3</v>
      </c>
      <c r="AB92">
        <f t="shared" si="42"/>
        <v>2.2505466479195158</v>
      </c>
      <c r="AC92">
        <f t="shared" si="42"/>
        <v>1.1231112208603986</v>
      </c>
      <c r="AD92">
        <f t="shared" si="42"/>
        <v>2.6931537873611191</v>
      </c>
      <c r="AE92">
        <f t="shared" si="42"/>
        <v>11.472044243055946</v>
      </c>
      <c r="AF92">
        <f t="shared" si="42"/>
        <v>3.6099313895085423</v>
      </c>
    </row>
    <row r="93" spans="1:32" x14ac:dyDescent="0.2">
      <c r="A93">
        <v>2030.75</v>
      </c>
      <c r="B93">
        <f t="shared" ref="B93:AF93" si="43">B46/1000</f>
        <v>0.5460927225255674</v>
      </c>
      <c r="C93">
        <f t="shared" si="43"/>
        <v>0.43441626787370785</v>
      </c>
      <c r="D93">
        <f t="shared" si="43"/>
        <v>21.8512294841372</v>
      </c>
      <c r="E93">
        <f t="shared" si="43"/>
        <v>2.7596502893956515E-2</v>
      </c>
      <c r="F93">
        <f t="shared" si="43"/>
        <v>11.066896327074513</v>
      </c>
      <c r="G93">
        <f t="shared" si="43"/>
        <v>0.1496403211824206</v>
      </c>
      <c r="H93">
        <f t="shared" si="43"/>
        <v>3.6238576293767046</v>
      </c>
      <c r="I93">
        <f t="shared" si="43"/>
        <v>0</v>
      </c>
      <c r="J93">
        <f t="shared" si="43"/>
        <v>0.13416118788690407</v>
      </c>
      <c r="K93">
        <f t="shared" si="43"/>
        <v>1.3599793716976545E-3</v>
      </c>
      <c r="L93">
        <f t="shared" si="43"/>
        <v>7.7393469172086254E-2</v>
      </c>
      <c r="M93">
        <f t="shared" si="43"/>
        <v>9.5227369141117554E-3</v>
      </c>
      <c r="N93">
        <f t="shared" si="43"/>
        <v>1.9281345613049474E-2</v>
      </c>
      <c r="O93">
        <f t="shared" si="43"/>
        <v>0.12308078365653638</v>
      </c>
      <c r="P93">
        <f t="shared" si="43"/>
        <v>3.8828439641565807E-2</v>
      </c>
      <c r="R93">
        <f t="shared" si="43"/>
        <v>0.27777034675175916</v>
      </c>
      <c r="S93">
        <f t="shared" si="43"/>
        <v>0</v>
      </c>
      <c r="T93">
        <f t="shared" si="43"/>
        <v>0</v>
      </c>
      <c r="U93">
        <f t="shared" si="43"/>
        <v>1.8851132258547759E-2</v>
      </c>
      <c r="V93">
        <f t="shared" si="43"/>
        <v>0</v>
      </c>
      <c r="W93">
        <f t="shared" si="43"/>
        <v>0</v>
      </c>
      <c r="X93">
        <f t="shared" si="43"/>
        <v>3.1546559411053283E-2</v>
      </c>
      <c r="Z93">
        <f t="shared" si="43"/>
        <v>17.932248916150975</v>
      </c>
      <c r="AA93">
        <f t="shared" si="43"/>
        <v>9.1312900671128225E-3</v>
      </c>
      <c r="AB93">
        <f t="shared" si="43"/>
        <v>2.4709107588886252</v>
      </c>
      <c r="AC93">
        <f t="shared" si="43"/>
        <v>1.2282387203507408</v>
      </c>
      <c r="AD93">
        <f t="shared" si="43"/>
        <v>2.944952693162934</v>
      </c>
      <c r="AE93">
        <f t="shared" si="43"/>
        <v>12.739832798848806</v>
      </c>
      <c r="AF93">
        <f t="shared" si="43"/>
        <v>3.9730225507128853</v>
      </c>
    </row>
    <row r="94" spans="1:32" x14ac:dyDescent="0.2">
      <c r="G94">
        <f>SUM(B93:G93)</f>
        <v>34.075871625687363</v>
      </c>
      <c r="O94">
        <f>SUM(J93:O93)</f>
        <v>0.3647995026143856</v>
      </c>
      <c r="W94">
        <f>SUM(R93:W93)</f>
        <v>0.29662147901030689</v>
      </c>
      <c r="AE94">
        <f>SUM(Z93:AE93)</f>
        <v>37.325315177469193</v>
      </c>
    </row>
    <row r="95" spans="1:32" x14ac:dyDescent="0.2">
      <c r="Z95">
        <f>Z93/$AE$94</f>
        <v>0.4804312791704296</v>
      </c>
      <c r="AA95">
        <f t="shared" ref="AA95:AE95" si="44">AA93/$AE$94</f>
        <v>2.446406687712251E-4</v>
      </c>
      <c r="AB95">
        <f t="shared" si="44"/>
        <v>6.6199327377150979E-2</v>
      </c>
      <c r="AC95">
        <f t="shared" si="44"/>
        <v>3.2906318794921972E-2</v>
      </c>
      <c r="AD95">
        <f t="shared" si="44"/>
        <v>7.8899606852900886E-2</v>
      </c>
      <c r="AE95">
        <f t="shared" si="44"/>
        <v>0.34131882713582534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E6E1-6099-244E-858D-34A461893BFE}">
  <dimension ref="A1:L36"/>
  <sheetViews>
    <sheetView workbookViewId="0">
      <selection activeCell="L30" sqref="L30"/>
    </sheetView>
  </sheetViews>
  <sheetFormatPr baseColWidth="10" defaultRowHeight="16" x14ac:dyDescent="0.2"/>
  <cols>
    <col min="1" max="1" width="26.1640625" customWidth="1"/>
  </cols>
  <sheetData>
    <row r="1" spans="1:12" x14ac:dyDescent="0.2">
      <c r="A1">
        <v>2025</v>
      </c>
      <c r="H1">
        <v>2030</v>
      </c>
    </row>
    <row r="2" spans="1:12" x14ac:dyDescent="0.2">
      <c r="A2" t="s">
        <v>28</v>
      </c>
      <c r="B2" s="6"/>
      <c r="C2" s="6"/>
      <c r="D2" s="6" t="s">
        <v>31</v>
      </c>
      <c r="E2" s="6">
        <f>SUM([1]Manu_gas!$B$22:$B$25)</f>
        <v>11.661230934975343</v>
      </c>
      <c r="F2" s="6"/>
      <c r="G2" s="6"/>
      <c r="H2" s="6" t="s">
        <v>28</v>
      </c>
      <c r="I2" s="6"/>
      <c r="J2" s="6"/>
      <c r="K2" s="6" t="s">
        <v>31</v>
      </c>
      <c r="L2" s="6">
        <f>SUM([1]Manu_gas!$B$42:$B$45)</f>
        <v>85.678029630574798</v>
      </c>
    </row>
    <row r="3" spans="1:12" x14ac:dyDescent="0.2">
      <c r="A3" t="s">
        <v>56</v>
      </c>
      <c r="B3" s="6"/>
      <c r="C3" s="6"/>
      <c r="D3" s="6" t="s">
        <v>30</v>
      </c>
      <c r="E3" s="6">
        <f>SUM([1]Manu_solvent!$B$22:$B$25)</f>
        <v>752.82368416949657</v>
      </c>
      <c r="F3" s="6"/>
      <c r="G3" s="6"/>
      <c r="H3" s="6"/>
      <c r="I3" s="6"/>
      <c r="J3" s="6"/>
      <c r="K3" s="6" t="s">
        <v>30</v>
      </c>
      <c r="L3" s="6">
        <f>SUM([1]Manu_solvent!$B$42:$B$45)</f>
        <v>5531.1870829534328</v>
      </c>
    </row>
    <row r="4" spans="1:12" x14ac:dyDescent="0.2">
      <c r="B4" s="6"/>
      <c r="C4" s="6"/>
      <c r="D4" s="6" t="s">
        <v>29</v>
      </c>
      <c r="E4" s="6">
        <f>SUM([1]Manu_water!$B$22:$B$25)</f>
        <v>22.925821361958327</v>
      </c>
      <c r="F4" s="6"/>
      <c r="G4" s="6"/>
      <c r="H4" s="6"/>
      <c r="I4" s="6"/>
      <c r="J4" s="6"/>
      <c r="K4" s="6" t="s">
        <v>29</v>
      </c>
      <c r="L4" s="6">
        <f>SUM([1]Manu_water!$B$42:$B$45)</f>
        <v>168.44184056623203</v>
      </c>
    </row>
    <row r="5" spans="1:12" x14ac:dyDescent="0.2">
      <c r="B5" s="6"/>
      <c r="C5" s="6"/>
      <c r="D5" s="6" t="s">
        <v>32</v>
      </c>
      <c r="E5" s="6">
        <f>SUM([1]Manu_solid!$B$22:$B$25)</f>
        <v>5.6322952134914939</v>
      </c>
      <c r="F5" s="6"/>
      <c r="G5" s="6"/>
      <c r="H5" s="6"/>
      <c r="I5" s="6"/>
      <c r="J5" s="6"/>
      <c r="K5" s="6" t="s">
        <v>32</v>
      </c>
      <c r="L5" s="6">
        <f>SUM([1]Manu_solid!$B$42:$B$45)</f>
        <v>41.381905467828638</v>
      </c>
    </row>
    <row r="6" spans="1:12" x14ac:dyDescent="0.2">
      <c r="A6" t="str">
        <f>[1]Usage!$R$1</f>
        <v>photoacid generators</v>
      </c>
      <c r="B6" s="6">
        <f>SUM([1]Usage!$B$22:$B$25)</f>
        <v>793.19492925674683</v>
      </c>
      <c r="C6" s="6"/>
      <c r="D6" s="6"/>
      <c r="E6" s="6"/>
      <c r="F6" s="6"/>
      <c r="G6" s="6"/>
      <c r="H6" s="6" t="str">
        <f>[1]Usage!$R$1</f>
        <v>photoacid generators</v>
      </c>
      <c r="I6" s="6">
        <f>SUM([1]Usage!$B$42:$B$45)</f>
        <v>5828.3258448266824</v>
      </c>
      <c r="J6" s="6"/>
      <c r="K6" s="6"/>
      <c r="L6" s="6"/>
    </row>
    <row r="7" spans="1:12" x14ac:dyDescent="0.2">
      <c r="A7" t="str">
        <f>[1]Usage!$S$1</f>
        <v>surfactant</v>
      </c>
      <c r="B7" s="6">
        <f>SUM([1]Usage!$C$22:$C$25)</f>
        <v>18.675883076269283</v>
      </c>
      <c r="C7" s="6"/>
      <c r="D7" s="6" t="s">
        <v>33</v>
      </c>
      <c r="E7" s="6">
        <f>SUM([1]Manu_gas!$C$22:$C$25)</f>
        <v>0</v>
      </c>
      <c r="F7" s="6"/>
      <c r="G7" s="6"/>
      <c r="H7" s="6" t="str">
        <f>[1]Usage!$S$1</f>
        <v>surfactant</v>
      </c>
      <c r="I7" s="6">
        <f>SUM([1]Usage!$C$42:$C$45)</f>
        <v>137.22872902172634</v>
      </c>
      <c r="J7" s="6"/>
      <c r="K7" s="6" t="s">
        <v>33</v>
      </c>
      <c r="L7" s="6">
        <f>SUM([1]Manu_gas!$C$42:$C$45)</f>
        <v>0</v>
      </c>
    </row>
    <row r="8" spans="1:12" x14ac:dyDescent="0.2">
      <c r="A8" t="str">
        <f>[1]Usage!$T$1</f>
        <v>Top antireflective coatings</v>
      </c>
      <c r="B8" s="6">
        <f>SUM([1]Usage!$D$22:$D$25)</f>
        <v>1028.0208422367455</v>
      </c>
      <c r="C8" s="6"/>
      <c r="D8" s="6" t="s">
        <v>34</v>
      </c>
      <c r="E8" s="6">
        <f>SUM([1]Manu_solvent!$C$22:$C$25)</f>
        <v>0.3833457510927587</v>
      </c>
      <c r="F8" s="6"/>
      <c r="G8" s="6"/>
      <c r="H8" s="6" t="str">
        <f>[1]Usage!$T$1</f>
        <v>Top antireflective coatings</v>
      </c>
      <c r="I8" s="6">
        <f>SUM([1]Usage!$D$42:$D$45)</f>
        <v>7761.644014286856</v>
      </c>
      <c r="J8" s="6"/>
      <c r="K8" s="6" t="s">
        <v>34</v>
      </c>
      <c r="L8" s="6">
        <f>SUM([1]Manu_solvent!$C$42:$C$45)</f>
        <v>2.8165387345491046</v>
      </c>
    </row>
    <row r="9" spans="1:12" x14ac:dyDescent="0.2">
      <c r="A9" t="str">
        <f>[1]Usage!$U$1</f>
        <v>polymer</v>
      </c>
      <c r="B9" s="6">
        <f>SUM([1]Usage!$E$22:$E$25)</f>
        <v>53.907243290017455</v>
      </c>
      <c r="C9" s="6"/>
      <c r="D9" s="6" t="s">
        <v>35</v>
      </c>
      <c r="E9" s="6">
        <f>SUM([1]Manu_water!$C$22:$C$25)</f>
        <v>18.237470200923582</v>
      </c>
      <c r="F9" s="6"/>
      <c r="G9" s="6"/>
      <c r="H9" s="6" t="str">
        <f>[1]Usage!$U$1</f>
        <v>polymer</v>
      </c>
      <c r="I9" s="6">
        <f>SUM([1]Usage!$E$42:$E$45)</f>
        <v>396.10563267843281</v>
      </c>
      <c r="J9" s="6"/>
      <c r="K9" s="6" t="s">
        <v>35</v>
      </c>
      <c r="L9" s="6">
        <f>SUM([1]Manu_water!$C$42:$C$45)</f>
        <v>133.99533213727227</v>
      </c>
    </row>
    <row r="10" spans="1:12" x14ac:dyDescent="0.2">
      <c r="A10" t="str">
        <f>[1]Usage!$V$1</f>
        <v>immersion topcoat</v>
      </c>
      <c r="B10" s="6">
        <f>SUM([1]Usage!$F$22:$F$25)</f>
        <v>578.539423277894</v>
      </c>
      <c r="C10" s="6"/>
      <c r="D10" s="6" t="s">
        <v>36</v>
      </c>
      <c r="E10" s="6">
        <f>SUM([1]Manu_solid!$C$22:$C$25)</f>
        <v>5.7094048035091723E-2</v>
      </c>
      <c r="F10" s="6"/>
      <c r="G10" s="6"/>
      <c r="H10" s="6" t="str">
        <f>[1]Usage!$V$1</f>
        <v>immersion topcoat</v>
      </c>
      <c r="I10" s="6">
        <f>SUM([1]Usage!$F$42:$F$45)</f>
        <v>4326.6797023588733</v>
      </c>
      <c r="J10" s="6"/>
      <c r="K10" s="6" t="s">
        <v>36</v>
      </c>
      <c r="L10" s="6">
        <f>SUM([1]Manu_solid!$C$42:$C$45)</f>
        <v>0.41948449237965391</v>
      </c>
    </row>
    <row r="11" spans="1:12" x14ac:dyDescent="0.2">
      <c r="A11" t="str">
        <f>[1]Usage!$W$1</f>
        <v>PBO/PI</v>
      </c>
      <c r="B11" s="6">
        <f>SUM([1]Usage!$G$22:$G$25)</f>
        <v>521.70404251919263</v>
      </c>
      <c r="C11" s="6"/>
      <c r="D11" s="6"/>
      <c r="E11" s="6"/>
      <c r="F11" s="6"/>
      <c r="G11" s="6"/>
      <c r="H11" s="6" t="str">
        <f>[1]Usage!$W$1</f>
        <v>PBO/PI</v>
      </c>
      <c r="I11" s="6">
        <f>SUM([1]Usage!$G$42:$G$45)</f>
        <v>4833.3514231749086</v>
      </c>
      <c r="J11" s="6"/>
      <c r="K11" s="6"/>
      <c r="L11" s="6"/>
    </row>
    <row r="12" spans="1:12" x14ac:dyDescent="0.2">
      <c r="B12" s="6"/>
      <c r="C12" s="6"/>
      <c r="D12" s="7" t="s">
        <v>37</v>
      </c>
      <c r="E12" s="6">
        <f>SUM([1]Manu_gas!$D$22:$D$25)</f>
        <v>0</v>
      </c>
      <c r="F12" s="6"/>
      <c r="G12" s="6"/>
      <c r="H12" s="6"/>
      <c r="I12" s="6"/>
      <c r="J12" s="6"/>
      <c r="K12" s="7" t="s">
        <v>37</v>
      </c>
      <c r="L12" s="6">
        <f>SUM([1]Manu_gas!$D$42:$D$45)</f>
        <v>0</v>
      </c>
    </row>
    <row r="13" spans="1:12" x14ac:dyDescent="0.2">
      <c r="B13" s="6"/>
      <c r="C13" s="6"/>
      <c r="D13" s="7" t="s">
        <v>38</v>
      </c>
      <c r="E13" s="6">
        <f>SUM([1]Manu_solvent!$D$22:$D$25)</f>
        <v>104.11765121838268</v>
      </c>
      <c r="F13" s="6"/>
      <c r="G13" s="6"/>
      <c r="H13" s="6"/>
      <c r="I13" s="6"/>
      <c r="J13" s="6"/>
      <c r="K13" s="7" t="s">
        <v>38</v>
      </c>
      <c r="L13" s="6">
        <f>SUM([1]Manu_solvent!$D$42:$D$45)</f>
        <v>786.02731404914232</v>
      </c>
    </row>
    <row r="14" spans="1:12" x14ac:dyDescent="0.2">
      <c r="B14" s="6"/>
      <c r="C14" s="6"/>
      <c r="D14" s="7" t="s">
        <v>39</v>
      </c>
      <c r="E14" s="6">
        <f>SUM([1]Manu_water!$D$22:$D$25)</f>
        <v>920.75307938095625</v>
      </c>
      <c r="F14" s="6"/>
      <c r="G14" s="6"/>
      <c r="H14" s="6"/>
      <c r="I14" s="6"/>
      <c r="J14" s="6"/>
      <c r="K14" s="7" t="s">
        <v>39</v>
      </c>
      <c r="L14" s="6">
        <f>SUM([1]Manu_water!$D$42:$D$45)</f>
        <v>6951.1467212248162</v>
      </c>
    </row>
    <row r="15" spans="1:12" x14ac:dyDescent="0.2">
      <c r="B15" s="6"/>
      <c r="C15" s="6"/>
      <c r="D15" s="7" t="s">
        <v>40</v>
      </c>
      <c r="E15" s="6">
        <f>SUM([1]Manu_solid!$D$22:$D$25)</f>
        <v>3.2611563168976185</v>
      </c>
      <c r="F15" s="6"/>
      <c r="G15" s="6"/>
      <c r="H15" s="6"/>
      <c r="I15" s="6"/>
      <c r="J15" s="6"/>
      <c r="K15" s="7" t="s">
        <v>40</v>
      </c>
      <c r="L15" s="6">
        <f>SUM([1]Manu_solid!$D$42:$D$45)</f>
        <v>24.619821043493253</v>
      </c>
    </row>
    <row r="16" spans="1:12" x14ac:dyDescent="0.2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x14ac:dyDescent="0.2">
      <c r="B17" s="6"/>
      <c r="C17" s="6"/>
      <c r="D17" s="7" t="s">
        <v>41</v>
      </c>
      <c r="E17" s="6">
        <f>SUM([1]Manu_gas!$E$22:$E$25)</f>
        <v>0.79139983523563984</v>
      </c>
      <c r="F17" s="6"/>
      <c r="G17" s="6"/>
      <c r="H17" s="6"/>
      <c r="I17" s="6"/>
      <c r="J17" s="6"/>
      <c r="K17" s="7" t="s">
        <v>41</v>
      </c>
      <c r="L17" s="6">
        <f>SUM([1]Manu_gas!$E$42:$E$45)</f>
        <v>5.8146158764065792</v>
      </c>
    </row>
    <row r="18" spans="2:12" x14ac:dyDescent="0.2">
      <c r="B18" s="6"/>
      <c r="C18" s="6"/>
      <c r="D18" s="7" t="s">
        <v>42</v>
      </c>
      <c r="E18" s="6">
        <f>SUM([1]Manu_solvent!$E$22:$E$25)</f>
        <v>51.563370708136546</v>
      </c>
      <c r="F18" s="6"/>
      <c r="G18" s="6"/>
      <c r="H18" s="6"/>
      <c r="I18" s="6"/>
      <c r="J18" s="6"/>
      <c r="K18" s="7" t="s">
        <v>42</v>
      </c>
      <c r="L18" s="6">
        <f>SUM([1]Manu_solvent!$E$42:$E$45)</f>
        <v>378.84919936999569</v>
      </c>
    </row>
    <row r="19" spans="2:12" x14ac:dyDescent="0.2">
      <c r="B19" s="6"/>
      <c r="C19" s="6"/>
      <c r="D19" s="7" t="s">
        <v>43</v>
      </c>
      <c r="E19" s="6">
        <f>SUM([1]Manu_water!$E$22:$E$25)</f>
        <v>1.158544088695473</v>
      </c>
      <c r="F19" s="6"/>
      <c r="G19" s="6"/>
      <c r="H19" s="6"/>
      <c r="I19" s="6"/>
      <c r="J19" s="6"/>
      <c r="K19" s="7" t="s">
        <v>43</v>
      </c>
      <c r="L19" s="6">
        <f>SUM([1]Manu_water!$E$42:$E$45)</f>
        <v>8.512118087110661</v>
      </c>
    </row>
    <row r="20" spans="2:12" x14ac:dyDescent="0.2">
      <c r="B20" s="6"/>
      <c r="C20" s="6"/>
      <c r="D20" s="7" t="s">
        <v>44</v>
      </c>
      <c r="E20" s="6">
        <f>SUM([1]Manu_solid!$E$22:$E$25)</f>
        <v>0.39977929821181829</v>
      </c>
      <c r="F20" s="6"/>
      <c r="G20" s="6"/>
      <c r="H20" s="6"/>
      <c r="I20" s="6"/>
      <c r="J20" s="6"/>
      <c r="K20" s="7" t="s">
        <v>44</v>
      </c>
      <c r="L20" s="6">
        <f>SUM([1]Manu_solid!$E$42:$E$45)</f>
        <v>2.9372801849888908</v>
      </c>
    </row>
    <row r="21" spans="2:12" x14ac:dyDescent="0.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x14ac:dyDescent="0.2">
      <c r="B22" s="6"/>
      <c r="C22" s="6"/>
      <c r="D22" s="7" t="s">
        <v>45</v>
      </c>
      <c r="E22" s="6">
        <f>SUM([1]Manu_gas!$F$22:$F$25)</f>
        <v>0</v>
      </c>
      <c r="F22" s="6"/>
      <c r="G22" s="6"/>
      <c r="H22" s="6"/>
      <c r="I22" s="6"/>
      <c r="J22" s="6"/>
      <c r="K22" s="7" t="s">
        <v>45</v>
      </c>
      <c r="L22" s="6">
        <f>SUM([1]Manu_gas!$F$42:$F$45)</f>
        <v>0</v>
      </c>
    </row>
    <row r="23" spans="2:12" x14ac:dyDescent="0.2">
      <c r="B23" s="6"/>
      <c r="C23" s="6"/>
      <c r="D23" s="7" t="s">
        <v>46</v>
      </c>
      <c r="E23" s="6">
        <f>SUM([1]Manu_solvent!$F$22:$F$25)</f>
        <v>121.44116288159573</v>
      </c>
      <c r="F23" s="6"/>
      <c r="G23" s="6"/>
      <c r="H23" s="6"/>
      <c r="I23" s="6"/>
      <c r="J23" s="6"/>
      <c r="K23" s="7" t="s">
        <v>46</v>
      </c>
      <c r="L23" s="6">
        <f>SUM([1]Manu_solvent!$F$42:$F$45)</f>
        <v>908.13144808196762</v>
      </c>
    </row>
    <row r="24" spans="2:12" x14ac:dyDescent="0.2">
      <c r="B24" s="6"/>
      <c r="C24" s="6"/>
      <c r="D24" s="7" t="s">
        <v>47</v>
      </c>
      <c r="E24" s="6">
        <f>SUM([1]Manu_water!$F$22:$F$25)</f>
        <v>456.36616254318619</v>
      </c>
      <c r="F24" s="6"/>
      <c r="G24" s="6"/>
      <c r="H24" s="6"/>
      <c r="I24" s="6"/>
      <c r="J24" s="6"/>
      <c r="K24" s="7" t="s">
        <v>47</v>
      </c>
      <c r="L24" s="6">
        <f>SUM([1]Manu_water!$F$42:$F$45)</f>
        <v>3412.6852396006025</v>
      </c>
    </row>
    <row r="25" spans="2:12" x14ac:dyDescent="0.2">
      <c r="B25" s="6"/>
      <c r="C25" s="6"/>
      <c r="D25" s="7" t="s">
        <v>48</v>
      </c>
      <c r="E25" s="6">
        <f>SUM([1]Manu_solid!$F$22:$F$25)</f>
        <v>0.79510582244898986</v>
      </c>
      <c r="F25" s="6"/>
      <c r="G25" s="6"/>
      <c r="H25" s="6"/>
      <c r="I25" s="6"/>
      <c r="J25" s="6"/>
      <c r="K25" s="7" t="s">
        <v>48</v>
      </c>
      <c r="L25" s="6">
        <f>SUM([1]Manu_solid!$F$42:$F$45)</f>
        <v>5.9457648855273968</v>
      </c>
    </row>
    <row r="26" spans="2:12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2:12" x14ac:dyDescent="0.2">
      <c r="B27" s="6"/>
      <c r="C27" s="6"/>
      <c r="D27" s="7" t="s">
        <v>49</v>
      </c>
      <c r="E27" s="6">
        <f>SUM([1]Manu_gas!$G$22:$G$25)</f>
        <v>0</v>
      </c>
      <c r="F27" s="6"/>
      <c r="G27" s="6"/>
      <c r="H27" s="6"/>
      <c r="I27" s="6"/>
      <c r="J27" s="6"/>
      <c r="K27" s="7" t="s">
        <v>49</v>
      </c>
      <c r="L27" s="6">
        <f>SUM([1]Manu_gas!$G$42:$G$45)</f>
        <v>0</v>
      </c>
    </row>
    <row r="28" spans="2:12" x14ac:dyDescent="0.2">
      <c r="B28" s="6"/>
      <c r="C28" s="6"/>
      <c r="D28" s="7" t="s">
        <v>50</v>
      </c>
      <c r="E28" s="6">
        <f>SUM([1]Manu_solvent!$G$22:$G$25)</f>
        <v>477.82153386253088</v>
      </c>
      <c r="F28" s="6"/>
      <c r="G28" s="6"/>
      <c r="H28" s="6"/>
      <c r="I28" s="6"/>
      <c r="J28" s="6"/>
      <c r="K28" s="7" t="s">
        <v>50</v>
      </c>
      <c r="L28" s="6">
        <f>SUM([1]Manu_solvent!$G$42:$G$45)</f>
        <v>4426.4016066858003</v>
      </c>
    </row>
    <row r="29" spans="2:12" x14ac:dyDescent="0.2">
      <c r="B29" s="6"/>
      <c r="C29" s="6"/>
      <c r="D29" s="7" t="s">
        <v>51</v>
      </c>
      <c r="E29" s="6">
        <f>SUM([1]Manu_water!$G$22:$G$25)</f>
        <v>5.6124259182998824</v>
      </c>
      <c r="F29" s="6"/>
      <c r="G29" s="6"/>
      <c r="H29" s="6"/>
      <c r="I29" s="6"/>
      <c r="J29" s="6"/>
      <c r="K29" s="7" t="s">
        <v>51</v>
      </c>
      <c r="L29" s="6">
        <f>SUM([1]Manu_water!$G$42:$G$45)</f>
        <v>51.991903548898904</v>
      </c>
    </row>
    <row r="30" spans="2:12" x14ac:dyDescent="0.2">
      <c r="B30" s="6"/>
      <c r="C30" s="6"/>
      <c r="D30" s="7" t="s">
        <v>52</v>
      </c>
      <c r="E30" s="6">
        <f>SUM([1]Manu_solid!$G$22:$G$25)</f>
        <v>4.6162810583418947</v>
      </c>
      <c r="F30" s="6"/>
      <c r="G30" s="6"/>
      <c r="H30" s="6"/>
      <c r="I30" s="6"/>
      <c r="J30" s="6"/>
      <c r="K30" s="7" t="s">
        <v>52</v>
      </c>
      <c r="L30" s="6">
        <f>SUM([1]Manu_solid!$G$42:$G$45)</f>
        <v>42.763903351908176</v>
      </c>
    </row>
    <row r="33" spans="1:9" x14ac:dyDescent="0.2">
      <c r="A33" s="6" t="s">
        <v>33</v>
      </c>
      <c r="B33">
        <v>11.661230934975343</v>
      </c>
      <c r="C33">
        <v>0</v>
      </c>
      <c r="D33">
        <v>0</v>
      </c>
      <c r="E33">
        <v>0.79139983523563984</v>
      </c>
      <c r="F33">
        <v>0</v>
      </c>
      <c r="G33">
        <v>0</v>
      </c>
      <c r="H33" s="6">
        <f>SUM(B33:G33)</f>
        <v>12.452630770210982</v>
      </c>
      <c r="I33" s="6"/>
    </row>
    <row r="34" spans="1:9" x14ac:dyDescent="0.2">
      <c r="A34" s="6" t="s">
        <v>34</v>
      </c>
      <c r="B34">
        <v>752.82368416949657</v>
      </c>
      <c r="C34">
        <v>0.3833457510927587</v>
      </c>
      <c r="D34">
        <v>104.11765121838268</v>
      </c>
      <c r="E34">
        <v>51.563370708136546</v>
      </c>
      <c r="F34">
        <v>121.44116288159573</v>
      </c>
      <c r="G34">
        <v>477.82153386253088</v>
      </c>
      <c r="H34" s="6">
        <f t="shared" ref="H34:H36" si="0">SUM(B34:G34)</f>
        <v>1508.1507485912352</v>
      </c>
      <c r="I34" s="6"/>
    </row>
    <row r="35" spans="1:9" x14ac:dyDescent="0.2">
      <c r="A35" s="6" t="s">
        <v>35</v>
      </c>
      <c r="B35">
        <v>22.925821361958327</v>
      </c>
      <c r="C35">
        <v>18.237470200923582</v>
      </c>
      <c r="D35">
        <v>920.75307938095625</v>
      </c>
      <c r="E35">
        <v>1.158544088695473</v>
      </c>
      <c r="F35">
        <v>456.36616254318619</v>
      </c>
      <c r="G35">
        <v>5.6124259182998824</v>
      </c>
      <c r="H35" s="6">
        <f t="shared" si="0"/>
        <v>1425.0535034940197</v>
      </c>
      <c r="I35" s="6"/>
    </row>
    <row r="36" spans="1:9" x14ac:dyDescent="0.2">
      <c r="A36" s="6" t="s">
        <v>36</v>
      </c>
      <c r="B36">
        <v>5.6322952134914939</v>
      </c>
      <c r="C36">
        <v>5.7094048035091723E-2</v>
      </c>
      <c r="D36">
        <v>3.2611563168976185</v>
      </c>
      <c r="E36">
        <v>0.39977929821181829</v>
      </c>
      <c r="F36">
        <v>0.79510582244898986</v>
      </c>
      <c r="G36">
        <v>4.6162810583418947</v>
      </c>
      <c r="H36" s="6">
        <f t="shared" si="0"/>
        <v>14.761711757426909</v>
      </c>
      <c r="I36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Upper left</vt:lpstr>
      <vt:lpstr>Upper Middle</vt:lpstr>
      <vt:lpstr>Upper right</vt:lpstr>
      <vt:lpstr>Down 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Bingzheng Wang</dc:creator>
  <cp:lastModifiedBy>Bingzheng Wang</cp:lastModifiedBy>
  <dcterms:created xsi:type="dcterms:W3CDTF">2025-12-16T17:42:50Z</dcterms:created>
  <dcterms:modified xsi:type="dcterms:W3CDTF">2026-01-20T23:15:15Z</dcterms:modified>
</cp:coreProperties>
</file>