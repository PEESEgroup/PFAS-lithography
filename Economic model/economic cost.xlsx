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llprod-my.sharepoint.com/personal/bw537_cornell_edu/Documents/1A-PFAS-destruction/Code/Chapter 2/Test code/IER-economic model/"/>
    </mc:Choice>
  </mc:AlternateContent>
  <xr:revisionPtr revIDLastSave="47" documentId="8_{96E2F093-0256-0049-977B-7250866B765A}" xr6:coauthVersionLast="47" xr6:coauthVersionMax="47" xr10:uidLastSave="{6A8D9418-42C8-F047-AA99-ADE197F80318}"/>
  <bookViews>
    <workbookView xWindow="30240" yWindow="600" windowWidth="38400" windowHeight="21000" xr2:uid="{3F0BA848-66DB-0246-92FD-896AF096B289}"/>
  </bookViews>
  <sheets>
    <sheet name="IER" sheetId="1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B13" i="1" a="1"/>
  <c r="B13" i="1" s="1"/>
  <c r="B15" i="1" s="1"/>
  <c r="B23" i="1" l="1"/>
  <c r="B19" i="1"/>
  <c r="C6" i="1"/>
  <c r="B6" i="1"/>
  <c r="B5" i="1"/>
  <c r="B4" i="1" a="1"/>
  <c r="B4" i="1" s="1"/>
  <c r="B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<sst xmlns="http://schemas.openxmlformats.org/spreadsheetml/2006/main" count="20" uniqueCount="15">
  <si>
    <t>Cost</t>
  </si>
  <si>
    <t>$/year</t>
  </si>
  <si>
    <t>Usage of IER</t>
  </si>
  <si>
    <t>ton/year</t>
  </si>
  <si>
    <t>all throwaway without any regeneration</t>
  </si>
  <si>
    <t>Unit absorption ability</t>
  </si>
  <si>
    <t>Unit price</t>
  </si>
  <si>
    <t>$/kg</t>
  </si>
  <si>
    <t>Wastewater treatement</t>
  </si>
  <si>
    <t>Solvent</t>
  </si>
  <si>
    <t>destruction</t>
  </si>
  <si>
    <t>unit price</t>
  </si>
  <si>
    <t>kgPFAS/year</t>
  </si>
  <si>
    <t>gas</t>
  </si>
  <si>
    <t>solid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</si>
</sst>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3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/IER-economic%20model/IER-wastewater-.xlsm" TargetMode="External"/><Relationship Id="rId1" Type="http://schemas.openxmlformats.org/officeDocument/2006/relationships/externalLinkPath" Target="IER-wastewater-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/destruction%20tech/Database-IAM%20scenarios-Basic%202025.xlsx" TargetMode="External"/><Relationship Id="rId1" Type="http://schemas.openxmlformats.org/officeDocument/2006/relationships/externalLinkPath" Target="/personal/bw537_cornell_edu/Documents/1A-PFAS-destruction/Code/Chapter%202/Test%20code/destruction%20tech/Database-IAM%20scenarios-Basic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ornellprod-my.sharepoint.com/personal/bw537_cornell_edu/Documents/1A-PFAS-destruction/Code/Chapter%202/Test%20code/IER-economic%20model/Incineration-solvent.xlsm" TargetMode="External"/><Relationship Id="rId1" Type="http://schemas.openxmlformats.org/officeDocument/2006/relationships/externalLinkPath" Target="Incineration-solven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le Page"/>
      <sheetName val="Index"/>
      <sheetName val="INPUT"/>
      <sheetName val="OUTPUT"/>
      <sheetName val="Critical Design Assumptions"/>
      <sheetName val="O&amp;M Assumptions"/>
      <sheetName val="Indirect Assumptions"/>
      <sheetName val="Vessel Constraints"/>
      <sheetName val="Backwash and Bed Life"/>
      <sheetName val="pH Adjust"/>
      <sheetName val="Pumps Pipe Structure"/>
      <sheetName val="Instrumentation and Control"/>
      <sheetName val="Residuals Management"/>
      <sheetName val="O&amp;M"/>
      <sheetName val="HVAC"/>
      <sheetName val="Indirect"/>
      <sheetName val="PFAS Reference"/>
      <sheetName val="Standard Inputs"/>
      <sheetName val="AutoSize"/>
      <sheetName val="Cost Equations"/>
      <sheetName val="Cost Coefficients"/>
      <sheetName val="Cost Data"/>
      <sheetName val="Engineering Data"/>
      <sheetName val="Lookup Tables"/>
      <sheetName val="IER-wastewater-"/>
    </sheetNames>
    <definedNames>
      <definedName name="Annualized_Cost" refersTo="='OUTPUT'!$C$443"/>
    </definedNames>
    <sheetDataSet>
      <sheetData sheetId="0"/>
      <sheetData sheetId="1"/>
      <sheetData sheetId="2"/>
      <sheetData sheetId="3">
        <row r="426">
          <cell r="C426">
            <v>26.010713669632079</v>
          </cell>
        </row>
        <row r="443">
          <cell r="C443">
            <v>854004.86420241778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41">
          <cell r="C441">
            <v>4500</v>
          </cell>
        </row>
        <row r="443">
          <cell r="C443">
            <v>6000</v>
          </cell>
        </row>
      </sheetData>
      <sheetData sheetId="22"/>
      <sheetData sheetId="23"/>
      <sheetData sheetId="2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LCI"/>
      <sheetName val="SSP"/>
      <sheetName val="RO-SDS"/>
      <sheetName val="RO-CSA"/>
      <sheetName val="RO membrane"/>
      <sheetName val="GAC"/>
      <sheetName val="IER"/>
      <sheetName val="Post fully"/>
      <sheetName val="Incineration"/>
      <sheetName val="Incineration-solvent"/>
      <sheetName val="Post partial"/>
      <sheetName val="All raw data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A1">
            <v>1.63</v>
          </cell>
          <cell r="B1" t="str">
            <v>g/gPFAS convert via GAC weight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tle Page"/>
      <sheetName val="Index"/>
      <sheetName val="INPUT"/>
      <sheetName val="OUTPUT"/>
      <sheetName val="Critical Design Assumptions"/>
      <sheetName val="O&amp;M Assumptions"/>
      <sheetName val="Indirect Assumptions"/>
      <sheetName val="Vessel Constraints"/>
      <sheetName val="Backwash and Bed Life"/>
      <sheetName val="pH Adjust"/>
      <sheetName val="Pumps Pipe Structure"/>
      <sheetName val="Instrumentation and Control"/>
      <sheetName val="Residuals Management"/>
      <sheetName val="O&amp;M"/>
      <sheetName val="HVAC"/>
      <sheetName val="Indirect"/>
      <sheetName val="PFAS Reference"/>
      <sheetName val="Standard Inputs"/>
      <sheetName val="AutoSize"/>
      <sheetName val="Cost Equations"/>
      <sheetName val="Cost Coefficients"/>
      <sheetName val="Cost Data"/>
      <sheetName val="Engineering Data"/>
      <sheetName val="Lookup Tables"/>
      <sheetName val="Incineration-solvent"/>
    </sheetNames>
    <definedNames>
      <definedName name="Annualized_Cost" refersTo="='OUTPUT'!$C$443"/>
    </definedNames>
    <sheetDataSet>
      <sheetData sheetId="0"/>
      <sheetData sheetId="1"/>
      <sheetData sheetId="2"/>
      <sheetData sheetId="3">
        <row r="425">
          <cell r="C425">
            <v>785000000</v>
          </cell>
        </row>
        <row r="443">
          <cell r="C443">
            <v>3462756816.55828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43">
          <cell r="C443">
            <v>6000</v>
          </cell>
        </row>
      </sheetData>
      <sheetData sheetId="22"/>
      <sheetData sheetId="23"/>
      <sheetData sheetId="24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847B1-7908-2F4F-B51F-9B9AF9863455}">
  <dimension ref="A2:D23"/>
  <sheetViews>
    <sheetView tabSelected="1" workbookViewId="0">
      <selection activeCell="A29" sqref="A29"/>
    </sheetView>
  </sheetViews>
  <sheetFormatPr baseColWidth="10" defaultRowHeight="16" x14ac:dyDescent="0.2"/>
  <cols>
    <col min="2" max="2" width="11.1640625" bestFit="1" customWidth="1"/>
  </cols>
  <sheetData>
    <row r="2" spans="1:4" x14ac:dyDescent="0.2">
      <c r="A2" t="s">
        <v>8</v>
      </c>
    </row>
    <row r="4" spans="1:4" x14ac:dyDescent="0.2">
      <c r="A4" t="s">
        <v>0</v>
      </c>
      <c r="B4" cm="1">
        <f t="array" ref="B4">[1]!Annualized_Cost</f>
        <v>854004.86420241778</v>
      </c>
      <c r="C4" t="s">
        <v>1</v>
      </c>
    </row>
    <row r="5" spans="1:4" x14ac:dyDescent="0.2">
      <c r="A5" t="s">
        <v>2</v>
      </c>
      <c r="B5">
        <f>[1]OUTPUT!$C$426</f>
        <v>26.010713669632079</v>
      </c>
      <c r="C5" t="s">
        <v>3</v>
      </c>
      <c r="D5" t="s">
        <v>4</v>
      </c>
    </row>
    <row r="6" spans="1:4" x14ac:dyDescent="0.2">
      <c r="A6" t="s">
        <v>5</v>
      </c>
      <c r="B6">
        <f>[2]IER!$A$1</f>
        <v>1.63</v>
      </c>
      <c r="C6" t="str">
        <f>[2]IER!$B$1</f>
        <v>g/gPFAS convert via GAC weight</v>
      </c>
    </row>
    <row r="8" spans="1:4" x14ac:dyDescent="0.2">
      <c r="A8" t="s">
        <v>6</v>
      </c>
      <c r="B8">
        <f>B4/B5/B6/1000</f>
        <v>20.142829266274862</v>
      </c>
      <c r="C8" t="s">
        <v>7</v>
      </c>
    </row>
    <row r="11" spans="1:4" x14ac:dyDescent="0.2">
      <c r="A11" t="s">
        <v>9</v>
      </c>
    </row>
    <row r="13" spans="1:4" x14ac:dyDescent="0.2">
      <c r="A13" t="s">
        <v>0</v>
      </c>
      <c r="B13" cm="1">
        <f t="array" ref="B13">[3]!Annualized_Cost</f>
        <v>3462756816.55828</v>
      </c>
      <c r="C13" t="s">
        <v>1</v>
      </c>
    </row>
    <row r="14" spans="1:4" x14ac:dyDescent="0.2">
      <c r="A14" t="s">
        <v>10</v>
      </c>
      <c r="B14">
        <f>[3]OUTPUT!$C$425*3.785</f>
        <v>2971225000</v>
      </c>
      <c r="C14" t="s">
        <v>12</v>
      </c>
    </row>
    <row r="15" spans="1:4" x14ac:dyDescent="0.2">
      <c r="A15" t="s">
        <v>11</v>
      </c>
      <c r="B15">
        <f>B13/B14</f>
        <v>1.1654306949350117</v>
      </c>
      <c r="C15" t="s">
        <v>7</v>
      </c>
    </row>
    <row r="19" spans="1:3" x14ac:dyDescent="0.2">
      <c r="A19" t="s">
        <v>13</v>
      </c>
      <c r="B19">
        <f>B15</f>
        <v>1.1654306949350117</v>
      </c>
      <c r="C19" t="s">
        <v>7</v>
      </c>
    </row>
    <row r="23" spans="1:3" x14ac:dyDescent="0.2">
      <c r="A23" t="s">
        <v>14</v>
      </c>
      <c r="B23">
        <f>B15</f>
        <v>1.1654306949350117</v>
      </c>
      <c r="C2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Bingzheng Wang</dc:creator>
  <cp:lastModifiedBy>Bingzheng Wang</cp:lastModifiedBy>
  <dcterms:created xsi:type="dcterms:W3CDTF">2026-01-07T15:58:00Z</dcterms:created>
  <dcterms:modified xsi:type="dcterms:W3CDTF">2026-02-19T20:57:34Z</dcterms:modified>
</cp:coreProperties>
</file>