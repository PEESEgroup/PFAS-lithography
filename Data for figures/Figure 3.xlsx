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https://cornellprod-my.sharepoint.com/personal/bw537_cornell_edu/Documents/1A-PFAS-destruction/Code/Chapter 2/Test code/data for figures/"/>
    </mc:Choice>
  </mc:AlternateContent>
  <xr:revisionPtr revIDLastSave="559" documentId="8_{4B7BFD48-DA00-A04B-B7C6-106DBB45BD97}" xr6:coauthVersionLast="47" xr6:coauthVersionMax="47" xr10:uidLastSave="{8F8BA4B8-9E58-044C-9B42-301D21EB73C1}"/>
  <bookViews>
    <workbookView xWindow="37140" yWindow="1580" windowWidth="30240" windowHeight="17420" xr2:uid="{0D61C62B-F9C4-E64A-9FC6-C897366F8DFB}"/>
  </bookViews>
  <sheets>
    <sheet name="Upper left" sheetId="1" r:id="rId1"/>
    <sheet name="Upper Middle" sheetId="2" r:id="rId2"/>
    <sheet name="Upper right" sheetId="3" r:id="rId3"/>
    <sheet name="Down side" sheetId="4" r:id="rId4"/>
  </sheets>
  <externalReferences>
    <externalReference r:id="rId5"/>
    <externalReference r:id="rId6"/>
    <externalReference r:id="rId7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B24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B42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B41" i="1"/>
  <c r="N14" i="1" l="1"/>
  <c r="G16" i="1"/>
  <c r="H16" i="1"/>
  <c r="Q16" i="1"/>
  <c r="C11" i="1"/>
  <c r="D11" i="1"/>
  <c r="E11" i="1"/>
  <c r="F11" i="1"/>
  <c r="F16" i="1" s="1"/>
  <c r="G11" i="1"/>
  <c r="H11" i="1"/>
  <c r="I11" i="1"/>
  <c r="I15" i="1" s="1"/>
  <c r="J11" i="1"/>
  <c r="J16" i="1" s="1"/>
  <c r="K11" i="1"/>
  <c r="K16" i="1" s="1"/>
  <c r="L11" i="1"/>
  <c r="M11" i="1"/>
  <c r="N11" i="1"/>
  <c r="O11" i="1"/>
  <c r="P11" i="1"/>
  <c r="P16" i="1" s="1"/>
  <c r="Q11" i="1"/>
  <c r="R11" i="1"/>
  <c r="S11" i="1"/>
  <c r="S15" i="1" s="1"/>
  <c r="T11" i="1"/>
  <c r="T16" i="1" s="1"/>
  <c r="B11" i="1"/>
  <c r="B16" i="1" s="1"/>
  <c r="B6" i="1"/>
  <c r="C6" i="1"/>
  <c r="C13" i="1" s="1"/>
  <c r="D6" i="1"/>
  <c r="E6" i="1"/>
  <c r="E13" i="1" s="1"/>
  <c r="F6" i="1"/>
  <c r="G6" i="1"/>
  <c r="G13" i="1" s="1"/>
  <c r="H6" i="1"/>
  <c r="H13" i="1" s="1"/>
  <c r="I6" i="1"/>
  <c r="I13" i="1" s="1"/>
  <c r="J6" i="1"/>
  <c r="J13" i="1" s="1"/>
  <c r="K6" i="1"/>
  <c r="L6" i="1"/>
  <c r="L13" i="1" s="1"/>
  <c r="M6" i="1"/>
  <c r="M13" i="1" s="1"/>
  <c r="N6" i="1"/>
  <c r="N13" i="1" s="1"/>
  <c r="O6" i="1"/>
  <c r="O13" i="1" s="1"/>
  <c r="P6" i="1"/>
  <c r="P13" i="1" s="1"/>
  <c r="Q6" i="1"/>
  <c r="Q13" i="1" s="1"/>
  <c r="R6" i="1"/>
  <c r="R13" i="1" s="1"/>
  <c r="S6" i="1"/>
  <c r="T6" i="1"/>
  <c r="T13" i="1" s="1"/>
  <c r="B7" i="1"/>
  <c r="B14" i="1" s="1"/>
  <c r="C7" i="1"/>
  <c r="C14" i="1" s="1"/>
  <c r="D7" i="1"/>
  <c r="D14" i="1" s="1"/>
  <c r="E7" i="1"/>
  <c r="F7" i="1"/>
  <c r="G7" i="1"/>
  <c r="H7" i="1"/>
  <c r="H14" i="1" s="1"/>
  <c r="I7" i="1"/>
  <c r="I14" i="1" s="1"/>
  <c r="J7" i="1"/>
  <c r="J14" i="1" s="1"/>
  <c r="K7" i="1"/>
  <c r="L7" i="1"/>
  <c r="L14" i="1" s="1"/>
  <c r="M7" i="1"/>
  <c r="M14" i="1" s="1"/>
  <c r="N7" i="1"/>
  <c r="O7" i="1"/>
  <c r="P7" i="1"/>
  <c r="Q7" i="1"/>
  <c r="R7" i="1"/>
  <c r="S7" i="1"/>
  <c r="T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A7" i="1"/>
  <c r="A8" i="1"/>
  <c r="A9" i="1"/>
  <c r="A6" i="1"/>
  <c r="K13" i="1" l="1"/>
  <c r="S14" i="1"/>
  <c r="R16" i="1"/>
  <c r="F14" i="1"/>
  <c r="O15" i="1"/>
  <c r="E16" i="1"/>
  <c r="K14" i="1"/>
  <c r="R14" i="1"/>
  <c r="P14" i="1"/>
  <c r="T14" i="1"/>
  <c r="S13" i="1"/>
  <c r="F13" i="1"/>
  <c r="R15" i="1"/>
  <c r="H15" i="1"/>
  <c r="Q14" i="1"/>
  <c r="G14" i="1"/>
  <c r="I16" i="1"/>
  <c r="Q15" i="1"/>
  <c r="O14" i="1"/>
  <c r="D16" i="1"/>
  <c r="S16" i="1"/>
  <c r="G15" i="1"/>
  <c r="N16" i="1"/>
  <c r="M16" i="1"/>
  <c r="C16" i="1"/>
  <c r="B15" i="1"/>
  <c r="E14" i="1"/>
  <c r="D13" i="1"/>
  <c r="B13" i="1"/>
  <c r="L16" i="1"/>
  <c r="F15" i="1"/>
  <c r="E15" i="1"/>
  <c r="O16" i="1"/>
  <c r="L15" i="1"/>
  <c r="P15" i="1"/>
  <c r="N15" i="1"/>
  <c r="D15" i="1"/>
  <c r="M15" i="1"/>
  <c r="C15" i="1"/>
  <c r="K15" i="1"/>
  <c r="T15" i="1"/>
  <c r="J15" i="1"/>
  <c r="C29" i="1" l="1"/>
  <c r="C37" i="1" s="1"/>
  <c r="D29" i="1"/>
  <c r="D37" i="1" s="1"/>
  <c r="E29" i="1"/>
  <c r="E37" i="1" s="1"/>
  <c r="F29" i="1"/>
  <c r="F37" i="1" s="1"/>
  <c r="G29" i="1"/>
  <c r="G37" i="1" s="1"/>
  <c r="H29" i="1"/>
  <c r="H37" i="1" s="1"/>
  <c r="I29" i="1"/>
  <c r="I37" i="1" s="1"/>
  <c r="J29" i="1"/>
  <c r="J37" i="1" s="1"/>
  <c r="K29" i="1"/>
  <c r="K37" i="1" s="1"/>
  <c r="L29" i="1"/>
  <c r="L37" i="1" s="1"/>
  <c r="M29" i="1"/>
  <c r="M37" i="1" s="1"/>
  <c r="N29" i="1"/>
  <c r="N37" i="1" s="1"/>
  <c r="O29" i="1"/>
  <c r="O37" i="1" s="1"/>
  <c r="P29" i="1"/>
  <c r="P37" i="1" s="1"/>
  <c r="Q29" i="1"/>
  <c r="Q37" i="1" s="1"/>
  <c r="R29" i="1"/>
  <c r="R37" i="1" s="1"/>
  <c r="S29" i="1"/>
  <c r="S37" i="1" s="1"/>
  <c r="T29" i="1"/>
  <c r="T37" i="1" s="1"/>
  <c r="B29" i="1"/>
  <c r="B37" i="1" s="1"/>
  <c r="A25" i="1"/>
  <c r="B25" i="1"/>
  <c r="C25" i="1"/>
  <c r="D25" i="1"/>
  <c r="E25" i="1"/>
  <c r="F25" i="1"/>
  <c r="G25" i="1"/>
  <c r="H25" i="1"/>
  <c r="H33" i="1" s="1"/>
  <c r="I25" i="1"/>
  <c r="J25" i="1"/>
  <c r="J33" i="1" s="1"/>
  <c r="K25" i="1"/>
  <c r="L25" i="1"/>
  <c r="M25" i="1"/>
  <c r="N25" i="1"/>
  <c r="O25" i="1"/>
  <c r="P25" i="1"/>
  <c r="Q25" i="1"/>
  <c r="R25" i="1"/>
  <c r="R33" i="1" s="1"/>
  <c r="S25" i="1"/>
  <c r="T25" i="1"/>
  <c r="T33" i="1" s="1"/>
  <c r="A26" i="1"/>
  <c r="B26" i="1"/>
  <c r="C26" i="1"/>
  <c r="C34" i="1" s="1"/>
  <c r="D26" i="1"/>
  <c r="E26" i="1"/>
  <c r="F26" i="1"/>
  <c r="G26" i="1"/>
  <c r="H26" i="1"/>
  <c r="H34" i="1" s="1"/>
  <c r="I26" i="1"/>
  <c r="J26" i="1"/>
  <c r="J34" i="1" s="1"/>
  <c r="K26" i="1"/>
  <c r="L26" i="1"/>
  <c r="M26" i="1"/>
  <c r="M34" i="1" s="1"/>
  <c r="N26" i="1"/>
  <c r="O26" i="1"/>
  <c r="P26" i="1"/>
  <c r="Q26" i="1"/>
  <c r="R26" i="1"/>
  <c r="R34" i="1" s="1"/>
  <c r="S26" i="1"/>
  <c r="T26" i="1"/>
  <c r="T34" i="1" s="1"/>
  <c r="A27" i="1"/>
  <c r="B27" i="1"/>
  <c r="C27" i="1"/>
  <c r="C35" i="1" s="1"/>
  <c r="D27" i="1"/>
  <c r="E27" i="1"/>
  <c r="F27" i="1"/>
  <c r="G27" i="1"/>
  <c r="H27" i="1"/>
  <c r="H35" i="1" s="1"/>
  <c r="I27" i="1"/>
  <c r="J27" i="1"/>
  <c r="J35" i="1" s="1"/>
  <c r="K27" i="1"/>
  <c r="L27" i="1"/>
  <c r="M27" i="1"/>
  <c r="M35" i="1" s="1"/>
  <c r="N27" i="1"/>
  <c r="O27" i="1"/>
  <c r="P27" i="1"/>
  <c r="Q27" i="1"/>
  <c r="R27" i="1"/>
  <c r="R35" i="1" s="1"/>
  <c r="S27" i="1"/>
  <c r="T27" i="1"/>
  <c r="T35" i="1" s="1"/>
  <c r="A24" i="1"/>
  <c r="C32" i="1"/>
  <c r="D32" i="1"/>
  <c r="E32" i="1"/>
  <c r="F32" i="1"/>
  <c r="G32" i="1"/>
  <c r="H32" i="1"/>
  <c r="I32" i="1"/>
  <c r="J32" i="1"/>
  <c r="M32" i="1"/>
  <c r="N32" i="1"/>
  <c r="O32" i="1"/>
  <c r="L32" i="1" l="1"/>
  <c r="T32" i="1"/>
  <c r="S32" i="1"/>
  <c r="Q32" i="1"/>
  <c r="B32" i="1"/>
  <c r="R32" i="1"/>
  <c r="P32" i="1"/>
  <c r="S35" i="1"/>
  <c r="I35" i="1"/>
  <c r="S34" i="1"/>
  <c r="I34" i="1"/>
  <c r="S33" i="1"/>
  <c r="I33" i="1"/>
  <c r="Q34" i="1"/>
  <c r="K32" i="1"/>
  <c r="B35" i="1"/>
  <c r="B34" i="1"/>
  <c r="B33" i="1"/>
  <c r="K35" i="1"/>
  <c r="K34" i="1"/>
  <c r="K33" i="1"/>
  <c r="M33" i="1"/>
  <c r="C33" i="1"/>
  <c r="L35" i="1"/>
  <c r="L33" i="1"/>
  <c r="G34" i="1"/>
  <c r="O35" i="1"/>
  <c r="E35" i="1"/>
  <c r="O34" i="1"/>
  <c r="E34" i="1"/>
  <c r="P35" i="1"/>
  <c r="F35" i="1"/>
  <c r="P34" i="1"/>
  <c r="F34" i="1"/>
  <c r="P33" i="1"/>
  <c r="F33" i="1"/>
  <c r="N35" i="1"/>
  <c r="D35" i="1"/>
  <c r="N34" i="1"/>
  <c r="D34" i="1"/>
  <c r="N33" i="1"/>
  <c r="D33" i="1"/>
  <c r="L34" i="1"/>
  <c r="Q33" i="1"/>
  <c r="G33" i="1"/>
  <c r="Q35" i="1"/>
  <c r="G35" i="1"/>
  <c r="O33" i="1"/>
  <c r="E33" i="1"/>
</calcChain>
</file>

<file path=xl/sharedStrings.xml><?xml version="1.0" encoding="utf-8"?>
<sst xmlns="http://schemas.openxmlformats.org/spreadsheetml/2006/main" count="68" uniqueCount="29">
  <si>
    <t>这个工作表之前出问题了，目前只更新Fig2 d,e,h i-n，剩下的四个小图，数据从图中来</t>
  </si>
  <si>
    <t>Fig 2d</t>
  </si>
  <si>
    <t>CC</t>
  </si>
  <si>
    <t>AC</t>
  </si>
  <si>
    <t>ECF</t>
  </si>
  <si>
    <t>EF</t>
  </si>
  <si>
    <t>EM</t>
  </si>
  <si>
    <t>ET</t>
  </si>
  <si>
    <t>HTC</t>
  </si>
  <si>
    <t>HTN</t>
  </si>
  <si>
    <t>IR</t>
  </si>
  <si>
    <t>LU</t>
  </si>
  <si>
    <t>MR</t>
  </si>
  <si>
    <t>OD</t>
  </si>
  <si>
    <t>PMF</t>
  </si>
  <si>
    <t>POF</t>
  </si>
  <si>
    <t>WU</t>
  </si>
  <si>
    <t>CED</t>
  </si>
  <si>
    <t>IER</t>
  </si>
  <si>
    <t>Baseline 2025</t>
  </si>
  <si>
    <t>GAC</t>
  </si>
  <si>
    <t>NDI-2030</t>
  </si>
  <si>
    <t>PkDuge 500-2030</t>
  </si>
  <si>
    <t>PkDuge 1150-2030</t>
  </si>
  <si>
    <t>SSP5-Base-2030</t>
  </si>
  <si>
    <t>Figure 2 h</t>
  </si>
  <si>
    <t>Error bar</t>
  </si>
  <si>
    <t>aggressive</t>
  </si>
  <si>
    <t>Fig2 i-n在外面那一层的media和process的文件中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</si>
</sst>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top"/>
    </xf>
    <xf numFmtId="0" fontId="4" fillId="0" borderId="0" xfId="0" applyFont="1"/>
    <xf numFmtId="0" fontId="1" fillId="0" borderId="0" xfId="0" applyFont="1"/>
    <xf numFmtId="0" fontId="5" fillId="0" borderId="0" xfId="0" applyFont="1"/>
    <xf numFmtId="11" fontId="0" fillId="0" borderId="0" xfId="0" applyNumberFormat="1"/>
    <xf numFmtId="2" fontId="0" fillId="0" borderId="0" xfId="0" applyNumberForma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microsoft.com/office/2017/10/relationships/person" Target="persons/perso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Users/bzwang/Library/CloudStorage/OneDrive-CornellUniversity/1A-PFAS-destruction/Code/Chapter%202/Test%20code/destruction%20tech/destruction%20summary.xls" TargetMode="External"/><Relationship Id="rId1" Type="http://schemas.openxmlformats.org/officeDocument/2006/relationships/externalLinkPath" Target="/Users/bzwang/Library/CloudStorage/OneDrive-CornellUniversity/1A-PFAS-destruction/Code/Chapter%202/Test%20code/destruction%20tech/destruction%20summary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/Figure%202%206%20processes.xlsx" TargetMode="External"/><Relationship Id="rId1" Type="http://schemas.openxmlformats.org/officeDocument/2006/relationships/externalLinkPath" Target="/personal/bw537_cornell_edu/Documents/1A-PFAS-destruction/Code/Chapter%202/Test%20code/Figure%202%206%20proces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Users/bzwang/Library/CloudStorage/OneDrive-CornellUniversity/1A-PFAS-destruction/Code/Chapter%202/Test%20code/destruction%20tech/destruction%20summary.xls" TargetMode="External"/><Relationship Id="rId1" Type="http://schemas.openxmlformats.org/officeDocument/2006/relationships/externalLinkPath" Target="/Users/bzwang/Library/CloudStorage/OneDrive-CornellUniversity/1A-PFAS-destruction/Code/Chapter%202/Test%20code/destruction%20tech/destruction%20summar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for python-GAC"/>
      <sheetName val="data for python-IER"/>
      <sheetName val="data for python-RO"/>
      <sheetName val="data for python-incineration"/>
      <sheetName val="data incin solvent"/>
      <sheetName val=" data draft"/>
      <sheetName val="2030"/>
      <sheetName val="2035"/>
      <sheetName val="Sheet2"/>
      <sheetName val="data for python-IER-methods"/>
    </sheetNames>
    <sheetDataSet>
      <sheetData sheetId="0"/>
      <sheetData sheetId="1"/>
      <sheetData sheetId="2"/>
      <sheetData sheetId="3"/>
      <sheetData sheetId="4"/>
      <sheetData sheetId="5">
        <row r="29">
          <cell r="B29">
            <v>14.543245216716471</v>
          </cell>
          <cell r="C29">
            <v>3.1038175324651047E-2</v>
          </cell>
          <cell r="D29">
            <v>122.62094867412364</v>
          </cell>
          <cell r="E29">
            <v>114.91739198323289</v>
          </cell>
          <cell r="F29">
            <v>7.7035566908907498</v>
          </cell>
          <cell r="G29">
            <v>138.05842919195769</v>
          </cell>
          <cell r="H29">
            <v>2.3908857533591499E-3</v>
          </cell>
          <cell r="I29">
            <v>7.3601166052747347E-3</v>
          </cell>
          <cell r="J29">
            <v>6.8661321879423864E-2</v>
          </cell>
          <cell r="K29">
            <v>1.6676751182583231E-6</v>
          </cell>
          <cell r="L29">
            <v>1.1902375392981424E-6</v>
          </cell>
          <cell r="M29">
            <v>0.23105956729389035</v>
          </cell>
          <cell r="N29">
            <v>20.780901628842802</v>
          </cell>
          <cell r="O29">
            <v>4.1923638937836407E-5</v>
          </cell>
          <cell r="P29">
            <v>1.6939663237219851E-4</v>
          </cell>
          <cell r="Q29">
            <v>3.6301571499051434E-7</v>
          </cell>
          <cell r="R29">
            <v>2.9076267942116766E-2</v>
          </cell>
          <cell r="S29">
            <v>2.0214696548558115</v>
          </cell>
          <cell r="T29">
            <v>152.01726779328814</v>
          </cell>
        </row>
        <row r="32">
          <cell r="A32" t="str">
            <v>NDI-2030</v>
          </cell>
        </row>
        <row r="33">
          <cell r="A33" t="str">
            <v>PkDuge 500-2030</v>
          </cell>
          <cell r="B33">
            <v>12.529921277080714</v>
          </cell>
          <cell r="C33">
            <v>2.0743790740083409E-2</v>
          </cell>
          <cell r="D33">
            <v>118.31505418765923</v>
          </cell>
          <cell r="E33">
            <v>111.26809506799849</v>
          </cell>
          <cell r="F33">
            <v>7.0469591196607402</v>
          </cell>
          <cell r="G33">
            <v>116.02621821899358</v>
          </cell>
          <cell r="H33">
            <v>1.6956996327606721E-3</v>
          </cell>
          <cell r="I33">
            <v>4.6844240337364654E-3</v>
          </cell>
          <cell r="J33">
            <v>4.0872383726788718E-2</v>
          </cell>
          <cell r="K33">
            <v>1.384439643619947E-6</v>
          </cell>
          <cell r="L33">
            <v>9.4049801435617834E-7</v>
          </cell>
          <cell r="M33">
            <v>0.21455405606976305</v>
          </cell>
          <cell r="N33">
            <v>22.858417047036554</v>
          </cell>
          <cell r="O33">
            <v>4.8029088421837652E-5</v>
          </cell>
          <cell r="P33">
            <v>1.6940102757408181E-4</v>
          </cell>
          <cell r="Q33">
            <v>3.0602868716524072E-7</v>
          </cell>
          <cell r="R33">
            <v>2.0813573322450193E-2</v>
          </cell>
          <cell r="S33">
            <v>1.9068667688027892</v>
          </cell>
          <cell r="T33">
            <v>135.97486954175397</v>
          </cell>
        </row>
        <row r="34">
          <cell r="A34" t="str">
            <v>PkDuge 1150-2030</v>
          </cell>
          <cell r="B34">
            <v>13.037552715047568</v>
          </cell>
          <cell r="C34">
            <v>2.172831855679612E-2</v>
          </cell>
          <cell r="D34">
            <v>119.33753091174631</v>
          </cell>
          <cell r="E34">
            <v>111.94197219953736</v>
          </cell>
          <cell r="F34">
            <v>7.3955587122090147</v>
          </cell>
          <cell r="G34">
            <v>120.15055439146902</v>
          </cell>
          <cell r="H34">
            <v>1.7913469399717804E-3</v>
          </cell>
          <cell r="I34">
            <v>4.8793486307453842E-3</v>
          </cell>
          <cell r="J34">
            <v>4.278678993777478E-2</v>
          </cell>
          <cell r="K34">
            <v>1.3683161596576285E-6</v>
          </cell>
          <cell r="L34">
            <v>9.8841532522702509E-7</v>
          </cell>
          <cell r="M34">
            <v>0.18911883803453933</v>
          </cell>
          <cell r="N34">
            <v>20.398403321547939</v>
          </cell>
          <cell r="O34">
            <v>4.5842061021609599E-5</v>
          </cell>
          <cell r="P34">
            <v>1.6940368283193457E-4</v>
          </cell>
          <cell r="Q34">
            <v>3.1768318068457125E-7</v>
          </cell>
          <cell r="R34">
            <v>2.1475230415400528E-2</v>
          </cell>
          <cell r="S34">
            <v>1.9139265555493892</v>
          </cell>
          <cell r="T34">
            <v>137.52579693011606</v>
          </cell>
        </row>
        <row r="35">
          <cell r="A35" t="str">
            <v>SSP5-Base-2030</v>
          </cell>
          <cell r="B35">
            <v>13.605391335057313</v>
          </cell>
          <cell r="C35">
            <v>2.2721698871958101E-2</v>
          </cell>
          <cell r="D35">
            <v>120.90492710400085</v>
          </cell>
          <cell r="E35">
            <v>113.03957070462096</v>
          </cell>
          <cell r="F35">
            <v>7.8653563993799427</v>
          </cell>
          <cell r="G35">
            <v>124.54490358380544</v>
          </cell>
          <cell r="H35">
            <v>2.2520979939012814E-3</v>
          </cell>
          <cell r="I35">
            <v>5.1054789245577343E-3</v>
          </cell>
          <cell r="J35">
            <v>4.4255340501114092E-2</v>
          </cell>
          <cell r="K35">
            <v>1.3787857012806696E-6</v>
          </cell>
          <cell r="L35">
            <v>1.0672625574729399E-6</v>
          </cell>
          <cell r="M35">
            <v>0.13384930582242779</v>
          </cell>
          <cell r="N35">
            <v>18.811929066838047</v>
          </cell>
          <cell r="O35">
            <v>4.4099885457553361E-5</v>
          </cell>
          <cell r="P35">
            <v>1.6940626035961997E-4</v>
          </cell>
          <cell r="Q35">
            <v>3.2700368035047816E-7</v>
          </cell>
          <cell r="R35">
            <v>2.2019681855232388E-2</v>
          </cell>
          <cell r="S35">
            <v>1.8879387687335167</v>
          </cell>
          <cell r="T35">
            <v>139.30960623055245</v>
          </cell>
        </row>
        <row r="41">
          <cell r="B41">
            <v>8.8503017434268063</v>
          </cell>
          <cell r="C41">
            <v>3.3133896749016095E-2</v>
          </cell>
          <cell r="D41">
            <v>56.042387138827849</v>
          </cell>
          <cell r="E41">
            <v>52.853452591377632</v>
          </cell>
          <cell r="F41">
            <v>3.188934547450236</v>
          </cell>
          <cell r="G41">
            <v>84.476602391788717</v>
          </cell>
          <cell r="H41">
            <v>2.2645290125866777E-3</v>
          </cell>
          <cell r="I41">
            <v>5.6616163883855489E-3</v>
          </cell>
          <cell r="J41">
            <v>5.8614903950067833E-2</v>
          </cell>
          <cell r="K41">
            <v>1.035042426384636E-6</v>
          </cell>
          <cell r="L41">
            <v>9.5975832542438428E-7</v>
          </cell>
          <cell r="M41">
            <v>0.18688217009763686</v>
          </cell>
          <cell r="N41">
            <v>14.259274118764623</v>
          </cell>
          <cell r="O41">
            <v>1.3378409849601915E-5</v>
          </cell>
          <cell r="P41">
            <v>9.8493336906898889E-8</v>
          </cell>
          <cell r="Q41">
            <v>4.253188491972366E-7</v>
          </cell>
          <cell r="R41">
            <v>2.112210238997396E-2</v>
          </cell>
          <cell r="S41">
            <v>0.70219063133370052</v>
          </cell>
          <cell r="T41">
            <v>92.554678745353272</v>
          </cell>
        </row>
        <row r="44">
          <cell r="A44" t="str">
            <v>NDI-2030</v>
          </cell>
          <cell r="B44">
            <v>7.9225502330850732</v>
          </cell>
          <cell r="C44">
            <v>2.7139188110861003E-2</v>
          </cell>
          <cell r="D44">
            <v>53.331955808891756</v>
          </cell>
          <cell r="E44">
            <v>50.66469822050307</v>
          </cell>
          <cell r="F44">
            <v>2.6672575883886864</v>
          </cell>
          <cell r="G44">
            <v>72.509004340026593</v>
          </cell>
          <cell r="H44">
            <v>1.8830143118774107E-3</v>
          </cell>
          <cell r="I44">
            <v>3.9910361052599066E-3</v>
          </cell>
          <cell r="J44">
            <v>4.1135800319850924E-2</v>
          </cell>
          <cell r="K44">
            <v>8.3724631962033834E-7</v>
          </cell>
          <cell r="L44">
            <v>8.3405839397640658E-7</v>
          </cell>
          <cell r="M44">
            <v>0.12734274514401431</v>
          </cell>
          <cell r="N44">
            <v>13.455141876182697</v>
          </cell>
          <cell r="O44">
            <v>1.5133279932316274E-5</v>
          </cell>
          <cell r="P44">
            <v>1.1056411621957302E-7</v>
          </cell>
          <cell r="Q44">
            <v>3.9529653874031965E-7</v>
          </cell>
          <cell r="R44">
            <v>1.5949994755592355E-2</v>
          </cell>
          <cell r="S44">
            <v>0.59722604111318167</v>
          </cell>
          <cell r="T44">
            <v>82.36778436884245</v>
          </cell>
        </row>
        <row r="45">
          <cell r="A45" t="str">
            <v>PkDuge 500-2030</v>
          </cell>
          <cell r="B45">
            <v>7.5521857787418032</v>
          </cell>
          <cell r="C45">
            <v>2.6487426339686305E-2</v>
          </cell>
          <cell r="D45">
            <v>52.89394177946059</v>
          </cell>
          <cell r="E45">
            <v>50.246498358513172</v>
          </cell>
          <cell r="F45">
            <v>2.6474434209474302</v>
          </cell>
          <cell r="G45">
            <v>69.493398059140247</v>
          </cell>
          <cell r="H45">
            <v>1.7970583893592027E-3</v>
          </cell>
          <cell r="I45">
            <v>3.8557351095351374E-3</v>
          </cell>
          <cell r="J45">
            <v>3.9879254144252196E-2</v>
          </cell>
          <cell r="K45">
            <v>8.256293339557315E-7</v>
          </cell>
          <cell r="L45">
            <v>8.0456295327442657E-7</v>
          </cell>
          <cell r="M45">
            <v>0.15507448316393976</v>
          </cell>
          <cell r="N45">
            <v>15.226372514162769</v>
          </cell>
          <cell r="O45">
            <v>1.7061200353490581E-5</v>
          </cell>
          <cell r="P45">
            <v>1.0795350124243964E-7</v>
          </cell>
          <cell r="Q45">
            <v>3.9024163568689314E-7</v>
          </cell>
          <cell r="R45">
            <v>1.5495450675529293E-2</v>
          </cell>
          <cell r="S45">
            <v>0.60460848329945038</v>
          </cell>
          <cell r="T45">
            <v>81.367834186454289</v>
          </cell>
        </row>
        <row r="46">
          <cell r="A46" t="str">
            <v>PkDuge 1150-2030</v>
          </cell>
          <cell r="B46">
            <v>7.8376380886829891</v>
          </cell>
          <cell r="C46">
            <v>2.6992039457135436E-2</v>
          </cell>
          <cell r="D46">
            <v>53.411278157995035</v>
          </cell>
          <cell r="E46">
            <v>50.575201257902023</v>
          </cell>
          <cell r="F46">
            <v>2.8360769000930244</v>
          </cell>
          <cell r="G46">
            <v>72.002160191290827</v>
          </cell>
          <cell r="H46">
            <v>1.8479851282079667E-3</v>
          </cell>
          <cell r="I46">
            <v>3.9600957846891707E-3</v>
          </cell>
          <cell r="J46">
            <v>4.0893103307669917E-2</v>
          </cell>
          <cell r="K46">
            <v>8.149365642555493E-7</v>
          </cell>
          <cell r="L46">
            <v>8.257956919710457E-7</v>
          </cell>
          <cell r="M46">
            <v>0.14302530375602274</v>
          </cell>
          <cell r="N46">
            <v>13.574735444265571</v>
          </cell>
          <cell r="O46">
            <v>1.5618017312263153E-5</v>
          </cell>
          <cell r="P46">
            <v>1.1050798637705494E-7</v>
          </cell>
          <cell r="Q46">
            <v>3.9491639430427667E-7</v>
          </cell>
          <cell r="R46">
            <v>1.585716553007168E-2</v>
          </cell>
          <cell r="S46">
            <v>0.6073521080057368</v>
          </cell>
          <cell r="T46">
            <v>82.300197820191315</v>
          </cell>
        </row>
        <row r="47">
          <cell r="A47" t="str">
            <v>SSP5-Base-2030</v>
          </cell>
          <cell r="B47">
            <v>8.1836815581983782</v>
          </cell>
          <cell r="C47">
            <v>2.7577328442163956E-2</v>
          </cell>
          <cell r="D47">
            <v>54.2899051555789</v>
          </cell>
          <cell r="E47">
            <v>51.196994385722</v>
          </cell>
          <cell r="F47">
            <v>3.0929107698569176</v>
          </cell>
          <cell r="G47">
            <v>74.863575873620476</v>
          </cell>
          <cell r="H47">
            <v>2.1282779841157676E-3</v>
          </cell>
          <cell r="I47">
            <v>4.0992543807238033E-3</v>
          </cell>
          <cell r="J47">
            <v>4.1786058457252882E-2</v>
          </cell>
          <cell r="K47">
            <v>8.214598017594082E-7</v>
          </cell>
          <cell r="L47">
            <v>8.6926497760767117E-7</v>
          </cell>
          <cell r="M47">
            <v>0.10721283976750386</v>
          </cell>
          <cell r="N47">
            <v>12.51179426785921</v>
          </cell>
          <cell r="O47">
            <v>1.4447006365605491E-5</v>
          </cell>
          <cell r="P47">
            <v>1.1378561241606358E-7</v>
          </cell>
          <cell r="Q47">
            <v>3.9863860279242641E-7</v>
          </cell>
          <cell r="R47">
            <v>1.6193958628950483E-2</v>
          </cell>
          <cell r="S47">
            <v>0.58952820205766421</v>
          </cell>
          <cell r="T47">
            <v>83.417255654757696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G"/>
      <sheetName val="Sur"/>
      <sheetName val="TARC"/>
      <sheetName val="Polymer"/>
      <sheetName val="ITC"/>
      <sheetName val="PBO"/>
      <sheetName val="data summary"/>
    </sheetNames>
    <sheetDataSet>
      <sheetData sheetId="0"/>
      <sheetData sheetId="1"/>
      <sheetData sheetId="2"/>
      <sheetData sheetId="3"/>
      <sheetData sheetId="4"/>
      <sheetData sheetId="5"/>
      <sheetData sheetId="6">
        <row r="28">
          <cell r="C28">
            <v>622022771.48922622</v>
          </cell>
          <cell r="D28">
            <v>1018546.6604534453</v>
          </cell>
          <cell r="E28">
            <v>4582570389.8434467</v>
          </cell>
          <cell r="F28">
            <v>4298539917.5528622</v>
          </cell>
          <cell r="G28">
            <v>284030472.29058909</v>
          </cell>
          <cell r="H28">
            <v>5171975297.5944872</v>
          </cell>
          <cell r="I28">
            <v>79472.023605045848</v>
          </cell>
          <cell r="J28">
            <v>231945.25819502931</v>
          </cell>
          <cell r="K28">
            <v>2131411.3062030477</v>
          </cell>
          <cell r="L28">
            <v>56.042411073360199</v>
          </cell>
          <cell r="M28">
            <v>39.155456497331414</v>
          </cell>
          <cell r="N28">
            <v>7003978.3808610914</v>
          </cell>
          <cell r="O28">
            <v>867021135.98296213</v>
          </cell>
          <cell r="P28">
            <v>1545.7901735240678</v>
          </cell>
          <cell r="Q28">
            <v>5498.6803397663871</v>
          </cell>
          <cell r="R28">
            <v>12.893460376695108</v>
          </cell>
          <cell r="S28">
            <v>1023468.9803017345</v>
          </cell>
          <cell r="T28">
            <v>67417078.240260929</v>
          </cell>
          <cell r="U28">
            <v>5802340453.6484423</v>
          </cell>
          <cell r="V28">
            <v>69648963.730883598</v>
          </cell>
          <cell r="W28">
            <v>115050.79245131041</v>
          </cell>
          <cell r="X28">
            <v>499581440.3927384</v>
          </cell>
          <cell r="Y28">
            <v>466922037.07715321</v>
          </cell>
          <cell r="Z28">
            <v>32671024.855826214</v>
          </cell>
          <cell r="AA28">
            <v>589558961.72381377</v>
          </cell>
          <cell r="AB28">
            <v>9186.4847320841855</v>
          </cell>
          <cell r="AC28">
            <v>25831.828154780102</v>
          </cell>
          <cell r="AD28">
            <v>238304.92029050065</v>
          </cell>
          <cell r="AE28">
            <v>6.4077426406661528</v>
          </cell>
          <cell r="AF28">
            <v>4.4594822104922898</v>
          </cell>
          <cell r="AG28">
            <v>851139.18799708155</v>
          </cell>
          <cell r="AH28">
            <v>99697150.635855272</v>
          </cell>
          <cell r="AI28">
            <v>178.27731364628463</v>
          </cell>
          <cell r="AJ28">
            <v>591.29925870460102</v>
          </cell>
          <cell r="AK28">
            <v>1.4460560478159645</v>
          </cell>
          <cell r="AL28">
            <v>115796.75197508241</v>
          </cell>
          <cell r="AM28">
            <v>7520719.0090288902</v>
          </cell>
          <cell r="AN28">
            <v>660360202.6520189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for python-GAC"/>
      <sheetName val="data for python-IER"/>
      <sheetName val="data for python-RO"/>
      <sheetName val="data for python-incineration"/>
      <sheetName val="data incin solvent"/>
      <sheetName val=" data draft"/>
      <sheetName val="2030"/>
      <sheetName val="2035"/>
      <sheetName val="Sheet2"/>
      <sheetName val="data for python-IER-methods"/>
    </sheetNames>
    <sheetDataSet>
      <sheetData sheetId="0"/>
      <sheetData sheetId="1"/>
      <sheetData sheetId="2"/>
      <sheetData sheetId="3"/>
      <sheetData sheetId="4"/>
      <sheetData sheetId="5">
        <row r="32">
          <cell r="B32">
            <v>13.190445512312557</v>
          </cell>
          <cell r="C32">
            <v>2.201233492425838E-2</v>
          </cell>
          <cell r="D32">
            <v>119.20288016723646</v>
          </cell>
          <cell r="E32">
            <v>112.11509940832856</v>
          </cell>
          <cell r="F32">
            <v>7.0877807589078934</v>
          </cell>
          <cell r="G32">
            <v>121.19734069224121</v>
          </cell>
          <cell r="H32">
            <v>1.8490517498521407E-3</v>
          </cell>
          <cell r="I32">
            <v>4.9385456941931256E-3</v>
          </cell>
          <cell r="J32">
            <v>4.3286968019507488E-2</v>
          </cell>
          <cell r="K32">
            <v>1.4104802402561199E-6</v>
          </cell>
          <cell r="L32">
            <v>1.0057175097699841E-6</v>
          </cell>
          <cell r="M32">
            <v>0.16937629462084919</v>
          </cell>
          <cell r="N32">
            <v>20.114874619489473</v>
          </cell>
          <cell r="O32">
            <v>4.5056423563194172E-5</v>
          </cell>
          <cell r="P32">
            <v>1.6940336974645146E-4</v>
          </cell>
          <cell r="Q32">
            <v>3.1963923818131234E-7</v>
          </cell>
          <cell r="R32">
            <v>2.1668926395202799E-2</v>
          </cell>
          <cell r="S32">
            <v>1.9019581640776095</v>
          </cell>
          <cell r="T32">
            <v>137.83194247091291</v>
          </cell>
        </row>
      </sheetData>
      <sheetData sheetId="6"/>
      <sheetData sheetId="7"/>
      <sheetData sheetId="8"/>
      <sheetData sheetId="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AC741-6B9B-E643-9E5F-729231B39239}">
  <dimension ref="A1:AP119"/>
  <sheetViews>
    <sheetView tabSelected="1" topLeftCell="G4" zoomScale="90" zoomScaleNormal="90" workbookViewId="0">
      <selection activeCell="Z20" sqref="Z20:Z35"/>
    </sheetView>
  </sheetViews>
  <sheetFormatPr baseColWidth="10" defaultColWidth="11" defaultRowHeight="16" x14ac:dyDescent="0.2"/>
  <cols>
    <col min="1" max="1" width="17.1640625" customWidth="1"/>
  </cols>
  <sheetData>
    <row r="1" spans="1:37" x14ac:dyDescent="0.2">
      <c r="A1" t="s">
        <v>0</v>
      </c>
      <c r="B1" s="1"/>
      <c r="I1" s="1"/>
      <c r="P1" s="1"/>
      <c r="W1" s="1"/>
      <c r="AD1" s="1"/>
      <c r="AK1" s="1"/>
    </row>
    <row r="3" spans="1:37" x14ac:dyDescent="0.2">
      <c r="A3" t="s">
        <v>1</v>
      </c>
    </row>
    <row r="4" spans="1:37" x14ac:dyDescent="0.2">
      <c r="A4" t="s">
        <v>20</v>
      </c>
    </row>
    <row r="5" spans="1:37" x14ac:dyDescent="0.2">
      <c r="B5" t="s">
        <v>2</v>
      </c>
      <c r="C5" t="s">
        <v>3</v>
      </c>
      <c r="D5" t="s">
        <v>4</v>
      </c>
      <c r="H5" t="s">
        <v>5</v>
      </c>
      <c r="I5" t="s">
        <v>6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12</v>
      </c>
      <c r="P5" t="s">
        <v>13</v>
      </c>
      <c r="Q5" t="s">
        <v>14</v>
      </c>
      <c r="R5" t="s">
        <v>15</v>
      </c>
      <c r="S5" t="s">
        <v>16</v>
      </c>
      <c r="T5" t="s">
        <v>17</v>
      </c>
    </row>
    <row r="6" spans="1:37" x14ac:dyDescent="0.2">
      <c r="A6" t="str">
        <f>'[1] data draft'!A44</f>
        <v>NDI-2030</v>
      </c>
      <c r="B6">
        <f>'[1] data draft'!B44</f>
        <v>7.9225502330850732</v>
      </c>
      <c r="C6">
        <f>'[1] data draft'!C44</f>
        <v>2.7139188110861003E-2</v>
      </c>
      <c r="D6">
        <f>'[1] data draft'!D44</f>
        <v>53.331955808891756</v>
      </c>
      <c r="E6">
        <f>'[1] data draft'!E44</f>
        <v>50.66469822050307</v>
      </c>
      <c r="F6">
        <f>'[1] data draft'!F44</f>
        <v>2.6672575883886864</v>
      </c>
      <c r="G6">
        <f>'[1] data draft'!G44</f>
        <v>72.509004340026593</v>
      </c>
      <c r="H6">
        <f>'[1] data draft'!H44</f>
        <v>1.8830143118774107E-3</v>
      </c>
      <c r="I6">
        <f>'[1] data draft'!I44</f>
        <v>3.9910361052599066E-3</v>
      </c>
      <c r="J6">
        <f>'[1] data draft'!J44</f>
        <v>4.1135800319850924E-2</v>
      </c>
      <c r="K6">
        <f>'[1] data draft'!K44</f>
        <v>8.3724631962033834E-7</v>
      </c>
      <c r="L6">
        <f>'[1] data draft'!L44</f>
        <v>8.3405839397640658E-7</v>
      </c>
      <c r="M6">
        <f>'[1] data draft'!M44</f>
        <v>0.12734274514401431</v>
      </c>
      <c r="N6">
        <f>'[1] data draft'!N44</f>
        <v>13.455141876182697</v>
      </c>
      <c r="O6">
        <f>'[1] data draft'!O44</f>
        <v>1.5133279932316274E-5</v>
      </c>
      <c r="P6">
        <f>'[1] data draft'!P44</f>
        <v>1.1056411621957302E-7</v>
      </c>
      <c r="Q6">
        <f>'[1] data draft'!Q44</f>
        <v>3.9529653874031965E-7</v>
      </c>
      <c r="R6">
        <f>'[1] data draft'!R44</f>
        <v>1.5949994755592355E-2</v>
      </c>
      <c r="S6">
        <f>'[1] data draft'!S44</f>
        <v>0.59722604111318167</v>
      </c>
      <c r="T6">
        <f>'[1] data draft'!T44</f>
        <v>82.36778436884245</v>
      </c>
      <c r="V6" t="s">
        <v>22</v>
      </c>
      <c r="W6" t="s">
        <v>24</v>
      </c>
    </row>
    <row r="7" spans="1:37" x14ac:dyDescent="0.2">
      <c r="A7" t="str">
        <f>'[1] data draft'!A45</f>
        <v>PkDuge 500-2030</v>
      </c>
      <c r="B7">
        <f>'[1] data draft'!B45</f>
        <v>7.5521857787418032</v>
      </c>
      <c r="C7">
        <f>'[1] data draft'!C45</f>
        <v>2.6487426339686305E-2</v>
      </c>
      <c r="D7">
        <f>'[1] data draft'!D45</f>
        <v>52.89394177946059</v>
      </c>
      <c r="E7">
        <f>'[1] data draft'!E45</f>
        <v>50.246498358513172</v>
      </c>
      <c r="F7">
        <f>'[1] data draft'!F45</f>
        <v>2.6474434209474302</v>
      </c>
      <c r="G7">
        <f>'[1] data draft'!G45</f>
        <v>69.493398059140247</v>
      </c>
      <c r="H7">
        <f>'[1] data draft'!H45</f>
        <v>1.7970583893592027E-3</v>
      </c>
      <c r="I7">
        <f>'[1] data draft'!I45</f>
        <v>3.8557351095351374E-3</v>
      </c>
      <c r="J7">
        <f>'[1] data draft'!J45</f>
        <v>3.9879254144252196E-2</v>
      </c>
      <c r="K7">
        <f>'[1] data draft'!K45</f>
        <v>8.256293339557315E-7</v>
      </c>
      <c r="L7">
        <f>'[1] data draft'!L45</f>
        <v>8.0456295327442657E-7</v>
      </c>
      <c r="M7">
        <f>'[1] data draft'!M45</f>
        <v>0.15507448316393976</v>
      </c>
      <c r="N7">
        <f>'[1] data draft'!N45</f>
        <v>15.226372514162769</v>
      </c>
      <c r="O7">
        <f>'[1] data draft'!O45</f>
        <v>1.7061200353490581E-5</v>
      </c>
      <c r="P7">
        <f>'[1] data draft'!P45</f>
        <v>1.0795350124243964E-7</v>
      </c>
      <c r="Q7">
        <f>'[1] data draft'!Q45</f>
        <v>3.9024163568689314E-7</v>
      </c>
      <c r="R7">
        <f>'[1] data draft'!R45</f>
        <v>1.5495450675529293E-2</v>
      </c>
      <c r="S7">
        <f>'[1] data draft'!S45</f>
        <v>0.60460848329945038</v>
      </c>
      <c r="T7">
        <f>'[1] data draft'!T45</f>
        <v>81.367834186454289</v>
      </c>
      <c r="V7">
        <v>0.85332523089971202</v>
      </c>
      <c r="W7">
        <v>0.92467825340265575</v>
      </c>
    </row>
    <row r="8" spans="1:37" x14ac:dyDescent="0.2">
      <c r="A8" t="str">
        <f>'[1] data draft'!A46</f>
        <v>PkDuge 1150-2030</v>
      </c>
      <c r="B8">
        <f>'[1] data draft'!B46</f>
        <v>7.8376380886829891</v>
      </c>
      <c r="C8">
        <f>'[1] data draft'!C46</f>
        <v>2.6992039457135436E-2</v>
      </c>
      <c r="D8">
        <f>'[1] data draft'!D46</f>
        <v>53.411278157995035</v>
      </c>
      <c r="E8">
        <f>'[1] data draft'!E46</f>
        <v>50.575201257902023</v>
      </c>
      <c r="F8">
        <f>'[1] data draft'!F46</f>
        <v>2.8360769000930244</v>
      </c>
      <c r="G8">
        <f>'[1] data draft'!G46</f>
        <v>72.002160191290827</v>
      </c>
      <c r="H8">
        <f>'[1] data draft'!H46</f>
        <v>1.8479851282079667E-3</v>
      </c>
      <c r="I8">
        <f>'[1] data draft'!I46</f>
        <v>3.9600957846891707E-3</v>
      </c>
      <c r="J8">
        <f>'[1] data draft'!J46</f>
        <v>4.0893103307669917E-2</v>
      </c>
      <c r="K8">
        <f>'[1] data draft'!K46</f>
        <v>8.149365642555493E-7</v>
      </c>
      <c r="L8">
        <f>'[1] data draft'!L46</f>
        <v>8.257956919710457E-7</v>
      </c>
      <c r="M8">
        <f>'[1] data draft'!M46</f>
        <v>0.14302530375602274</v>
      </c>
      <c r="N8">
        <f>'[1] data draft'!N46</f>
        <v>13.574735444265571</v>
      </c>
      <c r="O8">
        <f>'[1] data draft'!O46</f>
        <v>1.5618017312263153E-5</v>
      </c>
      <c r="P8">
        <f>'[1] data draft'!P46</f>
        <v>1.1050798637705494E-7</v>
      </c>
      <c r="Q8">
        <f>'[1] data draft'!Q46</f>
        <v>3.9491639430427667E-7</v>
      </c>
      <c r="R8">
        <f>'[1] data draft'!R46</f>
        <v>1.585716553007168E-2</v>
      </c>
      <c r="S8">
        <f>'[1] data draft'!S46</f>
        <v>0.6073521080057368</v>
      </c>
      <c r="T8">
        <f>'[1] data draft'!T46</f>
        <v>82.300197820191315</v>
      </c>
      <c r="V8">
        <v>0.79940571253433523</v>
      </c>
      <c r="W8">
        <v>0.83229958284284389</v>
      </c>
    </row>
    <row r="9" spans="1:37" x14ac:dyDescent="0.2">
      <c r="A9" t="str">
        <f>'[1] data draft'!A47</f>
        <v>SSP5-Base-2030</v>
      </c>
      <c r="B9">
        <f>'[1] data draft'!B47</f>
        <v>8.1836815581983782</v>
      </c>
      <c r="C9">
        <f>'[1] data draft'!C47</f>
        <v>2.7577328442163956E-2</v>
      </c>
      <c r="D9">
        <f>'[1] data draft'!D47</f>
        <v>54.2899051555789</v>
      </c>
      <c r="E9">
        <f>'[1] data draft'!E47</f>
        <v>51.196994385722</v>
      </c>
      <c r="F9">
        <f>'[1] data draft'!F47</f>
        <v>3.0929107698569176</v>
      </c>
      <c r="G9">
        <f>'[1] data draft'!G47</f>
        <v>74.863575873620476</v>
      </c>
      <c r="H9">
        <f>'[1] data draft'!H47</f>
        <v>2.1282779841157676E-3</v>
      </c>
      <c r="I9">
        <f>'[1] data draft'!I47</f>
        <v>4.0992543807238033E-3</v>
      </c>
      <c r="J9">
        <f>'[1] data draft'!J47</f>
        <v>4.1786058457252882E-2</v>
      </c>
      <c r="K9">
        <f>'[1] data draft'!K47</f>
        <v>8.214598017594082E-7</v>
      </c>
      <c r="L9">
        <f>'[1] data draft'!L47</f>
        <v>8.6926497760767117E-7</v>
      </c>
      <c r="M9">
        <f>'[1] data draft'!M47</f>
        <v>0.10721283976750386</v>
      </c>
      <c r="N9">
        <f>'[1] data draft'!N47</f>
        <v>12.51179426785921</v>
      </c>
      <c r="O9">
        <f>'[1] data draft'!O47</f>
        <v>1.4447006365605491E-5</v>
      </c>
      <c r="P9">
        <f>'[1] data draft'!P47</f>
        <v>1.1378561241606358E-7</v>
      </c>
      <c r="Q9">
        <f>'[1] data draft'!Q47</f>
        <v>3.9863860279242641E-7</v>
      </c>
      <c r="R9">
        <f>'[1] data draft'!R47</f>
        <v>1.6193958628950483E-2</v>
      </c>
      <c r="S9">
        <f>'[1] data draft'!S47</f>
        <v>0.58952820205766421</v>
      </c>
      <c r="T9">
        <f>'[1] data draft'!T47</f>
        <v>83.417255654757696</v>
      </c>
      <c r="V9">
        <v>0.94382028460764977</v>
      </c>
      <c r="W9">
        <v>0.9687293480395881</v>
      </c>
    </row>
    <row r="10" spans="1:37" x14ac:dyDescent="0.2">
      <c r="V10">
        <v>0.79356827815886422</v>
      </c>
      <c r="W10">
        <v>0.939832509226598</v>
      </c>
    </row>
    <row r="11" spans="1:37" x14ac:dyDescent="0.2">
      <c r="A11" t="s">
        <v>19</v>
      </c>
      <c r="B11">
        <f>'[1] data draft'!B41</f>
        <v>8.8503017434268063</v>
      </c>
      <c r="C11">
        <f>'[1] data draft'!C41</f>
        <v>3.3133896749016095E-2</v>
      </c>
      <c r="D11">
        <f>'[1] data draft'!D41</f>
        <v>56.042387138827849</v>
      </c>
      <c r="E11">
        <f>'[1] data draft'!E41</f>
        <v>52.853452591377632</v>
      </c>
      <c r="F11">
        <f>'[1] data draft'!F41</f>
        <v>3.188934547450236</v>
      </c>
      <c r="G11">
        <f>'[1] data draft'!G41</f>
        <v>84.476602391788717</v>
      </c>
      <c r="H11">
        <f>'[1] data draft'!H41</f>
        <v>2.2645290125866777E-3</v>
      </c>
      <c r="I11">
        <f>'[1] data draft'!I41</f>
        <v>5.6616163883855489E-3</v>
      </c>
      <c r="J11">
        <f>'[1] data draft'!J41</f>
        <v>5.8614903950067833E-2</v>
      </c>
      <c r="K11">
        <f>'[1] data draft'!K41</f>
        <v>1.035042426384636E-6</v>
      </c>
      <c r="L11">
        <f>'[1] data draft'!L41</f>
        <v>9.5975832542438428E-7</v>
      </c>
      <c r="M11">
        <f>'[1] data draft'!M41</f>
        <v>0.18688217009763686</v>
      </c>
      <c r="N11">
        <f>'[1] data draft'!N41</f>
        <v>14.259274118764623</v>
      </c>
      <c r="O11">
        <f>'[1] data draft'!O41</f>
        <v>1.3378409849601915E-5</v>
      </c>
      <c r="P11">
        <f>'[1] data draft'!P41</f>
        <v>9.8493336906898889E-8</v>
      </c>
      <c r="Q11">
        <f>'[1] data draft'!Q41</f>
        <v>4.253188491972366E-7</v>
      </c>
      <c r="R11">
        <f>'[1] data draft'!R41</f>
        <v>2.112210238997396E-2</v>
      </c>
      <c r="S11">
        <f>'[1] data draft'!S41</f>
        <v>0.70219063133370052</v>
      </c>
      <c r="T11">
        <f>'[1] data draft'!T41</f>
        <v>92.554678745353272</v>
      </c>
      <c r="V11">
        <v>0.68103079492367868</v>
      </c>
      <c r="W11">
        <v>0.72404311763918983</v>
      </c>
    </row>
    <row r="12" spans="1:37" x14ac:dyDescent="0.2">
      <c r="V12">
        <v>0.68036030867207531</v>
      </c>
      <c r="W12">
        <v>0.71289135768010625</v>
      </c>
    </row>
    <row r="13" spans="1:37" x14ac:dyDescent="0.2">
      <c r="A13" t="s">
        <v>21</v>
      </c>
      <c r="B13">
        <f>B6/B$11</f>
        <v>0.8951728949771931</v>
      </c>
      <c r="C13">
        <f t="shared" ref="C13:T16" si="0">C6/C$11</f>
        <v>0.81907625645229598</v>
      </c>
      <c r="D13">
        <f t="shared" si="0"/>
        <v>0.9516360478503203</v>
      </c>
      <c r="E13">
        <f t="shared" si="0"/>
        <v>0.95858824232739659</v>
      </c>
      <c r="F13">
        <f t="shared" si="0"/>
        <v>0.83641026452591671</v>
      </c>
      <c r="G13">
        <f t="shared" si="0"/>
        <v>0.85833239366968905</v>
      </c>
      <c r="H13">
        <f t="shared" si="0"/>
        <v>0.8315258057685565</v>
      </c>
      <c r="I13">
        <f t="shared" si="0"/>
        <v>0.70492873968770953</v>
      </c>
      <c r="J13">
        <f t="shared" si="0"/>
        <v>0.70179762394378742</v>
      </c>
      <c r="K13">
        <f t="shared" si="0"/>
        <v>0.8089004839587185</v>
      </c>
      <c r="L13">
        <f t="shared" si="0"/>
        <v>0.86902960035027987</v>
      </c>
      <c r="M13">
        <f t="shared" si="0"/>
        <v>0.68140660544279807</v>
      </c>
      <c r="N13">
        <f t="shared" si="0"/>
        <v>0.94360636902801942</v>
      </c>
      <c r="O13">
        <f t="shared" si="0"/>
        <v>1.1311717986249745</v>
      </c>
      <c r="P13">
        <f t="shared" si="0"/>
        <v>1.1225542731289941</v>
      </c>
      <c r="Q13">
        <f t="shared" si="0"/>
        <v>0.92941222681858038</v>
      </c>
      <c r="R13">
        <f t="shared" si="0"/>
        <v>0.75513291532775395</v>
      </c>
      <c r="S13">
        <f t="shared" si="0"/>
        <v>0.8505183841300259</v>
      </c>
      <c r="T13">
        <f t="shared" si="0"/>
        <v>0.88993647307081969</v>
      </c>
      <c r="V13">
        <v>0.79767680329744894</v>
      </c>
      <c r="W13">
        <v>0.79364843490400316</v>
      </c>
    </row>
    <row r="14" spans="1:37" x14ac:dyDescent="0.2">
      <c r="A14" t="s">
        <v>22</v>
      </c>
      <c r="B14">
        <f t="shared" ref="B14:Q16" si="1">B7/B$11</f>
        <v>0.85332523089971202</v>
      </c>
      <c r="C14">
        <f t="shared" si="1"/>
        <v>0.79940571253433523</v>
      </c>
      <c r="D14">
        <f t="shared" si="1"/>
        <v>0.94382028460764977</v>
      </c>
      <c r="E14">
        <f t="shared" si="1"/>
        <v>0.95067580063275281</v>
      </c>
      <c r="F14">
        <f t="shared" si="1"/>
        <v>0.83019685150459932</v>
      </c>
      <c r="G14">
        <f t="shared" si="1"/>
        <v>0.82263486091499272</v>
      </c>
      <c r="H14">
        <f t="shared" si="1"/>
        <v>0.79356827815886422</v>
      </c>
      <c r="I14">
        <f t="shared" si="1"/>
        <v>0.68103079492367868</v>
      </c>
      <c r="J14">
        <f t="shared" si="1"/>
        <v>0.68036030867207531</v>
      </c>
      <c r="K14">
        <f t="shared" si="1"/>
        <v>0.79767680329744894</v>
      </c>
      <c r="L14">
        <f t="shared" si="1"/>
        <v>0.83829744630625247</v>
      </c>
      <c r="M14">
        <f t="shared" si="1"/>
        <v>0.82979817220080909</v>
      </c>
      <c r="N14">
        <f t="shared" si="1"/>
        <v>1.0678224141946668</v>
      </c>
      <c r="O14">
        <f t="shared" si="1"/>
        <v>1.2752786426256966</v>
      </c>
      <c r="P14">
        <f t="shared" si="1"/>
        <v>1.0960487747966443</v>
      </c>
      <c r="Q14">
        <f t="shared" si="1"/>
        <v>0.91752725378489675</v>
      </c>
      <c r="R14">
        <f t="shared" si="0"/>
        <v>0.73361308403109193</v>
      </c>
      <c r="S14">
        <f t="shared" si="0"/>
        <v>0.86103182856639915</v>
      </c>
      <c r="T14">
        <f t="shared" si="0"/>
        <v>0.87913258723875565</v>
      </c>
      <c r="V14">
        <v>0.83829744630625247</v>
      </c>
      <c r="W14">
        <v>0.90571235964356034</v>
      </c>
    </row>
    <row r="15" spans="1:37" x14ac:dyDescent="0.2">
      <c r="A15" t="s">
        <v>23</v>
      </c>
      <c r="B15">
        <f t="shared" si="1"/>
        <v>0.88557862950876998</v>
      </c>
      <c r="C15">
        <f t="shared" si="0"/>
        <v>0.81463522572052927</v>
      </c>
      <c r="D15">
        <f t="shared" si="0"/>
        <v>0.95305144703570444</v>
      </c>
      <c r="E15">
        <f t="shared" si="0"/>
        <v>0.95689493832901884</v>
      </c>
      <c r="F15">
        <f t="shared" si="0"/>
        <v>0.88934936038767409</v>
      </c>
      <c r="G15">
        <f t="shared" si="0"/>
        <v>0.85233257674541096</v>
      </c>
      <c r="H15">
        <f t="shared" si="0"/>
        <v>0.81605716594334543</v>
      </c>
      <c r="I15">
        <f t="shared" si="0"/>
        <v>0.69946381263362511</v>
      </c>
      <c r="J15">
        <f t="shared" si="0"/>
        <v>0.69765708978224117</v>
      </c>
      <c r="K15">
        <f t="shared" si="0"/>
        <v>0.78734604831812727</v>
      </c>
      <c r="L15">
        <f t="shared" si="0"/>
        <v>0.86042045179019078</v>
      </c>
      <c r="M15">
        <f t="shared" si="0"/>
        <v>0.76532343177146844</v>
      </c>
      <c r="N15">
        <f t="shared" si="0"/>
        <v>0.95199344168591116</v>
      </c>
      <c r="O15">
        <f t="shared" si="0"/>
        <v>1.1674046084578489</v>
      </c>
      <c r="P15">
        <f t="shared" si="0"/>
        <v>1.1219843884618605</v>
      </c>
      <c r="Q15">
        <f t="shared" si="0"/>
        <v>0.92851843987083404</v>
      </c>
      <c r="R15">
        <f t="shared" si="0"/>
        <v>0.750738029638499</v>
      </c>
      <c r="S15">
        <f t="shared" si="0"/>
        <v>0.86493906484079275</v>
      </c>
      <c r="T15">
        <f t="shared" si="0"/>
        <v>0.8892062393369089</v>
      </c>
      <c r="V15">
        <v>0.82979817220080909</v>
      </c>
      <c r="W15">
        <v>0.57369218107586373</v>
      </c>
    </row>
    <row r="16" spans="1:37" x14ac:dyDescent="0.2">
      <c r="A16" t="s">
        <v>24</v>
      </c>
      <c r="B16">
        <f t="shared" si="1"/>
        <v>0.92467825340265575</v>
      </c>
      <c r="C16">
        <f t="shared" si="0"/>
        <v>0.83229958284284389</v>
      </c>
      <c r="D16">
        <f t="shared" si="0"/>
        <v>0.9687293480395881</v>
      </c>
      <c r="E16">
        <f t="shared" si="0"/>
        <v>0.96865941344528428</v>
      </c>
      <c r="F16">
        <f t="shared" si="0"/>
        <v>0.96988844513284356</v>
      </c>
      <c r="G16">
        <f t="shared" si="0"/>
        <v>0.88620486328765224</v>
      </c>
      <c r="H16">
        <f t="shared" si="0"/>
        <v>0.939832509226598</v>
      </c>
      <c r="I16">
        <f t="shared" si="0"/>
        <v>0.72404311763918983</v>
      </c>
      <c r="J16">
        <f t="shared" si="0"/>
        <v>0.71289135768010625</v>
      </c>
      <c r="K16">
        <f t="shared" si="0"/>
        <v>0.79364843490400316</v>
      </c>
      <c r="L16">
        <f t="shared" si="0"/>
        <v>0.90571235964356034</v>
      </c>
      <c r="M16">
        <f t="shared" si="0"/>
        <v>0.57369218107586373</v>
      </c>
      <c r="N16">
        <f t="shared" si="0"/>
        <v>0.8774495927106275</v>
      </c>
      <c r="O16">
        <f t="shared" si="0"/>
        <v>1.0798747031984053</v>
      </c>
      <c r="P16">
        <f t="shared" si="0"/>
        <v>1.1552620308074217</v>
      </c>
      <c r="Q16">
        <f t="shared" si="0"/>
        <v>0.93727001176842384</v>
      </c>
      <c r="R16">
        <f t="shared" si="0"/>
        <v>0.76668308532758933</v>
      </c>
      <c r="S16">
        <f t="shared" si="0"/>
        <v>0.8395557783759493</v>
      </c>
      <c r="T16">
        <f t="shared" si="0"/>
        <v>0.90127540590643218</v>
      </c>
      <c r="V16">
        <v>1.0678224141946668</v>
      </c>
      <c r="W16">
        <v>0.8774495927106275</v>
      </c>
    </row>
    <row r="17" spans="1:27" x14ac:dyDescent="0.2">
      <c r="V17">
        <v>1.2752786426256966</v>
      </c>
      <c r="W17">
        <v>1.0798747031984053</v>
      </c>
    </row>
    <row r="18" spans="1:27" x14ac:dyDescent="0.2">
      <c r="V18">
        <v>1.0960487747966443</v>
      </c>
      <c r="W18">
        <v>1.1552620308074217</v>
      </c>
    </row>
    <row r="19" spans="1:27" x14ac:dyDescent="0.2">
      <c r="V19">
        <v>0.91752725378489675</v>
      </c>
      <c r="W19">
        <v>0.93727001176842384</v>
      </c>
    </row>
    <row r="20" spans="1:27" x14ac:dyDescent="0.2">
      <c r="V20">
        <v>0.73361308403109193</v>
      </c>
      <c r="W20">
        <v>0.76668308532758933</v>
      </c>
      <c r="Y20" t="s">
        <v>2</v>
      </c>
      <c r="Z20">
        <v>0.8615629517597917</v>
      </c>
      <c r="AA20">
        <v>0.93551275058051286</v>
      </c>
    </row>
    <row r="21" spans="1:27" x14ac:dyDescent="0.2">
      <c r="A21" t="s">
        <v>18</v>
      </c>
      <c r="V21">
        <v>0.86103182856639915</v>
      </c>
      <c r="W21">
        <v>0.8395557783759493</v>
      </c>
      <c r="Y21" t="s">
        <v>3</v>
      </c>
      <c r="Z21">
        <v>0.66833151508131139</v>
      </c>
      <c r="AA21">
        <v>0.73205652826866219</v>
      </c>
    </row>
    <row r="22" spans="1:27" x14ac:dyDescent="0.2">
      <c r="B22" t="s">
        <v>2</v>
      </c>
      <c r="C22" t="s">
        <v>3</v>
      </c>
      <c r="D22" t="s">
        <v>4</v>
      </c>
      <c r="H22" t="s">
        <v>5</v>
      </c>
      <c r="I22" t="s">
        <v>6</v>
      </c>
      <c r="J22" t="s">
        <v>7</v>
      </c>
      <c r="K22" t="s">
        <v>8</v>
      </c>
      <c r="L22" t="s">
        <v>9</v>
      </c>
      <c r="M22" t="s">
        <v>10</v>
      </c>
      <c r="N22" t="s">
        <v>11</v>
      </c>
      <c r="O22" t="s">
        <v>12</v>
      </c>
      <c r="P22" t="s">
        <v>13</v>
      </c>
      <c r="Q22" t="s">
        <v>14</v>
      </c>
      <c r="R22" t="s">
        <v>15</v>
      </c>
      <c r="S22" t="s">
        <v>16</v>
      </c>
      <c r="T22" t="s">
        <v>17</v>
      </c>
      <c r="V22">
        <v>0.87913258723875565</v>
      </c>
      <c r="W22">
        <v>0.90127540590643218</v>
      </c>
      <c r="Y22" t="s">
        <v>4</v>
      </c>
      <c r="Z22">
        <v>0.96488451171660949</v>
      </c>
      <c r="AA22">
        <v>0.98600547794909599</v>
      </c>
    </row>
    <row r="23" spans="1:27" x14ac:dyDescent="0.2">
      <c r="Y23" t="s">
        <v>5</v>
      </c>
      <c r="Z23">
        <v>0.70923490609212325</v>
      </c>
      <c r="AA23">
        <v>0.94195132106882384</v>
      </c>
    </row>
    <row r="24" spans="1:27" x14ac:dyDescent="0.2">
      <c r="A24" t="str">
        <f>'[1] data draft'!A32</f>
        <v>NDI-2030</v>
      </c>
      <c r="B24">
        <f>'[3] data draft'!B32</f>
        <v>13.190445512312557</v>
      </c>
      <c r="C24">
        <f>'[3] data draft'!C32</f>
        <v>2.201233492425838E-2</v>
      </c>
      <c r="D24">
        <f>'[3] data draft'!D32</f>
        <v>119.20288016723646</v>
      </c>
      <c r="E24">
        <f>'[3] data draft'!E32</f>
        <v>112.11509940832856</v>
      </c>
      <c r="F24">
        <f>'[3] data draft'!F32</f>
        <v>7.0877807589078934</v>
      </c>
      <c r="G24">
        <f>'[3] data draft'!G32</f>
        <v>121.19734069224121</v>
      </c>
      <c r="H24">
        <f>'[3] data draft'!H32</f>
        <v>1.8490517498521407E-3</v>
      </c>
      <c r="I24">
        <f>'[3] data draft'!I32</f>
        <v>4.9385456941931256E-3</v>
      </c>
      <c r="J24">
        <f>'[3] data draft'!J32</f>
        <v>4.3286968019507488E-2</v>
      </c>
      <c r="K24">
        <f>'[3] data draft'!K32</f>
        <v>1.4104802402561199E-6</v>
      </c>
      <c r="L24">
        <f>'[3] data draft'!L32</f>
        <v>1.0057175097699841E-6</v>
      </c>
      <c r="M24">
        <f>'[3] data draft'!M32</f>
        <v>0.16937629462084919</v>
      </c>
      <c r="N24">
        <f>'[3] data draft'!N32</f>
        <v>20.114874619489473</v>
      </c>
      <c r="O24">
        <f>'[3] data draft'!O32</f>
        <v>4.5056423563194172E-5</v>
      </c>
      <c r="P24">
        <f>'[3] data draft'!P32</f>
        <v>1.6940336974645146E-4</v>
      </c>
      <c r="Q24">
        <f>'[3] data draft'!Q32</f>
        <v>3.1963923818131234E-7</v>
      </c>
      <c r="R24">
        <f>'[3] data draft'!R32</f>
        <v>2.1668926395202799E-2</v>
      </c>
      <c r="S24">
        <f>'[3] data draft'!S32</f>
        <v>1.9019581640776095</v>
      </c>
      <c r="T24">
        <f>'[3] data draft'!T32</f>
        <v>137.83194247091291</v>
      </c>
      <c r="Y24" t="s">
        <v>6</v>
      </c>
      <c r="Z24">
        <v>0.63646057324408489</v>
      </c>
      <c r="AA24">
        <v>0.69366821184583116</v>
      </c>
    </row>
    <row r="25" spans="1:27" x14ac:dyDescent="0.2">
      <c r="A25" t="str">
        <f>'[1] data draft'!A33</f>
        <v>PkDuge 500-2030</v>
      </c>
      <c r="B25">
        <f>'[1] data draft'!B33</f>
        <v>12.529921277080714</v>
      </c>
      <c r="C25">
        <f>'[1] data draft'!C33</f>
        <v>2.0743790740083409E-2</v>
      </c>
      <c r="D25">
        <f>'[1] data draft'!D33</f>
        <v>118.31505418765923</v>
      </c>
      <c r="E25">
        <f>'[1] data draft'!E33</f>
        <v>111.26809506799849</v>
      </c>
      <c r="F25">
        <f>'[1] data draft'!F33</f>
        <v>7.0469591196607402</v>
      </c>
      <c r="G25">
        <f>'[1] data draft'!G33</f>
        <v>116.02621821899358</v>
      </c>
      <c r="H25">
        <f>'[1] data draft'!H33</f>
        <v>1.6956996327606721E-3</v>
      </c>
      <c r="I25">
        <f>'[1] data draft'!I33</f>
        <v>4.6844240337364654E-3</v>
      </c>
      <c r="J25">
        <f>'[1] data draft'!J33</f>
        <v>4.0872383726788718E-2</v>
      </c>
      <c r="K25">
        <f>'[1] data draft'!K33</f>
        <v>1.384439643619947E-6</v>
      </c>
      <c r="L25">
        <f>'[1] data draft'!L33</f>
        <v>9.4049801435617834E-7</v>
      </c>
      <c r="M25">
        <f>'[1] data draft'!M33</f>
        <v>0.21455405606976305</v>
      </c>
      <c r="N25">
        <f>'[1] data draft'!N33</f>
        <v>22.858417047036554</v>
      </c>
      <c r="O25">
        <f>'[1] data draft'!O33</f>
        <v>4.8029088421837652E-5</v>
      </c>
      <c r="P25">
        <f>'[1] data draft'!P33</f>
        <v>1.6940102757408181E-4</v>
      </c>
      <c r="Q25">
        <f>'[1] data draft'!Q33</f>
        <v>3.0602868716524072E-7</v>
      </c>
      <c r="R25">
        <f>'[1] data draft'!R33</f>
        <v>2.0813573322450193E-2</v>
      </c>
      <c r="S25">
        <f>'[1] data draft'!S33</f>
        <v>1.9068667688027892</v>
      </c>
      <c r="T25">
        <f>'[1] data draft'!T33</f>
        <v>135.97486954175397</v>
      </c>
      <c r="Y25" t="s">
        <v>7</v>
      </c>
      <c r="Z25">
        <v>0.59527522348848316</v>
      </c>
      <c r="AA25">
        <v>0.64454541930944598</v>
      </c>
    </row>
    <row r="26" spans="1:27" x14ac:dyDescent="0.2">
      <c r="A26" t="str">
        <f>'[1] data draft'!A34</f>
        <v>PkDuge 1150-2030</v>
      </c>
      <c r="B26">
        <f>'[1] data draft'!B34</f>
        <v>13.037552715047568</v>
      </c>
      <c r="C26">
        <f>'[1] data draft'!C34</f>
        <v>2.172831855679612E-2</v>
      </c>
      <c r="D26">
        <f>'[1] data draft'!D34</f>
        <v>119.33753091174631</v>
      </c>
      <c r="E26">
        <f>'[1] data draft'!E34</f>
        <v>111.94197219953736</v>
      </c>
      <c r="F26">
        <f>'[1] data draft'!F34</f>
        <v>7.3955587122090147</v>
      </c>
      <c r="G26">
        <f>'[1] data draft'!G34</f>
        <v>120.15055439146902</v>
      </c>
      <c r="H26">
        <f>'[1] data draft'!H34</f>
        <v>1.7913469399717804E-3</v>
      </c>
      <c r="I26">
        <f>'[1] data draft'!I34</f>
        <v>4.8793486307453842E-3</v>
      </c>
      <c r="J26">
        <f>'[1] data draft'!J34</f>
        <v>4.278678993777478E-2</v>
      </c>
      <c r="K26">
        <f>'[1] data draft'!K34</f>
        <v>1.3683161596576285E-6</v>
      </c>
      <c r="L26">
        <f>'[1] data draft'!L34</f>
        <v>9.8841532522702509E-7</v>
      </c>
      <c r="M26">
        <f>'[1] data draft'!M34</f>
        <v>0.18911883803453933</v>
      </c>
      <c r="N26">
        <f>'[1] data draft'!N34</f>
        <v>20.398403321547939</v>
      </c>
      <c r="O26">
        <f>'[1] data draft'!O34</f>
        <v>4.5842061021609599E-5</v>
      </c>
      <c r="P26">
        <f>'[1] data draft'!P34</f>
        <v>1.6940368283193457E-4</v>
      </c>
      <c r="Q26">
        <f>'[1] data draft'!Q34</f>
        <v>3.1768318068457125E-7</v>
      </c>
      <c r="R26">
        <f>'[1] data draft'!R34</f>
        <v>2.1475230415400528E-2</v>
      </c>
      <c r="S26">
        <f>'[1] data draft'!S34</f>
        <v>1.9139265555493892</v>
      </c>
      <c r="T26">
        <f>'[1] data draft'!T34</f>
        <v>137.52579693011606</v>
      </c>
      <c r="Y26" t="s">
        <v>8</v>
      </c>
      <c r="Z26">
        <v>0.83016147957272401</v>
      </c>
      <c r="AA26">
        <v>0.8267711655497012</v>
      </c>
    </row>
    <row r="27" spans="1:27" x14ac:dyDescent="0.2">
      <c r="A27" t="str">
        <f>'[1] data draft'!A35</f>
        <v>SSP5-Base-2030</v>
      </c>
      <c r="B27">
        <f>'[1] data draft'!B35</f>
        <v>13.605391335057313</v>
      </c>
      <c r="C27">
        <f>'[1] data draft'!C35</f>
        <v>2.2721698871958101E-2</v>
      </c>
      <c r="D27">
        <f>'[1] data draft'!D35</f>
        <v>120.90492710400085</v>
      </c>
      <c r="E27">
        <f>'[1] data draft'!E35</f>
        <v>113.03957070462096</v>
      </c>
      <c r="F27">
        <f>'[1] data draft'!F35</f>
        <v>7.8653563993799427</v>
      </c>
      <c r="G27">
        <f>'[1] data draft'!G35</f>
        <v>124.54490358380544</v>
      </c>
      <c r="H27">
        <f>'[1] data draft'!H35</f>
        <v>2.2520979939012814E-3</v>
      </c>
      <c r="I27">
        <f>'[1] data draft'!I35</f>
        <v>5.1054789245577343E-3</v>
      </c>
      <c r="J27">
        <f>'[1] data draft'!J35</f>
        <v>4.4255340501114092E-2</v>
      </c>
      <c r="K27">
        <f>'[1] data draft'!K35</f>
        <v>1.3787857012806696E-6</v>
      </c>
      <c r="L27">
        <f>'[1] data draft'!L35</f>
        <v>1.0672625574729399E-6</v>
      </c>
      <c r="M27">
        <f>'[1] data draft'!M35</f>
        <v>0.13384930582242779</v>
      </c>
      <c r="N27">
        <f>'[1] data draft'!N35</f>
        <v>18.811929066838047</v>
      </c>
      <c r="O27">
        <f>'[1] data draft'!O35</f>
        <v>4.4099885457553361E-5</v>
      </c>
      <c r="P27">
        <f>'[1] data draft'!P35</f>
        <v>1.6940626035961997E-4</v>
      </c>
      <c r="Q27">
        <f>'[1] data draft'!Q35</f>
        <v>3.2700368035047816E-7</v>
      </c>
      <c r="R27">
        <f>'[1] data draft'!R35</f>
        <v>2.2019681855232388E-2</v>
      </c>
      <c r="S27">
        <f>'[1] data draft'!S35</f>
        <v>1.8879387687335167</v>
      </c>
      <c r="T27">
        <f>'[1] data draft'!T35</f>
        <v>139.30960623055245</v>
      </c>
      <c r="Y27" t="s">
        <v>9</v>
      </c>
      <c r="Z27">
        <v>0.7901767364107587</v>
      </c>
      <c r="AA27">
        <v>0.89668030307822577</v>
      </c>
    </row>
    <row r="28" spans="1:27" x14ac:dyDescent="0.2">
      <c r="Y28" t="s">
        <v>10</v>
      </c>
      <c r="Z28">
        <v>0.92856599093716152</v>
      </c>
      <c r="AA28">
        <v>0.57928484585181261</v>
      </c>
    </row>
    <row r="29" spans="1:27" x14ac:dyDescent="0.2">
      <c r="A29" t="s">
        <v>19</v>
      </c>
      <c r="B29">
        <f>'[1] data draft'!B29</f>
        <v>14.543245216716471</v>
      </c>
      <c r="C29">
        <f>'[1] data draft'!C29</f>
        <v>3.1038175324651047E-2</v>
      </c>
      <c r="D29">
        <f>'[1] data draft'!D29</f>
        <v>122.62094867412364</v>
      </c>
      <c r="E29">
        <f>'[1] data draft'!E29</f>
        <v>114.91739198323289</v>
      </c>
      <c r="F29">
        <f>'[1] data draft'!F29</f>
        <v>7.7035566908907498</v>
      </c>
      <c r="G29">
        <f>'[1] data draft'!G29</f>
        <v>138.05842919195769</v>
      </c>
      <c r="H29">
        <f>'[1] data draft'!H29</f>
        <v>2.3908857533591499E-3</v>
      </c>
      <c r="I29">
        <f>'[1] data draft'!I29</f>
        <v>7.3601166052747347E-3</v>
      </c>
      <c r="J29">
        <f>'[1] data draft'!J29</f>
        <v>6.8661321879423864E-2</v>
      </c>
      <c r="K29">
        <f>'[1] data draft'!K29</f>
        <v>1.6676751182583231E-6</v>
      </c>
      <c r="L29">
        <f>'[1] data draft'!L29</f>
        <v>1.1902375392981424E-6</v>
      </c>
      <c r="M29">
        <f>'[1] data draft'!M29</f>
        <v>0.23105956729389035</v>
      </c>
      <c r="N29">
        <f>'[1] data draft'!N29</f>
        <v>20.780901628842802</v>
      </c>
      <c r="O29">
        <f>'[1] data draft'!O29</f>
        <v>4.1923638937836407E-5</v>
      </c>
      <c r="P29">
        <f>'[1] data draft'!P29</f>
        <v>1.6939663237219851E-4</v>
      </c>
      <c r="Q29">
        <f>'[1] data draft'!Q29</f>
        <v>3.6301571499051434E-7</v>
      </c>
      <c r="R29">
        <f>'[1] data draft'!R29</f>
        <v>2.9076267942116766E-2</v>
      </c>
      <c r="S29">
        <f>'[1] data draft'!S29</f>
        <v>2.0214696548558115</v>
      </c>
      <c r="T29">
        <f>'[1] data draft'!T29</f>
        <v>152.01726779328814</v>
      </c>
      <c r="Y29" t="s">
        <v>11</v>
      </c>
      <c r="Z29">
        <v>1.099972342648996</v>
      </c>
      <c r="AA29">
        <v>0.90525085979561526</v>
      </c>
    </row>
    <row r="30" spans="1:27" x14ac:dyDescent="0.2">
      <c r="Y30" t="s">
        <v>12</v>
      </c>
      <c r="Z30">
        <v>1.1456326225176754</v>
      </c>
      <c r="AA30">
        <v>1.0519097715478336</v>
      </c>
    </row>
    <row r="31" spans="1:27" x14ac:dyDescent="0.2">
      <c r="Y31" t="s">
        <v>13</v>
      </c>
      <c r="Z31">
        <v>1.0000259462175944</v>
      </c>
      <c r="AA31">
        <v>1.0000568369470315</v>
      </c>
    </row>
    <row r="32" spans="1:27" x14ac:dyDescent="0.2">
      <c r="A32" t="s">
        <v>21</v>
      </c>
      <c r="B32">
        <f>B24/B$29</f>
        <v>0.90698089152419969</v>
      </c>
      <c r="C32">
        <f t="shared" ref="C32:T32" si="2">C24/C$29</f>
        <v>0.70920196480673303</v>
      </c>
      <c r="D32">
        <f t="shared" si="2"/>
        <v>0.97212492201498935</v>
      </c>
      <c r="E32">
        <f t="shared" si="2"/>
        <v>0.9756147217880371</v>
      </c>
      <c r="F32">
        <f t="shared" si="2"/>
        <v>0.92006602187908926</v>
      </c>
      <c r="G32">
        <f t="shared" si="2"/>
        <v>0.87786990915076502</v>
      </c>
      <c r="H32">
        <f t="shared" si="2"/>
        <v>0.77337520090797207</v>
      </c>
      <c r="I32">
        <f t="shared" si="2"/>
        <v>0.67098742575000037</v>
      </c>
      <c r="J32">
        <f t="shared" si="2"/>
        <v>0.63044180966285102</v>
      </c>
      <c r="K32">
        <f t="shared" si="2"/>
        <v>0.84577638942601063</v>
      </c>
      <c r="L32">
        <f t="shared" si="2"/>
        <v>0.84497209721937871</v>
      </c>
      <c r="M32">
        <f t="shared" si="2"/>
        <v>0.73304168533049885</v>
      </c>
      <c r="N32">
        <f t="shared" si="2"/>
        <v>0.96795004272437735</v>
      </c>
      <c r="O32">
        <f t="shared" si="2"/>
        <v>1.0747259709493013</v>
      </c>
      <c r="P32">
        <f t="shared" si="2"/>
        <v>1.0000397727756367</v>
      </c>
      <c r="Q32">
        <f t="shared" si="2"/>
        <v>0.8805107464553279</v>
      </c>
      <c r="R32">
        <f t="shared" si="2"/>
        <v>0.74524441851822099</v>
      </c>
      <c r="S32">
        <f t="shared" si="2"/>
        <v>0.94087890931673346</v>
      </c>
      <c r="T32">
        <f t="shared" si="2"/>
        <v>0.9066860921243215</v>
      </c>
      <c r="Y32" t="s">
        <v>14</v>
      </c>
      <c r="Z32">
        <v>0.84301773870378394</v>
      </c>
      <c r="AA32">
        <v>0.90079758767199047</v>
      </c>
    </row>
    <row r="33" spans="1:27" x14ac:dyDescent="0.2">
      <c r="A33" t="s">
        <v>22</v>
      </c>
      <c r="B33">
        <f t="shared" ref="B33:T33" si="3">B25/B$29</f>
        <v>0.8615629517597917</v>
      </c>
      <c r="C33">
        <f t="shared" si="3"/>
        <v>0.66833151508131139</v>
      </c>
      <c r="D33">
        <f t="shared" si="3"/>
        <v>0.96488451171660949</v>
      </c>
      <c r="E33">
        <f t="shared" si="3"/>
        <v>0.96824417216354108</v>
      </c>
      <c r="F33">
        <f t="shared" si="3"/>
        <v>0.91476695796807483</v>
      </c>
      <c r="G33">
        <f t="shared" si="3"/>
        <v>0.84041386605717261</v>
      </c>
      <c r="H33">
        <f t="shared" si="3"/>
        <v>0.70923490609212325</v>
      </c>
      <c r="I33">
        <f t="shared" si="3"/>
        <v>0.63646057324408489</v>
      </c>
      <c r="J33">
        <f t="shared" si="3"/>
        <v>0.59527522348848316</v>
      </c>
      <c r="K33">
        <f t="shared" si="3"/>
        <v>0.83016147957272401</v>
      </c>
      <c r="L33">
        <f t="shared" si="3"/>
        <v>0.7901767364107587</v>
      </c>
      <c r="M33">
        <f t="shared" si="3"/>
        <v>0.92856599093716152</v>
      </c>
      <c r="N33">
        <f t="shared" si="3"/>
        <v>1.099972342648996</v>
      </c>
      <c r="O33">
        <f t="shared" si="3"/>
        <v>1.1456326225176754</v>
      </c>
      <c r="P33">
        <f t="shared" si="3"/>
        <v>1.0000259462175944</v>
      </c>
      <c r="Q33">
        <f t="shared" si="3"/>
        <v>0.84301773870378394</v>
      </c>
      <c r="R33">
        <f t="shared" si="3"/>
        <v>0.71582685108984989</v>
      </c>
      <c r="S33">
        <f t="shared" si="3"/>
        <v>0.94330714498843327</v>
      </c>
      <c r="T33">
        <f t="shared" si="3"/>
        <v>0.89446989487175566</v>
      </c>
      <c r="Y33" t="s">
        <v>15</v>
      </c>
      <c r="Z33">
        <v>0.71582685108984989</v>
      </c>
      <c r="AA33">
        <v>0.75730770878394049</v>
      </c>
    </row>
    <row r="34" spans="1:27" x14ac:dyDescent="0.2">
      <c r="A34" t="s">
        <v>23</v>
      </c>
      <c r="B34">
        <f t="shared" ref="B34:T34" si="4">B26/B$29</f>
        <v>0.89646791488200916</v>
      </c>
      <c r="C34">
        <f t="shared" si="4"/>
        <v>0.70005141505657775</v>
      </c>
      <c r="D34">
        <f t="shared" si="4"/>
        <v>0.97322302756682055</v>
      </c>
      <c r="E34">
        <f t="shared" si="4"/>
        <v>0.9741081856075392</v>
      </c>
      <c r="F34">
        <f t="shared" si="4"/>
        <v>0.96001873017356587</v>
      </c>
      <c r="G34">
        <f t="shared" si="4"/>
        <v>0.87028771147620843</v>
      </c>
      <c r="H34">
        <f t="shared" si="4"/>
        <v>0.74923987373924972</v>
      </c>
      <c r="I34">
        <f t="shared" si="4"/>
        <v>0.66294447390256395</v>
      </c>
      <c r="J34">
        <f t="shared" si="4"/>
        <v>0.6231570958233611</v>
      </c>
      <c r="K34">
        <f t="shared" si="4"/>
        <v>0.8204932391667884</v>
      </c>
      <c r="L34">
        <f t="shared" si="4"/>
        <v>0.83043534806495212</v>
      </c>
      <c r="M34">
        <f t="shared" si="4"/>
        <v>0.81848520816276971</v>
      </c>
      <c r="N34">
        <f t="shared" si="4"/>
        <v>0.98159375785870739</v>
      </c>
      <c r="O34">
        <f t="shared" si="4"/>
        <v>1.093465695799531</v>
      </c>
      <c r="P34">
        <f t="shared" si="4"/>
        <v>1.0000416210147589</v>
      </c>
      <c r="Q34">
        <f t="shared" si="4"/>
        <v>0.87512239158261329</v>
      </c>
      <c r="R34">
        <f t="shared" si="4"/>
        <v>0.73858276647305932</v>
      </c>
      <c r="S34">
        <f t="shared" si="4"/>
        <v>0.94679954801790323</v>
      </c>
      <c r="T34">
        <f t="shared" si="4"/>
        <v>0.90467220550972227</v>
      </c>
      <c r="Y34" t="s">
        <v>16</v>
      </c>
      <c r="Z34">
        <v>0.94330714498843327</v>
      </c>
      <c r="AA34">
        <v>0.93394366034556209</v>
      </c>
    </row>
    <row r="35" spans="1:27" x14ac:dyDescent="0.2">
      <c r="A35" t="s">
        <v>24</v>
      </c>
      <c r="B35">
        <f t="shared" ref="B35:T35" si="5">B27/B$29</f>
        <v>0.93551275058051286</v>
      </c>
      <c r="C35">
        <f t="shared" si="5"/>
        <v>0.73205652826866219</v>
      </c>
      <c r="D35">
        <f t="shared" si="5"/>
        <v>0.98600547794909599</v>
      </c>
      <c r="E35">
        <f t="shared" si="5"/>
        <v>0.98365938135033626</v>
      </c>
      <c r="F35">
        <f t="shared" si="5"/>
        <v>1.0210032475882882</v>
      </c>
      <c r="G35">
        <f t="shared" si="5"/>
        <v>0.90211734490066575</v>
      </c>
      <c r="H35">
        <f t="shared" si="5"/>
        <v>0.94195132106882384</v>
      </c>
      <c r="I35">
        <f t="shared" si="5"/>
        <v>0.69366821184583116</v>
      </c>
      <c r="J35">
        <f t="shared" si="5"/>
        <v>0.64454541930944598</v>
      </c>
      <c r="K35">
        <f t="shared" si="5"/>
        <v>0.8267711655497012</v>
      </c>
      <c r="L35">
        <f t="shared" si="5"/>
        <v>0.89668030307822577</v>
      </c>
      <c r="M35">
        <f t="shared" si="5"/>
        <v>0.57928484585181261</v>
      </c>
      <c r="N35">
        <f t="shared" si="5"/>
        <v>0.90525085979561526</v>
      </c>
      <c r="O35">
        <f t="shared" si="5"/>
        <v>1.0519097715478336</v>
      </c>
      <c r="P35">
        <f t="shared" si="5"/>
        <v>1.0000568369470315</v>
      </c>
      <c r="Q35">
        <f t="shared" si="5"/>
        <v>0.90079758767199047</v>
      </c>
      <c r="R35">
        <f t="shared" si="5"/>
        <v>0.75730770878394049</v>
      </c>
      <c r="S35">
        <f t="shared" si="5"/>
        <v>0.93394366034556209</v>
      </c>
      <c r="T35">
        <f t="shared" si="5"/>
        <v>0.91640645995548697</v>
      </c>
      <c r="Y35" t="s">
        <v>17</v>
      </c>
      <c r="Z35">
        <v>0.89446989487175566</v>
      </c>
      <c r="AA35">
        <v>0.91640645995548697</v>
      </c>
    </row>
    <row r="36" spans="1:27" x14ac:dyDescent="0.2">
      <c r="V36">
        <v>0.62202277148922624</v>
      </c>
      <c r="W36">
        <v>6.9648963730883598E-2</v>
      </c>
    </row>
    <row r="37" spans="1:27" x14ac:dyDescent="0.2">
      <c r="B37">
        <f t="shared" ref="B37:T37" si="6">B29/B$29</f>
        <v>1</v>
      </c>
      <c r="C37">
        <f t="shared" si="6"/>
        <v>1</v>
      </c>
      <c r="D37">
        <f t="shared" si="6"/>
        <v>1</v>
      </c>
      <c r="E37">
        <f t="shared" si="6"/>
        <v>1</v>
      </c>
      <c r="F37">
        <f t="shared" si="6"/>
        <v>1</v>
      </c>
      <c r="G37">
        <f t="shared" si="6"/>
        <v>1</v>
      </c>
      <c r="H37">
        <f t="shared" si="6"/>
        <v>1</v>
      </c>
      <c r="I37">
        <f t="shared" si="6"/>
        <v>1</v>
      </c>
      <c r="J37">
        <f t="shared" si="6"/>
        <v>1</v>
      </c>
      <c r="K37">
        <f t="shared" si="6"/>
        <v>1</v>
      </c>
      <c r="L37">
        <f t="shared" si="6"/>
        <v>1</v>
      </c>
      <c r="M37">
        <f t="shared" si="6"/>
        <v>1</v>
      </c>
      <c r="N37">
        <f t="shared" si="6"/>
        <v>1</v>
      </c>
      <c r="O37">
        <f t="shared" si="6"/>
        <v>1</v>
      </c>
      <c r="P37">
        <f t="shared" si="6"/>
        <v>1</v>
      </c>
      <c r="Q37">
        <f t="shared" si="6"/>
        <v>1</v>
      </c>
      <c r="R37">
        <f t="shared" si="6"/>
        <v>1</v>
      </c>
      <c r="S37">
        <f t="shared" si="6"/>
        <v>1</v>
      </c>
      <c r="T37">
        <f t="shared" si="6"/>
        <v>1</v>
      </c>
      <c r="V37">
        <v>1.0185466604534454E-3</v>
      </c>
      <c r="W37">
        <v>1.1505079245131041E-4</v>
      </c>
    </row>
    <row r="38" spans="1:27" x14ac:dyDescent="0.2">
      <c r="V38">
        <v>4.5825703898434469</v>
      </c>
      <c r="W38">
        <v>0.49958144039273839</v>
      </c>
    </row>
    <row r="39" spans="1:27" x14ac:dyDescent="0.2">
      <c r="V39">
        <v>7.9472023605045843E-5</v>
      </c>
      <c r="W39">
        <v>9.1864847320841851E-6</v>
      </c>
    </row>
    <row r="40" spans="1:27" x14ac:dyDescent="0.2">
      <c r="A40" t="s">
        <v>25</v>
      </c>
      <c r="V40">
        <v>2.319452581950293E-4</v>
      </c>
      <c r="W40">
        <v>2.5831828154780101E-5</v>
      </c>
    </row>
    <row r="41" spans="1:27" x14ac:dyDescent="0.2">
      <c r="A41" t="s">
        <v>27</v>
      </c>
      <c r="B41">
        <f>'[2]data summary'!C28/1000000000</f>
        <v>0.62202277148922624</v>
      </c>
      <c r="C41">
        <f>'[2]data summary'!D28/1000000000</f>
        <v>1.0185466604534454E-3</v>
      </c>
      <c r="D41">
        <f>'[2]data summary'!E28/1000000000</f>
        <v>4.5825703898434469</v>
      </c>
      <c r="E41">
        <f>'[2]data summary'!F28/1000000000</f>
        <v>4.298539917552862</v>
      </c>
      <c r="F41">
        <f>'[2]data summary'!G28/1000000000</f>
        <v>0.28403047229058909</v>
      </c>
      <c r="G41">
        <f>'[2]data summary'!H28/1000000000</f>
        <v>5.1719752975944875</v>
      </c>
      <c r="H41">
        <f>'[2]data summary'!I28/1000000000</f>
        <v>7.9472023605045843E-5</v>
      </c>
      <c r="I41">
        <f>'[2]data summary'!J28/1000000000</f>
        <v>2.319452581950293E-4</v>
      </c>
      <c r="J41">
        <f>'[2]data summary'!K28/1000000000</f>
        <v>2.1314113062030479E-3</v>
      </c>
      <c r="K41">
        <f>'[2]data summary'!L28/1000000000</f>
        <v>5.6042411073360202E-8</v>
      </c>
      <c r="L41">
        <f>'[2]data summary'!M28/1000000000</f>
        <v>3.9155456497331413E-8</v>
      </c>
      <c r="M41">
        <f>'[2]data summary'!N28/1000000000</f>
        <v>7.003978380861091E-3</v>
      </c>
      <c r="N41">
        <f>'[2]data summary'!O28/1000000000</f>
        <v>0.86702113598296215</v>
      </c>
      <c r="O41">
        <f>'[2]data summary'!P28/1000000000</f>
        <v>1.5457901735240677E-6</v>
      </c>
      <c r="P41">
        <f>'[2]data summary'!Q28/1000000000</f>
        <v>5.4986803397663873E-6</v>
      </c>
      <c r="Q41">
        <f>'[2]data summary'!R28/1000000000</f>
        <v>1.2893460376695109E-8</v>
      </c>
      <c r="R41">
        <f>'[2]data summary'!S28/1000000000</f>
        <v>1.0234689803017346E-3</v>
      </c>
      <c r="S41">
        <f>'[2]data summary'!T28/1000000000</f>
        <v>6.7417078240260928E-2</v>
      </c>
      <c r="T41">
        <f>'[2]data summary'!U28/1000000000</f>
        <v>5.8023404536484424</v>
      </c>
      <c r="V41">
        <v>2.1314113062030479E-3</v>
      </c>
      <c r="W41">
        <v>2.3830492029050065E-4</v>
      </c>
    </row>
    <row r="42" spans="1:27" x14ac:dyDescent="0.2">
      <c r="A42" t="s">
        <v>26</v>
      </c>
      <c r="B42">
        <f>'[2]data summary'!V28/1000000000</f>
        <v>6.9648963730883598E-2</v>
      </c>
      <c r="C42">
        <f>'[2]data summary'!W28/1000000000</f>
        <v>1.1505079245131041E-4</v>
      </c>
      <c r="D42">
        <f>'[2]data summary'!X28/1000000000</f>
        <v>0.49958144039273839</v>
      </c>
      <c r="E42">
        <f>'[2]data summary'!Y28/1000000000</f>
        <v>0.46692203707715318</v>
      </c>
      <c r="F42">
        <f>'[2]data summary'!Z28/1000000000</f>
        <v>3.2671024855826215E-2</v>
      </c>
      <c r="G42">
        <f>'[2]data summary'!AA28/1000000000</f>
        <v>0.58955896172381372</v>
      </c>
      <c r="H42">
        <f>'[2]data summary'!AB28/1000000000</f>
        <v>9.1864847320841851E-6</v>
      </c>
      <c r="I42">
        <f>'[2]data summary'!AC28/1000000000</f>
        <v>2.5831828154780101E-5</v>
      </c>
      <c r="J42">
        <f>'[2]data summary'!AD28/1000000000</f>
        <v>2.3830492029050065E-4</v>
      </c>
      <c r="K42">
        <f>'[2]data summary'!AE28/1000000000</f>
        <v>6.4077426406661528E-9</v>
      </c>
      <c r="L42">
        <f>'[2]data summary'!AF28/1000000000</f>
        <v>4.45948221049229E-9</v>
      </c>
      <c r="M42">
        <f>'[2]data summary'!AG28/1000000000</f>
        <v>8.5113918799708155E-4</v>
      </c>
      <c r="N42">
        <f>'[2]data summary'!AH28/1000000000</f>
        <v>9.9697150635855269E-2</v>
      </c>
      <c r="O42">
        <f>'[2]data summary'!AI28/1000000000</f>
        <v>1.7827731364628463E-7</v>
      </c>
      <c r="P42">
        <f>'[2]data summary'!AJ28/1000000000</f>
        <v>5.9129925870460098E-7</v>
      </c>
      <c r="Q42">
        <f>'[2]data summary'!AK28/1000000000</f>
        <v>1.4460560478159645E-9</v>
      </c>
      <c r="R42">
        <f>'[2]data summary'!AL28/1000000000</f>
        <v>1.1579675197508241E-4</v>
      </c>
      <c r="S42">
        <f>'[2]data summary'!AM28/1000000000</f>
        <v>7.52071900902889E-3</v>
      </c>
      <c r="T42">
        <f>'[2]data summary'!AN28/1000000000</f>
        <v>0.66036020265201889</v>
      </c>
      <c r="V42">
        <v>5.6042411073360202E-8</v>
      </c>
      <c r="W42">
        <v>6.4077426406661528E-9</v>
      </c>
    </row>
    <row r="43" spans="1:27" x14ac:dyDescent="0.2">
      <c r="V43">
        <v>3.9155456497331413E-8</v>
      </c>
      <c r="W43">
        <v>4.45948221049229E-9</v>
      </c>
    </row>
    <row r="44" spans="1:27" x14ac:dyDescent="0.2">
      <c r="V44">
        <v>7.003978380861091E-3</v>
      </c>
      <c r="W44">
        <v>8.5113918799708155E-4</v>
      </c>
    </row>
    <row r="45" spans="1:27" x14ac:dyDescent="0.2">
      <c r="V45">
        <v>0.86702113598296215</v>
      </c>
      <c r="W45">
        <v>9.9697150635855269E-2</v>
      </c>
    </row>
    <row r="46" spans="1:27" x14ac:dyDescent="0.2">
      <c r="A46" t="s">
        <v>28</v>
      </c>
      <c r="V46">
        <v>1.5457901735240677E-6</v>
      </c>
      <c r="W46">
        <v>1.7827731364628463E-7</v>
      </c>
    </row>
    <row r="47" spans="1:27" x14ac:dyDescent="0.2">
      <c r="V47">
        <v>5.4986803397663873E-6</v>
      </c>
      <c r="W47">
        <v>5.9129925870460098E-7</v>
      </c>
    </row>
    <row r="48" spans="1:27" x14ac:dyDescent="0.2">
      <c r="V48">
        <v>1.2893460376695109E-8</v>
      </c>
      <c r="W48">
        <v>1.4460560478159645E-9</v>
      </c>
    </row>
    <row r="49" spans="22:23" x14ac:dyDescent="0.2">
      <c r="V49">
        <v>1.0234689803017346E-3</v>
      </c>
      <c r="W49">
        <v>1.1579675197508241E-4</v>
      </c>
    </row>
    <row r="50" spans="22:23" x14ac:dyDescent="0.2">
      <c r="V50">
        <v>6.7417078240260928E-2</v>
      </c>
      <c r="W50">
        <v>7.52071900902889E-3</v>
      </c>
    </row>
    <row r="51" spans="22:23" x14ac:dyDescent="0.2">
      <c r="V51">
        <v>5.8023404536484424</v>
      </c>
      <c r="W51">
        <v>0.66036020265201889</v>
      </c>
    </row>
    <row r="95" spans="23:23" x14ac:dyDescent="0.2">
      <c r="W95" s="5"/>
    </row>
    <row r="96" spans="23:23" x14ac:dyDescent="0.2">
      <c r="W96" s="5"/>
    </row>
    <row r="97" spans="2:42" x14ac:dyDescent="0.2">
      <c r="W97" s="5"/>
      <c r="Z97" s="5"/>
    </row>
    <row r="98" spans="2:42" x14ac:dyDescent="0.2">
      <c r="B98" s="5"/>
      <c r="C98" s="5"/>
      <c r="W98" s="5"/>
      <c r="Z98" s="5"/>
    </row>
    <row r="99" spans="2:42" x14ac:dyDescent="0.2">
      <c r="W99" s="5"/>
      <c r="Z99" s="5"/>
    </row>
    <row r="100" spans="2:42" x14ac:dyDescent="0.2">
      <c r="G100" s="5"/>
      <c r="I100" s="5"/>
      <c r="J100" s="5"/>
      <c r="K100" s="5"/>
      <c r="L100" s="5"/>
      <c r="M100" s="5"/>
      <c r="N100" s="5"/>
      <c r="U100" s="5"/>
      <c r="W100" s="5"/>
      <c r="X100" s="5"/>
      <c r="Y100" s="5"/>
      <c r="Z100" s="5"/>
      <c r="AA100" s="5"/>
      <c r="AB100" s="5"/>
      <c r="AG100" s="5"/>
      <c r="AI100" s="5"/>
      <c r="AN100" s="5"/>
      <c r="AO100" s="5"/>
      <c r="AP100" s="5"/>
    </row>
    <row r="101" spans="2:42" x14ac:dyDescent="0.2">
      <c r="D101" s="5"/>
      <c r="E101" s="5"/>
      <c r="G101" s="5"/>
      <c r="I101" s="5"/>
      <c r="J101" s="5"/>
      <c r="K101" s="5"/>
      <c r="L101" s="5"/>
      <c r="M101" s="5"/>
      <c r="N101" s="5"/>
      <c r="P101" s="5"/>
      <c r="Q101" s="5"/>
      <c r="S101" s="5"/>
      <c r="U101" s="5"/>
      <c r="W101" s="5"/>
      <c r="X101" s="5"/>
      <c r="Y101" s="5"/>
      <c r="Z101" s="5"/>
      <c r="AA101" s="5"/>
      <c r="AB101" s="5"/>
      <c r="AD101" s="5"/>
      <c r="AE101" s="5"/>
      <c r="AF101" s="5"/>
      <c r="AG101" s="5"/>
      <c r="AI101" s="5"/>
      <c r="AK101" s="5"/>
      <c r="AL101" s="5"/>
      <c r="AM101" s="5"/>
      <c r="AN101" s="5"/>
      <c r="AP101" s="5"/>
    </row>
    <row r="102" spans="2:42" x14ac:dyDescent="0.2">
      <c r="E102" s="5"/>
      <c r="G102" s="5"/>
      <c r="I102" s="5"/>
      <c r="J102" s="5"/>
      <c r="K102" s="5"/>
      <c r="L102" s="5"/>
      <c r="M102" s="5"/>
      <c r="N102" s="5"/>
      <c r="S102" s="5"/>
      <c r="U102" s="5"/>
      <c r="W102" s="5"/>
      <c r="X102" s="5"/>
      <c r="Y102" s="5"/>
      <c r="Z102" s="5"/>
      <c r="AA102" s="5"/>
      <c r="AB102" s="5"/>
      <c r="AE102" s="5"/>
      <c r="AG102" s="5"/>
      <c r="AH102" s="5"/>
      <c r="AI102" s="5"/>
      <c r="AL102" s="5"/>
      <c r="AN102" s="5"/>
      <c r="AP102" s="5"/>
    </row>
    <row r="103" spans="2:42" x14ac:dyDescent="0.2">
      <c r="C103" s="5"/>
      <c r="E103" s="5"/>
      <c r="F103" s="5"/>
      <c r="G103" s="5"/>
      <c r="I103" s="5"/>
      <c r="J103" s="5"/>
      <c r="K103" s="5"/>
      <c r="L103" s="5"/>
      <c r="M103" s="5"/>
      <c r="N103" s="5"/>
      <c r="U103" s="5"/>
      <c r="W103" s="5"/>
      <c r="X103" s="5"/>
      <c r="Y103" s="5"/>
      <c r="Z103" s="5"/>
      <c r="AA103" s="5"/>
      <c r="AB103" s="5"/>
      <c r="AG103" s="5"/>
      <c r="AH103" s="5"/>
      <c r="AI103" s="5"/>
      <c r="AN103" s="5"/>
      <c r="AO103" s="5"/>
      <c r="AP103" s="5"/>
    </row>
    <row r="104" spans="2:42" x14ac:dyDescent="0.2">
      <c r="C104" s="5"/>
      <c r="E104" s="5"/>
      <c r="F104" s="5"/>
      <c r="G104" s="5"/>
      <c r="I104" s="5"/>
      <c r="J104" s="5"/>
      <c r="K104" s="5"/>
      <c r="L104" s="5"/>
      <c r="M104" s="5"/>
      <c r="N104" s="5"/>
      <c r="U104" s="5"/>
      <c r="X104" s="5"/>
      <c r="Y104" s="5"/>
      <c r="Z104" s="5"/>
      <c r="AA104" s="5"/>
      <c r="AB104" s="5"/>
      <c r="AG104" s="5"/>
      <c r="AH104" s="5"/>
      <c r="AI104" s="5"/>
      <c r="AN104" s="5"/>
      <c r="AO104" s="5"/>
      <c r="AP104" s="5"/>
    </row>
    <row r="105" spans="2:42" x14ac:dyDescent="0.2">
      <c r="C105" s="5"/>
      <c r="E105" s="5"/>
      <c r="F105" s="5"/>
      <c r="G105" s="5"/>
      <c r="I105" s="5"/>
      <c r="J105" s="5"/>
      <c r="K105" s="5"/>
      <c r="L105" s="5"/>
      <c r="M105" s="5"/>
      <c r="N105" s="5"/>
      <c r="S105" s="5"/>
      <c r="U105" s="5"/>
      <c r="X105" s="5"/>
      <c r="Y105" s="5"/>
      <c r="Z105" s="5"/>
      <c r="AA105" s="5"/>
      <c r="AB105" s="5"/>
      <c r="AE105" s="5"/>
      <c r="AG105" s="5"/>
      <c r="AH105" s="5"/>
      <c r="AI105" s="5"/>
      <c r="AL105" s="5"/>
      <c r="AN105" s="5"/>
      <c r="AO105" s="5"/>
      <c r="AP105" s="5"/>
    </row>
    <row r="106" spans="2:42" x14ac:dyDescent="0.2">
      <c r="C106" s="5"/>
      <c r="E106" s="5"/>
      <c r="G106" s="5"/>
      <c r="I106" s="5"/>
      <c r="J106" s="5"/>
      <c r="K106" s="5"/>
      <c r="L106" s="5"/>
      <c r="M106" s="5"/>
      <c r="N106" s="5"/>
      <c r="Q106" s="5"/>
      <c r="S106" s="5"/>
      <c r="T106" s="5"/>
      <c r="U106" s="5"/>
      <c r="X106" s="5"/>
      <c r="Y106" s="5"/>
      <c r="Z106" s="5"/>
      <c r="AA106" s="5"/>
      <c r="AB106" s="5"/>
      <c r="AE106" s="5"/>
      <c r="AG106" s="5"/>
      <c r="AI106" s="5"/>
      <c r="AL106" s="5"/>
      <c r="AN106" s="5"/>
      <c r="AO106" s="5"/>
      <c r="AP106" s="5"/>
    </row>
    <row r="107" spans="2:42" x14ac:dyDescent="0.2">
      <c r="C107" s="5"/>
      <c r="E107" s="5"/>
      <c r="G107" s="5"/>
      <c r="I107" s="5"/>
      <c r="J107" s="5"/>
      <c r="K107" s="5"/>
      <c r="L107" s="5"/>
      <c r="M107" s="5"/>
      <c r="N107" s="5"/>
      <c r="Q107" s="5"/>
      <c r="S107" s="5"/>
      <c r="U107" s="5"/>
      <c r="X107" s="5"/>
      <c r="Y107" s="5"/>
      <c r="Z107" s="5"/>
      <c r="AA107" s="5"/>
      <c r="AB107" s="5"/>
      <c r="AE107" s="5"/>
      <c r="AG107" s="5"/>
      <c r="AI107" s="5"/>
      <c r="AL107" s="5"/>
      <c r="AN107" s="5"/>
      <c r="AP107" s="5"/>
    </row>
    <row r="108" spans="2:42" x14ac:dyDescent="0.2">
      <c r="E108" s="5"/>
      <c r="G108" s="5"/>
      <c r="I108" s="5"/>
      <c r="J108" s="5"/>
      <c r="K108" s="5"/>
      <c r="L108" s="5"/>
      <c r="M108" s="5"/>
      <c r="N108" s="5"/>
      <c r="Q108" s="5"/>
      <c r="S108" s="5"/>
      <c r="U108" s="5"/>
      <c r="X108" s="5"/>
      <c r="Y108" s="5"/>
      <c r="Z108" s="5"/>
      <c r="AA108" s="5"/>
      <c r="AB108" s="5"/>
      <c r="AE108" s="5"/>
      <c r="AG108" s="5"/>
      <c r="AI108" s="5"/>
      <c r="AK108" s="5"/>
      <c r="AL108" s="5"/>
      <c r="AN108" s="5"/>
      <c r="AP108" s="5"/>
    </row>
    <row r="109" spans="2:42" x14ac:dyDescent="0.2">
      <c r="E109" s="5"/>
      <c r="I109" s="5"/>
      <c r="J109" s="5"/>
      <c r="K109" s="5"/>
      <c r="L109" s="5"/>
      <c r="M109" s="5"/>
      <c r="N109" s="5"/>
      <c r="Q109" s="5"/>
      <c r="S109" s="5"/>
      <c r="X109" s="5"/>
      <c r="Z109" s="5"/>
      <c r="AB109" s="5"/>
      <c r="AE109" s="5"/>
      <c r="AG109" s="5"/>
      <c r="AI109" s="5"/>
      <c r="AL109" s="5"/>
      <c r="AN109" s="5"/>
      <c r="AP109" s="5"/>
    </row>
    <row r="110" spans="2:42" x14ac:dyDescent="0.2">
      <c r="I110" s="5"/>
      <c r="J110" s="5"/>
      <c r="K110" s="5"/>
      <c r="L110" s="5"/>
      <c r="M110" s="5"/>
      <c r="N110" s="5"/>
      <c r="Q110" s="5"/>
      <c r="X110" s="5"/>
      <c r="Z110" s="5"/>
      <c r="AB110" s="5"/>
      <c r="AE110" s="5"/>
      <c r="AL110" s="5"/>
      <c r="AN110" s="5"/>
      <c r="AP110" s="5"/>
    </row>
    <row r="111" spans="2:42" x14ac:dyDescent="0.2">
      <c r="I111" s="5"/>
      <c r="J111" s="5"/>
      <c r="L111" s="5"/>
      <c r="N111" s="5"/>
      <c r="X111" s="5"/>
      <c r="Z111" s="5"/>
      <c r="AB111" s="5"/>
      <c r="AL111" s="5"/>
      <c r="AN111" s="5"/>
      <c r="AP111" s="5"/>
    </row>
    <row r="112" spans="2:42" x14ac:dyDescent="0.2">
      <c r="J112" s="5"/>
      <c r="L112" s="5"/>
      <c r="N112" s="5"/>
      <c r="X112" s="5"/>
      <c r="Z112" s="5"/>
      <c r="AB112" s="5"/>
    </row>
    <row r="113" spans="10:28" x14ac:dyDescent="0.2">
      <c r="J113" s="5"/>
      <c r="L113" s="5"/>
      <c r="N113" s="5"/>
      <c r="X113" s="5"/>
      <c r="AB113" s="5"/>
    </row>
    <row r="114" spans="10:28" x14ac:dyDescent="0.2">
      <c r="J114" s="5"/>
      <c r="L114" s="5"/>
      <c r="N114" s="5"/>
      <c r="X114" s="5"/>
      <c r="AB114" s="5"/>
    </row>
    <row r="115" spans="10:28" x14ac:dyDescent="0.2">
      <c r="J115" s="5"/>
      <c r="L115" s="5"/>
      <c r="N115" s="5"/>
    </row>
    <row r="116" spans="10:28" x14ac:dyDescent="0.2">
      <c r="J116" s="5"/>
      <c r="L116" s="5"/>
      <c r="N116" s="5"/>
    </row>
    <row r="117" spans="10:28" x14ac:dyDescent="0.2">
      <c r="J117" s="5"/>
      <c r="L117" s="5"/>
      <c r="N117" s="5"/>
    </row>
    <row r="118" spans="10:28" x14ac:dyDescent="0.2">
      <c r="J118" s="5"/>
      <c r="L118" s="5"/>
      <c r="N118" s="5"/>
    </row>
    <row r="119" spans="10:28" x14ac:dyDescent="0.2">
      <c r="L119" s="5"/>
      <c r="N119" s="5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205E5-3EDA-7E42-B362-2F1D10AB2447}">
  <dimension ref="B1:J95"/>
  <sheetViews>
    <sheetView zoomScale="108" workbookViewId="0">
      <selection activeCell="J25" sqref="J25"/>
    </sheetView>
  </sheetViews>
  <sheetFormatPr baseColWidth="10" defaultColWidth="11" defaultRowHeight="16" x14ac:dyDescent="0.2"/>
  <sheetData>
    <row r="1" spans="10:10" x14ac:dyDescent="0.2">
      <c r="J1" s="2"/>
    </row>
    <row r="13" spans="10:10" x14ac:dyDescent="0.2">
      <c r="J13" s="2"/>
    </row>
    <row r="69" spans="2:6" x14ac:dyDescent="0.2">
      <c r="B69" s="5"/>
    </row>
    <row r="70" spans="2:6" x14ac:dyDescent="0.2">
      <c r="B70" s="5"/>
      <c r="D70" s="5"/>
      <c r="F70" s="5"/>
    </row>
    <row r="71" spans="2:6" x14ac:dyDescent="0.2">
      <c r="B71" s="5"/>
      <c r="D71" s="5"/>
      <c r="F71" s="5"/>
    </row>
    <row r="72" spans="2:6" x14ac:dyDescent="0.2">
      <c r="B72" s="5"/>
      <c r="D72" s="5"/>
      <c r="F72" s="5"/>
    </row>
    <row r="73" spans="2:6" x14ac:dyDescent="0.2">
      <c r="B73" s="5"/>
      <c r="D73" s="5"/>
      <c r="F73" s="5"/>
    </row>
    <row r="74" spans="2:6" x14ac:dyDescent="0.2">
      <c r="B74" s="5"/>
      <c r="D74" s="5"/>
      <c r="F74" s="5"/>
    </row>
    <row r="75" spans="2:6" x14ac:dyDescent="0.2">
      <c r="B75" s="5"/>
      <c r="D75" s="5"/>
      <c r="F75" s="5"/>
    </row>
    <row r="76" spans="2:6" x14ac:dyDescent="0.2">
      <c r="B76" s="5"/>
      <c r="D76" s="5"/>
      <c r="F76" s="5"/>
    </row>
    <row r="77" spans="2:6" x14ac:dyDescent="0.2">
      <c r="B77" s="5"/>
      <c r="C77" s="5"/>
      <c r="D77" s="5"/>
      <c r="F77" s="5"/>
    </row>
    <row r="78" spans="2:6" x14ac:dyDescent="0.2">
      <c r="B78" s="5"/>
      <c r="C78" s="5"/>
      <c r="D78" s="5"/>
      <c r="F78" s="5"/>
    </row>
    <row r="79" spans="2:6" x14ac:dyDescent="0.2">
      <c r="B79" s="5"/>
      <c r="C79" s="5"/>
      <c r="D79" s="5"/>
      <c r="F79" s="5"/>
    </row>
    <row r="80" spans="2:6" x14ac:dyDescent="0.2">
      <c r="B80" s="5"/>
      <c r="C80" s="5"/>
      <c r="D80" s="5"/>
      <c r="E80" s="5"/>
      <c r="F80" s="5"/>
    </row>
    <row r="81" spans="2:7" x14ac:dyDescent="0.2">
      <c r="B81" s="5"/>
      <c r="C81" s="5"/>
      <c r="D81" s="5"/>
      <c r="E81" s="5"/>
      <c r="F81" s="5"/>
    </row>
    <row r="82" spans="2:7" x14ac:dyDescent="0.2">
      <c r="B82" s="5"/>
      <c r="C82" s="5"/>
      <c r="D82" s="5"/>
      <c r="E82" s="5"/>
      <c r="F82" s="5"/>
    </row>
    <row r="83" spans="2:7" x14ac:dyDescent="0.2">
      <c r="B83" s="5"/>
      <c r="C83" s="5"/>
      <c r="D83" s="5"/>
      <c r="E83" s="5"/>
      <c r="F83" s="5"/>
    </row>
    <row r="84" spans="2:7" x14ac:dyDescent="0.2">
      <c r="B84" s="5"/>
      <c r="C84" s="5"/>
      <c r="D84" s="5"/>
      <c r="E84" s="5"/>
      <c r="F84" s="5"/>
    </row>
    <row r="85" spans="2:7" x14ac:dyDescent="0.2">
      <c r="B85" s="5"/>
      <c r="C85" s="5"/>
      <c r="D85" s="5"/>
      <c r="E85" s="5"/>
      <c r="F85" s="5"/>
      <c r="G85" s="5"/>
    </row>
    <row r="86" spans="2:7" x14ac:dyDescent="0.2">
      <c r="B86" s="5"/>
      <c r="C86" s="5"/>
      <c r="D86" s="5"/>
      <c r="E86" s="5"/>
      <c r="F86" s="5"/>
      <c r="G86" s="5"/>
    </row>
    <row r="87" spans="2:7" x14ac:dyDescent="0.2">
      <c r="B87" s="5"/>
      <c r="C87" s="5"/>
      <c r="D87" s="5"/>
      <c r="E87" s="5"/>
      <c r="F87" s="5"/>
      <c r="G87" s="5"/>
    </row>
    <row r="88" spans="2:7" x14ac:dyDescent="0.2">
      <c r="B88" s="5"/>
      <c r="C88" s="5"/>
      <c r="D88" s="5"/>
      <c r="E88" s="5"/>
      <c r="F88" s="5"/>
      <c r="G88" s="5"/>
    </row>
    <row r="89" spans="2:7" x14ac:dyDescent="0.2">
      <c r="B89" s="5"/>
      <c r="C89" s="5"/>
      <c r="D89" s="5"/>
      <c r="E89" s="5"/>
      <c r="F89" s="5"/>
      <c r="G89" s="5"/>
    </row>
    <row r="90" spans="2:7" x14ac:dyDescent="0.2">
      <c r="B90" s="5"/>
      <c r="C90" s="5"/>
      <c r="D90" s="5"/>
      <c r="E90" s="5"/>
      <c r="F90" s="5"/>
      <c r="G90" s="5"/>
    </row>
    <row r="91" spans="2:7" x14ac:dyDescent="0.2">
      <c r="B91" s="5"/>
      <c r="C91" s="5"/>
      <c r="D91" s="5"/>
      <c r="E91" s="5"/>
      <c r="F91" s="5"/>
      <c r="G91" s="5"/>
    </row>
    <row r="92" spans="2:7" x14ac:dyDescent="0.2">
      <c r="B92" s="5"/>
      <c r="C92" s="5"/>
      <c r="D92" s="5"/>
      <c r="E92" s="5"/>
      <c r="F92" s="5"/>
      <c r="G92" s="5"/>
    </row>
    <row r="93" spans="2:7" x14ac:dyDescent="0.2">
      <c r="B93" s="5"/>
      <c r="C93" s="5"/>
      <c r="D93" s="5"/>
      <c r="E93" s="5"/>
      <c r="F93" s="5"/>
      <c r="G93" s="5"/>
    </row>
    <row r="94" spans="2:7" x14ac:dyDescent="0.2">
      <c r="B94" s="5"/>
      <c r="C94" s="5"/>
      <c r="D94" s="5"/>
      <c r="E94" s="5"/>
      <c r="F94" s="5"/>
      <c r="G94" s="5"/>
    </row>
    <row r="95" spans="2:7" x14ac:dyDescent="0.2">
      <c r="B95" s="5"/>
      <c r="C95" s="5"/>
      <c r="D95" s="5"/>
      <c r="E95" s="5"/>
      <c r="F95" s="5"/>
      <c r="G95" s="5"/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D30E1-FAF4-F243-8493-91681046BA68}">
  <dimension ref="C1:Z1"/>
  <sheetViews>
    <sheetView workbookViewId="0">
      <selection activeCell="I1" sqref="A1:XFD1048576"/>
    </sheetView>
  </sheetViews>
  <sheetFormatPr baseColWidth="10" defaultColWidth="11" defaultRowHeight="16" x14ac:dyDescent="0.2"/>
  <cols>
    <col min="2" max="2" width="17.5" customWidth="1"/>
    <col min="4" max="4" width="18.83203125" customWidth="1"/>
  </cols>
  <sheetData>
    <row r="1" spans="3:26" x14ac:dyDescent="0.2">
      <c r="C1" s="3"/>
      <c r="J1" s="4"/>
      <c r="R1" s="4"/>
      <c r="Z1" s="4"/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3E6E1-6099-244E-858D-34A461893BFE}">
  <dimension ref="A2:L36"/>
  <sheetViews>
    <sheetView workbookViewId="0">
      <selection activeCell="E18" sqref="E18"/>
    </sheetView>
  </sheetViews>
  <sheetFormatPr baseColWidth="10" defaultColWidth="11" defaultRowHeight="16" x14ac:dyDescent="0.2"/>
  <cols>
    <col min="1" max="1" width="26.1640625" customWidth="1"/>
  </cols>
  <sheetData>
    <row r="2" spans="2:12" x14ac:dyDescent="0.2"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2:12" x14ac:dyDescent="0.2"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2:12" x14ac:dyDescent="0.2"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2:12" x14ac:dyDescent="0.2"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2:12" x14ac:dyDescent="0.2"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2:12" x14ac:dyDescent="0.2"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2:12" x14ac:dyDescent="0.2"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2:12" x14ac:dyDescent="0.2"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2:12" x14ac:dyDescent="0.2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2:12" x14ac:dyDescent="0.2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2:12" x14ac:dyDescent="0.2">
      <c r="B12" s="6"/>
      <c r="C12" s="6"/>
      <c r="D12" s="7"/>
      <c r="E12" s="6"/>
      <c r="F12" s="6"/>
      <c r="G12" s="6"/>
      <c r="H12" s="6"/>
      <c r="I12" s="6"/>
      <c r="J12" s="6"/>
      <c r="K12" s="7"/>
      <c r="L12" s="6"/>
    </row>
    <row r="13" spans="2:12" x14ac:dyDescent="0.2">
      <c r="B13" s="6"/>
      <c r="C13" s="6"/>
      <c r="D13" s="7"/>
      <c r="E13" s="6"/>
      <c r="F13" s="6"/>
      <c r="G13" s="6"/>
      <c r="H13" s="6"/>
      <c r="I13" s="6"/>
      <c r="J13" s="6"/>
      <c r="K13" s="7"/>
      <c r="L13" s="6"/>
    </row>
    <row r="14" spans="2:12" x14ac:dyDescent="0.2">
      <c r="B14" s="6"/>
      <c r="C14" s="6"/>
      <c r="D14" s="7"/>
      <c r="E14" s="6"/>
      <c r="F14" s="6"/>
      <c r="G14" s="6"/>
      <c r="H14" s="6"/>
      <c r="I14" s="6"/>
      <c r="J14" s="6"/>
      <c r="K14" s="7"/>
      <c r="L14" s="6"/>
    </row>
    <row r="15" spans="2:12" x14ac:dyDescent="0.2">
      <c r="B15" s="6"/>
      <c r="C15" s="6"/>
      <c r="D15" s="7"/>
      <c r="E15" s="6"/>
      <c r="F15" s="6"/>
      <c r="G15" s="6"/>
      <c r="H15" s="6"/>
      <c r="I15" s="6"/>
      <c r="J15" s="6"/>
      <c r="K15" s="7"/>
      <c r="L15" s="6"/>
    </row>
    <row r="16" spans="2:12" x14ac:dyDescent="0.2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2:12" x14ac:dyDescent="0.2">
      <c r="B17" s="6"/>
      <c r="C17" s="6"/>
      <c r="D17" s="7"/>
      <c r="E17" s="6"/>
      <c r="F17" s="6"/>
      <c r="G17" s="6"/>
      <c r="H17" s="6"/>
      <c r="I17" s="6"/>
      <c r="J17" s="6"/>
      <c r="K17" s="7"/>
      <c r="L17" s="6"/>
    </row>
    <row r="18" spans="2:12" x14ac:dyDescent="0.2">
      <c r="B18" s="6"/>
      <c r="C18" s="6"/>
      <c r="D18" s="7"/>
      <c r="E18" s="6"/>
      <c r="F18" s="6"/>
      <c r="G18" s="6"/>
      <c r="H18" s="6"/>
      <c r="I18" s="6"/>
      <c r="J18" s="6"/>
      <c r="K18" s="7"/>
      <c r="L18" s="6"/>
    </row>
    <row r="19" spans="2:12" x14ac:dyDescent="0.2">
      <c r="B19" s="6"/>
      <c r="C19" s="6"/>
      <c r="D19" s="7"/>
      <c r="E19" s="6"/>
      <c r="F19" s="6"/>
      <c r="G19" s="6"/>
      <c r="H19" s="6"/>
      <c r="I19" s="6"/>
      <c r="J19" s="6"/>
      <c r="K19" s="7"/>
      <c r="L19" s="6"/>
    </row>
    <row r="20" spans="2:12" x14ac:dyDescent="0.2">
      <c r="B20" s="6"/>
      <c r="C20" s="6"/>
      <c r="D20" s="7"/>
      <c r="E20" s="6"/>
      <c r="F20" s="6"/>
      <c r="G20" s="6"/>
      <c r="H20" s="6"/>
      <c r="I20" s="6"/>
      <c r="J20" s="6"/>
      <c r="K20" s="7"/>
      <c r="L20" s="6"/>
    </row>
    <row r="21" spans="2:12" x14ac:dyDescent="0.2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2:12" x14ac:dyDescent="0.2">
      <c r="B22" s="6"/>
      <c r="C22" s="6"/>
      <c r="D22" s="7"/>
      <c r="E22" s="6"/>
      <c r="F22" s="6"/>
      <c r="G22" s="6"/>
      <c r="H22" s="6"/>
      <c r="I22" s="6"/>
      <c r="J22" s="6"/>
      <c r="K22" s="7"/>
      <c r="L22" s="6"/>
    </row>
    <row r="23" spans="2:12" x14ac:dyDescent="0.2">
      <c r="B23" s="6"/>
      <c r="C23" s="6"/>
      <c r="D23" s="7"/>
      <c r="E23" s="6"/>
      <c r="F23" s="6"/>
      <c r="G23" s="6"/>
      <c r="H23" s="6"/>
      <c r="I23" s="6"/>
      <c r="J23" s="6"/>
      <c r="K23" s="7"/>
      <c r="L23" s="6"/>
    </row>
    <row r="24" spans="2:12" x14ac:dyDescent="0.2">
      <c r="B24" s="6"/>
      <c r="C24" s="6"/>
      <c r="D24" s="7"/>
      <c r="E24" s="6"/>
      <c r="F24" s="6"/>
      <c r="G24" s="6"/>
      <c r="H24" s="6"/>
      <c r="I24" s="6"/>
      <c r="J24" s="6"/>
      <c r="K24" s="7"/>
      <c r="L24" s="6"/>
    </row>
    <row r="25" spans="2:12" x14ac:dyDescent="0.2">
      <c r="B25" s="6"/>
      <c r="C25" s="6"/>
      <c r="D25" s="7"/>
      <c r="E25" s="6"/>
      <c r="F25" s="6"/>
      <c r="G25" s="6"/>
      <c r="H25" s="6"/>
      <c r="I25" s="6"/>
      <c r="J25" s="6"/>
      <c r="K25" s="7"/>
      <c r="L25" s="6"/>
    </row>
    <row r="26" spans="2:12" x14ac:dyDescent="0.2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2:12" x14ac:dyDescent="0.2">
      <c r="B27" s="6"/>
      <c r="C27" s="6"/>
      <c r="D27" s="7"/>
      <c r="E27" s="6"/>
      <c r="F27" s="6"/>
      <c r="G27" s="6"/>
      <c r="H27" s="6"/>
      <c r="I27" s="6"/>
      <c r="J27" s="6"/>
      <c r="K27" s="7"/>
      <c r="L27" s="6"/>
    </row>
    <row r="28" spans="2:12" x14ac:dyDescent="0.2">
      <c r="B28" s="6"/>
      <c r="C28" s="6"/>
      <c r="D28" s="7"/>
      <c r="E28" s="6"/>
      <c r="F28" s="6"/>
      <c r="G28" s="6"/>
      <c r="H28" s="6"/>
      <c r="I28" s="6"/>
      <c r="J28" s="6"/>
      <c r="K28" s="7"/>
      <c r="L28" s="6"/>
    </row>
    <row r="29" spans="2:12" x14ac:dyDescent="0.2">
      <c r="B29" s="6"/>
      <c r="C29" s="6"/>
      <c r="D29" s="7"/>
      <c r="E29" s="6"/>
      <c r="F29" s="6"/>
      <c r="G29" s="6"/>
      <c r="H29" s="6"/>
      <c r="I29" s="6"/>
      <c r="J29" s="6"/>
      <c r="K29" s="7"/>
      <c r="L29" s="6"/>
    </row>
    <row r="30" spans="2:12" x14ac:dyDescent="0.2">
      <c r="B30" s="6"/>
      <c r="C30" s="6"/>
      <c r="D30" s="7"/>
      <c r="E30" s="6"/>
      <c r="F30" s="6"/>
      <c r="G30" s="6"/>
      <c r="H30" s="6"/>
      <c r="I30" s="6"/>
      <c r="J30" s="6"/>
      <c r="K30" s="7"/>
      <c r="L30" s="6"/>
    </row>
    <row r="33" spans="1:9" x14ac:dyDescent="0.2">
      <c r="A33" s="6"/>
      <c r="H33" s="6"/>
      <c r="I33" s="6"/>
    </row>
    <row r="34" spans="1:9" x14ac:dyDescent="0.2">
      <c r="A34" s="6"/>
      <c r="H34" s="6"/>
      <c r="I34" s="6"/>
    </row>
    <row r="35" spans="1:9" x14ac:dyDescent="0.2">
      <c r="A35" s="6"/>
      <c r="H35" s="6"/>
      <c r="I35" s="6"/>
    </row>
    <row r="36" spans="1:9" x14ac:dyDescent="0.2">
      <c r="A36" s="6"/>
      <c r="H36" s="6"/>
      <c r="I36" s="6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Upper left</vt:lpstr>
      <vt:lpstr>Upper Middle</vt:lpstr>
      <vt:lpstr>Upper right</vt:lpstr>
      <vt:lpstr>Down side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Bingzheng Wang</dc:creator>
  <cp:keywords/>
  <dc:description/>
  <cp:lastModifiedBy>Bingzheng Wang</cp:lastModifiedBy>
  <cp:revision/>
  <dcterms:created xsi:type="dcterms:W3CDTF">2025-12-16T17:42:50Z</dcterms:created>
  <dcterms:modified xsi:type="dcterms:W3CDTF">2026-01-13T16:04:49Z</dcterms:modified>
  <cp:category/>
  <cp:contentStatus/>
</cp:coreProperties>
</file>