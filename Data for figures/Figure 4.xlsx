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nellprod-my.sharepoint.com/personal/bw537_cornell_edu/Documents/1A-PFAS-destruction/Code/Chapter 2/Test code case- upload/data for figures/"/>
    </mc:Choice>
  </mc:AlternateContent>
  <xr:revisionPtr revIDLastSave="893" documentId="8_{4B7BFD48-DA00-A04B-B7C6-106DBB45BD97}" xr6:coauthVersionLast="47" xr6:coauthVersionMax="47" xr10:uidLastSave="{F60E8CF6-EBEA-9647-A7FE-A0201A055FE3}"/>
  <bookViews>
    <workbookView xWindow="30240" yWindow="600" windowWidth="38400" windowHeight="21000" activeTab="4" xr2:uid="{0D61C62B-F9C4-E64A-9FC6-C897366F8DFB}"/>
  </bookViews>
  <sheets>
    <sheet name="Unit-upper left" sheetId="5" r:id="rId1"/>
    <sheet name="upper middle" sheetId="8" r:id="rId2"/>
    <sheet name="aggressive" sheetId="3" r:id="rId3"/>
    <sheet name="moderate" sheetId="6" r:id="rId4"/>
    <sheet name="conservative" sheetId="7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9" i="8" l="1"/>
  <c r="V70" i="8"/>
  <c r="V71" i="8"/>
  <c r="V68" i="8"/>
  <c r="B6" i="5"/>
  <c r="M69" i="8" l="1"/>
  <c r="M70" i="8"/>
  <c r="M71" i="8"/>
  <c r="M68" i="8"/>
  <c r="S7" i="8"/>
  <c r="T7" i="8"/>
  <c r="U7" i="8"/>
  <c r="V7" i="8"/>
  <c r="W7" i="8"/>
  <c r="X7" i="8"/>
  <c r="AA5" i="8"/>
  <c r="AA6" i="8"/>
  <c r="AA4" i="8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3" i="7"/>
  <c r="P3" i="8"/>
  <c r="B2" i="3"/>
  <c r="J3" i="8" s="1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B4" i="7"/>
  <c r="C4" i="7"/>
  <c r="D4" i="7"/>
  <c r="E4" i="7"/>
  <c r="F4" i="7"/>
  <c r="G4" i="7"/>
  <c r="H4" i="7"/>
  <c r="J4" i="7"/>
  <c r="K4" i="7"/>
  <c r="L4" i="7"/>
  <c r="M4" i="7"/>
  <c r="N4" i="7"/>
  <c r="O4" i="7"/>
  <c r="P4" i="7"/>
  <c r="R4" i="7"/>
  <c r="S4" i="7"/>
  <c r="T4" i="7"/>
  <c r="U4" i="7"/>
  <c r="V4" i="7"/>
  <c r="W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J5" i="7"/>
  <c r="K5" i="7"/>
  <c r="L5" i="7"/>
  <c r="M5" i="7"/>
  <c r="N5" i="7"/>
  <c r="O5" i="7"/>
  <c r="P5" i="7"/>
  <c r="R5" i="7"/>
  <c r="S5" i="7"/>
  <c r="T5" i="7"/>
  <c r="U5" i="7"/>
  <c r="V5" i="7"/>
  <c r="W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J6" i="7"/>
  <c r="K6" i="7"/>
  <c r="L6" i="7"/>
  <c r="M6" i="7"/>
  <c r="N6" i="7"/>
  <c r="O6" i="7"/>
  <c r="P6" i="7"/>
  <c r="R6" i="7"/>
  <c r="S6" i="7"/>
  <c r="T6" i="7"/>
  <c r="U6" i="7"/>
  <c r="V6" i="7"/>
  <c r="W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J7" i="7"/>
  <c r="K7" i="7"/>
  <c r="L7" i="7"/>
  <c r="M7" i="7"/>
  <c r="N7" i="7"/>
  <c r="O7" i="7"/>
  <c r="P7" i="7"/>
  <c r="R7" i="7"/>
  <c r="S7" i="7"/>
  <c r="T7" i="7"/>
  <c r="U7" i="7"/>
  <c r="V7" i="7"/>
  <c r="W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J8" i="7"/>
  <c r="K8" i="7"/>
  <c r="L8" i="7"/>
  <c r="M8" i="7"/>
  <c r="N8" i="7"/>
  <c r="O8" i="7"/>
  <c r="P8" i="7"/>
  <c r="R8" i="7"/>
  <c r="S8" i="7"/>
  <c r="T8" i="7"/>
  <c r="U8" i="7"/>
  <c r="V8" i="7"/>
  <c r="W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J9" i="7"/>
  <c r="K9" i="7"/>
  <c r="L9" i="7"/>
  <c r="M9" i="7"/>
  <c r="N9" i="7"/>
  <c r="O9" i="7"/>
  <c r="P9" i="7"/>
  <c r="R9" i="7"/>
  <c r="S9" i="7"/>
  <c r="T9" i="7"/>
  <c r="U9" i="7"/>
  <c r="V9" i="7"/>
  <c r="W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J10" i="7"/>
  <c r="K10" i="7"/>
  <c r="L10" i="7"/>
  <c r="M10" i="7"/>
  <c r="N10" i="7"/>
  <c r="O10" i="7"/>
  <c r="P10" i="7"/>
  <c r="R10" i="7"/>
  <c r="S10" i="7"/>
  <c r="T10" i="7"/>
  <c r="U10" i="7"/>
  <c r="V10" i="7"/>
  <c r="W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J11" i="7"/>
  <c r="K11" i="7"/>
  <c r="L11" i="7"/>
  <c r="M11" i="7"/>
  <c r="N11" i="7"/>
  <c r="O11" i="7"/>
  <c r="P11" i="7"/>
  <c r="R11" i="7"/>
  <c r="S11" i="7"/>
  <c r="T11" i="7"/>
  <c r="U11" i="7"/>
  <c r="V11" i="7"/>
  <c r="W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J12" i="7"/>
  <c r="K12" i="7"/>
  <c r="L12" i="7"/>
  <c r="M12" i="7"/>
  <c r="N12" i="7"/>
  <c r="O12" i="7"/>
  <c r="P12" i="7"/>
  <c r="R12" i="7"/>
  <c r="S12" i="7"/>
  <c r="T12" i="7"/>
  <c r="U12" i="7"/>
  <c r="V12" i="7"/>
  <c r="W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J13" i="7"/>
  <c r="K13" i="7"/>
  <c r="L13" i="7"/>
  <c r="M13" i="7"/>
  <c r="N13" i="7"/>
  <c r="O13" i="7"/>
  <c r="P13" i="7"/>
  <c r="R13" i="7"/>
  <c r="S13" i="7"/>
  <c r="T13" i="7"/>
  <c r="U13" i="7"/>
  <c r="V13" i="7"/>
  <c r="W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J14" i="7"/>
  <c r="K14" i="7"/>
  <c r="L14" i="7"/>
  <c r="M14" i="7"/>
  <c r="N14" i="7"/>
  <c r="O14" i="7"/>
  <c r="P14" i="7"/>
  <c r="R14" i="7"/>
  <c r="S14" i="7"/>
  <c r="T14" i="7"/>
  <c r="U14" i="7"/>
  <c r="V14" i="7"/>
  <c r="W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J15" i="7"/>
  <c r="K15" i="7"/>
  <c r="L15" i="7"/>
  <c r="M15" i="7"/>
  <c r="N15" i="7"/>
  <c r="O15" i="7"/>
  <c r="P15" i="7"/>
  <c r="R15" i="7"/>
  <c r="S15" i="7"/>
  <c r="T15" i="7"/>
  <c r="U15" i="7"/>
  <c r="V15" i="7"/>
  <c r="W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J16" i="7"/>
  <c r="K16" i="7"/>
  <c r="L16" i="7"/>
  <c r="M16" i="7"/>
  <c r="N16" i="7"/>
  <c r="O16" i="7"/>
  <c r="P16" i="7"/>
  <c r="R16" i="7"/>
  <c r="S16" i="7"/>
  <c r="T16" i="7"/>
  <c r="U16" i="7"/>
  <c r="V16" i="7"/>
  <c r="W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J17" i="7"/>
  <c r="K17" i="7"/>
  <c r="L17" i="7"/>
  <c r="M17" i="7"/>
  <c r="N17" i="7"/>
  <c r="O17" i="7"/>
  <c r="P17" i="7"/>
  <c r="R17" i="7"/>
  <c r="S17" i="7"/>
  <c r="T17" i="7"/>
  <c r="U17" i="7"/>
  <c r="V17" i="7"/>
  <c r="W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J18" i="7"/>
  <c r="K18" i="7"/>
  <c r="L18" i="7"/>
  <c r="M18" i="7"/>
  <c r="N18" i="7"/>
  <c r="O18" i="7"/>
  <c r="P18" i="7"/>
  <c r="R18" i="7"/>
  <c r="S18" i="7"/>
  <c r="T18" i="7"/>
  <c r="U18" i="7"/>
  <c r="V18" i="7"/>
  <c r="W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J19" i="7"/>
  <c r="K19" i="7"/>
  <c r="L19" i="7"/>
  <c r="M19" i="7"/>
  <c r="N19" i="7"/>
  <c r="O19" i="7"/>
  <c r="P19" i="7"/>
  <c r="R19" i="7"/>
  <c r="S19" i="7"/>
  <c r="T19" i="7"/>
  <c r="U19" i="7"/>
  <c r="V19" i="7"/>
  <c r="W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J20" i="7"/>
  <c r="K20" i="7"/>
  <c r="L20" i="7"/>
  <c r="M20" i="7"/>
  <c r="N20" i="7"/>
  <c r="O20" i="7"/>
  <c r="P20" i="7"/>
  <c r="R20" i="7"/>
  <c r="S20" i="7"/>
  <c r="T20" i="7"/>
  <c r="U20" i="7"/>
  <c r="V20" i="7"/>
  <c r="W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J21" i="7"/>
  <c r="K21" i="7"/>
  <c r="L21" i="7"/>
  <c r="M21" i="7"/>
  <c r="N21" i="7"/>
  <c r="O21" i="7"/>
  <c r="P21" i="7"/>
  <c r="R21" i="7"/>
  <c r="S21" i="7"/>
  <c r="T21" i="7"/>
  <c r="U21" i="7"/>
  <c r="V21" i="7"/>
  <c r="W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J22" i="7"/>
  <c r="K22" i="7"/>
  <c r="L22" i="7"/>
  <c r="M22" i="7"/>
  <c r="N22" i="7"/>
  <c r="O22" i="7"/>
  <c r="P22" i="7"/>
  <c r="R22" i="7"/>
  <c r="S22" i="7"/>
  <c r="T22" i="7"/>
  <c r="U22" i="7"/>
  <c r="V22" i="7"/>
  <c r="W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J23" i="7"/>
  <c r="K23" i="7"/>
  <c r="L23" i="7"/>
  <c r="M23" i="7"/>
  <c r="N23" i="7"/>
  <c r="O23" i="7"/>
  <c r="P23" i="7"/>
  <c r="R23" i="7"/>
  <c r="S23" i="7"/>
  <c r="T23" i="7"/>
  <c r="U23" i="7"/>
  <c r="V23" i="7"/>
  <c r="W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J24" i="7"/>
  <c r="K24" i="7"/>
  <c r="L24" i="7"/>
  <c r="M24" i="7"/>
  <c r="N24" i="7"/>
  <c r="O24" i="7"/>
  <c r="P24" i="7"/>
  <c r="R24" i="7"/>
  <c r="S24" i="7"/>
  <c r="T24" i="7"/>
  <c r="U24" i="7"/>
  <c r="V24" i="7"/>
  <c r="W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J25" i="7"/>
  <c r="K25" i="7"/>
  <c r="L25" i="7"/>
  <c r="M25" i="7"/>
  <c r="N25" i="7"/>
  <c r="O25" i="7"/>
  <c r="P25" i="7"/>
  <c r="R25" i="7"/>
  <c r="S25" i="7"/>
  <c r="T25" i="7"/>
  <c r="U25" i="7"/>
  <c r="V25" i="7"/>
  <c r="W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J26" i="7"/>
  <c r="K26" i="7"/>
  <c r="L26" i="7"/>
  <c r="M26" i="7"/>
  <c r="N26" i="7"/>
  <c r="O26" i="7"/>
  <c r="P26" i="7"/>
  <c r="R26" i="7"/>
  <c r="S26" i="7"/>
  <c r="T26" i="7"/>
  <c r="U26" i="7"/>
  <c r="V26" i="7"/>
  <c r="W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J27" i="7"/>
  <c r="K27" i="7"/>
  <c r="L27" i="7"/>
  <c r="M27" i="7"/>
  <c r="N27" i="7"/>
  <c r="O27" i="7"/>
  <c r="P27" i="7"/>
  <c r="R27" i="7"/>
  <c r="S27" i="7"/>
  <c r="T27" i="7"/>
  <c r="U27" i="7"/>
  <c r="V27" i="7"/>
  <c r="W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J28" i="7"/>
  <c r="K28" i="7"/>
  <c r="L28" i="7"/>
  <c r="M28" i="7"/>
  <c r="N28" i="7"/>
  <c r="O28" i="7"/>
  <c r="P28" i="7"/>
  <c r="R28" i="7"/>
  <c r="S28" i="7"/>
  <c r="T28" i="7"/>
  <c r="U28" i="7"/>
  <c r="V28" i="7"/>
  <c r="W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J29" i="7"/>
  <c r="K29" i="7"/>
  <c r="L29" i="7"/>
  <c r="M29" i="7"/>
  <c r="N29" i="7"/>
  <c r="O29" i="7"/>
  <c r="P29" i="7"/>
  <c r="R29" i="7"/>
  <c r="S29" i="7"/>
  <c r="T29" i="7"/>
  <c r="U29" i="7"/>
  <c r="V29" i="7"/>
  <c r="W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J30" i="7"/>
  <c r="K30" i="7"/>
  <c r="L30" i="7"/>
  <c r="M30" i="7"/>
  <c r="N30" i="7"/>
  <c r="O30" i="7"/>
  <c r="P30" i="7"/>
  <c r="R30" i="7"/>
  <c r="S30" i="7"/>
  <c r="T30" i="7"/>
  <c r="U30" i="7"/>
  <c r="V30" i="7"/>
  <c r="W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J31" i="7"/>
  <c r="K31" i="7"/>
  <c r="L31" i="7"/>
  <c r="M31" i="7"/>
  <c r="N31" i="7"/>
  <c r="O31" i="7"/>
  <c r="P31" i="7"/>
  <c r="R31" i="7"/>
  <c r="S31" i="7"/>
  <c r="T31" i="7"/>
  <c r="U31" i="7"/>
  <c r="V31" i="7"/>
  <c r="W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J32" i="7"/>
  <c r="K32" i="7"/>
  <c r="L32" i="7"/>
  <c r="M32" i="7"/>
  <c r="N32" i="7"/>
  <c r="O32" i="7"/>
  <c r="P32" i="7"/>
  <c r="R32" i="7"/>
  <c r="S32" i="7"/>
  <c r="T32" i="7"/>
  <c r="U32" i="7"/>
  <c r="V32" i="7"/>
  <c r="W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J33" i="7"/>
  <c r="K33" i="7"/>
  <c r="L33" i="7"/>
  <c r="M33" i="7"/>
  <c r="N33" i="7"/>
  <c r="O33" i="7"/>
  <c r="P33" i="7"/>
  <c r="R33" i="7"/>
  <c r="S33" i="7"/>
  <c r="T33" i="7"/>
  <c r="U33" i="7"/>
  <c r="V33" i="7"/>
  <c r="W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J34" i="7"/>
  <c r="K34" i="7"/>
  <c r="L34" i="7"/>
  <c r="M34" i="7"/>
  <c r="N34" i="7"/>
  <c r="O34" i="7"/>
  <c r="P34" i="7"/>
  <c r="R34" i="7"/>
  <c r="S34" i="7"/>
  <c r="T34" i="7"/>
  <c r="U34" i="7"/>
  <c r="V34" i="7"/>
  <c r="W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J35" i="7"/>
  <c r="K35" i="7"/>
  <c r="L35" i="7"/>
  <c r="M35" i="7"/>
  <c r="N35" i="7"/>
  <c r="O35" i="7"/>
  <c r="P35" i="7"/>
  <c r="R35" i="7"/>
  <c r="S35" i="7"/>
  <c r="T35" i="7"/>
  <c r="U35" i="7"/>
  <c r="V35" i="7"/>
  <c r="W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J36" i="7"/>
  <c r="K36" i="7"/>
  <c r="L36" i="7"/>
  <c r="M36" i="7"/>
  <c r="N36" i="7"/>
  <c r="O36" i="7"/>
  <c r="P36" i="7"/>
  <c r="R36" i="7"/>
  <c r="S36" i="7"/>
  <c r="T36" i="7"/>
  <c r="U36" i="7"/>
  <c r="V36" i="7"/>
  <c r="W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J37" i="7"/>
  <c r="K37" i="7"/>
  <c r="L37" i="7"/>
  <c r="M37" i="7"/>
  <c r="N37" i="7"/>
  <c r="O37" i="7"/>
  <c r="P37" i="7"/>
  <c r="R37" i="7"/>
  <c r="S37" i="7"/>
  <c r="T37" i="7"/>
  <c r="U37" i="7"/>
  <c r="V37" i="7"/>
  <c r="W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J38" i="7"/>
  <c r="K38" i="7"/>
  <c r="L38" i="7"/>
  <c r="M38" i="7"/>
  <c r="N38" i="7"/>
  <c r="O38" i="7"/>
  <c r="P38" i="7"/>
  <c r="R38" i="7"/>
  <c r="S38" i="7"/>
  <c r="T38" i="7"/>
  <c r="U38" i="7"/>
  <c r="V38" i="7"/>
  <c r="W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J39" i="7"/>
  <c r="K39" i="7"/>
  <c r="L39" i="7"/>
  <c r="M39" i="7"/>
  <c r="N39" i="7"/>
  <c r="O39" i="7"/>
  <c r="P39" i="7"/>
  <c r="R39" i="7"/>
  <c r="S39" i="7"/>
  <c r="T39" i="7"/>
  <c r="U39" i="7"/>
  <c r="V39" i="7"/>
  <c r="W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J40" i="7"/>
  <c r="K40" i="7"/>
  <c r="L40" i="7"/>
  <c r="M40" i="7"/>
  <c r="N40" i="7"/>
  <c r="O40" i="7"/>
  <c r="P40" i="7"/>
  <c r="R40" i="7"/>
  <c r="S40" i="7"/>
  <c r="T40" i="7"/>
  <c r="U40" i="7"/>
  <c r="V40" i="7"/>
  <c r="W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J41" i="7"/>
  <c r="K41" i="7"/>
  <c r="L41" i="7"/>
  <c r="M41" i="7"/>
  <c r="N41" i="7"/>
  <c r="O41" i="7"/>
  <c r="P41" i="7"/>
  <c r="R41" i="7"/>
  <c r="S41" i="7"/>
  <c r="T41" i="7"/>
  <c r="U41" i="7"/>
  <c r="V41" i="7"/>
  <c r="W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J42" i="7"/>
  <c r="K42" i="7"/>
  <c r="L42" i="7"/>
  <c r="M42" i="7"/>
  <c r="N42" i="7"/>
  <c r="O42" i="7"/>
  <c r="P42" i="7"/>
  <c r="R42" i="7"/>
  <c r="S42" i="7"/>
  <c r="T42" i="7"/>
  <c r="U42" i="7"/>
  <c r="V42" i="7"/>
  <c r="W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J43" i="7"/>
  <c r="K43" i="7"/>
  <c r="L43" i="7"/>
  <c r="M43" i="7"/>
  <c r="N43" i="7"/>
  <c r="O43" i="7"/>
  <c r="P43" i="7"/>
  <c r="R43" i="7"/>
  <c r="S43" i="7"/>
  <c r="T43" i="7"/>
  <c r="U43" i="7"/>
  <c r="V43" i="7"/>
  <c r="W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J44" i="7"/>
  <c r="K44" i="7"/>
  <c r="L44" i="7"/>
  <c r="M44" i="7"/>
  <c r="N44" i="7"/>
  <c r="O44" i="7"/>
  <c r="P44" i="7"/>
  <c r="R44" i="7"/>
  <c r="S44" i="7"/>
  <c r="T44" i="7"/>
  <c r="U44" i="7"/>
  <c r="V44" i="7"/>
  <c r="W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J45" i="7"/>
  <c r="K45" i="7"/>
  <c r="L45" i="7"/>
  <c r="M45" i="7"/>
  <c r="N45" i="7"/>
  <c r="O45" i="7"/>
  <c r="P45" i="7"/>
  <c r="R45" i="7"/>
  <c r="S45" i="7"/>
  <c r="T45" i="7"/>
  <c r="U45" i="7"/>
  <c r="V45" i="7"/>
  <c r="W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J46" i="7"/>
  <c r="K46" i="7"/>
  <c r="L46" i="7"/>
  <c r="M46" i="7"/>
  <c r="N46" i="7"/>
  <c r="O46" i="7"/>
  <c r="P46" i="7"/>
  <c r="R46" i="7"/>
  <c r="S46" i="7"/>
  <c r="T46" i="7"/>
  <c r="U46" i="7"/>
  <c r="V46" i="7"/>
  <c r="W46" i="7"/>
  <c r="Z46" i="7"/>
  <c r="AA46" i="7"/>
  <c r="AB46" i="7"/>
  <c r="AC46" i="7"/>
  <c r="AD46" i="7"/>
  <c r="AE46" i="7"/>
  <c r="AF46" i="7"/>
  <c r="AF3" i="7"/>
  <c r="AA3" i="7"/>
  <c r="AB3" i="7"/>
  <c r="AC3" i="7"/>
  <c r="AD3" i="7"/>
  <c r="AE3" i="7"/>
  <c r="Z3" i="7"/>
  <c r="S3" i="7"/>
  <c r="T3" i="7"/>
  <c r="U3" i="7"/>
  <c r="V3" i="7"/>
  <c r="W3" i="7"/>
  <c r="R3" i="7"/>
  <c r="P3" i="7"/>
  <c r="K3" i="7"/>
  <c r="L3" i="7"/>
  <c r="M3" i="7"/>
  <c r="N3" i="7"/>
  <c r="O3" i="7"/>
  <c r="J3" i="7"/>
  <c r="H3" i="7"/>
  <c r="C3" i="7"/>
  <c r="D3" i="7"/>
  <c r="E3" i="7"/>
  <c r="F3" i="7"/>
  <c r="G3" i="7"/>
  <c r="B3" i="7"/>
  <c r="B4" i="6"/>
  <c r="C4" i="6"/>
  <c r="D4" i="6"/>
  <c r="E4" i="6"/>
  <c r="F4" i="6"/>
  <c r="G4" i="6"/>
  <c r="H4" i="6"/>
  <c r="J4" i="6"/>
  <c r="K4" i="6"/>
  <c r="L4" i="6"/>
  <c r="M4" i="6"/>
  <c r="N4" i="6"/>
  <c r="O4" i="6"/>
  <c r="P4" i="6"/>
  <c r="R4" i="6"/>
  <c r="S4" i="6"/>
  <c r="T4" i="6"/>
  <c r="U4" i="6"/>
  <c r="V4" i="6"/>
  <c r="W4" i="6"/>
  <c r="X4" i="6"/>
  <c r="Z4" i="6"/>
  <c r="AA4" i="6"/>
  <c r="AB4" i="6"/>
  <c r="AC4" i="6"/>
  <c r="AD4" i="6"/>
  <c r="AE4" i="6"/>
  <c r="AF4" i="6"/>
  <c r="B5" i="6"/>
  <c r="C5" i="6"/>
  <c r="D5" i="6"/>
  <c r="E5" i="6"/>
  <c r="F5" i="6"/>
  <c r="G5" i="6"/>
  <c r="H5" i="6"/>
  <c r="J5" i="6"/>
  <c r="K5" i="6"/>
  <c r="L5" i="6"/>
  <c r="M5" i="6"/>
  <c r="N5" i="6"/>
  <c r="O5" i="6"/>
  <c r="P5" i="6"/>
  <c r="R5" i="6"/>
  <c r="S5" i="6"/>
  <c r="T5" i="6"/>
  <c r="U5" i="6"/>
  <c r="V5" i="6"/>
  <c r="W5" i="6"/>
  <c r="X5" i="6"/>
  <c r="Z5" i="6"/>
  <c r="AA5" i="6"/>
  <c r="AB5" i="6"/>
  <c r="AC5" i="6"/>
  <c r="AD5" i="6"/>
  <c r="AE5" i="6"/>
  <c r="AF5" i="6"/>
  <c r="B6" i="6"/>
  <c r="C6" i="6"/>
  <c r="D6" i="6"/>
  <c r="E6" i="6"/>
  <c r="F6" i="6"/>
  <c r="G6" i="6"/>
  <c r="H6" i="6"/>
  <c r="J6" i="6"/>
  <c r="K6" i="6"/>
  <c r="L6" i="6"/>
  <c r="M6" i="6"/>
  <c r="N6" i="6"/>
  <c r="O6" i="6"/>
  <c r="P6" i="6"/>
  <c r="R6" i="6"/>
  <c r="S6" i="6"/>
  <c r="T6" i="6"/>
  <c r="U6" i="6"/>
  <c r="V6" i="6"/>
  <c r="W6" i="6"/>
  <c r="X6" i="6"/>
  <c r="Z6" i="6"/>
  <c r="AA6" i="6"/>
  <c r="AB6" i="6"/>
  <c r="AC6" i="6"/>
  <c r="AD6" i="6"/>
  <c r="AE6" i="6"/>
  <c r="AF6" i="6"/>
  <c r="B7" i="6"/>
  <c r="C7" i="6"/>
  <c r="D7" i="6"/>
  <c r="E7" i="6"/>
  <c r="F7" i="6"/>
  <c r="G7" i="6"/>
  <c r="H7" i="6"/>
  <c r="J7" i="6"/>
  <c r="K7" i="6"/>
  <c r="L7" i="6"/>
  <c r="M7" i="6"/>
  <c r="N7" i="6"/>
  <c r="O7" i="6"/>
  <c r="P7" i="6"/>
  <c r="R7" i="6"/>
  <c r="S7" i="6"/>
  <c r="T7" i="6"/>
  <c r="U7" i="6"/>
  <c r="V7" i="6"/>
  <c r="W7" i="6"/>
  <c r="X7" i="6"/>
  <c r="Z7" i="6"/>
  <c r="AA7" i="6"/>
  <c r="AB7" i="6"/>
  <c r="AC7" i="6"/>
  <c r="AD7" i="6"/>
  <c r="AE7" i="6"/>
  <c r="AF7" i="6"/>
  <c r="B8" i="6"/>
  <c r="C8" i="6"/>
  <c r="D8" i="6"/>
  <c r="E8" i="6"/>
  <c r="F8" i="6"/>
  <c r="G8" i="6"/>
  <c r="H8" i="6"/>
  <c r="J8" i="6"/>
  <c r="K8" i="6"/>
  <c r="L8" i="6"/>
  <c r="M8" i="6"/>
  <c r="N8" i="6"/>
  <c r="O8" i="6"/>
  <c r="P8" i="6"/>
  <c r="R8" i="6"/>
  <c r="S8" i="6"/>
  <c r="T8" i="6"/>
  <c r="U8" i="6"/>
  <c r="V8" i="6"/>
  <c r="W8" i="6"/>
  <c r="X8" i="6"/>
  <c r="Z8" i="6"/>
  <c r="AA8" i="6"/>
  <c r="AB8" i="6"/>
  <c r="AC8" i="6"/>
  <c r="AD8" i="6"/>
  <c r="AE8" i="6"/>
  <c r="AF8" i="6"/>
  <c r="B9" i="6"/>
  <c r="C9" i="6"/>
  <c r="D9" i="6"/>
  <c r="E9" i="6"/>
  <c r="F9" i="6"/>
  <c r="G9" i="6"/>
  <c r="H9" i="6"/>
  <c r="J9" i="6"/>
  <c r="K9" i="6"/>
  <c r="L9" i="6"/>
  <c r="M9" i="6"/>
  <c r="N9" i="6"/>
  <c r="O9" i="6"/>
  <c r="P9" i="6"/>
  <c r="R9" i="6"/>
  <c r="S9" i="6"/>
  <c r="T9" i="6"/>
  <c r="U9" i="6"/>
  <c r="V9" i="6"/>
  <c r="W9" i="6"/>
  <c r="X9" i="6"/>
  <c r="Z9" i="6"/>
  <c r="AA9" i="6"/>
  <c r="AB9" i="6"/>
  <c r="AC9" i="6"/>
  <c r="AD9" i="6"/>
  <c r="AE9" i="6"/>
  <c r="AF9" i="6"/>
  <c r="B10" i="6"/>
  <c r="C10" i="6"/>
  <c r="D10" i="6"/>
  <c r="E10" i="6"/>
  <c r="F10" i="6"/>
  <c r="G10" i="6"/>
  <c r="H10" i="6"/>
  <c r="J10" i="6"/>
  <c r="K10" i="6"/>
  <c r="L10" i="6"/>
  <c r="M10" i="6"/>
  <c r="N10" i="6"/>
  <c r="O10" i="6"/>
  <c r="P10" i="6"/>
  <c r="R10" i="6"/>
  <c r="S10" i="6"/>
  <c r="T10" i="6"/>
  <c r="U10" i="6"/>
  <c r="V10" i="6"/>
  <c r="W10" i="6"/>
  <c r="X10" i="6"/>
  <c r="Z10" i="6"/>
  <c r="AA10" i="6"/>
  <c r="AB10" i="6"/>
  <c r="AC10" i="6"/>
  <c r="AD10" i="6"/>
  <c r="AE10" i="6"/>
  <c r="AF10" i="6"/>
  <c r="B11" i="6"/>
  <c r="C11" i="6"/>
  <c r="D11" i="6"/>
  <c r="E11" i="6"/>
  <c r="F11" i="6"/>
  <c r="G11" i="6"/>
  <c r="H11" i="6"/>
  <c r="J11" i="6"/>
  <c r="K11" i="6"/>
  <c r="L11" i="6"/>
  <c r="M11" i="6"/>
  <c r="N11" i="6"/>
  <c r="O11" i="6"/>
  <c r="P11" i="6"/>
  <c r="R11" i="6"/>
  <c r="S11" i="6"/>
  <c r="T11" i="6"/>
  <c r="U11" i="6"/>
  <c r="V11" i="6"/>
  <c r="W11" i="6"/>
  <c r="X11" i="6"/>
  <c r="Z11" i="6"/>
  <c r="AA11" i="6"/>
  <c r="AB11" i="6"/>
  <c r="AC11" i="6"/>
  <c r="AD11" i="6"/>
  <c r="AE11" i="6"/>
  <c r="AF11" i="6"/>
  <c r="B12" i="6"/>
  <c r="C12" i="6"/>
  <c r="D12" i="6"/>
  <c r="E12" i="6"/>
  <c r="F12" i="6"/>
  <c r="G12" i="6"/>
  <c r="H12" i="6"/>
  <c r="J12" i="6"/>
  <c r="K12" i="6"/>
  <c r="L12" i="6"/>
  <c r="M12" i="6"/>
  <c r="N12" i="6"/>
  <c r="O12" i="6"/>
  <c r="P12" i="6"/>
  <c r="R12" i="6"/>
  <c r="S12" i="6"/>
  <c r="T12" i="6"/>
  <c r="U12" i="6"/>
  <c r="V12" i="6"/>
  <c r="W12" i="6"/>
  <c r="X12" i="6"/>
  <c r="Z12" i="6"/>
  <c r="AA12" i="6"/>
  <c r="AB12" i="6"/>
  <c r="AC12" i="6"/>
  <c r="AD12" i="6"/>
  <c r="AE12" i="6"/>
  <c r="AF12" i="6"/>
  <c r="B13" i="6"/>
  <c r="C13" i="6"/>
  <c r="D13" i="6"/>
  <c r="E13" i="6"/>
  <c r="F13" i="6"/>
  <c r="G13" i="6"/>
  <c r="H13" i="6"/>
  <c r="J13" i="6"/>
  <c r="K13" i="6"/>
  <c r="L13" i="6"/>
  <c r="M13" i="6"/>
  <c r="N13" i="6"/>
  <c r="O13" i="6"/>
  <c r="P13" i="6"/>
  <c r="R13" i="6"/>
  <c r="S13" i="6"/>
  <c r="T13" i="6"/>
  <c r="U13" i="6"/>
  <c r="V13" i="6"/>
  <c r="W13" i="6"/>
  <c r="X13" i="6"/>
  <c r="Z13" i="6"/>
  <c r="AA13" i="6"/>
  <c r="AB13" i="6"/>
  <c r="AC13" i="6"/>
  <c r="AD13" i="6"/>
  <c r="AE13" i="6"/>
  <c r="AF13" i="6"/>
  <c r="B14" i="6"/>
  <c r="C14" i="6"/>
  <c r="D14" i="6"/>
  <c r="E14" i="6"/>
  <c r="F14" i="6"/>
  <c r="G14" i="6"/>
  <c r="H14" i="6"/>
  <c r="J14" i="6"/>
  <c r="K14" i="6"/>
  <c r="L14" i="6"/>
  <c r="M14" i="6"/>
  <c r="N14" i="6"/>
  <c r="O14" i="6"/>
  <c r="P14" i="6"/>
  <c r="R14" i="6"/>
  <c r="S14" i="6"/>
  <c r="T14" i="6"/>
  <c r="U14" i="6"/>
  <c r="V14" i="6"/>
  <c r="W14" i="6"/>
  <c r="X14" i="6"/>
  <c r="Z14" i="6"/>
  <c r="AA14" i="6"/>
  <c r="AB14" i="6"/>
  <c r="AC14" i="6"/>
  <c r="AD14" i="6"/>
  <c r="AE14" i="6"/>
  <c r="AF14" i="6"/>
  <c r="B15" i="6"/>
  <c r="C15" i="6"/>
  <c r="D15" i="6"/>
  <c r="E15" i="6"/>
  <c r="F15" i="6"/>
  <c r="G15" i="6"/>
  <c r="H15" i="6"/>
  <c r="J15" i="6"/>
  <c r="K15" i="6"/>
  <c r="L15" i="6"/>
  <c r="M15" i="6"/>
  <c r="N15" i="6"/>
  <c r="O15" i="6"/>
  <c r="P15" i="6"/>
  <c r="R15" i="6"/>
  <c r="S15" i="6"/>
  <c r="T15" i="6"/>
  <c r="U15" i="6"/>
  <c r="V15" i="6"/>
  <c r="W15" i="6"/>
  <c r="X15" i="6"/>
  <c r="Z15" i="6"/>
  <c r="AA15" i="6"/>
  <c r="AB15" i="6"/>
  <c r="AC15" i="6"/>
  <c r="AD15" i="6"/>
  <c r="AE15" i="6"/>
  <c r="AF15" i="6"/>
  <c r="B16" i="6"/>
  <c r="C16" i="6"/>
  <c r="D16" i="6"/>
  <c r="E16" i="6"/>
  <c r="F16" i="6"/>
  <c r="G16" i="6"/>
  <c r="H16" i="6"/>
  <c r="J16" i="6"/>
  <c r="K16" i="6"/>
  <c r="L16" i="6"/>
  <c r="M16" i="6"/>
  <c r="N16" i="6"/>
  <c r="O16" i="6"/>
  <c r="P16" i="6"/>
  <c r="R16" i="6"/>
  <c r="S16" i="6"/>
  <c r="T16" i="6"/>
  <c r="U16" i="6"/>
  <c r="V16" i="6"/>
  <c r="W16" i="6"/>
  <c r="X16" i="6"/>
  <c r="Z16" i="6"/>
  <c r="AA16" i="6"/>
  <c r="AB16" i="6"/>
  <c r="AC16" i="6"/>
  <c r="AD16" i="6"/>
  <c r="AE16" i="6"/>
  <c r="AF16" i="6"/>
  <c r="B17" i="6"/>
  <c r="C17" i="6"/>
  <c r="D17" i="6"/>
  <c r="E17" i="6"/>
  <c r="F17" i="6"/>
  <c r="G17" i="6"/>
  <c r="H17" i="6"/>
  <c r="J17" i="6"/>
  <c r="K17" i="6"/>
  <c r="L17" i="6"/>
  <c r="M17" i="6"/>
  <c r="N17" i="6"/>
  <c r="O17" i="6"/>
  <c r="P17" i="6"/>
  <c r="R17" i="6"/>
  <c r="S17" i="6"/>
  <c r="T17" i="6"/>
  <c r="U17" i="6"/>
  <c r="V17" i="6"/>
  <c r="W17" i="6"/>
  <c r="X17" i="6"/>
  <c r="Z17" i="6"/>
  <c r="AA17" i="6"/>
  <c r="AB17" i="6"/>
  <c r="AC17" i="6"/>
  <c r="AD17" i="6"/>
  <c r="AE17" i="6"/>
  <c r="AF17" i="6"/>
  <c r="B18" i="6"/>
  <c r="C18" i="6"/>
  <c r="D18" i="6"/>
  <c r="E18" i="6"/>
  <c r="F18" i="6"/>
  <c r="G18" i="6"/>
  <c r="H18" i="6"/>
  <c r="J18" i="6"/>
  <c r="K18" i="6"/>
  <c r="L18" i="6"/>
  <c r="M18" i="6"/>
  <c r="N18" i="6"/>
  <c r="O18" i="6"/>
  <c r="P18" i="6"/>
  <c r="R18" i="6"/>
  <c r="S18" i="6"/>
  <c r="T18" i="6"/>
  <c r="U18" i="6"/>
  <c r="V18" i="6"/>
  <c r="W18" i="6"/>
  <c r="X18" i="6"/>
  <c r="Z18" i="6"/>
  <c r="AA18" i="6"/>
  <c r="AB18" i="6"/>
  <c r="AC18" i="6"/>
  <c r="AD18" i="6"/>
  <c r="AE18" i="6"/>
  <c r="AF18" i="6"/>
  <c r="B19" i="6"/>
  <c r="C19" i="6"/>
  <c r="D19" i="6"/>
  <c r="E19" i="6"/>
  <c r="F19" i="6"/>
  <c r="G19" i="6"/>
  <c r="H19" i="6"/>
  <c r="J19" i="6"/>
  <c r="K19" i="6"/>
  <c r="L19" i="6"/>
  <c r="M19" i="6"/>
  <c r="N19" i="6"/>
  <c r="O19" i="6"/>
  <c r="P19" i="6"/>
  <c r="R19" i="6"/>
  <c r="S19" i="6"/>
  <c r="T19" i="6"/>
  <c r="U19" i="6"/>
  <c r="V19" i="6"/>
  <c r="W19" i="6"/>
  <c r="X19" i="6"/>
  <c r="Z19" i="6"/>
  <c r="AA19" i="6"/>
  <c r="AB19" i="6"/>
  <c r="AC19" i="6"/>
  <c r="AD19" i="6"/>
  <c r="AE19" i="6"/>
  <c r="AF19" i="6"/>
  <c r="B20" i="6"/>
  <c r="C20" i="6"/>
  <c r="D20" i="6"/>
  <c r="E20" i="6"/>
  <c r="F20" i="6"/>
  <c r="G20" i="6"/>
  <c r="H20" i="6"/>
  <c r="J20" i="6"/>
  <c r="K20" i="6"/>
  <c r="L20" i="6"/>
  <c r="M20" i="6"/>
  <c r="N20" i="6"/>
  <c r="O20" i="6"/>
  <c r="P20" i="6"/>
  <c r="R20" i="6"/>
  <c r="S20" i="6"/>
  <c r="T20" i="6"/>
  <c r="U20" i="6"/>
  <c r="V20" i="6"/>
  <c r="W20" i="6"/>
  <c r="X20" i="6"/>
  <c r="Z20" i="6"/>
  <c r="AA20" i="6"/>
  <c r="AB20" i="6"/>
  <c r="AC20" i="6"/>
  <c r="AD20" i="6"/>
  <c r="AE20" i="6"/>
  <c r="AF20" i="6"/>
  <c r="B21" i="6"/>
  <c r="C21" i="6"/>
  <c r="D21" i="6"/>
  <c r="E21" i="6"/>
  <c r="F21" i="6"/>
  <c r="G21" i="6"/>
  <c r="H21" i="6"/>
  <c r="J21" i="6"/>
  <c r="K21" i="6"/>
  <c r="L21" i="6"/>
  <c r="M21" i="6"/>
  <c r="N21" i="6"/>
  <c r="O21" i="6"/>
  <c r="P21" i="6"/>
  <c r="R21" i="6"/>
  <c r="S21" i="6"/>
  <c r="T21" i="6"/>
  <c r="U21" i="6"/>
  <c r="V21" i="6"/>
  <c r="W21" i="6"/>
  <c r="X21" i="6"/>
  <c r="Z21" i="6"/>
  <c r="AA21" i="6"/>
  <c r="AB21" i="6"/>
  <c r="AC21" i="6"/>
  <c r="AD21" i="6"/>
  <c r="AE21" i="6"/>
  <c r="AF21" i="6"/>
  <c r="B22" i="6"/>
  <c r="C22" i="6"/>
  <c r="D22" i="6"/>
  <c r="E22" i="6"/>
  <c r="F22" i="6"/>
  <c r="G22" i="6"/>
  <c r="H22" i="6"/>
  <c r="J22" i="6"/>
  <c r="K22" i="6"/>
  <c r="L22" i="6"/>
  <c r="M22" i="6"/>
  <c r="N22" i="6"/>
  <c r="O22" i="6"/>
  <c r="P22" i="6"/>
  <c r="R22" i="6"/>
  <c r="S22" i="6"/>
  <c r="T22" i="6"/>
  <c r="U22" i="6"/>
  <c r="V22" i="6"/>
  <c r="W22" i="6"/>
  <c r="X22" i="6"/>
  <c r="Z22" i="6"/>
  <c r="AA22" i="6"/>
  <c r="AB22" i="6"/>
  <c r="AC22" i="6"/>
  <c r="AD22" i="6"/>
  <c r="AE22" i="6"/>
  <c r="AF22" i="6"/>
  <c r="B23" i="6"/>
  <c r="C23" i="6"/>
  <c r="D23" i="6"/>
  <c r="E23" i="6"/>
  <c r="F23" i="6"/>
  <c r="G23" i="6"/>
  <c r="H23" i="6"/>
  <c r="J23" i="6"/>
  <c r="K23" i="6"/>
  <c r="L23" i="6"/>
  <c r="M23" i="6"/>
  <c r="N23" i="6"/>
  <c r="O23" i="6"/>
  <c r="P23" i="6"/>
  <c r="R23" i="6"/>
  <c r="S23" i="6"/>
  <c r="T23" i="6"/>
  <c r="U23" i="6"/>
  <c r="V23" i="6"/>
  <c r="W23" i="6"/>
  <c r="X23" i="6"/>
  <c r="Z23" i="6"/>
  <c r="AA23" i="6"/>
  <c r="AB23" i="6"/>
  <c r="AC23" i="6"/>
  <c r="AD23" i="6"/>
  <c r="AE23" i="6"/>
  <c r="AF23" i="6"/>
  <c r="B24" i="6"/>
  <c r="C24" i="6"/>
  <c r="D24" i="6"/>
  <c r="E24" i="6"/>
  <c r="F24" i="6"/>
  <c r="G24" i="6"/>
  <c r="H24" i="6"/>
  <c r="J24" i="6"/>
  <c r="K24" i="6"/>
  <c r="L24" i="6"/>
  <c r="M24" i="6"/>
  <c r="N24" i="6"/>
  <c r="O24" i="6"/>
  <c r="P24" i="6"/>
  <c r="R24" i="6"/>
  <c r="S24" i="6"/>
  <c r="T24" i="6"/>
  <c r="U24" i="6"/>
  <c r="V24" i="6"/>
  <c r="W24" i="6"/>
  <c r="X24" i="6"/>
  <c r="Z24" i="6"/>
  <c r="AA24" i="6"/>
  <c r="AB24" i="6"/>
  <c r="AC24" i="6"/>
  <c r="AD24" i="6"/>
  <c r="AE24" i="6"/>
  <c r="AF24" i="6"/>
  <c r="B25" i="6"/>
  <c r="C25" i="6"/>
  <c r="D25" i="6"/>
  <c r="E25" i="6"/>
  <c r="F25" i="6"/>
  <c r="G25" i="6"/>
  <c r="H25" i="6"/>
  <c r="J25" i="6"/>
  <c r="K25" i="6"/>
  <c r="L25" i="6"/>
  <c r="M25" i="6"/>
  <c r="N25" i="6"/>
  <c r="O25" i="6"/>
  <c r="P25" i="6"/>
  <c r="R25" i="6"/>
  <c r="S25" i="6"/>
  <c r="T25" i="6"/>
  <c r="U25" i="6"/>
  <c r="V25" i="6"/>
  <c r="W25" i="6"/>
  <c r="X25" i="6"/>
  <c r="Z25" i="6"/>
  <c r="AA25" i="6"/>
  <c r="AB25" i="6"/>
  <c r="AC25" i="6"/>
  <c r="AD25" i="6"/>
  <c r="AE25" i="6"/>
  <c r="AF25" i="6"/>
  <c r="B26" i="6"/>
  <c r="C26" i="6"/>
  <c r="D26" i="6"/>
  <c r="E26" i="6"/>
  <c r="F26" i="6"/>
  <c r="G26" i="6"/>
  <c r="H26" i="6"/>
  <c r="J26" i="6"/>
  <c r="K26" i="6"/>
  <c r="L26" i="6"/>
  <c r="M26" i="6"/>
  <c r="N26" i="6"/>
  <c r="O26" i="6"/>
  <c r="P26" i="6"/>
  <c r="R26" i="6"/>
  <c r="S26" i="6"/>
  <c r="T26" i="6"/>
  <c r="U26" i="6"/>
  <c r="V26" i="6"/>
  <c r="W26" i="6"/>
  <c r="X26" i="6"/>
  <c r="Z26" i="6"/>
  <c r="AA26" i="6"/>
  <c r="AB26" i="6"/>
  <c r="AC26" i="6"/>
  <c r="AD26" i="6"/>
  <c r="AE26" i="6"/>
  <c r="AF26" i="6"/>
  <c r="B27" i="6"/>
  <c r="C27" i="6"/>
  <c r="D27" i="6"/>
  <c r="E27" i="6"/>
  <c r="F27" i="6"/>
  <c r="G27" i="6"/>
  <c r="H27" i="6"/>
  <c r="J27" i="6"/>
  <c r="K27" i="6"/>
  <c r="L27" i="6"/>
  <c r="M27" i="6"/>
  <c r="N27" i="6"/>
  <c r="O27" i="6"/>
  <c r="P27" i="6"/>
  <c r="R27" i="6"/>
  <c r="S27" i="6"/>
  <c r="T27" i="6"/>
  <c r="U27" i="6"/>
  <c r="V27" i="6"/>
  <c r="W27" i="6"/>
  <c r="X27" i="6"/>
  <c r="Z27" i="6"/>
  <c r="AA27" i="6"/>
  <c r="AB27" i="6"/>
  <c r="AC27" i="6"/>
  <c r="AD27" i="6"/>
  <c r="AE27" i="6"/>
  <c r="AF27" i="6"/>
  <c r="B28" i="6"/>
  <c r="C28" i="6"/>
  <c r="D28" i="6"/>
  <c r="E28" i="6"/>
  <c r="F28" i="6"/>
  <c r="G28" i="6"/>
  <c r="H28" i="6"/>
  <c r="J28" i="6"/>
  <c r="K28" i="6"/>
  <c r="L28" i="6"/>
  <c r="M28" i="6"/>
  <c r="N28" i="6"/>
  <c r="O28" i="6"/>
  <c r="P28" i="6"/>
  <c r="R28" i="6"/>
  <c r="S28" i="6"/>
  <c r="T28" i="6"/>
  <c r="U28" i="6"/>
  <c r="V28" i="6"/>
  <c r="W28" i="6"/>
  <c r="X28" i="6"/>
  <c r="Z28" i="6"/>
  <c r="AA28" i="6"/>
  <c r="AB28" i="6"/>
  <c r="AC28" i="6"/>
  <c r="AD28" i="6"/>
  <c r="AE28" i="6"/>
  <c r="AF28" i="6"/>
  <c r="B29" i="6"/>
  <c r="C29" i="6"/>
  <c r="D29" i="6"/>
  <c r="E29" i="6"/>
  <c r="F29" i="6"/>
  <c r="G29" i="6"/>
  <c r="H29" i="6"/>
  <c r="J29" i="6"/>
  <c r="K29" i="6"/>
  <c r="L29" i="6"/>
  <c r="M29" i="6"/>
  <c r="N29" i="6"/>
  <c r="O29" i="6"/>
  <c r="P29" i="6"/>
  <c r="R29" i="6"/>
  <c r="S29" i="6"/>
  <c r="T29" i="6"/>
  <c r="U29" i="6"/>
  <c r="V29" i="6"/>
  <c r="W29" i="6"/>
  <c r="X29" i="6"/>
  <c r="Z29" i="6"/>
  <c r="AA29" i="6"/>
  <c r="AB29" i="6"/>
  <c r="AC29" i="6"/>
  <c r="AD29" i="6"/>
  <c r="AE29" i="6"/>
  <c r="AF29" i="6"/>
  <c r="B30" i="6"/>
  <c r="C30" i="6"/>
  <c r="D30" i="6"/>
  <c r="E30" i="6"/>
  <c r="F30" i="6"/>
  <c r="G30" i="6"/>
  <c r="H30" i="6"/>
  <c r="J30" i="6"/>
  <c r="K30" i="6"/>
  <c r="L30" i="6"/>
  <c r="M30" i="6"/>
  <c r="N30" i="6"/>
  <c r="O30" i="6"/>
  <c r="P30" i="6"/>
  <c r="R30" i="6"/>
  <c r="S30" i="6"/>
  <c r="T30" i="6"/>
  <c r="U30" i="6"/>
  <c r="V30" i="6"/>
  <c r="W30" i="6"/>
  <c r="X30" i="6"/>
  <c r="Z30" i="6"/>
  <c r="AA30" i="6"/>
  <c r="AB30" i="6"/>
  <c r="AC30" i="6"/>
  <c r="AD30" i="6"/>
  <c r="AE30" i="6"/>
  <c r="AF30" i="6"/>
  <c r="B31" i="6"/>
  <c r="C31" i="6"/>
  <c r="D31" i="6"/>
  <c r="E31" i="6"/>
  <c r="F31" i="6"/>
  <c r="G31" i="6"/>
  <c r="H31" i="6"/>
  <c r="J31" i="6"/>
  <c r="K31" i="6"/>
  <c r="L31" i="6"/>
  <c r="M31" i="6"/>
  <c r="N31" i="6"/>
  <c r="O31" i="6"/>
  <c r="P31" i="6"/>
  <c r="R31" i="6"/>
  <c r="S31" i="6"/>
  <c r="T31" i="6"/>
  <c r="U31" i="6"/>
  <c r="V31" i="6"/>
  <c r="W31" i="6"/>
  <c r="X31" i="6"/>
  <c r="Z31" i="6"/>
  <c r="AA31" i="6"/>
  <c r="AB31" i="6"/>
  <c r="AC31" i="6"/>
  <c r="AD31" i="6"/>
  <c r="AE31" i="6"/>
  <c r="AF31" i="6"/>
  <c r="B32" i="6"/>
  <c r="C32" i="6"/>
  <c r="D32" i="6"/>
  <c r="E32" i="6"/>
  <c r="F32" i="6"/>
  <c r="G32" i="6"/>
  <c r="H32" i="6"/>
  <c r="J32" i="6"/>
  <c r="K32" i="6"/>
  <c r="L32" i="6"/>
  <c r="M32" i="6"/>
  <c r="N32" i="6"/>
  <c r="O32" i="6"/>
  <c r="P32" i="6"/>
  <c r="R32" i="6"/>
  <c r="S32" i="6"/>
  <c r="T32" i="6"/>
  <c r="U32" i="6"/>
  <c r="V32" i="6"/>
  <c r="W32" i="6"/>
  <c r="X32" i="6"/>
  <c r="Z32" i="6"/>
  <c r="AA32" i="6"/>
  <c r="AB32" i="6"/>
  <c r="AC32" i="6"/>
  <c r="AD32" i="6"/>
  <c r="AE32" i="6"/>
  <c r="AF32" i="6"/>
  <c r="B33" i="6"/>
  <c r="C33" i="6"/>
  <c r="D33" i="6"/>
  <c r="E33" i="6"/>
  <c r="F33" i="6"/>
  <c r="G33" i="6"/>
  <c r="H33" i="6"/>
  <c r="J33" i="6"/>
  <c r="K33" i="6"/>
  <c r="L33" i="6"/>
  <c r="M33" i="6"/>
  <c r="N33" i="6"/>
  <c r="O33" i="6"/>
  <c r="P33" i="6"/>
  <c r="R33" i="6"/>
  <c r="S33" i="6"/>
  <c r="T33" i="6"/>
  <c r="U33" i="6"/>
  <c r="V33" i="6"/>
  <c r="W33" i="6"/>
  <c r="X33" i="6"/>
  <c r="Z33" i="6"/>
  <c r="AA33" i="6"/>
  <c r="AB33" i="6"/>
  <c r="AC33" i="6"/>
  <c r="AD33" i="6"/>
  <c r="AE33" i="6"/>
  <c r="AF33" i="6"/>
  <c r="B34" i="6"/>
  <c r="C34" i="6"/>
  <c r="D34" i="6"/>
  <c r="E34" i="6"/>
  <c r="F34" i="6"/>
  <c r="G34" i="6"/>
  <c r="H34" i="6"/>
  <c r="J34" i="6"/>
  <c r="K34" i="6"/>
  <c r="L34" i="6"/>
  <c r="M34" i="6"/>
  <c r="N34" i="6"/>
  <c r="O34" i="6"/>
  <c r="P34" i="6"/>
  <c r="R34" i="6"/>
  <c r="S34" i="6"/>
  <c r="T34" i="6"/>
  <c r="U34" i="6"/>
  <c r="V34" i="6"/>
  <c r="W34" i="6"/>
  <c r="X34" i="6"/>
  <c r="Z34" i="6"/>
  <c r="AA34" i="6"/>
  <c r="AB34" i="6"/>
  <c r="AC34" i="6"/>
  <c r="AD34" i="6"/>
  <c r="AE34" i="6"/>
  <c r="AF34" i="6"/>
  <c r="B35" i="6"/>
  <c r="C35" i="6"/>
  <c r="D35" i="6"/>
  <c r="E35" i="6"/>
  <c r="F35" i="6"/>
  <c r="G35" i="6"/>
  <c r="H35" i="6"/>
  <c r="J35" i="6"/>
  <c r="K35" i="6"/>
  <c r="L35" i="6"/>
  <c r="M35" i="6"/>
  <c r="N35" i="6"/>
  <c r="O35" i="6"/>
  <c r="P35" i="6"/>
  <c r="R35" i="6"/>
  <c r="S35" i="6"/>
  <c r="T35" i="6"/>
  <c r="U35" i="6"/>
  <c r="V35" i="6"/>
  <c r="W35" i="6"/>
  <c r="X35" i="6"/>
  <c r="Z35" i="6"/>
  <c r="AA35" i="6"/>
  <c r="AB35" i="6"/>
  <c r="AC35" i="6"/>
  <c r="AD35" i="6"/>
  <c r="AE35" i="6"/>
  <c r="AF35" i="6"/>
  <c r="B36" i="6"/>
  <c r="C36" i="6"/>
  <c r="D36" i="6"/>
  <c r="E36" i="6"/>
  <c r="F36" i="6"/>
  <c r="G36" i="6"/>
  <c r="H36" i="6"/>
  <c r="J36" i="6"/>
  <c r="K36" i="6"/>
  <c r="L36" i="6"/>
  <c r="M36" i="6"/>
  <c r="N36" i="6"/>
  <c r="O36" i="6"/>
  <c r="P36" i="6"/>
  <c r="R36" i="6"/>
  <c r="S36" i="6"/>
  <c r="T36" i="6"/>
  <c r="U36" i="6"/>
  <c r="V36" i="6"/>
  <c r="W36" i="6"/>
  <c r="X36" i="6"/>
  <c r="Z36" i="6"/>
  <c r="AA36" i="6"/>
  <c r="AB36" i="6"/>
  <c r="AC36" i="6"/>
  <c r="AD36" i="6"/>
  <c r="AE36" i="6"/>
  <c r="AF36" i="6"/>
  <c r="B37" i="6"/>
  <c r="C37" i="6"/>
  <c r="D37" i="6"/>
  <c r="E37" i="6"/>
  <c r="F37" i="6"/>
  <c r="G37" i="6"/>
  <c r="H37" i="6"/>
  <c r="J37" i="6"/>
  <c r="K37" i="6"/>
  <c r="L37" i="6"/>
  <c r="M37" i="6"/>
  <c r="N37" i="6"/>
  <c r="O37" i="6"/>
  <c r="P37" i="6"/>
  <c r="R37" i="6"/>
  <c r="S37" i="6"/>
  <c r="T37" i="6"/>
  <c r="U37" i="6"/>
  <c r="V37" i="6"/>
  <c r="W37" i="6"/>
  <c r="X37" i="6"/>
  <c r="Z37" i="6"/>
  <c r="AA37" i="6"/>
  <c r="AB37" i="6"/>
  <c r="AC37" i="6"/>
  <c r="AD37" i="6"/>
  <c r="AE37" i="6"/>
  <c r="AF37" i="6"/>
  <c r="B38" i="6"/>
  <c r="C38" i="6"/>
  <c r="D38" i="6"/>
  <c r="E38" i="6"/>
  <c r="F38" i="6"/>
  <c r="G38" i="6"/>
  <c r="H38" i="6"/>
  <c r="J38" i="6"/>
  <c r="K38" i="6"/>
  <c r="L38" i="6"/>
  <c r="M38" i="6"/>
  <c r="N38" i="6"/>
  <c r="O38" i="6"/>
  <c r="P38" i="6"/>
  <c r="R38" i="6"/>
  <c r="S38" i="6"/>
  <c r="T38" i="6"/>
  <c r="U38" i="6"/>
  <c r="V38" i="6"/>
  <c r="W38" i="6"/>
  <c r="X38" i="6"/>
  <c r="Z38" i="6"/>
  <c r="AA38" i="6"/>
  <c r="AB38" i="6"/>
  <c r="AC38" i="6"/>
  <c r="AD38" i="6"/>
  <c r="AE38" i="6"/>
  <c r="AF38" i="6"/>
  <c r="B39" i="6"/>
  <c r="C39" i="6"/>
  <c r="D39" i="6"/>
  <c r="E39" i="6"/>
  <c r="F39" i="6"/>
  <c r="G39" i="6"/>
  <c r="H39" i="6"/>
  <c r="J39" i="6"/>
  <c r="K39" i="6"/>
  <c r="L39" i="6"/>
  <c r="M39" i="6"/>
  <c r="N39" i="6"/>
  <c r="O39" i="6"/>
  <c r="P39" i="6"/>
  <c r="R39" i="6"/>
  <c r="S39" i="6"/>
  <c r="T39" i="6"/>
  <c r="U39" i="6"/>
  <c r="V39" i="6"/>
  <c r="W39" i="6"/>
  <c r="X39" i="6"/>
  <c r="Z39" i="6"/>
  <c r="AA39" i="6"/>
  <c r="AB39" i="6"/>
  <c r="AC39" i="6"/>
  <c r="AD39" i="6"/>
  <c r="AE39" i="6"/>
  <c r="AF39" i="6"/>
  <c r="B40" i="6"/>
  <c r="C40" i="6"/>
  <c r="D40" i="6"/>
  <c r="E40" i="6"/>
  <c r="F40" i="6"/>
  <c r="G40" i="6"/>
  <c r="H40" i="6"/>
  <c r="J40" i="6"/>
  <c r="K40" i="6"/>
  <c r="L40" i="6"/>
  <c r="M40" i="6"/>
  <c r="N40" i="6"/>
  <c r="O40" i="6"/>
  <c r="P40" i="6"/>
  <c r="R40" i="6"/>
  <c r="S40" i="6"/>
  <c r="T40" i="6"/>
  <c r="U40" i="6"/>
  <c r="V40" i="6"/>
  <c r="W40" i="6"/>
  <c r="X40" i="6"/>
  <c r="Z40" i="6"/>
  <c r="AA40" i="6"/>
  <c r="AB40" i="6"/>
  <c r="AC40" i="6"/>
  <c r="AD40" i="6"/>
  <c r="AE40" i="6"/>
  <c r="AF40" i="6"/>
  <c r="B41" i="6"/>
  <c r="C41" i="6"/>
  <c r="D41" i="6"/>
  <c r="E41" i="6"/>
  <c r="F41" i="6"/>
  <c r="G41" i="6"/>
  <c r="H41" i="6"/>
  <c r="J41" i="6"/>
  <c r="K41" i="6"/>
  <c r="L41" i="6"/>
  <c r="M41" i="6"/>
  <c r="N41" i="6"/>
  <c r="O41" i="6"/>
  <c r="P41" i="6"/>
  <c r="R41" i="6"/>
  <c r="S41" i="6"/>
  <c r="T41" i="6"/>
  <c r="U41" i="6"/>
  <c r="V41" i="6"/>
  <c r="W41" i="6"/>
  <c r="X41" i="6"/>
  <c r="Z41" i="6"/>
  <c r="AA41" i="6"/>
  <c r="AB41" i="6"/>
  <c r="AC41" i="6"/>
  <c r="AD41" i="6"/>
  <c r="AE41" i="6"/>
  <c r="AF41" i="6"/>
  <c r="B42" i="6"/>
  <c r="C42" i="6"/>
  <c r="D42" i="6"/>
  <c r="E42" i="6"/>
  <c r="F42" i="6"/>
  <c r="G42" i="6"/>
  <c r="H42" i="6"/>
  <c r="J42" i="6"/>
  <c r="K42" i="6"/>
  <c r="L42" i="6"/>
  <c r="M42" i="6"/>
  <c r="N42" i="6"/>
  <c r="O42" i="6"/>
  <c r="P42" i="6"/>
  <c r="R42" i="6"/>
  <c r="S42" i="6"/>
  <c r="T42" i="6"/>
  <c r="U42" i="6"/>
  <c r="V42" i="6"/>
  <c r="W42" i="6"/>
  <c r="X42" i="6"/>
  <c r="Z42" i="6"/>
  <c r="AA42" i="6"/>
  <c r="AB42" i="6"/>
  <c r="AC42" i="6"/>
  <c r="AD42" i="6"/>
  <c r="AE42" i="6"/>
  <c r="AF42" i="6"/>
  <c r="B43" i="6"/>
  <c r="C43" i="6"/>
  <c r="D43" i="6"/>
  <c r="E43" i="6"/>
  <c r="F43" i="6"/>
  <c r="G43" i="6"/>
  <c r="H43" i="6"/>
  <c r="J43" i="6"/>
  <c r="K43" i="6"/>
  <c r="L43" i="6"/>
  <c r="M43" i="6"/>
  <c r="N43" i="6"/>
  <c r="O43" i="6"/>
  <c r="P43" i="6"/>
  <c r="R43" i="6"/>
  <c r="S43" i="6"/>
  <c r="T43" i="6"/>
  <c r="U43" i="6"/>
  <c r="V43" i="6"/>
  <c r="W43" i="6"/>
  <c r="X43" i="6"/>
  <c r="Z43" i="6"/>
  <c r="AA43" i="6"/>
  <c r="AB43" i="6"/>
  <c r="AC43" i="6"/>
  <c r="AD43" i="6"/>
  <c r="AE43" i="6"/>
  <c r="AF43" i="6"/>
  <c r="B44" i="6"/>
  <c r="C44" i="6"/>
  <c r="D44" i="6"/>
  <c r="E44" i="6"/>
  <c r="F44" i="6"/>
  <c r="G44" i="6"/>
  <c r="H44" i="6"/>
  <c r="J44" i="6"/>
  <c r="K44" i="6"/>
  <c r="L44" i="6"/>
  <c r="M44" i="6"/>
  <c r="N44" i="6"/>
  <c r="O44" i="6"/>
  <c r="P44" i="6"/>
  <c r="R44" i="6"/>
  <c r="S44" i="6"/>
  <c r="T44" i="6"/>
  <c r="U44" i="6"/>
  <c r="V44" i="6"/>
  <c r="W44" i="6"/>
  <c r="X44" i="6"/>
  <c r="Z44" i="6"/>
  <c r="AA44" i="6"/>
  <c r="AB44" i="6"/>
  <c r="AC44" i="6"/>
  <c r="AD44" i="6"/>
  <c r="AE44" i="6"/>
  <c r="AF44" i="6"/>
  <c r="B45" i="6"/>
  <c r="C45" i="6"/>
  <c r="D45" i="6"/>
  <c r="E45" i="6"/>
  <c r="F45" i="6"/>
  <c r="G45" i="6"/>
  <c r="H45" i="6"/>
  <c r="J45" i="6"/>
  <c r="K45" i="6"/>
  <c r="L45" i="6"/>
  <c r="M45" i="6"/>
  <c r="N45" i="6"/>
  <c r="O45" i="6"/>
  <c r="P45" i="6"/>
  <c r="R45" i="6"/>
  <c r="S45" i="6"/>
  <c r="T45" i="6"/>
  <c r="U45" i="6"/>
  <c r="V45" i="6"/>
  <c r="W45" i="6"/>
  <c r="X45" i="6"/>
  <c r="Z45" i="6"/>
  <c r="AA45" i="6"/>
  <c r="AB45" i="6"/>
  <c r="AC45" i="6"/>
  <c r="AD45" i="6"/>
  <c r="AE45" i="6"/>
  <c r="AF45" i="6"/>
  <c r="B46" i="6"/>
  <c r="C46" i="6"/>
  <c r="D46" i="6"/>
  <c r="E46" i="6"/>
  <c r="F46" i="6"/>
  <c r="G46" i="6"/>
  <c r="H46" i="6"/>
  <c r="J46" i="6"/>
  <c r="K46" i="6"/>
  <c r="L46" i="6"/>
  <c r="M46" i="6"/>
  <c r="N46" i="6"/>
  <c r="O46" i="6"/>
  <c r="P46" i="6"/>
  <c r="R46" i="6"/>
  <c r="S46" i="6"/>
  <c r="T46" i="6"/>
  <c r="U46" i="6"/>
  <c r="V46" i="6"/>
  <c r="W46" i="6"/>
  <c r="X46" i="6"/>
  <c r="Z46" i="6"/>
  <c r="AA46" i="6"/>
  <c r="AB46" i="6"/>
  <c r="AC46" i="6"/>
  <c r="AD46" i="6"/>
  <c r="AE46" i="6"/>
  <c r="AF46" i="6"/>
  <c r="P3" i="6"/>
  <c r="X3" i="6"/>
  <c r="AF3" i="6"/>
  <c r="AA3" i="6"/>
  <c r="AB3" i="6"/>
  <c r="AC3" i="6"/>
  <c r="AD3" i="6"/>
  <c r="AE3" i="6"/>
  <c r="Z3" i="6"/>
  <c r="S3" i="6"/>
  <c r="T3" i="6"/>
  <c r="U3" i="6"/>
  <c r="V3" i="6"/>
  <c r="W3" i="6"/>
  <c r="R3" i="6"/>
  <c r="K3" i="6"/>
  <c r="L3" i="6"/>
  <c r="M3" i="6"/>
  <c r="N3" i="6"/>
  <c r="O3" i="6"/>
  <c r="J3" i="6"/>
  <c r="H3" i="6"/>
  <c r="C3" i="6"/>
  <c r="D3" i="6"/>
  <c r="E3" i="6"/>
  <c r="F3" i="6"/>
  <c r="G3" i="6"/>
  <c r="B3" i="6"/>
  <c r="AE2" i="7"/>
  <c r="AD2" i="7"/>
  <c r="AC2" i="7"/>
  <c r="AB2" i="7"/>
  <c r="AA2" i="7"/>
  <c r="Z2" i="7"/>
  <c r="W2" i="7"/>
  <c r="V2" i="7"/>
  <c r="U2" i="7"/>
  <c r="T2" i="7"/>
  <c r="S2" i="7"/>
  <c r="R2" i="7"/>
  <c r="O2" i="7"/>
  <c r="N2" i="7"/>
  <c r="M2" i="7"/>
  <c r="L2" i="7"/>
  <c r="K2" i="7"/>
  <c r="J2" i="7"/>
  <c r="G2" i="7"/>
  <c r="F2" i="7"/>
  <c r="E2" i="7"/>
  <c r="D2" i="7"/>
  <c r="C2" i="7"/>
  <c r="B2" i="7"/>
  <c r="AE2" i="6"/>
  <c r="AD2" i="6"/>
  <c r="AC2" i="6"/>
  <c r="AB2" i="6"/>
  <c r="AA2" i="6"/>
  <c r="Z2" i="6"/>
  <c r="W2" i="6"/>
  <c r="V2" i="6"/>
  <c r="U2" i="6"/>
  <c r="T2" i="6"/>
  <c r="S2" i="6"/>
  <c r="R2" i="6"/>
  <c r="O2" i="6"/>
  <c r="N2" i="6"/>
  <c r="M2" i="6"/>
  <c r="L2" i="6"/>
  <c r="K2" i="6"/>
  <c r="J2" i="6"/>
  <c r="G2" i="6"/>
  <c r="F2" i="6"/>
  <c r="E2" i="6"/>
  <c r="D2" i="6"/>
  <c r="C2" i="6"/>
  <c r="B2" i="6"/>
  <c r="H46" i="3"/>
  <c r="B14" i="5"/>
  <c r="C6" i="5"/>
  <c r="B5" i="5"/>
  <c r="B4" i="5" a="1"/>
  <c r="B4" i="5" s="1"/>
  <c r="B8" i="5" s="1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3" i="3"/>
  <c r="P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3" i="3"/>
  <c r="Z3" i="3"/>
  <c r="AA3" i="3"/>
  <c r="AB3" i="3"/>
  <c r="AC3" i="3"/>
  <c r="AD3" i="3"/>
  <c r="AE3" i="3"/>
  <c r="Z4" i="3"/>
  <c r="AA4" i="3"/>
  <c r="AB4" i="3"/>
  <c r="AC4" i="3"/>
  <c r="AD4" i="3"/>
  <c r="AE4" i="3"/>
  <c r="Z5" i="3"/>
  <c r="AA5" i="3"/>
  <c r="AB5" i="3"/>
  <c r="AC5" i="3"/>
  <c r="AD5" i="3"/>
  <c r="AE5" i="3"/>
  <c r="Z6" i="3"/>
  <c r="AA6" i="3"/>
  <c r="AB6" i="3"/>
  <c r="AC6" i="3"/>
  <c r="AD6" i="3"/>
  <c r="AE6" i="3"/>
  <c r="Z7" i="3"/>
  <c r="AA7" i="3"/>
  <c r="AB7" i="3"/>
  <c r="AC7" i="3"/>
  <c r="AD7" i="3"/>
  <c r="AE7" i="3"/>
  <c r="Z8" i="3"/>
  <c r="AA8" i="3"/>
  <c r="AB8" i="3"/>
  <c r="AC8" i="3"/>
  <c r="AD8" i="3"/>
  <c r="AE8" i="3"/>
  <c r="Z9" i="3"/>
  <c r="AA9" i="3"/>
  <c r="AB9" i="3"/>
  <c r="AC9" i="3"/>
  <c r="AD9" i="3"/>
  <c r="AE9" i="3"/>
  <c r="Z10" i="3"/>
  <c r="AA10" i="3"/>
  <c r="AB10" i="3"/>
  <c r="AC10" i="3"/>
  <c r="AD10" i="3"/>
  <c r="AE10" i="3"/>
  <c r="Z11" i="3"/>
  <c r="AA11" i="3"/>
  <c r="AB11" i="3"/>
  <c r="AC11" i="3"/>
  <c r="AD11" i="3"/>
  <c r="AE11" i="3"/>
  <c r="Z12" i="3"/>
  <c r="AA12" i="3"/>
  <c r="AB12" i="3"/>
  <c r="AC12" i="3"/>
  <c r="AD12" i="3"/>
  <c r="AE12" i="3"/>
  <c r="Z13" i="3"/>
  <c r="AA13" i="3"/>
  <c r="AB13" i="3"/>
  <c r="AC13" i="3"/>
  <c r="AD13" i="3"/>
  <c r="AE13" i="3"/>
  <c r="Z14" i="3"/>
  <c r="AA14" i="3"/>
  <c r="AB14" i="3"/>
  <c r="AC14" i="3"/>
  <c r="AD14" i="3"/>
  <c r="AE14" i="3"/>
  <c r="Z15" i="3"/>
  <c r="AA15" i="3"/>
  <c r="AB15" i="3"/>
  <c r="AC15" i="3"/>
  <c r="AD15" i="3"/>
  <c r="AE15" i="3"/>
  <c r="Z16" i="3"/>
  <c r="AA16" i="3"/>
  <c r="AB16" i="3"/>
  <c r="AC16" i="3"/>
  <c r="AD16" i="3"/>
  <c r="AE16" i="3"/>
  <c r="Z17" i="3"/>
  <c r="AA17" i="3"/>
  <c r="AB17" i="3"/>
  <c r="AC17" i="3"/>
  <c r="AD17" i="3"/>
  <c r="AE17" i="3"/>
  <c r="Z18" i="3"/>
  <c r="AA18" i="3"/>
  <c r="AB18" i="3"/>
  <c r="AC18" i="3"/>
  <c r="AD18" i="3"/>
  <c r="AE18" i="3"/>
  <c r="Z19" i="3"/>
  <c r="AA19" i="3"/>
  <c r="AB19" i="3"/>
  <c r="AC19" i="3"/>
  <c r="AD19" i="3"/>
  <c r="AE19" i="3"/>
  <c r="Z20" i="3"/>
  <c r="AA20" i="3"/>
  <c r="AB20" i="3"/>
  <c r="AC20" i="3"/>
  <c r="AD20" i="3"/>
  <c r="AE20" i="3"/>
  <c r="Z21" i="3"/>
  <c r="AA21" i="3"/>
  <c r="AB21" i="3"/>
  <c r="AC21" i="3"/>
  <c r="AD21" i="3"/>
  <c r="AE21" i="3"/>
  <c r="Z22" i="3"/>
  <c r="AA22" i="3"/>
  <c r="AB22" i="3"/>
  <c r="AC22" i="3"/>
  <c r="AD22" i="3"/>
  <c r="AE22" i="3"/>
  <c r="Z23" i="3"/>
  <c r="AA23" i="3"/>
  <c r="AB23" i="3"/>
  <c r="AC23" i="3"/>
  <c r="AD23" i="3"/>
  <c r="AE23" i="3"/>
  <c r="Z24" i="3"/>
  <c r="AA24" i="3"/>
  <c r="AB24" i="3"/>
  <c r="AC24" i="3"/>
  <c r="AD24" i="3"/>
  <c r="AE24" i="3"/>
  <c r="Z25" i="3"/>
  <c r="AA25" i="3"/>
  <c r="AB25" i="3"/>
  <c r="AC25" i="3"/>
  <c r="AD25" i="3"/>
  <c r="AE25" i="3"/>
  <c r="Z26" i="3"/>
  <c r="AA26" i="3"/>
  <c r="AB26" i="3"/>
  <c r="AC26" i="3"/>
  <c r="AD26" i="3"/>
  <c r="AE26" i="3"/>
  <c r="Z27" i="3"/>
  <c r="AA27" i="3"/>
  <c r="AB27" i="3"/>
  <c r="AC27" i="3"/>
  <c r="AD27" i="3"/>
  <c r="AE27" i="3"/>
  <c r="Z28" i="3"/>
  <c r="AA28" i="3"/>
  <c r="AB28" i="3"/>
  <c r="AC28" i="3"/>
  <c r="AD28" i="3"/>
  <c r="AE28" i="3"/>
  <c r="Z29" i="3"/>
  <c r="AA29" i="3"/>
  <c r="AB29" i="3"/>
  <c r="AC29" i="3"/>
  <c r="AD29" i="3"/>
  <c r="AE29" i="3"/>
  <c r="Z30" i="3"/>
  <c r="AA30" i="3"/>
  <c r="AB30" i="3"/>
  <c r="AC30" i="3"/>
  <c r="AD30" i="3"/>
  <c r="AE30" i="3"/>
  <c r="Z31" i="3"/>
  <c r="AA31" i="3"/>
  <c r="AB31" i="3"/>
  <c r="AC31" i="3"/>
  <c r="AD31" i="3"/>
  <c r="AE31" i="3"/>
  <c r="Z32" i="3"/>
  <c r="AA32" i="3"/>
  <c r="AB32" i="3"/>
  <c r="AC32" i="3"/>
  <c r="AD32" i="3"/>
  <c r="AE32" i="3"/>
  <c r="Z33" i="3"/>
  <c r="AA33" i="3"/>
  <c r="AB33" i="3"/>
  <c r="AC33" i="3"/>
  <c r="AD33" i="3"/>
  <c r="AE33" i="3"/>
  <c r="Z34" i="3"/>
  <c r="AA34" i="3"/>
  <c r="AB34" i="3"/>
  <c r="AC34" i="3"/>
  <c r="AD34" i="3"/>
  <c r="AE34" i="3"/>
  <c r="Z35" i="3"/>
  <c r="AA35" i="3"/>
  <c r="AB35" i="3"/>
  <c r="AC35" i="3"/>
  <c r="AD35" i="3"/>
  <c r="AE35" i="3"/>
  <c r="Z36" i="3"/>
  <c r="AA36" i="3"/>
  <c r="AB36" i="3"/>
  <c r="AC36" i="3"/>
  <c r="AD36" i="3"/>
  <c r="AE36" i="3"/>
  <c r="Z37" i="3"/>
  <c r="AA37" i="3"/>
  <c r="AB37" i="3"/>
  <c r="AC37" i="3"/>
  <c r="AD37" i="3"/>
  <c r="AE37" i="3"/>
  <c r="Z38" i="3"/>
  <c r="AA38" i="3"/>
  <c r="AB38" i="3"/>
  <c r="AC38" i="3"/>
  <c r="AD38" i="3"/>
  <c r="AE38" i="3"/>
  <c r="Z39" i="3"/>
  <c r="AA39" i="3"/>
  <c r="AB39" i="3"/>
  <c r="AC39" i="3"/>
  <c r="AD39" i="3"/>
  <c r="AE39" i="3"/>
  <c r="Z40" i="3"/>
  <c r="AA40" i="3"/>
  <c r="AB40" i="3"/>
  <c r="AC40" i="3"/>
  <c r="AD40" i="3"/>
  <c r="AE40" i="3"/>
  <c r="Z41" i="3"/>
  <c r="AA41" i="3"/>
  <c r="AB41" i="3"/>
  <c r="AC41" i="3"/>
  <c r="AD41" i="3"/>
  <c r="AE41" i="3"/>
  <c r="Z42" i="3"/>
  <c r="AA42" i="3"/>
  <c r="AB42" i="3"/>
  <c r="AC42" i="3"/>
  <c r="AD42" i="3"/>
  <c r="AE42" i="3"/>
  <c r="Z43" i="3"/>
  <c r="AA43" i="3"/>
  <c r="AB43" i="3"/>
  <c r="AC43" i="3"/>
  <c r="AD43" i="3"/>
  <c r="AE43" i="3"/>
  <c r="Z44" i="3"/>
  <c r="AA44" i="3"/>
  <c r="AB44" i="3"/>
  <c r="AC44" i="3"/>
  <c r="AD44" i="3"/>
  <c r="AE44" i="3"/>
  <c r="Z45" i="3"/>
  <c r="AA45" i="3"/>
  <c r="AB45" i="3"/>
  <c r="AC45" i="3"/>
  <c r="AD45" i="3"/>
  <c r="AE45" i="3"/>
  <c r="Z46" i="3"/>
  <c r="AA46" i="3"/>
  <c r="AB46" i="3"/>
  <c r="AC46" i="3"/>
  <c r="AD46" i="3"/>
  <c r="AE46" i="3"/>
  <c r="AA2" i="3"/>
  <c r="AB2" i="3"/>
  <c r="AC2" i="3"/>
  <c r="AD2" i="3"/>
  <c r="AE2" i="3"/>
  <c r="Z2" i="3"/>
  <c r="R3" i="3"/>
  <c r="S3" i="3"/>
  <c r="T3" i="3"/>
  <c r="U3" i="3"/>
  <c r="V3" i="3"/>
  <c r="W3" i="3"/>
  <c r="R4" i="3"/>
  <c r="S4" i="3"/>
  <c r="T4" i="3"/>
  <c r="U4" i="3"/>
  <c r="V4" i="3"/>
  <c r="W4" i="3"/>
  <c r="R5" i="3"/>
  <c r="S5" i="3"/>
  <c r="T5" i="3"/>
  <c r="U5" i="3"/>
  <c r="V5" i="3"/>
  <c r="W5" i="3"/>
  <c r="R6" i="3"/>
  <c r="S6" i="3"/>
  <c r="T6" i="3"/>
  <c r="U6" i="3"/>
  <c r="V6" i="3"/>
  <c r="W6" i="3"/>
  <c r="R7" i="3"/>
  <c r="S7" i="3"/>
  <c r="T7" i="3"/>
  <c r="U7" i="3"/>
  <c r="V7" i="3"/>
  <c r="W7" i="3"/>
  <c r="R8" i="3"/>
  <c r="S8" i="3"/>
  <c r="T8" i="3"/>
  <c r="U8" i="3"/>
  <c r="V8" i="3"/>
  <c r="W8" i="3"/>
  <c r="R9" i="3"/>
  <c r="S9" i="3"/>
  <c r="T9" i="3"/>
  <c r="U9" i="3"/>
  <c r="V9" i="3"/>
  <c r="W9" i="3"/>
  <c r="R10" i="3"/>
  <c r="S10" i="3"/>
  <c r="T10" i="3"/>
  <c r="U10" i="3"/>
  <c r="V10" i="3"/>
  <c r="W10" i="3"/>
  <c r="R11" i="3"/>
  <c r="S11" i="3"/>
  <c r="T11" i="3"/>
  <c r="U11" i="3"/>
  <c r="V11" i="3"/>
  <c r="W11" i="3"/>
  <c r="R12" i="3"/>
  <c r="S12" i="3"/>
  <c r="T12" i="3"/>
  <c r="U12" i="3"/>
  <c r="V12" i="3"/>
  <c r="W12" i="3"/>
  <c r="R13" i="3"/>
  <c r="S13" i="3"/>
  <c r="T13" i="3"/>
  <c r="U13" i="3"/>
  <c r="V13" i="3"/>
  <c r="W13" i="3"/>
  <c r="R14" i="3"/>
  <c r="S14" i="3"/>
  <c r="T14" i="3"/>
  <c r="U14" i="3"/>
  <c r="V14" i="3"/>
  <c r="W14" i="3"/>
  <c r="R15" i="3"/>
  <c r="S15" i="3"/>
  <c r="T15" i="3"/>
  <c r="U15" i="3"/>
  <c r="V15" i="3"/>
  <c r="W15" i="3"/>
  <c r="R16" i="3"/>
  <c r="S16" i="3"/>
  <c r="T16" i="3"/>
  <c r="U16" i="3"/>
  <c r="V16" i="3"/>
  <c r="W16" i="3"/>
  <c r="R17" i="3"/>
  <c r="S17" i="3"/>
  <c r="T17" i="3"/>
  <c r="U17" i="3"/>
  <c r="V17" i="3"/>
  <c r="W17" i="3"/>
  <c r="R18" i="3"/>
  <c r="S18" i="3"/>
  <c r="T18" i="3"/>
  <c r="U18" i="3"/>
  <c r="V18" i="3"/>
  <c r="W18" i="3"/>
  <c r="R19" i="3"/>
  <c r="S19" i="3"/>
  <c r="T19" i="3"/>
  <c r="U19" i="3"/>
  <c r="V19" i="3"/>
  <c r="W19" i="3"/>
  <c r="R20" i="3"/>
  <c r="S20" i="3"/>
  <c r="T20" i="3"/>
  <c r="U20" i="3"/>
  <c r="V20" i="3"/>
  <c r="W20" i="3"/>
  <c r="R21" i="3"/>
  <c r="S21" i="3"/>
  <c r="T21" i="3"/>
  <c r="U21" i="3"/>
  <c r="V21" i="3"/>
  <c r="W21" i="3"/>
  <c r="R22" i="3"/>
  <c r="S22" i="3"/>
  <c r="T22" i="3"/>
  <c r="U22" i="3"/>
  <c r="V22" i="3"/>
  <c r="W22" i="3"/>
  <c r="R23" i="3"/>
  <c r="S23" i="3"/>
  <c r="T23" i="3"/>
  <c r="U23" i="3"/>
  <c r="V23" i="3"/>
  <c r="W23" i="3"/>
  <c r="R24" i="3"/>
  <c r="S24" i="3"/>
  <c r="T24" i="3"/>
  <c r="U24" i="3"/>
  <c r="V24" i="3"/>
  <c r="W24" i="3"/>
  <c r="R25" i="3"/>
  <c r="S25" i="3"/>
  <c r="T25" i="3"/>
  <c r="U25" i="3"/>
  <c r="V25" i="3"/>
  <c r="W25" i="3"/>
  <c r="R26" i="3"/>
  <c r="S26" i="3"/>
  <c r="T26" i="3"/>
  <c r="U26" i="3"/>
  <c r="V26" i="3"/>
  <c r="W26" i="3"/>
  <c r="R27" i="3"/>
  <c r="S27" i="3"/>
  <c r="T27" i="3"/>
  <c r="U27" i="3"/>
  <c r="V27" i="3"/>
  <c r="W27" i="3"/>
  <c r="R28" i="3"/>
  <c r="S28" i="3"/>
  <c r="T28" i="3"/>
  <c r="U28" i="3"/>
  <c r="V28" i="3"/>
  <c r="W28" i="3"/>
  <c r="R29" i="3"/>
  <c r="S29" i="3"/>
  <c r="T29" i="3"/>
  <c r="U29" i="3"/>
  <c r="V29" i="3"/>
  <c r="W29" i="3"/>
  <c r="R30" i="3"/>
  <c r="S30" i="3"/>
  <c r="T30" i="3"/>
  <c r="U30" i="3"/>
  <c r="V30" i="3"/>
  <c r="W30" i="3"/>
  <c r="R31" i="3"/>
  <c r="S31" i="3"/>
  <c r="T31" i="3"/>
  <c r="U31" i="3"/>
  <c r="V31" i="3"/>
  <c r="W31" i="3"/>
  <c r="R32" i="3"/>
  <c r="S32" i="3"/>
  <c r="T32" i="3"/>
  <c r="U32" i="3"/>
  <c r="V32" i="3"/>
  <c r="W32" i="3"/>
  <c r="R33" i="3"/>
  <c r="S33" i="3"/>
  <c r="T33" i="3"/>
  <c r="U33" i="3"/>
  <c r="V33" i="3"/>
  <c r="W33" i="3"/>
  <c r="R34" i="3"/>
  <c r="S34" i="3"/>
  <c r="T34" i="3"/>
  <c r="U34" i="3"/>
  <c r="V34" i="3"/>
  <c r="W34" i="3"/>
  <c r="R35" i="3"/>
  <c r="S35" i="3"/>
  <c r="T35" i="3"/>
  <c r="U35" i="3"/>
  <c r="V35" i="3"/>
  <c r="W35" i="3"/>
  <c r="R36" i="3"/>
  <c r="S36" i="3"/>
  <c r="T36" i="3"/>
  <c r="U36" i="3"/>
  <c r="V36" i="3"/>
  <c r="W36" i="3"/>
  <c r="R37" i="3"/>
  <c r="S37" i="3"/>
  <c r="T37" i="3"/>
  <c r="U37" i="3"/>
  <c r="V37" i="3"/>
  <c r="W37" i="3"/>
  <c r="R38" i="3"/>
  <c r="S38" i="3"/>
  <c r="T38" i="3"/>
  <c r="U38" i="3"/>
  <c r="V38" i="3"/>
  <c r="W38" i="3"/>
  <c r="R39" i="3"/>
  <c r="S39" i="3"/>
  <c r="T39" i="3"/>
  <c r="U39" i="3"/>
  <c r="V39" i="3"/>
  <c r="W39" i="3"/>
  <c r="R40" i="3"/>
  <c r="S40" i="3"/>
  <c r="T40" i="3"/>
  <c r="U40" i="3"/>
  <c r="V40" i="3"/>
  <c r="W40" i="3"/>
  <c r="R41" i="3"/>
  <c r="S41" i="3"/>
  <c r="T41" i="3"/>
  <c r="U41" i="3"/>
  <c r="V41" i="3"/>
  <c r="W41" i="3"/>
  <c r="R42" i="3"/>
  <c r="S42" i="3"/>
  <c r="T42" i="3"/>
  <c r="U42" i="3"/>
  <c r="V42" i="3"/>
  <c r="W42" i="3"/>
  <c r="R43" i="3"/>
  <c r="S43" i="3"/>
  <c r="T43" i="3"/>
  <c r="U43" i="3"/>
  <c r="V43" i="3"/>
  <c r="W43" i="3"/>
  <c r="R44" i="3"/>
  <c r="S44" i="3"/>
  <c r="T44" i="3"/>
  <c r="U44" i="3"/>
  <c r="V44" i="3"/>
  <c r="W44" i="3"/>
  <c r="R45" i="3"/>
  <c r="S45" i="3"/>
  <c r="T45" i="3"/>
  <c r="U45" i="3"/>
  <c r="V45" i="3"/>
  <c r="W45" i="3"/>
  <c r="R46" i="3"/>
  <c r="S46" i="3"/>
  <c r="T46" i="3"/>
  <c r="U46" i="3"/>
  <c r="V46" i="3"/>
  <c r="W46" i="3"/>
  <c r="S2" i="3"/>
  <c r="T2" i="3"/>
  <c r="U2" i="3"/>
  <c r="V2" i="3"/>
  <c r="W2" i="3"/>
  <c r="R2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J3" i="3"/>
  <c r="K3" i="3"/>
  <c r="L3" i="3"/>
  <c r="M3" i="3"/>
  <c r="N3" i="3"/>
  <c r="O3" i="3"/>
  <c r="J4" i="3"/>
  <c r="K4" i="3"/>
  <c r="L4" i="3"/>
  <c r="M4" i="3"/>
  <c r="N4" i="3"/>
  <c r="O4" i="3"/>
  <c r="J5" i="3"/>
  <c r="K5" i="3"/>
  <c r="L5" i="3"/>
  <c r="M5" i="3"/>
  <c r="N5" i="3"/>
  <c r="O5" i="3"/>
  <c r="J6" i="3"/>
  <c r="K6" i="3"/>
  <c r="L6" i="3"/>
  <c r="M6" i="3"/>
  <c r="N6" i="3"/>
  <c r="O6" i="3"/>
  <c r="J7" i="3"/>
  <c r="K7" i="3"/>
  <c r="L7" i="3"/>
  <c r="M7" i="3"/>
  <c r="N7" i="3"/>
  <c r="O7" i="3"/>
  <c r="J8" i="3"/>
  <c r="K8" i="3"/>
  <c r="L8" i="3"/>
  <c r="M8" i="3"/>
  <c r="N8" i="3"/>
  <c r="O8" i="3"/>
  <c r="J9" i="3"/>
  <c r="K9" i="3"/>
  <c r="L9" i="3"/>
  <c r="M9" i="3"/>
  <c r="N9" i="3"/>
  <c r="O9" i="3"/>
  <c r="J10" i="3"/>
  <c r="K10" i="3"/>
  <c r="L10" i="3"/>
  <c r="M10" i="3"/>
  <c r="N10" i="3"/>
  <c r="O10" i="3"/>
  <c r="J11" i="3"/>
  <c r="K11" i="3"/>
  <c r="L11" i="3"/>
  <c r="M11" i="3"/>
  <c r="N11" i="3"/>
  <c r="O11" i="3"/>
  <c r="J12" i="3"/>
  <c r="K12" i="3"/>
  <c r="L12" i="3"/>
  <c r="M12" i="3"/>
  <c r="N12" i="3"/>
  <c r="O12" i="3"/>
  <c r="J13" i="3"/>
  <c r="K13" i="3"/>
  <c r="L13" i="3"/>
  <c r="M13" i="3"/>
  <c r="N13" i="3"/>
  <c r="O13" i="3"/>
  <c r="J14" i="3"/>
  <c r="K14" i="3"/>
  <c r="L14" i="3"/>
  <c r="M14" i="3"/>
  <c r="N14" i="3"/>
  <c r="O14" i="3"/>
  <c r="J15" i="3"/>
  <c r="K15" i="3"/>
  <c r="L15" i="3"/>
  <c r="M15" i="3"/>
  <c r="N15" i="3"/>
  <c r="O15" i="3"/>
  <c r="J16" i="3"/>
  <c r="K16" i="3"/>
  <c r="L16" i="3"/>
  <c r="M16" i="3"/>
  <c r="N16" i="3"/>
  <c r="O16" i="3"/>
  <c r="J17" i="3"/>
  <c r="K17" i="3"/>
  <c r="L17" i="3"/>
  <c r="M17" i="3"/>
  <c r="N17" i="3"/>
  <c r="O17" i="3"/>
  <c r="J18" i="3"/>
  <c r="K18" i="3"/>
  <c r="L18" i="3"/>
  <c r="M18" i="3"/>
  <c r="N18" i="3"/>
  <c r="O18" i="3"/>
  <c r="J19" i="3"/>
  <c r="K19" i="3"/>
  <c r="L19" i="3"/>
  <c r="M19" i="3"/>
  <c r="N19" i="3"/>
  <c r="O19" i="3"/>
  <c r="J20" i="3"/>
  <c r="K20" i="3"/>
  <c r="L20" i="3"/>
  <c r="M20" i="3"/>
  <c r="N20" i="3"/>
  <c r="O20" i="3"/>
  <c r="J21" i="3"/>
  <c r="K21" i="3"/>
  <c r="L21" i="3"/>
  <c r="M21" i="3"/>
  <c r="N21" i="3"/>
  <c r="O21" i="3"/>
  <c r="J22" i="3"/>
  <c r="K22" i="3"/>
  <c r="L22" i="3"/>
  <c r="M22" i="3"/>
  <c r="N22" i="3"/>
  <c r="O22" i="3"/>
  <c r="J23" i="3"/>
  <c r="K23" i="3"/>
  <c r="L23" i="3"/>
  <c r="M23" i="3"/>
  <c r="N23" i="3"/>
  <c r="O23" i="3"/>
  <c r="J24" i="3"/>
  <c r="K24" i="3"/>
  <c r="L24" i="3"/>
  <c r="M24" i="3"/>
  <c r="N24" i="3"/>
  <c r="O24" i="3"/>
  <c r="J25" i="3"/>
  <c r="K25" i="3"/>
  <c r="L25" i="3"/>
  <c r="M25" i="3"/>
  <c r="N25" i="3"/>
  <c r="O25" i="3"/>
  <c r="J26" i="3"/>
  <c r="K26" i="3"/>
  <c r="L26" i="3"/>
  <c r="M26" i="3"/>
  <c r="N26" i="3"/>
  <c r="O26" i="3"/>
  <c r="J27" i="3"/>
  <c r="K27" i="3"/>
  <c r="L27" i="3"/>
  <c r="M27" i="3"/>
  <c r="N27" i="3"/>
  <c r="O27" i="3"/>
  <c r="J28" i="3"/>
  <c r="K28" i="3"/>
  <c r="L28" i="3"/>
  <c r="M28" i="3"/>
  <c r="N28" i="3"/>
  <c r="O28" i="3"/>
  <c r="J29" i="3"/>
  <c r="K29" i="3"/>
  <c r="L29" i="3"/>
  <c r="M29" i="3"/>
  <c r="N29" i="3"/>
  <c r="O29" i="3"/>
  <c r="J30" i="3"/>
  <c r="K30" i="3"/>
  <c r="L30" i="3"/>
  <c r="M30" i="3"/>
  <c r="N30" i="3"/>
  <c r="O30" i="3"/>
  <c r="J31" i="3"/>
  <c r="K31" i="3"/>
  <c r="L31" i="3"/>
  <c r="M31" i="3"/>
  <c r="N31" i="3"/>
  <c r="O31" i="3"/>
  <c r="J32" i="3"/>
  <c r="K32" i="3"/>
  <c r="L32" i="3"/>
  <c r="M32" i="3"/>
  <c r="N32" i="3"/>
  <c r="O32" i="3"/>
  <c r="J33" i="3"/>
  <c r="K33" i="3"/>
  <c r="L33" i="3"/>
  <c r="M33" i="3"/>
  <c r="N33" i="3"/>
  <c r="O33" i="3"/>
  <c r="J34" i="3"/>
  <c r="K34" i="3"/>
  <c r="L34" i="3"/>
  <c r="M34" i="3"/>
  <c r="N34" i="3"/>
  <c r="O34" i="3"/>
  <c r="J35" i="3"/>
  <c r="K35" i="3"/>
  <c r="L35" i="3"/>
  <c r="M35" i="3"/>
  <c r="N35" i="3"/>
  <c r="O35" i="3"/>
  <c r="J36" i="3"/>
  <c r="K36" i="3"/>
  <c r="L36" i="3"/>
  <c r="M36" i="3"/>
  <c r="N36" i="3"/>
  <c r="O36" i="3"/>
  <c r="J37" i="3"/>
  <c r="K37" i="3"/>
  <c r="L37" i="3"/>
  <c r="M37" i="3"/>
  <c r="N37" i="3"/>
  <c r="O37" i="3"/>
  <c r="J38" i="3"/>
  <c r="K38" i="3"/>
  <c r="L38" i="3"/>
  <c r="M38" i="3"/>
  <c r="N38" i="3"/>
  <c r="O38" i="3"/>
  <c r="J39" i="3"/>
  <c r="K39" i="3"/>
  <c r="L39" i="3"/>
  <c r="M39" i="3"/>
  <c r="N39" i="3"/>
  <c r="O39" i="3"/>
  <c r="J40" i="3"/>
  <c r="K40" i="3"/>
  <c r="L40" i="3"/>
  <c r="M40" i="3"/>
  <c r="N40" i="3"/>
  <c r="O40" i="3"/>
  <c r="J41" i="3"/>
  <c r="K41" i="3"/>
  <c r="L41" i="3"/>
  <c r="M41" i="3"/>
  <c r="N41" i="3"/>
  <c r="O41" i="3"/>
  <c r="J42" i="3"/>
  <c r="K42" i="3"/>
  <c r="L42" i="3"/>
  <c r="M42" i="3"/>
  <c r="N42" i="3"/>
  <c r="O42" i="3"/>
  <c r="J43" i="3"/>
  <c r="K43" i="3"/>
  <c r="L43" i="3"/>
  <c r="M43" i="3"/>
  <c r="N43" i="3"/>
  <c r="O43" i="3"/>
  <c r="J44" i="3"/>
  <c r="K44" i="3"/>
  <c r="L44" i="3"/>
  <c r="M44" i="3"/>
  <c r="N44" i="3"/>
  <c r="O44" i="3"/>
  <c r="J45" i="3"/>
  <c r="K45" i="3"/>
  <c r="L45" i="3"/>
  <c r="M45" i="3"/>
  <c r="N45" i="3"/>
  <c r="O45" i="3"/>
  <c r="J46" i="3"/>
  <c r="K46" i="3"/>
  <c r="L46" i="3"/>
  <c r="M46" i="3"/>
  <c r="N46" i="3"/>
  <c r="O46" i="3"/>
  <c r="K2" i="3"/>
  <c r="L2" i="3"/>
  <c r="M2" i="3"/>
  <c r="N2" i="3"/>
  <c r="O2" i="3"/>
  <c r="J2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3" i="3"/>
  <c r="B3" i="3"/>
  <c r="C3" i="3"/>
  <c r="D3" i="3"/>
  <c r="E3" i="3"/>
  <c r="F3" i="3"/>
  <c r="G3" i="3"/>
  <c r="B4" i="3"/>
  <c r="C4" i="3"/>
  <c r="D4" i="3"/>
  <c r="E4" i="3"/>
  <c r="F4" i="3"/>
  <c r="G4" i="3"/>
  <c r="B5" i="3"/>
  <c r="C5" i="3"/>
  <c r="D5" i="3"/>
  <c r="E5" i="3"/>
  <c r="F5" i="3"/>
  <c r="G5" i="3"/>
  <c r="B6" i="3"/>
  <c r="C6" i="3"/>
  <c r="D6" i="3"/>
  <c r="E6" i="3"/>
  <c r="F6" i="3"/>
  <c r="G6" i="3"/>
  <c r="B7" i="3"/>
  <c r="C7" i="3"/>
  <c r="D7" i="3"/>
  <c r="E7" i="3"/>
  <c r="F7" i="3"/>
  <c r="G7" i="3"/>
  <c r="B8" i="3"/>
  <c r="C8" i="3"/>
  <c r="D8" i="3"/>
  <c r="E8" i="3"/>
  <c r="F8" i="3"/>
  <c r="G8" i="3"/>
  <c r="B9" i="3"/>
  <c r="C9" i="3"/>
  <c r="D9" i="3"/>
  <c r="E9" i="3"/>
  <c r="F9" i="3"/>
  <c r="G9" i="3"/>
  <c r="B10" i="3"/>
  <c r="C10" i="3"/>
  <c r="D10" i="3"/>
  <c r="E10" i="3"/>
  <c r="F10" i="3"/>
  <c r="G10" i="3"/>
  <c r="B11" i="3"/>
  <c r="C11" i="3"/>
  <c r="D11" i="3"/>
  <c r="E11" i="3"/>
  <c r="F11" i="3"/>
  <c r="G11" i="3"/>
  <c r="B12" i="3"/>
  <c r="C12" i="3"/>
  <c r="D12" i="3"/>
  <c r="E12" i="3"/>
  <c r="F12" i="3"/>
  <c r="G12" i="3"/>
  <c r="B13" i="3"/>
  <c r="C13" i="3"/>
  <c r="D13" i="3"/>
  <c r="E13" i="3"/>
  <c r="F13" i="3"/>
  <c r="G13" i="3"/>
  <c r="B14" i="3"/>
  <c r="C14" i="3"/>
  <c r="D14" i="3"/>
  <c r="E14" i="3"/>
  <c r="F14" i="3"/>
  <c r="G14" i="3"/>
  <c r="B15" i="3"/>
  <c r="C15" i="3"/>
  <c r="D15" i="3"/>
  <c r="E15" i="3"/>
  <c r="F15" i="3"/>
  <c r="G15" i="3"/>
  <c r="B16" i="3"/>
  <c r="C16" i="3"/>
  <c r="D16" i="3"/>
  <c r="E16" i="3"/>
  <c r="F16" i="3"/>
  <c r="G16" i="3"/>
  <c r="B17" i="3"/>
  <c r="C17" i="3"/>
  <c r="D17" i="3"/>
  <c r="E17" i="3"/>
  <c r="F17" i="3"/>
  <c r="G17" i="3"/>
  <c r="B18" i="3"/>
  <c r="C18" i="3"/>
  <c r="D18" i="3"/>
  <c r="E18" i="3"/>
  <c r="F18" i="3"/>
  <c r="G18" i="3"/>
  <c r="B19" i="3"/>
  <c r="C19" i="3"/>
  <c r="D19" i="3"/>
  <c r="E19" i="3"/>
  <c r="F19" i="3"/>
  <c r="G19" i="3"/>
  <c r="B20" i="3"/>
  <c r="C20" i="3"/>
  <c r="D20" i="3"/>
  <c r="E20" i="3"/>
  <c r="F20" i="3"/>
  <c r="G20" i="3"/>
  <c r="B21" i="3"/>
  <c r="C21" i="3"/>
  <c r="D21" i="3"/>
  <c r="E21" i="3"/>
  <c r="F21" i="3"/>
  <c r="G21" i="3"/>
  <c r="B22" i="3"/>
  <c r="C22" i="3"/>
  <c r="D22" i="3"/>
  <c r="E22" i="3"/>
  <c r="F22" i="3"/>
  <c r="G22" i="3"/>
  <c r="B23" i="3"/>
  <c r="C23" i="3"/>
  <c r="D23" i="3"/>
  <c r="E23" i="3"/>
  <c r="F23" i="3"/>
  <c r="G23" i="3"/>
  <c r="B24" i="3"/>
  <c r="C24" i="3"/>
  <c r="D24" i="3"/>
  <c r="E24" i="3"/>
  <c r="F24" i="3"/>
  <c r="G24" i="3"/>
  <c r="B25" i="3"/>
  <c r="C25" i="3"/>
  <c r="D25" i="3"/>
  <c r="E25" i="3"/>
  <c r="F25" i="3"/>
  <c r="G25" i="3"/>
  <c r="B26" i="3"/>
  <c r="C26" i="3"/>
  <c r="D26" i="3"/>
  <c r="E26" i="3"/>
  <c r="F26" i="3"/>
  <c r="G26" i="3"/>
  <c r="B27" i="3"/>
  <c r="C27" i="3"/>
  <c r="D27" i="3"/>
  <c r="E27" i="3"/>
  <c r="F27" i="3"/>
  <c r="G27" i="3"/>
  <c r="B28" i="3"/>
  <c r="C28" i="3"/>
  <c r="D28" i="3"/>
  <c r="E28" i="3"/>
  <c r="F28" i="3"/>
  <c r="G28" i="3"/>
  <c r="B29" i="3"/>
  <c r="C29" i="3"/>
  <c r="D29" i="3"/>
  <c r="E29" i="3"/>
  <c r="F29" i="3"/>
  <c r="G29" i="3"/>
  <c r="B30" i="3"/>
  <c r="C30" i="3"/>
  <c r="D30" i="3"/>
  <c r="E30" i="3"/>
  <c r="F30" i="3"/>
  <c r="G30" i="3"/>
  <c r="B31" i="3"/>
  <c r="C31" i="3"/>
  <c r="D31" i="3"/>
  <c r="E31" i="3"/>
  <c r="F31" i="3"/>
  <c r="G31" i="3"/>
  <c r="B32" i="3"/>
  <c r="C32" i="3"/>
  <c r="D32" i="3"/>
  <c r="E32" i="3"/>
  <c r="F32" i="3"/>
  <c r="G32" i="3"/>
  <c r="B33" i="3"/>
  <c r="C33" i="3"/>
  <c r="D33" i="3"/>
  <c r="E33" i="3"/>
  <c r="F33" i="3"/>
  <c r="G33" i="3"/>
  <c r="B34" i="3"/>
  <c r="C34" i="3"/>
  <c r="D34" i="3"/>
  <c r="E34" i="3"/>
  <c r="F34" i="3"/>
  <c r="G34" i="3"/>
  <c r="B35" i="3"/>
  <c r="C35" i="3"/>
  <c r="D35" i="3"/>
  <c r="E35" i="3"/>
  <c r="F35" i="3"/>
  <c r="G35" i="3"/>
  <c r="B36" i="3"/>
  <c r="C36" i="3"/>
  <c r="D36" i="3"/>
  <c r="E36" i="3"/>
  <c r="F36" i="3"/>
  <c r="G36" i="3"/>
  <c r="B37" i="3"/>
  <c r="C37" i="3"/>
  <c r="D37" i="3"/>
  <c r="E37" i="3"/>
  <c r="F37" i="3"/>
  <c r="G37" i="3"/>
  <c r="B38" i="3"/>
  <c r="C38" i="3"/>
  <c r="D38" i="3"/>
  <c r="E38" i="3"/>
  <c r="F38" i="3"/>
  <c r="G38" i="3"/>
  <c r="B39" i="3"/>
  <c r="C39" i="3"/>
  <c r="D39" i="3"/>
  <c r="E39" i="3"/>
  <c r="F39" i="3"/>
  <c r="G39" i="3"/>
  <c r="B40" i="3"/>
  <c r="C40" i="3"/>
  <c r="D40" i="3"/>
  <c r="E40" i="3"/>
  <c r="F40" i="3"/>
  <c r="G40" i="3"/>
  <c r="B41" i="3"/>
  <c r="C41" i="3"/>
  <c r="D41" i="3"/>
  <c r="E41" i="3"/>
  <c r="F41" i="3"/>
  <c r="G41" i="3"/>
  <c r="B42" i="3"/>
  <c r="C42" i="3"/>
  <c r="D42" i="3"/>
  <c r="E42" i="3"/>
  <c r="F42" i="3"/>
  <c r="G42" i="3"/>
  <c r="B43" i="3"/>
  <c r="C43" i="3"/>
  <c r="D43" i="3"/>
  <c r="E43" i="3"/>
  <c r="F43" i="3"/>
  <c r="G43" i="3"/>
  <c r="B44" i="3"/>
  <c r="C44" i="3"/>
  <c r="D44" i="3"/>
  <c r="E44" i="3"/>
  <c r="F44" i="3"/>
  <c r="G44" i="3"/>
  <c r="B45" i="3"/>
  <c r="C45" i="3"/>
  <c r="D45" i="3"/>
  <c r="E45" i="3"/>
  <c r="F45" i="3"/>
  <c r="G45" i="3"/>
  <c r="B46" i="3"/>
  <c r="C46" i="3"/>
  <c r="D46" i="3"/>
  <c r="E46" i="3"/>
  <c r="F46" i="3"/>
  <c r="G46" i="3"/>
  <c r="C2" i="3"/>
  <c r="K3" i="8" s="1"/>
  <c r="D2" i="3"/>
  <c r="L3" i="8" s="1"/>
  <c r="E2" i="3"/>
  <c r="M3" i="8" s="1"/>
  <c r="F2" i="3"/>
  <c r="N3" i="8" s="1"/>
  <c r="G2" i="3"/>
  <c r="O3" i="8" s="1"/>
  <c r="H49" i="7" l="1"/>
  <c r="D49" i="6"/>
  <c r="G49" i="7"/>
  <c r="C49" i="6"/>
  <c r="B49" i="7"/>
  <c r="H49" i="6"/>
  <c r="D49" i="7"/>
  <c r="C49" i="7"/>
  <c r="F49" i="7"/>
  <c r="F49" i="6"/>
  <c r="G49" i="3"/>
  <c r="E49" i="7"/>
  <c r="E49" i="6"/>
  <c r="H49" i="3"/>
  <c r="B49" i="6"/>
  <c r="B49" i="3"/>
  <c r="G49" i="6"/>
  <c r="C49" i="3"/>
  <c r="D49" i="3"/>
  <c r="E49" i="3"/>
  <c r="F49" i="3"/>
  <c r="D77" i="3" l="1"/>
  <c r="D92" i="3"/>
  <c r="D52" i="3"/>
  <c r="D67" i="3"/>
  <c r="D60" i="3"/>
  <c r="D93" i="3"/>
  <c r="D71" i="3"/>
  <c r="D74" i="3"/>
  <c r="D79" i="3"/>
  <c r="D86" i="3"/>
  <c r="D68" i="3"/>
  <c r="D69" i="3"/>
  <c r="D51" i="3"/>
  <c r="D83" i="3"/>
  <c r="D85" i="3"/>
  <c r="D75" i="3"/>
  <c r="D64" i="3"/>
  <c r="D88" i="3"/>
  <c r="D66" i="3"/>
  <c r="D55" i="3"/>
  <c r="D82" i="3"/>
  <c r="D81" i="3"/>
  <c r="D63" i="3"/>
  <c r="D90" i="3"/>
  <c r="D78" i="3"/>
  <c r="D65" i="3"/>
  <c r="D94" i="3"/>
  <c r="C80" i="8" s="1"/>
  <c r="D59" i="3"/>
  <c r="D61" i="3"/>
  <c r="D58" i="3"/>
  <c r="D70" i="3"/>
  <c r="D84" i="3"/>
  <c r="D80" i="3"/>
  <c r="D57" i="3"/>
  <c r="D56" i="3"/>
  <c r="D53" i="3"/>
  <c r="D76" i="3"/>
  <c r="D62" i="3"/>
  <c r="D54" i="3"/>
  <c r="D73" i="3"/>
  <c r="D89" i="3"/>
  <c r="D87" i="3"/>
  <c r="D72" i="3"/>
  <c r="D91" i="3"/>
  <c r="F81" i="7"/>
  <c r="F66" i="7"/>
  <c r="F79" i="7"/>
  <c r="F57" i="7"/>
  <c r="F77" i="7"/>
  <c r="F90" i="7"/>
  <c r="F63" i="7"/>
  <c r="F85" i="7"/>
  <c r="F52" i="7"/>
  <c r="F89" i="7"/>
  <c r="F93" i="7"/>
  <c r="F86" i="7"/>
  <c r="F55" i="7"/>
  <c r="F87" i="7"/>
  <c r="F94" i="7"/>
  <c r="F68" i="7"/>
  <c r="F74" i="7"/>
  <c r="F75" i="7"/>
  <c r="F56" i="7"/>
  <c r="F84" i="7"/>
  <c r="F88" i="7"/>
  <c r="F82" i="7"/>
  <c r="F59" i="7"/>
  <c r="F78" i="7"/>
  <c r="F73" i="7"/>
  <c r="F83" i="7"/>
  <c r="F80" i="7"/>
  <c r="F72" i="7"/>
  <c r="F67" i="7"/>
  <c r="F70" i="7"/>
  <c r="F64" i="7"/>
  <c r="F61" i="7"/>
  <c r="F58" i="7"/>
  <c r="F60" i="7"/>
  <c r="F69" i="7"/>
  <c r="F91" i="7"/>
  <c r="F54" i="7"/>
  <c r="F51" i="7"/>
  <c r="F71" i="7"/>
  <c r="F53" i="7"/>
  <c r="F92" i="7"/>
  <c r="F76" i="7"/>
  <c r="F65" i="7"/>
  <c r="F62" i="7"/>
  <c r="C52" i="3"/>
  <c r="C67" i="3"/>
  <c r="C86" i="3"/>
  <c r="C76" i="3"/>
  <c r="C88" i="3"/>
  <c r="C93" i="3"/>
  <c r="C63" i="3"/>
  <c r="C71" i="3"/>
  <c r="C82" i="3"/>
  <c r="C90" i="3"/>
  <c r="C66" i="3"/>
  <c r="C77" i="3"/>
  <c r="C70" i="3"/>
  <c r="C85" i="3"/>
  <c r="C61" i="3"/>
  <c r="C78" i="3"/>
  <c r="C83" i="3"/>
  <c r="C53" i="3"/>
  <c r="C94" i="3"/>
  <c r="C75" i="8" s="1"/>
  <c r="C74" i="3"/>
  <c r="C65" i="3"/>
  <c r="C80" i="3"/>
  <c r="C84" i="3"/>
  <c r="C75" i="3"/>
  <c r="C56" i="3"/>
  <c r="C51" i="3"/>
  <c r="C73" i="3"/>
  <c r="C89" i="3"/>
  <c r="C69" i="3"/>
  <c r="C72" i="3"/>
  <c r="C60" i="3"/>
  <c r="C81" i="3"/>
  <c r="C55" i="3"/>
  <c r="C62" i="3"/>
  <c r="C91" i="3"/>
  <c r="C64" i="3"/>
  <c r="C87" i="3"/>
  <c r="C68" i="3"/>
  <c r="C92" i="3"/>
  <c r="C54" i="3"/>
  <c r="C79" i="3"/>
  <c r="C58" i="3"/>
  <c r="C57" i="3"/>
  <c r="C59" i="3"/>
  <c r="C67" i="7"/>
  <c r="C51" i="7"/>
  <c r="C58" i="7"/>
  <c r="C85" i="7"/>
  <c r="C52" i="7"/>
  <c r="C56" i="7"/>
  <c r="C70" i="7"/>
  <c r="C92" i="7"/>
  <c r="C71" i="7"/>
  <c r="C54" i="7"/>
  <c r="C73" i="7"/>
  <c r="C57" i="7"/>
  <c r="C89" i="7"/>
  <c r="C61" i="7"/>
  <c r="C66" i="7"/>
  <c r="C64" i="7"/>
  <c r="C87" i="7"/>
  <c r="C90" i="7"/>
  <c r="C55" i="7"/>
  <c r="C65" i="7"/>
  <c r="C69" i="7"/>
  <c r="C77" i="7"/>
  <c r="C93" i="7"/>
  <c r="C74" i="7"/>
  <c r="C72" i="7"/>
  <c r="C62" i="7"/>
  <c r="C53" i="7"/>
  <c r="C78" i="7"/>
  <c r="C81" i="7"/>
  <c r="C94" i="7"/>
  <c r="C68" i="7"/>
  <c r="C75" i="7"/>
  <c r="C82" i="7"/>
  <c r="C86" i="7"/>
  <c r="C76" i="7"/>
  <c r="C80" i="7"/>
  <c r="C91" i="7"/>
  <c r="C63" i="7"/>
  <c r="C88" i="7"/>
  <c r="C59" i="7"/>
  <c r="C60" i="7"/>
  <c r="C84" i="7"/>
  <c r="C83" i="7"/>
  <c r="C79" i="7"/>
  <c r="G75" i="6"/>
  <c r="G68" i="6"/>
  <c r="G53" i="6"/>
  <c r="G60" i="6"/>
  <c r="G74" i="6"/>
  <c r="G66" i="6"/>
  <c r="G57" i="6"/>
  <c r="G56" i="6"/>
  <c r="G54" i="6"/>
  <c r="G63" i="6"/>
  <c r="G51" i="6"/>
  <c r="G90" i="6"/>
  <c r="G89" i="6"/>
  <c r="G85" i="6"/>
  <c r="G84" i="6"/>
  <c r="G61" i="6"/>
  <c r="G77" i="6"/>
  <c r="G94" i="6"/>
  <c r="G58" i="6"/>
  <c r="G52" i="6"/>
  <c r="G59" i="6"/>
  <c r="G71" i="6"/>
  <c r="G64" i="6"/>
  <c r="G73" i="6"/>
  <c r="G92" i="6"/>
  <c r="G86" i="6"/>
  <c r="G67" i="6"/>
  <c r="G65" i="6"/>
  <c r="G80" i="6"/>
  <c r="G83" i="6"/>
  <c r="G69" i="6"/>
  <c r="G93" i="6"/>
  <c r="G62" i="6"/>
  <c r="G82" i="6"/>
  <c r="G76" i="6"/>
  <c r="G55" i="6"/>
  <c r="G78" i="6"/>
  <c r="G79" i="6"/>
  <c r="G91" i="6"/>
  <c r="G88" i="6"/>
  <c r="G70" i="6"/>
  <c r="G81" i="6"/>
  <c r="G72" i="6"/>
  <c r="G87" i="6"/>
  <c r="D74" i="7"/>
  <c r="D61" i="7"/>
  <c r="D92" i="7"/>
  <c r="D65" i="7"/>
  <c r="D79" i="7"/>
  <c r="D87" i="7"/>
  <c r="D59" i="7"/>
  <c r="D54" i="7"/>
  <c r="D63" i="7"/>
  <c r="D69" i="7"/>
  <c r="D75" i="7"/>
  <c r="D80" i="7"/>
  <c r="D60" i="7"/>
  <c r="D72" i="7"/>
  <c r="D64" i="7"/>
  <c r="D73" i="7"/>
  <c r="D83" i="7"/>
  <c r="D67" i="7"/>
  <c r="D77" i="7"/>
  <c r="D58" i="7"/>
  <c r="D51" i="7"/>
  <c r="D94" i="7"/>
  <c r="D71" i="7"/>
  <c r="D66" i="7"/>
  <c r="D56" i="7"/>
  <c r="D62" i="7"/>
  <c r="D85" i="7"/>
  <c r="D82" i="7"/>
  <c r="D88" i="7"/>
  <c r="D52" i="7"/>
  <c r="D86" i="7"/>
  <c r="D78" i="7"/>
  <c r="D93" i="7"/>
  <c r="D70" i="7"/>
  <c r="D53" i="7"/>
  <c r="D68" i="7"/>
  <c r="D84" i="7"/>
  <c r="D76" i="7"/>
  <c r="D57" i="7"/>
  <c r="D89" i="7"/>
  <c r="D90" i="7"/>
  <c r="D81" i="7"/>
  <c r="D91" i="7"/>
  <c r="D55" i="7"/>
  <c r="B91" i="3"/>
  <c r="B72" i="3"/>
  <c r="B88" i="3"/>
  <c r="B70" i="3"/>
  <c r="B64" i="3"/>
  <c r="B71" i="3"/>
  <c r="B53" i="3"/>
  <c r="B56" i="3"/>
  <c r="B62" i="3"/>
  <c r="B76" i="3"/>
  <c r="B90" i="3"/>
  <c r="B68" i="3"/>
  <c r="B57" i="3"/>
  <c r="B83" i="3"/>
  <c r="B65" i="3"/>
  <c r="B82" i="3"/>
  <c r="B61" i="3"/>
  <c r="B66" i="3"/>
  <c r="B80" i="3"/>
  <c r="B77" i="3"/>
  <c r="B79" i="3"/>
  <c r="B85" i="3"/>
  <c r="B63" i="3"/>
  <c r="B52" i="3"/>
  <c r="B60" i="3"/>
  <c r="B78" i="3"/>
  <c r="B94" i="3"/>
  <c r="B69" i="3"/>
  <c r="B67" i="3"/>
  <c r="B87" i="3"/>
  <c r="B81" i="3"/>
  <c r="B86" i="3"/>
  <c r="B73" i="3"/>
  <c r="B74" i="3"/>
  <c r="B59" i="3"/>
  <c r="B75" i="3"/>
  <c r="B51" i="3"/>
  <c r="B58" i="3"/>
  <c r="B54" i="3"/>
  <c r="B55" i="3"/>
  <c r="B92" i="3"/>
  <c r="B89" i="3"/>
  <c r="B93" i="3"/>
  <c r="B84" i="3"/>
  <c r="H82" i="6"/>
  <c r="H86" i="6"/>
  <c r="H70" i="6"/>
  <c r="H52" i="6"/>
  <c r="H51" i="6"/>
  <c r="H90" i="6"/>
  <c r="H56" i="6"/>
  <c r="H58" i="6"/>
  <c r="H93" i="6"/>
  <c r="H94" i="6"/>
  <c r="H61" i="6"/>
  <c r="H64" i="6"/>
  <c r="H63" i="6"/>
  <c r="H60" i="6"/>
  <c r="H59" i="6"/>
  <c r="H78" i="6"/>
  <c r="H67" i="6"/>
  <c r="H88" i="6"/>
  <c r="H68" i="6"/>
  <c r="H72" i="6"/>
  <c r="H66" i="6"/>
  <c r="H85" i="6"/>
  <c r="H79" i="6"/>
  <c r="H84" i="6"/>
  <c r="H81" i="6"/>
  <c r="H73" i="6"/>
  <c r="H74" i="6"/>
  <c r="H77" i="6"/>
  <c r="H83" i="6"/>
  <c r="H87" i="6"/>
  <c r="H71" i="6"/>
  <c r="H75" i="6"/>
  <c r="H57" i="6"/>
  <c r="H53" i="6"/>
  <c r="H76" i="6"/>
  <c r="H89" i="6"/>
  <c r="H69" i="6"/>
  <c r="H80" i="6"/>
  <c r="H91" i="6"/>
  <c r="H92" i="6"/>
  <c r="H65" i="6"/>
  <c r="H62" i="6"/>
  <c r="H55" i="6"/>
  <c r="H54" i="6"/>
  <c r="B87" i="6"/>
  <c r="B51" i="6"/>
  <c r="B52" i="6"/>
  <c r="B76" i="6"/>
  <c r="B73" i="6"/>
  <c r="B60" i="6"/>
  <c r="B59" i="6"/>
  <c r="B94" i="6"/>
  <c r="B67" i="6"/>
  <c r="B61" i="6"/>
  <c r="B89" i="6"/>
  <c r="B63" i="6"/>
  <c r="B81" i="6"/>
  <c r="B92" i="6"/>
  <c r="B65" i="6"/>
  <c r="B85" i="6"/>
  <c r="B86" i="6"/>
  <c r="B68" i="6"/>
  <c r="B82" i="6"/>
  <c r="B55" i="6"/>
  <c r="B56" i="6"/>
  <c r="B75" i="6"/>
  <c r="B90" i="6"/>
  <c r="B69" i="6"/>
  <c r="B83" i="6"/>
  <c r="B72" i="6"/>
  <c r="B79" i="6"/>
  <c r="B58" i="6"/>
  <c r="B78" i="6"/>
  <c r="B93" i="6"/>
  <c r="B71" i="6"/>
  <c r="B53" i="6"/>
  <c r="B57" i="6"/>
  <c r="B88" i="6"/>
  <c r="B62" i="6"/>
  <c r="B91" i="6"/>
  <c r="B70" i="6"/>
  <c r="B84" i="6"/>
  <c r="B80" i="6"/>
  <c r="B74" i="6"/>
  <c r="B54" i="6"/>
  <c r="B77" i="6"/>
  <c r="B64" i="6"/>
  <c r="B66" i="6"/>
  <c r="B65" i="7"/>
  <c r="B63" i="7"/>
  <c r="B53" i="7"/>
  <c r="B54" i="7"/>
  <c r="B72" i="7"/>
  <c r="B93" i="7"/>
  <c r="B83" i="7"/>
  <c r="B74" i="7"/>
  <c r="B52" i="7"/>
  <c r="B60" i="7"/>
  <c r="B70" i="7"/>
  <c r="B86" i="7"/>
  <c r="B59" i="7"/>
  <c r="B91" i="7"/>
  <c r="B80" i="7"/>
  <c r="B89" i="7"/>
  <c r="B71" i="7"/>
  <c r="B76" i="7"/>
  <c r="B66" i="7"/>
  <c r="B94" i="7"/>
  <c r="B55" i="7"/>
  <c r="B79" i="7"/>
  <c r="B87" i="7"/>
  <c r="B84" i="7"/>
  <c r="B88" i="7"/>
  <c r="B57" i="7"/>
  <c r="B62" i="7"/>
  <c r="B75" i="7"/>
  <c r="B67" i="7"/>
  <c r="B64" i="7"/>
  <c r="B56" i="7"/>
  <c r="B90" i="7"/>
  <c r="B81" i="7"/>
  <c r="B78" i="7"/>
  <c r="B58" i="7"/>
  <c r="B92" i="7"/>
  <c r="B51" i="7"/>
  <c r="B69" i="7"/>
  <c r="B82" i="7"/>
  <c r="B68" i="7"/>
  <c r="B85" i="7"/>
  <c r="B73" i="7"/>
  <c r="B77" i="7"/>
  <c r="B61" i="7"/>
  <c r="H76" i="3"/>
  <c r="H88" i="3"/>
  <c r="H64" i="3"/>
  <c r="H80" i="3"/>
  <c r="H68" i="3"/>
  <c r="H89" i="3"/>
  <c r="H81" i="3"/>
  <c r="H56" i="3"/>
  <c r="H60" i="3"/>
  <c r="H94" i="3"/>
  <c r="H79" i="3"/>
  <c r="H72" i="3"/>
  <c r="H87" i="3"/>
  <c r="H69" i="3"/>
  <c r="H91" i="3"/>
  <c r="H62" i="3"/>
  <c r="H77" i="3"/>
  <c r="H59" i="3"/>
  <c r="H61" i="3"/>
  <c r="H86" i="3"/>
  <c r="H52" i="3"/>
  <c r="H78" i="3"/>
  <c r="H67" i="3"/>
  <c r="H90" i="3"/>
  <c r="H58" i="3"/>
  <c r="H57" i="3"/>
  <c r="H73" i="3"/>
  <c r="H75" i="3"/>
  <c r="H55" i="3"/>
  <c r="H65" i="3"/>
  <c r="H70" i="3"/>
  <c r="H71" i="3"/>
  <c r="H66" i="3"/>
  <c r="H83" i="3"/>
  <c r="H51" i="3"/>
  <c r="H63" i="3"/>
  <c r="H92" i="3"/>
  <c r="H85" i="3"/>
  <c r="H84" i="3"/>
  <c r="H53" i="3"/>
  <c r="H82" i="3"/>
  <c r="H74" i="3"/>
  <c r="H54" i="3"/>
  <c r="H93" i="3"/>
  <c r="C64" i="6"/>
  <c r="C69" i="6"/>
  <c r="C87" i="6"/>
  <c r="C84" i="6"/>
  <c r="C88" i="6"/>
  <c r="C55" i="6"/>
  <c r="C65" i="6"/>
  <c r="C54" i="6"/>
  <c r="C79" i="6"/>
  <c r="C89" i="6"/>
  <c r="C85" i="6"/>
  <c r="C76" i="6"/>
  <c r="C72" i="6"/>
  <c r="C58" i="6"/>
  <c r="C59" i="6"/>
  <c r="C57" i="6"/>
  <c r="C77" i="6"/>
  <c r="C92" i="6"/>
  <c r="C62" i="6"/>
  <c r="C73" i="6"/>
  <c r="C81" i="6"/>
  <c r="C78" i="6"/>
  <c r="C60" i="6"/>
  <c r="C80" i="6"/>
  <c r="C71" i="6"/>
  <c r="C70" i="6"/>
  <c r="C82" i="6"/>
  <c r="C66" i="6"/>
  <c r="C63" i="6"/>
  <c r="C51" i="6"/>
  <c r="C75" i="6"/>
  <c r="C67" i="6"/>
  <c r="C61" i="6"/>
  <c r="C91" i="6"/>
  <c r="C83" i="6"/>
  <c r="C94" i="6"/>
  <c r="C53" i="6"/>
  <c r="C86" i="6"/>
  <c r="C56" i="6"/>
  <c r="C93" i="6"/>
  <c r="C68" i="6"/>
  <c r="C74" i="6"/>
  <c r="C52" i="6"/>
  <c r="C90" i="6"/>
  <c r="E63" i="6"/>
  <c r="E51" i="6"/>
  <c r="E81" i="6"/>
  <c r="E83" i="6"/>
  <c r="E68" i="6"/>
  <c r="E62" i="6"/>
  <c r="E82" i="6"/>
  <c r="E55" i="6"/>
  <c r="E54" i="6"/>
  <c r="E67" i="6"/>
  <c r="E87" i="6"/>
  <c r="E94" i="6"/>
  <c r="E65" i="6"/>
  <c r="E74" i="6"/>
  <c r="E91" i="6"/>
  <c r="E52" i="6"/>
  <c r="E66" i="6"/>
  <c r="E78" i="6"/>
  <c r="E60" i="6"/>
  <c r="E57" i="6"/>
  <c r="E73" i="6"/>
  <c r="E53" i="6"/>
  <c r="E80" i="6"/>
  <c r="E84" i="6"/>
  <c r="E64" i="6"/>
  <c r="E72" i="6"/>
  <c r="E92" i="6"/>
  <c r="E58" i="6"/>
  <c r="E90" i="6"/>
  <c r="E70" i="6"/>
  <c r="E56" i="6"/>
  <c r="E75" i="6"/>
  <c r="E86" i="6"/>
  <c r="E77" i="6"/>
  <c r="E93" i="6"/>
  <c r="E59" i="6"/>
  <c r="E89" i="6"/>
  <c r="E71" i="6"/>
  <c r="E79" i="6"/>
  <c r="E88" i="6"/>
  <c r="E69" i="6"/>
  <c r="E85" i="6"/>
  <c r="E76" i="6"/>
  <c r="E61" i="6"/>
  <c r="G57" i="7"/>
  <c r="G53" i="7"/>
  <c r="G60" i="7"/>
  <c r="G56" i="7"/>
  <c r="G91" i="7"/>
  <c r="G54" i="7"/>
  <c r="G76" i="7"/>
  <c r="G73" i="7"/>
  <c r="G90" i="7"/>
  <c r="G77" i="7"/>
  <c r="G93" i="7"/>
  <c r="G51" i="7"/>
  <c r="G71" i="7"/>
  <c r="G89" i="7"/>
  <c r="G84" i="7"/>
  <c r="G92" i="7"/>
  <c r="G83" i="7"/>
  <c r="G85" i="7"/>
  <c r="G82" i="7"/>
  <c r="G74" i="7"/>
  <c r="G75" i="7"/>
  <c r="G72" i="7"/>
  <c r="G94" i="7"/>
  <c r="G67" i="7"/>
  <c r="G66" i="7"/>
  <c r="G79" i="7"/>
  <c r="G64" i="7"/>
  <c r="G70" i="7"/>
  <c r="G80" i="7"/>
  <c r="G59" i="7"/>
  <c r="G63" i="7"/>
  <c r="G87" i="7"/>
  <c r="G69" i="7"/>
  <c r="G62" i="7"/>
  <c r="G61" i="7"/>
  <c r="G65" i="7"/>
  <c r="G55" i="7"/>
  <c r="G52" i="7"/>
  <c r="G58" i="7"/>
  <c r="G86" i="7"/>
  <c r="G88" i="7"/>
  <c r="G68" i="7"/>
  <c r="G81" i="7"/>
  <c r="G78" i="7"/>
  <c r="E64" i="7"/>
  <c r="E52" i="7"/>
  <c r="E91" i="7"/>
  <c r="E83" i="7"/>
  <c r="E77" i="7"/>
  <c r="E72" i="7"/>
  <c r="E90" i="7"/>
  <c r="E63" i="7"/>
  <c r="E71" i="7"/>
  <c r="E73" i="7"/>
  <c r="E69" i="7"/>
  <c r="E78" i="7"/>
  <c r="E80" i="7"/>
  <c r="E94" i="7"/>
  <c r="E57" i="7"/>
  <c r="E58" i="7"/>
  <c r="E74" i="7"/>
  <c r="E70" i="7"/>
  <c r="E85" i="7"/>
  <c r="E54" i="7"/>
  <c r="E62" i="7"/>
  <c r="E88" i="7"/>
  <c r="E86" i="7"/>
  <c r="E67" i="7"/>
  <c r="E51" i="7"/>
  <c r="E59" i="7"/>
  <c r="E87" i="7"/>
  <c r="E76" i="7"/>
  <c r="E84" i="7"/>
  <c r="E60" i="7"/>
  <c r="E55" i="7"/>
  <c r="E81" i="7"/>
  <c r="E68" i="7"/>
  <c r="E56" i="7"/>
  <c r="E65" i="7"/>
  <c r="E89" i="7"/>
  <c r="E75" i="7"/>
  <c r="E66" i="7"/>
  <c r="E92" i="7"/>
  <c r="E79" i="7"/>
  <c r="E61" i="7"/>
  <c r="E93" i="7"/>
  <c r="E53" i="7"/>
  <c r="E82" i="7"/>
  <c r="D64" i="6"/>
  <c r="D57" i="6"/>
  <c r="D56" i="6"/>
  <c r="D92" i="6"/>
  <c r="D75" i="6"/>
  <c r="D73" i="6"/>
  <c r="D84" i="6"/>
  <c r="D80" i="6"/>
  <c r="D79" i="6"/>
  <c r="D77" i="6"/>
  <c r="D71" i="6"/>
  <c r="D70" i="6"/>
  <c r="D93" i="6"/>
  <c r="D58" i="6"/>
  <c r="D94" i="6"/>
  <c r="D61" i="6"/>
  <c r="D65" i="6"/>
  <c r="D59" i="6"/>
  <c r="D86" i="6"/>
  <c r="D52" i="6"/>
  <c r="D90" i="6"/>
  <c r="D51" i="6"/>
  <c r="D76" i="6"/>
  <c r="D69" i="6"/>
  <c r="D66" i="6"/>
  <c r="D88" i="6"/>
  <c r="D62" i="6"/>
  <c r="D53" i="6"/>
  <c r="D78" i="6"/>
  <c r="D72" i="6"/>
  <c r="D60" i="6"/>
  <c r="D68" i="6"/>
  <c r="D85" i="6"/>
  <c r="D63" i="6"/>
  <c r="D89" i="6"/>
  <c r="D54" i="6"/>
  <c r="D81" i="6"/>
  <c r="D55" i="6"/>
  <c r="D87" i="6"/>
  <c r="D82" i="6"/>
  <c r="D67" i="6"/>
  <c r="D74" i="6"/>
  <c r="D83" i="6"/>
  <c r="D91" i="6"/>
  <c r="F70" i="3"/>
  <c r="F77" i="3"/>
  <c r="F82" i="3"/>
  <c r="F55" i="3"/>
  <c r="F54" i="3"/>
  <c r="F51" i="3"/>
  <c r="F53" i="3"/>
  <c r="F68" i="3"/>
  <c r="F91" i="3"/>
  <c r="F69" i="3"/>
  <c r="F88" i="3"/>
  <c r="F93" i="3"/>
  <c r="F84" i="3"/>
  <c r="F66" i="3"/>
  <c r="F72" i="3"/>
  <c r="F90" i="3"/>
  <c r="F81" i="3"/>
  <c r="F86" i="3"/>
  <c r="F64" i="3"/>
  <c r="F83" i="3"/>
  <c r="F57" i="3"/>
  <c r="F62" i="3"/>
  <c r="F79" i="3"/>
  <c r="F61" i="3"/>
  <c r="F73" i="3"/>
  <c r="F87" i="3"/>
  <c r="F52" i="3"/>
  <c r="F75" i="3"/>
  <c r="F94" i="3"/>
  <c r="C90" i="8" s="1"/>
  <c r="F76" i="3"/>
  <c r="F58" i="3"/>
  <c r="F63" i="3"/>
  <c r="F89" i="3"/>
  <c r="F71" i="3"/>
  <c r="F92" i="3"/>
  <c r="F74" i="3"/>
  <c r="F78" i="3"/>
  <c r="F67" i="3"/>
  <c r="F59" i="3"/>
  <c r="F60" i="3"/>
  <c r="F56" i="3"/>
  <c r="F85" i="3"/>
  <c r="F65" i="3"/>
  <c r="F80" i="3"/>
  <c r="G91" i="3"/>
  <c r="G77" i="3"/>
  <c r="G51" i="3"/>
  <c r="G88" i="3"/>
  <c r="G80" i="3"/>
  <c r="G63" i="3"/>
  <c r="G86" i="3"/>
  <c r="G84" i="3"/>
  <c r="G89" i="3"/>
  <c r="G59" i="3"/>
  <c r="G81" i="3"/>
  <c r="G62" i="3"/>
  <c r="G76" i="3"/>
  <c r="G92" i="3"/>
  <c r="G52" i="3"/>
  <c r="G57" i="3"/>
  <c r="G74" i="3"/>
  <c r="G79" i="3"/>
  <c r="G55" i="3"/>
  <c r="G56" i="3"/>
  <c r="G72" i="3"/>
  <c r="G71" i="3"/>
  <c r="G53" i="3"/>
  <c r="G87" i="3"/>
  <c r="G67" i="3"/>
  <c r="G54" i="3"/>
  <c r="G64" i="3"/>
  <c r="G65" i="3"/>
  <c r="G93" i="3"/>
  <c r="G66" i="3"/>
  <c r="G82" i="3"/>
  <c r="G69" i="3"/>
  <c r="G90" i="3"/>
  <c r="G60" i="3"/>
  <c r="G83" i="3"/>
  <c r="G58" i="3"/>
  <c r="G61" i="3"/>
  <c r="G85" i="3"/>
  <c r="G78" i="3"/>
  <c r="G94" i="3"/>
  <c r="C95" i="8" s="1"/>
  <c r="G73" i="3"/>
  <c r="G75" i="3"/>
  <c r="G70" i="3"/>
  <c r="G68" i="3"/>
  <c r="H72" i="7"/>
  <c r="H77" i="7"/>
  <c r="H76" i="7"/>
  <c r="H60" i="7"/>
  <c r="H85" i="7"/>
  <c r="H55" i="7"/>
  <c r="H84" i="7"/>
  <c r="H89" i="7"/>
  <c r="H57" i="7"/>
  <c r="H88" i="7"/>
  <c r="H51" i="7"/>
  <c r="H92" i="7"/>
  <c r="H74" i="7"/>
  <c r="H82" i="7"/>
  <c r="H90" i="7"/>
  <c r="H52" i="7"/>
  <c r="H80" i="7"/>
  <c r="H58" i="7"/>
  <c r="H78" i="7"/>
  <c r="H93" i="7"/>
  <c r="H91" i="7"/>
  <c r="H61" i="7"/>
  <c r="H65" i="7"/>
  <c r="H73" i="7"/>
  <c r="H87" i="7"/>
  <c r="H71" i="7"/>
  <c r="H54" i="7"/>
  <c r="H62" i="7"/>
  <c r="H81" i="7"/>
  <c r="H75" i="7"/>
  <c r="H67" i="7"/>
  <c r="H69" i="7"/>
  <c r="H63" i="7"/>
  <c r="H70" i="7"/>
  <c r="H94" i="7"/>
  <c r="H86" i="7"/>
  <c r="H53" i="7"/>
  <c r="H56" i="7"/>
  <c r="H68" i="7"/>
  <c r="H79" i="7"/>
  <c r="H66" i="7"/>
  <c r="H64" i="7"/>
  <c r="H59" i="7"/>
  <c r="H83" i="7"/>
  <c r="E83" i="3"/>
  <c r="E62" i="3"/>
  <c r="E85" i="3"/>
  <c r="E74" i="3"/>
  <c r="E78" i="3"/>
  <c r="E64" i="3"/>
  <c r="E69" i="3"/>
  <c r="E73" i="3"/>
  <c r="E81" i="3"/>
  <c r="E86" i="3"/>
  <c r="E56" i="3"/>
  <c r="E59" i="3"/>
  <c r="E57" i="3"/>
  <c r="E63" i="3"/>
  <c r="E68" i="3"/>
  <c r="E51" i="3"/>
  <c r="E92" i="3"/>
  <c r="E72" i="3"/>
  <c r="E53" i="3"/>
  <c r="E54" i="3"/>
  <c r="E71" i="3"/>
  <c r="E76" i="3"/>
  <c r="E77" i="3"/>
  <c r="E94" i="3"/>
  <c r="C85" i="8" s="1"/>
  <c r="E66" i="3"/>
  <c r="E52" i="3"/>
  <c r="E93" i="3"/>
  <c r="E84" i="3"/>
  <c r="E58" i="3"/>
  <c r="E88" i="3"/>
  <c r="E79" i="3"/>
  <c r="E90" i="3"/>
  <c r="E91" i="3"/>
  <c r="E67" i="3"/>
  <c r="E65" i="3"/>
  <c r="E89" i="3"/>
  <c r="E60" i="3"/>
  <c r="E55" i="3"/>
  <c r="E82" i="3"/>
  <c r="E75" i="3"/>
  <c r="E70" i="3"/>
  <c r="E61" i="3"/>
  <c r="E80" i="3"/>
  <c r="E87" i="3"/>
  <c r="F72" i="6"/>
  <c r="F73" i="6"/>
  <c r="F92" i="6"/>
  <c r="F86" i="6"/>
  <c r="F93" i="6"/>
  <c r="F67" i="6"/>
  <c r="F81" i="6"/>
  <c r="F80" i="6"/>
  <c r="F83" i="6"/>
  <c r="F88" i="6"/>
  <c r="F51" i="6"/>
  <c r="F70" i="6"/>
  <c r="F75" i="6"/>
  <c r="F56" i="6"/>
  <c r="F79" i="6"/>
  <c r="F89" i="6"/>
  <c r="F64" i="6"/>
  <c r="F65" i="6"/>
  <c r="F87" i="6"/>
  <c r="F66" i="6"/>
  <c r="F62" i="6"/>
  <c r="F57" i="6"/>
  <c r="F82" i="6"/>
  <c r="F94" i="6"/>
  <c r="F53" i="6"/>
  <c r="F63" i="6"/>
  <c r="F54" i="6"/>
  <c r="F69" i="6"/>
  <c r="F77" i="6"/>
  <c r="F58" i="6"/>
  <c r="F55" i="6"/>
  <c r="F74" i="6"/>
  <c r="F91" i="6"/>
  <c r="F90" i="6"/>
  <c r="F78" i="6"/>
  <c r="F52" i="6"/>
  <c r="F84" i="6"/>
  <c r="F60" i="6"/>
  <c r="F68" i="6"/>
  <c r="F85" i="6"/>
  <c r="F76" i="6"/>
  <c r="F71" i="6"/>
  <c r="F59" i="6"/>
  <c r="F61" i="6"/>
  <c r="G99" i="7" l="1"/>
  <c r="G99" i="6"/>
  <c r="C70" i="8"/>
  <c r="G100" i="3"/>
  <c r="G100" i="6"/>
  <c r="G99" i="3"/>
  <c r="G100" i="7"/>
  <c r="C3" i="8"/>
  <c r="G3" i="8"/>
  <c r="B3" i="8"/>
  <c r="D3" i="8"/>
  <c r="E3" i="8"/>
  <c r="F3" i="8"/>
  <c r="J85" i="8" l="1"/>
  <c r="B13" i="5" l="1" a="1"/>
  <c r="B13" i="5" s="1"/>
  <c r="B15" i="5" s="1"/>
  <c r="L49" i="3" l="1"/>
  <c r="B23" i="5"/>
  <c r="U49" i="3"/>
  <c r="B19" i="5"/>
  <c r="Z49" i="6"/>
  <c r="AF49" i="6"/>
  <c r="Z49" i="3"/>
  <c r="J49" i="7"/>
  <c r="L49" i="7"/>
  <c r="N49" i="7"/>
  <c r="X49" i="3"/>
  <c r="O49" i="6"/>
  <c r="V49" i="3"/>
  <c r="AC49" i="3"/>
  <c r="AE49" i="3"/>
  <c r="V49" i="7"/>
  <c r="S49" i="3"/>
  <c r="R49" i="7"/>
  <c r="U49" i="7"/>
  <c r="AB49" i="6"/>
  <c r="AF49" i="7"/>
  <c r="AD49" i="7"/>
  <c r="N49" i="3"/>
  <c r="Z49" i="7"/>
  <c r="P49" i="7"/>
  <c r="AC49" i="7"/>
  <c r="X49" i="7"/>
  <c r="L49" i="6"/>
  <c r="K49" i="6"/>
  <c r="T49" i="3"/>
  <c r="J49" i="3"/>
  <c r="X49" i="6"/>
  <c r="AD49" i="3"/>
  <c r="W49" i="7"/>
  <c r="AA49" i="6"/>
  <c r="O49" i="3"/>
  <c r="AA49" i="7"/>
  <c r="W49" i="3"/>
  <c r="K49" i="3"/>
  <c r="U49" i="6"/>
  <c r="P49" i="6"/>
  <c r="AA49" i="3"/>
  <c r="M49" i="6"/>
  <c r="AD49" i="6"/>
  <c r="S49" i="6"/>
  <c r="N49" i="6"/>
  <c r="AC49" i="6"/>
  <c r="M49" i="3"/>
  <c r="T49" i="6"/>
  <c r="R49" i="6"/>
  <c r="K49" i="7"/>
  <c r="W49" i="6"/>
  <c r="AB49" i="3"/>
  <c r="P49" i="3"/>
  <c r="AF49" i="3"/>
  <c r="AB49" i="7"/>
  <c r="S49" i="7"/>
  <c r="AE49" i="6"/>
  <c r="M49" i="7"/>
  <c r="J49" i="6"/>
  <c r="T49" i="7"/>
  <c r="R49" i="3"/>
  <c r="O49" i="7"/>
  <c r="V49" i="6"/>
  <c r="AE49" i="7"/>
  <c r="AB81" i="6" l="1"/>
  <c r="AB83" i="6"/>
  <c r="AB64" i="6"/>
  <c r="AB57" i="6"/>
  <c r="AB60" i="6"/>
  <c r="AB85" i="6"/>
  <c r="AB51" i="6"/>
  <c r="AB77" i="6"/>
  <c r="AB63" i="6"/>
  <c r="AB82" i="6"/>
  <c r="AB56" i="6"/>
  <c r="AB91" i="6"/>
  <c r="AB73" i="6"/>
  <c r="AB55" i="6"/>
  <c r="AB76" i="6"/>
  <c r="AB65" i="6"/>
  <c r="AB58" i="6"/>
  <c r="AB61" i="6"/>
  <c r="AB74" i="6"/>
  <c r="AB80" i="6"/>
  <c r="AB59" i="6"/>
  <c r="AB66" i="6"/>
  <c r="AB87" i="6"/>
  <c r="AB78" i="6"/>
  <c r="AB68" i="6"/>
  <c r="AB62" i="6"/>
  <c r="AB90" i="6"/>
  <c r="AB88" i="6"/>
  <c r="AB70" i="6"/>
  <c r="AB93" i="6"/>
  <c r="AB54" i="6"/>
  <c r="AB52" i="6"/>
  <c r="AB75" i="6"/>
  <c r="AB94" i="6"/>
  <c r="AB92" i="6"/>
  <c r="AB86" i="6"/>
  <c r="AB53" i="6"/>
  <c r="AB69" i="6"/>
  <c r="AB72" i="6"/>
  <c r="AB71" i="6"/>
  <c r="AB84" i="6"/>
  <c r="AB79" i="6"/>
  <c r="AB89" i="6"/>
  <c r="AB67" i="6"/>
  <c r="N71" i="7"/>
  <c r="N57" i="7"/>
  <c r="N86" i="7"/>
  <c r="N63" i="7"/>
  <c r="N88" i="7"/>
  <c r="N68" i="7"/>
  <c r="N67" i="7"/>
  <c r="N73" i="7"/>
  <c r="N62" i="7"/>
  <c r="N87" i="7"/>
  <c r="N77" i="7"/>
  <c r="N59" i="7"/>
  <c r="N60" i="7"/>
  <c r="N51" i="7"/>
  <c r="N94" i="7"/>
  <c r="N89" i="7"/>
  <c r="N61" i="7"/>
  <c r="N92" i="7"/>
  <c r="N64" i="7"/>
  <c r="N93" i="7"/>
  <c r="N83" i="7"/>
  <c r="N66" i="7"/>
  <c r="N78" i="7"/>
  <c r="N56" i="7"/>
  <c r="N53" i="7"/>
  <c r="N54" i="7"/>
  <c r="N70" i="7"/>
  <c r="N91" i="7"/>
  <c r="N82" i="7"/>
  <c r="N55" i="7"/>
  <c r="N69" i="7"/>
  <c r="N65" i="7"/>
  <c r="N84" i="7"/>
  <c r="N80" i="7"/>
  <c r="N52" i="7"/>
  <c r="N75" i="7"/>
  <c r="N85" i="7"/>
  <c r="N81" i="7"/>
  <c r="N74" i="7"/>
  <c r="N58" i="7"/>
  <c r="N79" i="7"/>
  <c r="N90" i="7"/>
  <c r="N72" i="7"/>
  <c r="N76" i="7"/>
  <c r="M61" i="7"/>
  <c r="M60" i="7"/>
  <c r="M52" i="7"/>
  <c r="M67" i="7"/>
  <c r="M62" i="7"/>
  <c r="M93" i="7"/>
  <c r="M59" i="7"/>
  <c r="M89" i="7"/>
  <c r="M90" i="7"/>
  <c r="M79" i="7"/>
  <c r="M53" i="7"/>
  <c r="M91" i="7"/>
  <c r="M83" i="7"/>
  <c r="M88" i="7"/>
  <c r="M58" i="7"/>
  <c r="M82" i="7"/>
  <c r="M76" i="7"/>
  <c r="M87" i="7"/>
  <c r="M54" i="7"/>
  <c r="M51" i="7"/>
  <c r="M77" i="7"/>
  <c r="M80" i="7"/>
  <c r="M78" i="7"/>
  <c r="M57" i="7"/>
  <c r="M63" i="7"/>
  <c r="M86" i="7"/>
  <c r="M56" i="7"/>
  <c r="M74" i="7"/>
  <c r="M85" i="7"/>
  <c r="M92" i="7"/>
  <c r="M71" i="7"/>
  <c r="M64" i="7"/>
  <c r="M72" i="7"/>
  <c r="M55" i="7"/>
  <c r="M75" i="7"/>
  <c r="M94" i="7"/>
  <c r="M66" i="7"/>
  <c r="M65" i="7"/>
  <c r="M69" i="7"/>
  <c r="M73" i="7"/>
  <c r="M70" i="7"/>
  <c r="M68" i="7"/>
  <c r="M81" i="7"/>
  <c r="M84" i="7"/>
  <c r="T59" i="6"/>
  <c r="T92" i="6"/>
  <c r="T82" i="6"/>
  <c r="T51" i="6"/>
  <c r="T61" i="6"/>
  <c r="T56" i="6"/>
  <c r="T67" i="6"/>
  <c r="T94" i="6"/>
  <c r="T81" i="6"/>
  <c r="T52" i="6"/>
  <c r="T60" i="6"/>
  <c r="T69" i="6"/>
  <c r="T73" i="6"/>
  <c r="T79" i="6"/>
  <c r="T90" i="6"/>
  <c r="T70" i="6"/>
  <c r="T89" i="6"/>
  <c r="T62" i="6"/>
  <c r="T91" i="6"/>
  <c r="T88" i="6"/>
  <c r="T83" i="6"/>
  <c r="T64" i="6"/>
  <c r="T63" i="6"/>
  <c r="T72" i="6"/>
  <c r="T74" i="6"/>
  <c r="T75" i="6"/>
  <c r="T58" i="6"/>
  <c r="T55" i="6"/>
  <c r="T68" i="6"/>
  <c r="T54" i="6"/>
  <c r="T53" i="6"/>
  <c r="T93" i="6"/>
  <c r="T80" i="6"/>
  <c r="T66" i="6"/>
  <c r="T77" i="6"/>
  <c r="T87" i="6"/>
  <c r="T76" i="6"/>
  <c r="T71" i="6"/>
  <c r="T78" i="6"/>
  <c r="T57" i="6"/>
  <c r="T85" i="6"/>
  <c r="T86" i="6"/>
  <c r="T84" i="6"/>
  <c r="T65" i="6"/>
  <c r="K84" i="3"/>
  <c r="K54" i="3"/>
  <c r="K90" i="3"/>
  <c r="K92" i="3"/>
  <c r="K62" i="3"/>
  <c r="K91" i="3"/>
  <c r="K59" i="3"/>
  <c r="K67" i="3"/>
  <c r="K66" i="3"/>
  <c r="K81" i="3"/>
  <c r="K78" i="3"/>
  <c r="K70" i="3"/>
  <c r="K53" i="3"/>
  <c r="K94" i="3"/>
  <c r="K88" i="3"/>
  <c r="K73" i="3"/>
  <c r="K69" i="3"/>
  <c r="K93" i="3"/>
  <c r="K55" i="3"/>
  <c r="K51" i="3"/>
  <c r="K65" i="3"/>
  <c r="K83" i="3"/>
  <c r="K61" i="3"/>
  <c r="K71" i="3"/>
  <c r="K68" i="3"/>
  <c r="K80" i="3"/>
  <c r="K85" i="3"/>
  <c r="K89" i="3"/>
  <c r="K86" i="3"/>
  <c r="K63" i="3"/>
  <c r="K52" i="3"/>
  <c r="K76" i="3"/>
  <c r="K79" i="3"/>
  <c r="K58" i="3"/>
  <c r="K87" i="3"/>
  <c r="K64" i="3"/>
  <c r="K56" i="3"/>
  <c r="K82" i="3"/>
  <c r="K57" i="3"/>
  <c r="K74" i="3"/>
  <c r="K72" i="3"/>
  <c r="K60" i="3"/>
  <c r="K75" i="3"/>
  <c r="K77" i="3"/>
  <c r="K69" i="6"/>
  <c r="K60" i="6"/>
  <c r="K94" i="6"/>
  <c r="K78" i="6"/>
  <c r="K51" i="6"/>
  <c r="K75" i="6"/>
  <c r="K76" i="6"/>
  <c r="K53" i="6"/>
  <c r="K62" i="6"/>
  <c r="K85" i="6"/>
  <c r="K87" i="6"/>
  <c r="K64" i="6"/>
  <c r="K84" i="6"/>
  <c r="K83" i="6"/>
  <c r="K91" i="6"/>
  <c r="K92" i="6"/>
  <c r="K90" i="6"/>
  <c r="K86" i="6"/>
  <c r="K72" i="6"/>
  <c r="K65" i="6"/>
  <c r="K89" i="6"/>
  <c r="K57" i="6"/>
  <c r="K71" i="6"/>
  <c r="K66" i="6"/>
  <c r="K61" i="6"/>
  <c r="K55" i="6"/>
  <c r="K82" i="6"/>
  <c r="K56" i="6"/>
  <c r="K80" i="6"/>
  <c r="K67" i="6"/>
  <c r="K58" i="6"/>
  <c r="K52" i="6"/>
  <c r="K70" i="6"/>
  <c r="K73" i="6"/>
  <c r="K77" i="6"/>
  <c r="K68" i="6"/>
  <c r="K74" i="6"/>
  <c r="K63" i="6"/>
  <c r="K81" i="6"/>
  <c r="K88" i="6"/>
  <c r="K54" i="6"/>
  <c r="K59" i="6"/>
  <c r="K93" i="6"/>
  <c r="K79" i="6"/>
  <c r="U77" i="7"/>
  <c r="U58" i="7"/>
  <c r="U88" i="7"/>
  <c r="U74" i="7"/>
  <c r="U84" i="7"/>
  <c r="U78" i="7"/>
  <c r="U62" i="7"/>
  <c r="U90" i="7"/>
  <c r="U56" i="7"/>
  <c r="U53" i="7"/>
  <c r="U71" i="7"/>
  <c r="U55" i="7"/>
  <c r="U76" i="7"/>
  <c r="U61" i="7"/>
  <c r="U63" i="7"/>
  <c r="U59" i="7"/>
  <c r="U81" i="7"/>
  <c r="U64" i="7"/>
  <c r="U86" i="7"/>
  <c r="U80" i="7"/>
  <c r="U68" i="7"/>
  <c r="U65" i="7"/>
  <c r="U52" i="7"/>
  <c r="U92" i="7"/>
  <c r="U51" i="7"/>
  <c r="U85" i="7"/>
  <c r="U75" i="7"/>
  <c r="U69" i="7"/>
  <c r="U82" i="7"/>
  <c r="U83" i="7"/>
  <c r="U66" i="7"/>
  <c r="U94" i="7"/>
  <c r="U60" i="7"/>
  <c r="U87" i="7"/>
  <c r="U72" i="7"/>
  <c r="U70" i="7"/>
  <c r="U73" i="7"/>
  <c r="U93" i="7"/>
  <c r="U57" i="7"/>
  <c r="U79" i="7"/>
  <c r="U91" i="7"/>
  <c r="U54" i="7"/>
  <c r="U67" i="7"/>
  <c r="U89" i="7"/>
  <c r="L52" i="7"/>
  <c r="L69" i="7"/>
  <c r="L87" i="7"/>
  <c r="L51" i="7"/>
  <c r="L88" i="7"/>
  <c r="L82" i="7"/>
  <c r="L80" i="7"/>
  <c r="L89" i="7"/>
  <c r="L58" i="7"/>
  <c r="L75" i="7"/>
  <c r="L78" i="7"/>
  <c r="L68" i="7"/>
  <c r="L64" i="7"/>
  <c r="L62" i="7"/>
  <c r="L84" i="7"/>
  <c r="L91" i="7"/>
  <c r="L92" i="7"/>
  <c r="L63" i="7"/>
  <c r="L90" i="7"/>
  <c r="L85" i="7"/>
  <c r="L81" i="7"/>
  <c r="L56" i="7"/>
  <c r="L74" i="7"/>
  <c r="L79" i="7"/>
  <c r="L83" i="7"/>
  <c r="L70" i="7"/>
  <c r="L60" i="7"/>
  <c r="L72" i="7"/>
  <c r="L94" i="7"/>
  <c r="L73" i="7"/>
  <c r="L57" i="7"/>
  <c r="L53" i="7"/>
  <c r="L86" i="7"/>
  <c r="L76" i="7"/>
  <c r="L61" i="7"/>
  <c r="L55" i="7"/>
  <c r="L71" i="7"/>
  <c r="L54" i="7"/>
  <c r="L66" i="7"/>
  <c r="L77" i="7"/>
  <c r="L93" i="7"/>
  <c r="L59" i="7"/>
  <c r="L67" i="7"/>
  <c r="L65" i="7"/>
  <c r="R77" i="7"/>
  <c r="R70" i="7"/>
  <c r="R62" i="7"/>
  <c r="R85" i="7"/>
  <c r="R87" i="7"/>
  <c r="R65" i="7"/>
  <c r="R91" i="7"/>
  <c r="R76" i="7"/>
  <c r="R64" i="7"/>
  <c r="R69" i="7"/>
  <c r="R92" i="7"/>
  <c r="R59" i="7"/>
  <c r="R84" i="7"/>
  <c r="R63" i="7"/>
  <c r="R94" i="7"/>
  <c r="R72" i="7"/>
  <c r="R54" i="7"/>
  <c r="R57" i="7"/>
  <c r="R83" i="7"/>
  <c r="R81" i="7"/>
  <c r="R75" i="7"/>
  <c r="R52" i="7"/>
  <c r="R67" i="7"/>
  <c r="R78" i="7"/>
  <c r="R60" i="7"/>
  <c r="R86" i="7"/>
  <c r="R56" i="7"/>
  <c r="R80" i="7"/>
  <c r="R74" i="7"/>
  <c r="R68" i="7"/>
  <c r="R66" i="7"/>
  <c r="R89" i="7"/>
  <c r="R55" i="7"/>
  <c r="R88" i="7"/>
  <c r="R71" i="7"/>
  <c r="R79" i="7"/>
  <c r="R51" i="7"/>
  <c r="R82" i="7"/>
  <c r="R73" i="7"/>
  <c r="R61" i="7"/>
  <c r="R90" i="7"/>
  <c r="R53" i="7"/>
  <c r="R58" i="7"/>
  <c r="R93" i="7"/>
  <c r="J70" i="6"/>
  <c r="J90" i="6"/>
  <c r="J67" i="6"/>
  <c r="J64" i="6"/>
  <c r="J63" i="6"/>
  <c r="J60" i="6"/>
  <c r="J88" i="6"/>
  <c r="J71" i="6"/>
  <c r="J83" i="6"/>
  <c r="J78" i="6"/>
  <c r="J54" i="6"/>
  <c r="J72" i="6"/>
  <c r="J69" i="6"/>
  <c r="J82" i="6"/>
  <c r="J93" i="6"/>
  <c r="J87" i="6"/>
  <c r="J57" i="6"/>
  <c r="J55" i="6"/>
  <c r="J73" i="6"/>
  <c r="J59" i="6"/>
  <c r="J81" i="6"/>
  <c r="J58" i="6"/>
  <c r="J89" i="6"/>
  <c r="J75" i="6"/>
  <c r="J68" i="6"/>
  <c r="J51" i="6"/>
  <c r="J74" i="6"/>
  <c r="J91" i="6"/>
  <c r="J65" i="6"/>
  <c r="J52" i="6"/>
  <c r="J56" i="6"/>
  <c r="J79" i="6"/>
  <c r="J86" i="6"/>
  <c r="J77" i="6"/>
  <c r="J66" i="6"/>
  <c r="J92" i="6"/>
  <c r="J80" i="6"/>
  <c r="J76" i="6"/>
  <c r="J61" i="6"/>
  <c r="J94" i="6"/>
  <c r="J53" i="6"/>
  <c r="J62" i="6"/>
  <c r="J84" i="6"/>
  <c r="J85" i="6"/>
  <c r="R80" i="6"/>
  <c r="R94" i="6"/>
  <c r="R66" i="6"/>
  <c r="R83" i="6"/>
  <c r="R90" i="6"/>
  <c r="R72" i="6"/>
  <c r="R59" i="6"/>
  <c r="R51" i="6"/>
  <c r="R75" i="6"/>
  <c r="R58" i="6"/>
  <c r="R52" i="6"/>
  <c r="R63" i="6"/>
  <c r="R76" i="6"/>
  <c r="R71" i="6"/>
  <c r="R89" i="6"/>
  <c r="R61" i="6"/>
  <c r="R56" i="6"/>
  <c r="R84" i="6"/>
  <c r="R62" i="6"/>
  <c r="R81" i="6"/>
  <c r="R54" i="6"/>
  <c r="R87" i="6"/>
  <c r="R74" i="6"/>
  <c r="R93" i="6"/>
  <c r="R91" i="6"/>
  <c r="R82" i="6"/>
  <c r="R55" i="6"/>
  <c r="R64" i="6"/>
  <c r="R69" i="6"/>
  <c r="R73" i="6"/>
  <c r="R68" i="6"/>
  <c r="R78" i="6"/>
  <c r="R85" i="6"/>
  <c r="R60" i="6"/>
  <c r="R70" i="6"/>
  <c r="R86" i="6"/>
  <c r="R88" i="6"/>
  <c r="R57" i="6"/>
  <c r="R77" i="6"/>
  <c r="R53" i="6"/>
  <c r="R92" i="6"/>
  <c r="R65" i="6"/>
  <c r="R67" i="6"/>
  <c r="R79" i="6"/>
  <c r="U90" i="6"/>
  <c r="U58" i="6"/>
  <c r="U71" i="6"/>
  <c r="U64" i="6"/>
  <c r="U83" i="6"/>
  <c r="U60" i="6"/>
  <c r="U69" i="6"/>
  <c r="U59" i="6"/>
  <c r="U88" i="6"/>
  <c r="U51" i="6"/>
  <c r="U94" i="6"/>
  <c r="U85" i="6"/>
  <c r="U89" i="6"/>
  <c r="U77" i="6"/>
  <c r="U78" i="6"/>
  <c r="U73" i="6"/>
  <c r="U80" i="6"/>
  <c r="U93" i="6"/>
  <c r="U65" i="6"/>
  <c r="U74" i="6"/>
  <c r="U61" i="6"/>
  <c r="U87" i="6"/>
  <c r="U82" i="6"/>
  <c r="U66" i="6"/>
  <c r="U62" i="6"/>
  <c r="U81" i="6"/>
  <c r="U70" i="6"/>
  <c r="U57" i="6"/>
  <c r="U72" i="6"/>
  <c r="U92" i="6"/>
  <c r="U91" i="6"/>
  <c r="U75" i="6"/>
  <c r="U67" i="6"/>
  <c r="U56" i="6"/>
  <c r="U52" i="6"/>
  <c r="U84" i="6"/>
  <c r="U79" i="6"/>
  <c r="U86" i="6"/>
  <c r="U76" i="6"/>
  <c r="U68" i="6"/>
  <c r="U54" i="6"/>
  <c r="U53" i="6"/>
  <c r="U55" i="6"/>
  <c r="U63" i="6"/>
  <c r="T59" i="3"/>
  <c r="T88" i="3"/>
  <c r="T54" i="3"/>
  <c r="T57" i="3"/>
  <c r="T74" i="3"/>
  <c r="T81" i="3"/>
  <c r="T79" i="3"/>
  <c r="T52" i="3"/>
  <c r="T91" i="3"/>
  <c r="T80" i="3"/>
  <c r="T62" i="3"/>
  <c r="T72" i="3"/>
  <c r="T84" i="3"/>
  <c r="T94" i="3"/>
  <c r="C78" i="8" s="1"/>
  <c r="T83" i="3"/>
  <c r="T58" i="3"/>
  <c r="T61" i="3"/>
  <c r="T71" i="3"/>
  <c r="T75" i="3"/>
  <c r="T76" i="3"/>
  <c r="T87" i="3"/>
  <c r="T85" i="3"/>
  <c r="T89" i="3"/>
  <c r="T66" i="3"/>
  <c r="T77" i="3"/>
  <c r="T82" i="3"/>
  <c r="T60" i="3"/>
  <c r="T73" i="3"/>
  <c r="T51" i="3"/>
  <c r="T90" i="3"/>
  <c r="T92" i="3"/>
  <c r="T65" i="3"/>
  <c r="T69" i="3"/>
  <c r="T67" i="3"/>
  <c r="T64" i="3"/>
  <c r="T56" i="3"/>
  <c r="T70" i="3"/>
  <c r="T86" i="3"/>
  <c r="T93" i="3"/>
  <c r="T53" i="3"/>
  <c r="T55" i="3"/>
  <c r="T63" i="3"/>
  <c r="T78" i="3"/>
  <c r="T68" i="3"/>
  <c r="AE74" i="6"/>
  <c r="AE90" i="6"/>
  <c r="AE69" i="6"/>
  <c r="AE67" i="6"/>
  <c r="AE76" i="6"/>
  <c r="AE54" i="6"/>
  <c r="AE94" i="6"/>
  <c r="AE59" i="6"/>
  <c r="AE52" i="6"/>
  <c r="AE70" i="6"/>
  <c r="AE81" i="6"/>
  <c r="AE55" i="6"/>
  <c r="AE61" i="6"/>
  <c r="AE57" i="6"/>
  <c r="AE92" i="6"/>
  <c r="AE53" i="6"/>
  <c r="AE80" i="6"/>
  <c r="AE86" i="6"/>
  <c r="AE72" i="6"/>
  <c r="AE51" i="6"/>
  <c r="AE66" i="6"/>
  <c r="AE71" i="6"/>
  <c r="AE87" i="6"/>
  <c r="AE85" i="6"/>
  <c r="AE65" i="6"/>
  <c r="AE84" i="6"/>
  <c r="AE89" i="6"/>
  <c r="AE63" i="6"/>
  <c r="AE78" i="6"/>
  <c r="AE93" i="6"/>
  <c r="AE60" i="6"/>
  <c r="AE73" i="6"/>
  <c r="AE68" i="6"/>
  <c r="AE62" i="6"/>
  <c r="AE83" i="6"/>
  <c r="AE64" i="6"/>
  <c r="AE82" i="6"/>
  <c r="AE75" i="6"/>
  <c r="AE88" i="6"/>
  <c r="AE58" i="6"/>
  <c r="AE56" i="6"/>
  <c r="AE77" i="6"/>
  <c r="AE79" i="6"/>
  <c r="AE91" i="6"/>
  <c r="M52" i="3"/>
  <c r="M72" i="3"/>
  <c r="M94" i="3"/>
  <c r="M57" i="3"/>
  <c r="M82" i="3"/>
  <c r="M91" i="3"/>
  <c r="M84" i="3"/>
  <c r="M76" i="3"/>
  <c r="M81" i="3"/>
  <c r="M68" i="3"/>
  <c r="M77" i="3"/>
  <c r="M61" i="3"/>
  <c r="M53" i="3"/>
  <c r="M88" i="3"/>
  <c r="M71" i="3"/>
  <c r="M60" i="3"/>
  <c r="M58" i="3"/>
  <c r="M79" i="3"/>
  <c r="M87" i="3"/>
  <c r="M73" i="3"/>
  <c r="M56" i="3"/>
  <c r="M92" i="3"/>
  <c r="M63" i="3"/>
  <c r="M80" i="3"/>
  <c r="M64" i="3"/>
  <c r="M62" i="3"/>
  <c r="M70" i="3"/>
  <c r="M86" i="3"/>
  <c r="M54" i="3"/>
  <c r="M78" i="3"/>
  <c r="M69" i="3"/>
  <c r="M75" i="3"/>
  <c r="M85" i="3"/>
  <c r="M67" i="3"/>
  <c r="M59" i="3"/>
  <c r="M74" i="3"/>
  <c r="M93" i="3"/>
  <c r="M55" i="3"/>
  <c r="M51" i="3"/>
  <c r="M90" i="3"/>
  <c r="M65" i="3"/>
  <c r="M66" i="3"/>
  <c r="M83" i="3"/>
  <c r="M89" i="3"/>
  <c r="W81" i="3"/>
  <c r="W65" i="3"/>
  <c r="W68" i="3"/>
  <c r="W60" i="3"/>
  <c r="W87" i="3"/>
  <c r="W83" i="3"/>
  <c r="W67" i="3"/>
  <c r="W93" i="3"/>
  <c r="W71" i="3"/>
  <c r="W78" i="3"/>
  <c r="W73" i="3"/>
  <c r="W63" i="3"/>
  <c r="W62" i="3"/>
  <c r="W90" i="3"/>
  <c r="W75" i="3"/>
  <c r="W88" i="3"/>
  <c r="W85" i="3"/>
  <c r="W76" i="3"/>
  <c r="W55" i="3"/>
  <c r="W70" i="3"/>
  <c r="W58" i="3"/>
  <c r="W53" i="3"/>
  <c r="W72" i="3"/>
  <c r="W57" i="3"/>
  <c r="W77" i="3"/>
  <c r="W74" i="3"/>
  <c r="W89" i="3"/>
  <c r="W66" i="3"/>
  <c r="W52" i="3"/>
  <c r="W61" i="3"/>
  <c r="W69" i="3"/>
  <c r="W84" i="3"/>
  <c r="W59" i="3"/>
  <c r="W64" i="3"/>
  <c r="W82" i="3"/>
  <c r="W92" i="3"/>
  <c r="W80" i="3"/>
  <c r="W51" i="3"/>
  <c r="W91" i="3"/>
  <c r="W86" i="3"/>
  <c r="W79" i="3"/>
  <c r="W56" i="3"/>
  <c r="W94" i="3"/>
  <c r="W54" i="3"/>
  <c r="L85" i="6"/>
  <c r="N51" i="8" s="1"/>
  <c r="L59" i="6"/>
  <c r="L78" i="6"/>
  <c r="N44" i="8" s="1"/>
  <c r="L56" i="6"/>
  <c r="L75" i="6"/>
  <c r="L63" i="6"/>
  <c r="L81" i="6"/>
  <c r="N47" i="8" s="1"/>
  <c r="L53" i="6"/>
  <c r="L86" i="6"/>
  <c r="N52" i="8" s="1"/>
  <c r="L92" i="6"/>
  <c r="N58" i="8" s="1"/>
  <c r="L73" i="6"/>
  <c r="N39" i="8" s="1"/>
  <c r="L91" i="6"/>
  <c r="N57" i="8" s="1"/>
  <c r="L87" i="6"/>
  <c r="L76" i="6"/>
  <c r="N42" i="8" s="1"/>
  <c r="L83" i="6"/>
  <c r="N49" i="8" s="1"/>
  <c r="L77" i="6"/>
  <c r="L67" i="6"/>
  <c r="L58" i="6"/>
  <c r="L54" i="6"/>
  <c r="L66" i="6"/>
  <c r="L68" i="6"/>
  <c r="L57" i="6"/>
  <c r="L60" i="6"/>
  <c r="L64" i="6"/>
  <c r="L62" i="6"/>
  <c r="L84" i="6"/>
  <c r="L89" i="6"/>
  <c r="N55" i="8" s="1"/>
  <c r="L90" i="6"/>
  <c r="N56" i="8" s="1"/>
  <c r="L70" i="6"/>
  <c r="L65" i="6"/>
  <c r="L55" i="6"/>
  <c r="L79" i="6"/>
  <c r="N45" i="8" s="1"/>
  <c r="L71" i="6"/>
  <c r="N37" i="8" s="1"/>
  <c r="L82" i="6"/>
  <c r="N48" i="8" s="1"/>
  <c r="L80" i="6"/>
  <c r="L61" i="6"/>
  <c r="L69" i="6"/>
  <c r="L93" i="6"/>
  <c r="L52" i="6"/>
  <c r="L74" i="6"/>
  <c r="N40" i="8" s="1"/>
  <c r="L72" i="6"/>
  <c r="N38" i="8" s="1"/>
  <c r="L88" i="6"/>
  <c r="N54" i="8" s="1"/>
  <c r="L51" i="6"/>
  <c r="L94" i="6"/>
  <c r="J66" i="7"/>
  <c r="J59" i="7"/>
  <c r="J88" i="7"/>
  <c r="J75" i="7"/>
  <c r="J53" i="7"/>
  <c r="J58" i="7"/>
  <c r="J64" i="7"/>
  <c r="J74" i="7"/>
  <c r="J62" i="7"/>
  <c r="J91" i="7"/>
  <c r="J72" i="7"/>
  <c r="J52" i="7"/>
  <c r="J63" i="7"/>
  <c r="J55" i="7"/>
  <c r="J79" i="7"/>
  <c r="J78" i="7"/>
  <c r="J57" i="7"/>
  <c r="J68" i="7"/>
  <c r="J86" i="7"/>
  <c r="J56" i="7"/>
  <c r="J61" i="7"/>
  <c r="J69" i="7"/>
  <c r="J54" i="7"/>
  <c r="J65" i="7"/>
  <c r="J71" i="7"/>
  <c r="J51" i="7"/>
  <c r="J76" i="7"/>
  <c r="J81" i="7"/>
  <c r="J93" i="7"/>
  <c r="J70" i="7"/>
  <c r="J92" i="7"/>
  <c r="J85" i="7"/>
  <c r="J67" i="7"/>
  <c r="J90" i="7"/>
  <c r="J77" i="7"/>
  <c r="J89" i="7"/>
  <c r="J82" i="7"/>
  <c r="J84" i="7"/>
  <c r="J60" i="7"/>
  <c r="J73" i="7"/>
  <c r="J94" i="7"/>
  <c r="J80" i="7"/>
  <c r="J87" i="7"/>
  <c r="J83" i="7"/>
  <c r="S66" i="7"/>
  <c r="S93" i="7"/>
  <c r="S62" i="7"/>
  <c r="S86" i="7"/>
  <c r="S61" i="7"/>
  <c r="S65" i="7"/>
  <c r="S72" i="7"/>
  <c r="S74" i="7"/>
  <c r="S80" i="7"/>
  <c r="S87" i="7"/>
  <c r="S55" i="7"/>
  <c r="S53" i="7"/>
  <c r="S81" i="7"/>
  <c r="S58" i="7"/>
  <c r="S92" i="7"/>
  <c r="S51" i="7"/>
  <c r="S88" i="7"/>
  <c r="S77" i="7"/>
  <c r="S69" i="7"/>
  <c r="S59" i="7"/>
  <c r="S70" i="7"/>
  <c r="S90" i="7"/>
  <c r="S64" i="7"/>
  <c r="S85" i="7"/>
  <c r="S83" i="7"/>
  <c r="S94" i="7"/>
  <c r="S84" i="7"/>
  <c r="S60" i="7"/>
  <c r="S78" i="7"/>
  <c r="S52" i="7"/>
  <c r="S57" i="7"/>
  <c r="S54" i="7"/>
  <c r="S73" i="7"/>
  <c r="S76" i="7"/>
  <c r="S71" i="7"/>
  <c r="S91" i="7"/>
  <c r="S75" i="7"/>
  <c r="S79" i="7"/>
  <c r="S56" i="7"/>
  <c r="S63" i="7"/>
  <c r="S82" i="7"/>
  <c r="S68" i="7"/>
  <c r="S89" i="7"/>
  <c r="S67" i="7"/>
  <c r="AC53" i="6"/>
  <c r="AC64" i="6"/>
  <c r="AC92" i="6"/>
  <c r="AC67" i="6"/>
  <c r="AC82" i="6"/>
  <c r="AC58" i="6"/>
  <c r="AC76" i="6"/>
  <c r="AC52" i="6"/>
  <c r="AC78" i="6"/>
  <c r="AC74" i="6"/>
  <c r="AC80" i="6"/>
  <c r="AC68" i="6"/>
  <c r="AC88" i="6"/>
  <c r="AC94" i="6"/>
  <c r="AC84" i="6"/>
  <c r="AC65" i="6"/>
  <c r="AC89" i="6"/>
  <c r="AC90" i="6"/>
  <c r="AC83" i="6"/>
  <c r="AC87" i="6"/>
  <c r="AC59" i="6"/>
  <c r="AC81" i="6"/>
  <c r="AC86" i="6"/>
  <c r="AC69" i="6"/>
  <c r="AC75" i="6"/>
  <c r="AC70" i="6"/>
  <c r="AC66" i="6"/>
  <c r="AC62" i="6"/>
  <c r="AC72" i="6"/>
  <c r="AC91" i="6"/>
  <c r="AC71" i="6"/>
  <c r="AC54" i="6"/>
  <c r="AC55" i="6"/>
  <c r="AC63" i="6"/>
  <c r="AC57" i="6"/>
  <c r="AC51" i="6"/>
  <c r="AC73" i="6"/>
  <c r="AC93" i="6"/>
  <c r="AC79" i="6"/>
  <c r="AC56" i="6"/>
  <c r="AC61" i="6"/>
  <c r="AC77" i="6"/>
  <c r="AC60" i="6"/>
  <c r="AC85" i="6"/>
  <c r="AA72" i="7"/>
  <c r="AA54" i="7"/>
  <c r="AA58" i="7"/>
  <c r="AA62" i="7"/>
  <c r="AA51" i="7"/>
  <c r="AA55" i="7"/>
  <c r="AA66" i="7"/>
  <c r="AA69" i="7"/>
  <c r="AA86" i="7"/>
  <c r="AA90" i="7"/>
  <c r="AA76" i="7"/>
  <c r="AA57" i="7"/>
  <c r="AA68" i="7"/>
  <c r="AA74" i="7"/>
  <c r="AA89" i="7"/>
  <c r="AA80" i="7"/>
  <c r="AA81" i="7"/>
  <c r="AA92" i="7"/>
  <c r="AA84" i="7"/>
  <c r="AA63" i="7"/>
  <c r="AA73" i="7"/>
  <c r="AA67" i="7"/>
  <c r="AA78" i="7"/>
  <c r="AA65" i="7"/>
  <c r="AA93" i="7"/>
  <c r="AA71" i="7"/>
  <c r="AA94" i="7"/>
  <c r="AA70" i="7"/>
  <c r="AA53" i="7"/>
  <c r="AA83" i="7"/>
  <c r="AA60" i="7"/>
  <c r="AA85" i="7"/>
  <c r="AA87" i="7"/>
  <c r="AA91" i="7"/>
  <c r="AA75" i="7"/>
  <c r="AA64" i="7"/>
  <c r="AA82" i="7"/>
  <c r="AA77" i="7"/>
  <c r="AA88" i="7"/>
  <c r="AA59" i="7"/>
  <c r="AA52" i="7"/>
  <c r="AA56" i="7"/>
  <c r="AA79" i="7"/>
  <c r="AA61" i="7"/>
  <c r="X90" i="7"/>
  <c r="X89" i="7"/>
  <c r="X53" i="7"/>
  <c r="X72" i="7"/>
  <c r="X62" i="7"/>
  <c r="X57" i="7"/>
  <c r="X63" i="7"/>
  <c r="X84" i="7"/>
  <c r="X73" i="7"/>
  <c r="X54" i="7"/>
  <c r="X94" i="7"/>
  <c r="G5" i="8" s="1"/>
  <c r="X64" i="7"/>
  <c r="X82" i="7"/>
  <c r="X93" i="7"/>
  <c r="X52" i="7"/>
  <c r="X76" i="7"/>
  <c r="X59" i="7"/>
  <c r="X83" i="7"/>
  <c r="X86" i="7"/>
  <c r="X56" i="7"/>
  <c r="X65" i="7"/>
  <c r="X74" i="7"/>
  <c r="X60" i="7"/>
  <c r="X66" i="7"/>
  <c r="X88" i="7"/>
  <c r="X92" i="7"/>
  <c r="X70" i="7"/>
  <c r="X77" i="7"/>
  <c r="X81" i="7"/>
  <c r="X58" i="7"/>
  <c r="X67" i="7"/>
  <c r="X75" i="7"/>
  <c r="X69" i="7"/>
  <c r="X80" i="7"/>
  <c r="X78" i="7"/>
  <c r="X68" i="7"/>
  <c r="X91" i="7"/>
  <c r="X87" i="7"/>
  <c r="X85" i="7"/>
  <c r="X51" i="7"/>
  <c r="X79" i="7"/>
  <c r="X61" i="7"/>
  <c r="X71" i="7"/>
  <c r="X55" i="7"/>
  <c r="S92" i="3"/>
  <c r="S67" i="3"/>
  <c r="S66" i="3"/>
  <c r="S79" i="3"/>
  <c r="S81" i="3"/>
  <c r="S56" i="3"/>
  <c r="S53" i="3"/>
  <c r="S58" i="3"/>
  <c r="S59" i="3"/>
  <c r="S91" i="3"/>
  <c r="S77" i="3"/>
  <c r="S87" i="3"/>
  <c r="S51" i="3"/>
  <c r="S64" i="3"/>
  <c r="S83" i="3"/>
  <c r="S52" i="3"/>
  <c r="S54" i="3"/>
  <c r="S70" i="3"/>
  <c r="S86" i="3"/>
  <c r="S94" i="3"/>
  <c r="S76" i="3"/>
  <c r="S85" i="3"/>
  <c r="S84" i="3"/>
  <c r="S57" i="3"/>
  <c r="S71" i="3"/>
  <c r="S78" i="3"/>
  <c r="S75" i="3"/>
  <c r="S90" i="3"/>
  <c r="S60" i="3"/>
  <c r="S80" i="3"/>
  <c r="S55" i="3"/>
  <c r="S65" i="3"/>
  <c r="S62" i="3"/>
  <c r="S74" i="3"/>
  <c r="S61" i="3"/>
  <c r="S63" i="3"/>
  <c r="S72" i="3"/>
  <c r="S82" i="3"/>
  <c r="S69" i="3"/>
  <c r="S88" i="3"/>
  <c r="S68" i="3"/>
  <c r="S73" i="3"/>
  <c r="S93" i="3"/>
  <c r="S89" i="3"/>
  <c r="Z61" i="3"/>
  <c r="Z72" i="3"/>
  <c r="Z93" i="3"/>
  <c r="Z73" i="3"/>
  <c r="Z55" i="3"/>
  <c r="Z68" i="3"/>
  <c r="Z78" i="3"/>
  <c r="Z53" i="3"/>
  <c r="Z76" i="3"/>
  <c r="Z74" i="3"/>
  <c r="Z87" i="3"/>
  <c r="Z84" i="3"/>
  <c r="Z94" i="3"/>
  <c r="Z70" i="3"/>
  <c r="Z65" i="3"/>
  <c r="Z77" i="3"/>
  <c r="Z89" i="3"/>
  <c r="Z92" i="3"/>
  <c r="Z59" i="3"/>
  <c r="Z88" i="3"/>
  <c r="Z54" i="3"/>
  <c r="Z83" i="3"/>
  <c r="Z62" i="3"/>
  <c r="Z80" i="3"/>
  <c r="Z51" i="3"/>
  <c r="Z58" i="3"/>
  <c r="Z86" i="3"/>
  <c r="Z79" i="3"/>
  <c r="Z90" i="3"/>
  <c r="Z57" i="3"/>
  <c r="Z52" i="3"/>
  <c r="Z64" i="3"/>
  <c r="Z75" i="3"/>
  <c r="Z81" i="3"/>
  <c r="Z66" i="3"/>
  <c r="Z63" i="3"/>
  <c r="Z67" i="3"/>
  <c r="Z85" i="3"/>
  <c r="Z71" i="3"/>
  <c r="Z69" i="3"/>
  <c r="Z56" i="3"/>
  <c r="Z82" i="3"/>
  <c r="Z91" i="3"/>
  <c r="Z60" i="3"/>
  <c r="AB92" i="7"/>
  <c r="AB88" i="7"/>
  <c r="AB71" i="7"/>
  <c r="AB93" i="7"/>
  <c r="AB62" i="7"/>
  <c r="AB63" i="7"/>
  <c r="AB90" i="7"/>
  <c r="AB66" i="7"/>
  <c r="AB78" i="7"/>
  <c r="AB84" i="7"/>
  <c r="AB76" i="7"/>
  <c r="AB70" i="7"/>
  <c r="AB74" i="7"/>
  <c r="AB53" i="7"/>
  <c r="AB91" i="7"/>
  <c r="AB65" i="7"/>
  <c r="AB86" i="7"/>
  <c r="AB67" i="7"/>
  <c r="AB79" i="7"/>
  <c r="AB52" i="7"/>
  <c r="AB59" i="7"/>
  <c r="AB81" i="7"/>
  <c r="AB60" i="7"/>
  <c r="AB83" i="7"/>
  <c r="AB61" i="7"/>
  <c r="AB94" i="7"/>
  <c r="AB85" i="7"/>
  <c r="AB72" i="7"/>
  <c r="AB68" i="7"/>
  <c r="AB57" i="7"/>
  <c r="AB82" i="7"/>
  <c r="AB73" i="7"/>
  <c r="AB80" i="7"/>
  <c r="AB55" i="7"/>
  <c r="AB54" i="7"/>
  <c r="AB87" i="7"/>
  <c r="AB89" i="7"/>
  <c r="AB58" i="7"/>
  <c r="AB69" i="7"/>
  <c r="AB77" i="7"/>
  <c r="AB64" i="7"/>
  <c r="AB51" i="7"/>
  <c r="AB56" i="7"/>
  <c r="AB75" i="7"/>
  <c r="N79" i="6"/>
  <c r="N89" i="6"/>
  <c r="N51" i="6"/>
  <c r="N54" i="6"/>
  <c r="N58" i="6"/>
  <c r="N80" i="6"/>
  <c r="N78" i="6"/>
  <c r="N92" i="6"/>
  <c r="N81" i="6"/>
  <c r="N55" i="6"/>
  <c r="N53" i="6"/>
  <c r="N68" i="6"/>
  <c r="N60" i="6"/>
  <c r="N61" i="6"/>
  <c r="N64" i="6"/>
  <c r="N57" i="6"/>
  <c r="N88" i="6"/>
  <c r="N82" i="6"/>
  <c r="N71" i="6"/>
  <c r="N72" i="6"/>
  <c r="N65" i="6"/>
  <c r="N93" i="6"/>
  <c r="N62" i="6"/>
  <c r="N63" i="6"/>
  <c r="N75" i="6"/>
  <c r="N77" i="6"/>
  <c r="N74" i="6"/>
  <c r="N59" i="6"/>
  <c r="N86" i="6"/>
  <c r="N87" i="6"/>
  <c r="N69" i="6"/>
  <c r="N73" i="6"/>
  <c r="N76" i="6"/>
  <c r="N84" i="6"/>
  <c r="N83" i="6"/>
  <c r="N90" i="6"/>
  <c r="N70" i="6"/>
  <c r="N67" i="6"/>
  <c r="N94" i="6"/>
  <c r="N91" i="6"/>
  <c r="N85" i="6"/>
  <c r="N56" i="6"/>
  <c r="N52" i="6"/>
  <c r="N66" i="6"/>
  <c r="O63" i="3"/>
  <c r="O62" i="3"/>
  <c r="O79" i="3"/>
  <c r="O55" i="3"/>
  <c r="O87" i="3"/>
  <c r="O93" i="3"/>
  <c r="O60" i="3"/>
  <c r="O69" i="3"/>
  <c r="O52" i="3"/>
  <c r="O71" i="3"/>
  <c r="O72" i="3"/>
  <c r="O77" i="3"/>
  <c r="O68" i="3"/>
  <c r="O75" i="3"/>
  <c r="O51" i="3"/>
  <c r="O53" i="3"/>
  <c r="O73" i="3"/>
  <c r="O76" i="3"/>
  <c r="O91" i="3"/>
  <c r="O94" i="3"/>
  <c r="O66" i="3"/>
  <c r="O83" i="3"/>
  <c r="O81" i="3"/>
  <c r="O61" i="3"/>
  <c r="O64" i="3"/>
  <c r="O80" i="3"/>
  <c r="O58" i="3"/>
  <c r="O54" i="3"/>
  <c r="O86" i="3"/>
  <c r="O65" i="3"/>
  <c r="O89" i="3"/>
  <c r="O82" i="3"/>
  <c r="O78" i="3"/>
  <c r="O59" i="3"/>
  <c r="O70" i="3"/>
  <c r="O90" i="3"/>
  <c r="O88" i="3"/>
  <c r="O92" i="3"/>
  <c r="O56" i="3"/>
  <c r="O84" i="3"/>
  <c r="O74" i="3"/>
  <c r="O57" i="3"/>
  <c r="O85" i="3"/>
  <c r="O67" i="3"/>
  <c r="AC72" i="7"/>
  <c r="AC52" i="7"/>
  <c r="AC74" i="7"/>
  <c r="AC84" i="7"/>
  <c r="AC57" i="7"/>
  <c r="AC81" i="7"/>
  <c r="AC54" i="7"/>
  <c r="AC85" i="7"/>
  <c r="AC63" i="7"/>
  <c r="AC69" i="7"/>
  <c r="AC87" i="7"/>
  <c r="AC56" i="7"/>
  <c r="AC60" i="7"/>
  <c r="AC62" i="7"/>
  <c r="AC78" i="7"/>
  <c r="AC66" i="7"/>
  <c r="AC82" i="7"/>
  <c r="AC79" i="7"/>
  <c r="AC92" i="7"/>
  <c r="AC75" i="7"/>
  <c r="AC51" i="7"/>
  <c r="AC89" i="7"/>
  <c r="AC86" i="7"/>
  <c r="AC91" i="7"/>
  <c r="AC68" i="7"/>
  <c r="AC53" i="7"/>
  <c r="AC59" i="7"/>
  <c r="AC71" i="7"/>
  <c r="AC67" i="7"/>
  <c r="AC90" i="7"/>
  <c r="AC88" i="7"/>
  <c r="AC77" i="7"/>
  <c r="AC70" i="7"/>
  <c r="AC65" i="7"/>
  <c r="AC83" i="7"/>
  <c r="AC73" i="7"/>
  <c r="AC61" i="7"/>
  <c r="AC76" i="7"/>
  <c r="AC58" i="7"/>
  <c r="AC64" i="7"/>
  <c r="AC94" i="7"/>
  <c r="AC93" i="7"/>
  <c r="AC80" i="7"/>
  <c r="AC55" i="7"/>
  <c r="V82" i="7"/>
  <c r="V72" i="7"/>
  <c r="V64" i="7"/>
  <c r="V73" i="7"/>
  <c r="V61" i="7"/>
  <c r="V88" i="7"/>
  <c r="V76" i="7"/>
  <c r="V51" i="7"/>
  <c r="V71" i="7"/>
  <c r="V62" i="7"/>
  <c r="V54" i="7"/>
  <c r="V68" i="7"/>
  <c r="V75" i="7"/>
  <c r="V93" i="7"/>
  <c r="V86" i="7"/>
  <c r="V63" i="7"/>
  <c r="V83" i="7"/>
  <c r="V81" i="7"/>
  <c r="V59" i="7"/>
  <c r="V90" i="7"/>
  <c r="V91" i="7"/>
  <c r="V74" i="7"/>
  <c r="V52" i="7"/>
  <c r="V53" i="7"/>
  <c r="V67" i="7"/>
  <c r="V84" i="7"/>
  <c r="V92" i="7"/>
  <c r="V69" i="7"/>
  <c r="V70" i="7"/>
  <c r="V56" i="7"/>
  <c r="V58" i="7"/>
  <c r="V87" i="7"/>
  <c r="V78" i="7"/>
  <c r="V57" i="7"/>
  <c r="V66" i="7"/>
  <c r="V60" i="7"/>
  <c r="V89" i="7"/>
  <c r="V80" i="7"/>
  <c r="V55" i="7"/>
  <c r="V65" i="7"/>
  <c r="V79" i="7"/>
  <c r="V85" i="7"/>
  <c r="V94" i="7"/>
  <c r="V77" i="7"/>
  <c r="AF80" i="6"/>
  <c r="AF64" i="6"/>
  <c r="AF51" i="6"/>
  <c r="AF60" i="6"/>
  <c r="AF81" i="6"/>
  <c r="AF88" i="6"/>
  <c r="AF54" i="6"/>
  <c r="AF84" i="6"/>
  <c r="AF83" i="6"/>
  <c r="AF92" i="6"/>
  <c r="AF65" i="6"/>
  <c r="AF79" i="6"/>
  <c r="AF71" i="6"/>
  <c r="AF61" i="6"/>
  <c r="AF94" i="6"/>
  <c r="AF58" i="6"/>
  <c r="AF91" i="6"/>
  <c r="AF77" i="6"/>
  <c r="AF53" i="6"/>
  <c r="AF82" i="6"/>
  <c r="AF57" i="6"/>
  <c r="AF93" i="6"/>
  <c r="AF74" i="6"/>
  <c r="AF72" i="6"/>
  <c r="AF68" i="6"/>
  <c r="AF63" i="6"/>
  <c r="AF67" i="6"/>
  <c r="AF75" i="6"/>
  <c r="AF86" i="6"/>
  <c r="AF59" i="6"/>
  <c r="AF89" i="6"/>
  <c r="AF76" i="6"/>
  <c r="AF56" i="6"/>
  <c r="AF55" i="6"/>
  <c r="AF73" i="6"/>
  <c r="AF78" i="6"/>
  <c r="AF62" i="6"/>
  <c r="AF52" i="6"/>
  <c r="AF85" i="6"/>
  <c r="AF90" i="6"/>
  <c r="AF66" i="6"/>
  <c r="AF70" i="6"/>
  <c r="AF69" i="6"/>
  <c r="AF87" i="6"/>
  <c r="AF52" i="3"/>
  <c r="AF53" i="3"/>
  <c r="AF80" i="3"/>
  <c r="AF67" i="3"/>
  <c r="AF57" i="3"/>
  <c r="AF58" i="3"/>
  <c r="AF92" i="3"/>
  <c r="AF65" i="3"/>
  <c r="AF83" i="3"/>
  <c r="AF85" i="3"/>
  <c r="AF63" i="3"/>
  <c r="AF89" i="3"/>
  <c r="AF91" i="3"/>
  <c r="AF73" i="3"/>
  <c r="AF51" i="3"/>
  <c r="AF72" i="3"/>
  <c r="AF77" i="3"/>
  <c r="AF87" i="3"/>
  <c r="AF61" i="3"/>
  <c r="AF78" i="3"/>
  <c r="AF93" i="3"/>
  <c r="AF74" i="3"/>
  <c r="AF55" i="3"/>
  <c r="AF71" i="3"/>
  <c r="AF68" i="3"/>
  <c r="AF88" i="3"/>
  <c r="AF75" i="3"/>
  <c r="AF84" i="3"/>
  <c r="AF62" i="3"/>
  <c r="AF66" i="3"/>
  <c r="AF90" i="3"/>
  <c r="AF81" i="3"/>
  <c r="AF69" i="3"/>
  <c r="AF82" i="3"/>
  <c r="AF86" i="3"/>
  <c r="AF76" i="3"/>
  <c r="AF94" i="3"/>
  <c r="AF60" i="3"/>
  <c r="AF70" i="3"/>
  <c r="AF54" i="3"/>
  <c r="AF64" i="3"/>
  <c r="AF79" i="3"/>
  <c r="AF59" i="3"/>
  <c r="AF56" i="3"/>
  <c r="S57" i="6"/>
  <c r="S56" i="6"/>
  <c r="S91" i="6"/>
  <c r="S66" i="6"/>
  <c r="S58" i="6"/>
  <c r="S84" i="6"/>
  <c r="S54" i="6"/>
  <c r="S90" i="6"/>
  <c r="S64" i="6"/>
  <c r="S74" i="6"/>
  <c r="S85" i="6"/>
  <c r="S81" i="6"/>
  <c r="S62" i="6"/>
  <c r="S87" i="6"/>
  <c r="S71" i="6"/>
  <c r="S76" i="6"/>
  <c r="S94" i="6"/>
  <c r="S89" i="6"/>
  <c r="S75" i="6"/>
  <c r="S80" i="6"/>
  <c r="S86" i="6"/>
  <c r="S78" i="6"/>
  <c r="S67" i="6"/>
  <c r="S51" i="6"/>
  <c r="S63" i="6"/>
  <c r="S69" i="6"/>
  <c r="S73" i="6"/>
  <c r="S52" i="6"/>
  <c r="S61" i="6"/>
  <c r="S55" i="6"/>
  <c r="S59" i="6"/>
  <c r="S93" i="6"/>
  <c r="S79" i="6"/>
  <c r="S82" i="6"/>
  <c r="S53" i="6"/>
  <c r="S92" i="6"/>
  <c r="S88" i="6"/>
  <c r="S83" i="6"/>
  <c r="S77" i="6"/>
  <c r="S72" i="6"/>
  <c r="S68" i="6"/>
  <c r="S65" i="6"/>
  <c r="S70" i="6"/>
  <c r="S60" i="6"/>
  <c r="AA56" i="6"/>
  <c r="AA72" i="6"/>
  <c r="AA79" i="6"/>
  <c r="AA68" i="6"/>
  <c r="AA70" i="6"/>
  <c r="AA65" i="6"/>
  <c r="AA93" i="6"/>
  <c r="AA59" i="6"/>
  <c r="AA61" i="6"/>
  <c r="AA58" i="6"/>
  <c r="AA82" i="6"/>
  <c r="AA91" i="6"/>
  <c r="AA71" i="6"/>
  <c r="AA69" i="6"/>
  <c r="AA88" i="6"/>
  <c r="AA66" i="6"/>
  <c r="AA78" i="6"/>
  <c r="AA90" i="6"/>
  <c r="AA52" i="6"/>
  <c r="AA64" i="6"/>
  <c r="AA54" i="6"/>
  <c r="AA51" i="6"/>
  <c r="AA81" i="6"/>
  <c r="AA75" i="6"/>
  <c r="AA89" i="6"/>
  <c r="AA87" i="6"/>
  <c r="AA94" i="6"/>
  <c r="AA80" i="6"/>
  <c r="AA76" i="6"/>
  <c r="AA53" i="6"/>
  <c r="AA77" i="6"/>
  <c r="AA83" i="6"/>
  <c r="AA85" i="6"/>
  <c r="AA86" i="6"/>
  <c r="AA55" i="6"/>
  <c r="AA84" i="6"/>
  <c r="AA60" i="6"/>
  <c r="AA63" i="6"/>
  <c r="AA62" i="6"/>
  <c r="AA92" i="6"/>
  <c r="AA74" i="6"/>
  <c r="AA67" i="6"/>
  <c r="AA73" i="6"/>
  <c r="AA57" i="6"/>
  <c r="P85" i="7"/>
  <c r="P65" i="7"/>
  <c r="P69" i="7"/>
  <c r="P81" i="7"/>
  <c r="P87" i="7"/>
  <c r="P63" i="7"/>
  <c r="P90" i="7"/>
  <c r="P93" i="7"/>
  <c r="P94" i="7"/>
  <c r="P73" i="7"/>
  <c r="P55" i="7"/>
  <c r="P68" i="7"/>
  <c r="P91" i="7"/>
  <c r="P80" i="7"/>
  <c r="P74" i="7"/>
  <c r="P64" i="7"/>
  <c r="P60" i="7"/>
  <c r="P58" i="7"/>
  <c r="P59" i="7"/>
  <c r="P62" i="7"/>
  <c r="P78" i="7"/>
  <c r="P56" i="7"/>
  <c r="P82" i="7"/>
  <c r="P51" i="7"/>
  <c r="P72" i="7"/>
  <c r="P84" i="7"/>
  <c r="P52" i="7"/>
  <c r="P88" i="7"/>
  <c r="P67" i="7"/>
  <c r="P86" i="7"/>
  <c r="P76" i="7"/>
  <c r="P53" i="7"/>
  <c r="P79" i="7"/>
  <c r="P77" i="7"/>
  <c r="P89" i="7"/>
  <c r="P66" i="7"/>
  <c r="P61" i="7"/>
  <c r="P54" i="7"/>
  <c r="P92" i="7"/>
  <c r="P83" i="7"/>
  <c r="P57" i="7"/>
  <c r="P71" i="7"/>
  <c r="P70" i="7"/>
  <c r="P75" i="7"/>
  <c r="AE68" i="3"/>
  <c r="AE82" i="3"/>
  <c r="AE90" i="3"/>
  <c r="AE62" i="3"/>
  <c r="AE75" i="3"/>
  <c r="AE72" i="3"/>
  <c r="AE65" i="3"/>
  <c r="AE87" i="3"/>
  <c r="AE69" i="3"/>
  <c r="AE83" i="3"/>
  <c r="AE58" i="3"/>
  <c r="AE88" i="3"/>
  <c r="AE80" i="3"/>
  <c r="AE93" i="3"/>
  <c r="AE66" i="3"/>
  <c r="AE92" i="3"/>
  <c r="AE77" i="3"/>
  <c r="AE73" i="3"/>
  <c r="AE91" i="3"/>
  <c r="AE61" i="3"/>
  <c r="AE94" i="3"/>
  <c r="C94" i="8" s="1"/>
  <c r="AE85" i="3"/>
  <c r="AE63" i="3"/>
  <c r="AE67" i="3"/>
  <c r="AE71" i="3"/>
  <c r="AE56" i="3"/>
  <c r="AE57" i="3"/>
  <c r="AE70" i="3"/>
  <c r="AE53" i="3"/>
  <c r="AE60" i="3"/>
  <c r="AE52" i="3"/>
  <c r="AE84" i="3"/>
  <c r="AE78" i="3"/>
  <c r="AE55" i="3"/>
  <c r="AE76" i="3"/>
  <c r="AE51" i="3"/>
  <c r="AE59" i="3"/>
  <c r="AE64" i="3"/>
  <c r="AE89" i="3"/>
  <c r="AE81" i="3"/>
  <c r="AE79" i="3"/>
  <c r="AE74" i="3"/>
  <c r="AE54" i="3"/>
  <c r="AE86" i="3"/>
  <c r="Z56" i="6"/>
  <c r="Z71" i="6"/>
  <c r="Z90" i="6"/>
  <c r="Z88" i="6"/>
  <c r="Z81" i="6"/>
  <c r="Z80" i="6"/>
  <c r="Z55" i="6"/>
  <c r="Z51" i="6"/>
  <c r="Z59" i="6"/>
  <c r="Z68" i="6"/>
  <c r="Z78" i="6"/>
  <c r="Z84" i="6"/>
  <c r="Z63" i="6"/>
  <c r="Z74" i="6"/>
  <c r="Z91" i="6"/>
  <c r="Z85" i="6"/>
  <c r="Z62" i="6"/>
  <c r="Z54" i="6"/>
  <c r="Z76" i="6"/>
  <c r="Z87" i="6"/>
  <c r="Z60" i="6"/>
  <c r="Z52" i="6"/>
  <c r="Z94" i="6"/>
  <c r="Z61" i="6"/>
  <c r="Z70" i="6"/>
  <c r="Z64" i="6"/>
  <c r="Z67" i="6"/>
  <c r="Z58" i="6"/>
  <c r="Z69" i="6"/>
  <c r="Z73" i="6"/>
  <c r="Z82" i="6"/>
  <c r="Z89" i="6"/>
  <c r="Z83" i="6"/>
  <c r="Z57" i="6"/>
  <c r="Z77" i="6"/>
  <c r="Z65" i="6"/>
  <c r="Z75" i="6"/>
  <c r="Z93" i="6"/>
  <c r="Z72" i="6"/>
  <c r="Z92" i="6"/>
  <c r="Z66" i="6"/>
  <c r="Z53" i="6"/>
  <c r="Z86" i="6"/>
  <c r="Z79" i="6"/>
  <c r="P63" i="3"/>
  <c r="P91" i="3"/>
  <c r="P94" i="3"/>
  <c r="P73" i="3"/>
  <c r="P79" i="3"/>
  <c r="P70" i="3"/>
  <c r="P72" i="3"/>
  <c r="P64" i="3"/>
  <c r="P68" i="3"/>
  <c r="P81" i="3"/>
  <c r="P57" i="3"/>
  <c r="P61" i="3"/>
  <c r="P52" i="3"/>
  <c r="P75" i="3"/>
  <c r="P76" i="3"/>
  <c r="P55" i="3"/>
  <c r="P83" i="3"/>
  <c r="P85" i="3"/>
  <c r="P78" i="3"/>
  <c r="P69" i="3"/>
  <c r="P65" i="3"/>
  <c r="P67" i="3"/>
  <c r="P60" i="3"/>
  <c r="P66" i="3"/>
  <c r="P86" i="3"/>
  <c r="P59" i="3"/>
  <c r="P56" i="3"/>
  <c r="P89" i="3"/>
  <c r="P84" i="3"/>
  <c r="P53" i="3"/>
  <c r="P88" i="3"/>
  <c r="P71" i="3"/>
  <c r="P74" i="3"/>
  <c r="P62" i="3"/>
  <c r="P58" i="3"/>
  <c r="P82" i="3"/>
  <c r="P87" i="3"/>
  <c r="P77" i="3"/>
  <c r="P80" i="3"/>
  <c r="P92" i="3"/>
  <c r="P51" i="3"/>
  <c r="P54" i="3"/>
  <c r="P93" i="3"/>
  <c r="P90" i="3"/>
  <c r="W79" i="7"/>
  <c r="W93" i="7"/>
  <c r="W51" i="7"/>
  <c r="W91" i="7"/>
  <c r="W55" i="7"/>
  <c r="W88" i="7"/>
  <c r="W83" i="7"/>
  <c r="W67" i="7"/>
  <c r="W94" i="7"/>
  <c r="W85" i="7"/>
  <c r="W76" i="7"/>
  <c r="W87" i="7"/>
  <c r="W66" i="7"/>
  <c r="W84" i="7"/>
  <c r="W57" i="7"/>
  <c r="W54" i="7"/>
  <c r="W73" i="7"/>
  <c r="W70" i="7"/>
  <c r="W71" i="7"/>
  <c r="W82" i="7"/>
  <c r="W92" i="7"/>
  <c r="W58" i="7"/>
  <c r="W62" i="7"/>
  <c r="W64" i="7"/>
  <c r="W90" i="7"/>
  <c r="W60" i="7"/>
  <c r="W63" i="7"/>
  <c r="W59" i="7"/>
  <c r="W81" i="7"/>
  <c r="W61" i="7"/>
  <c r="W74" i="7"/>
  <c r="W86" i="7"/>
  <c r="W80" i="7"/>
  <c r="W89" i="7"/>
  <c r="W75" i="7"/>
  <c r="W69" i="7"/>
  <c r="W68" i="7"/>
  <c r="W78" i="7"/>
  <c r="W65" i="7"/>
  <c r="W53" i="7"/>
  <c r="W72" i="7"/>
  <c r="W77" i="7"/>
  <c r="W56" i="7"/>
  <c r="W52" i="7"/>
  <c r="AE86" i="7"/>
  <c r="AE81" i="7"/>
  <c r="AE72" i="7"/>
  <c r="AE92" i="7"/>
  <c r="AE85" i="7"/>
  <c r="AE87" i="7"/>
  <c r="AE52" i="7"/>
  <c r="AE63" i="7"/>
  <c r="AE79" i="7"/>
  <c r="AE76" i="7"/>
  <c r="AE74" i="7"/>
  <c r="AE58" i="7"/>
  <c r="AE67" i="7"/>
  <c r="AE71" i="7"/>
  <c r="AE69" i="7"/>
  <c r="AE51" i="7"/>
  <c r="AE89" i="7"/>
  <c r="AE83" i="7"/>
  <c r="AE62" i="7"/>
  <c r="AE65" i="7"/>
  <c r="AE70" i="7"/>
  <c r="AE75" i="7"/>
  <c r="AE93" i="7"/>
  <c r="AE57" i="7"/>
  <c r="AE53" i="7"/>
  <c r="AE91" i="7"/>
  <c r="AE73" i="7"/>
  <c r="AE80" i="7"/>
  <c r="AE84" i="7"/>
  <c r="AE68" i="7"/>
  <c r="AE94" i="7"/>
  <c r="AE90" i="7"/>
  <c r="AE64" i="7"/>
  <c r="AE77" i="7"/>
  <c r="AE78" i="7"/>
  <c r="AE56" i="7"/>
  <c r="AE61" i="7"/>
  <c r="AE88" i="7"/>
  <c r="AE59" i="7"/>
  <c r="AE54" i="7"/>
  <c r="AE55" i="7"/>
  <c r="AE66" i="7"/>
  <c r="AE60" i="7"/>
  <c r="AE82" i="7"/>
  <c r="V89" i="6"/>
  <c r="V72" i="6"/>
  <c r="V73" i="6"/>
  <c r="V61" i="6"/>
  <c r="V94" i="6"/>
  <c r="V85" i="6"/>
  <c r="V93" i="6"/>
  <c r="V68" i="6"/>
  <c r="V75" i="6"/>
  <c r="V56" i="6"/>
  <c r="V81" i="6"/>
  <c r="V88" i="6"/>
  <c r="V51" i="6"/>
  <c r="V86" i="6"/>
  <c r="V57" i="6"/>
  <c r="V53" i="6"/>
  <c r="V55" i="6"/>
  <c r="V54" i="6"/>
  <c r="V80" i="6"/>
  <c r="V60" i="6"/>
  <c r="V87" i="6"/>
  <c r="V67" i="6"/>
  <c r="V63" i="6"/>
  <c r="V84" i="6"/>
  <c r="V78" i="6"/>
  <c r="V69" i="6"/>
  <c r="V90" i="6"/>
  <c r="V83" i="6"/>
  <c r="V62" i="6"/>
  <c r="V52" i="6"/>
  <c r="V91" i="6"/>
  <c r="V58" i="6"/>
  <c r="V74" i="6"/>
  <c r="V76" i="6"/>
  <c r="V59" i="6"/>
  <c r="V79" i="6"/>
  <c r="V70" i="6"/>
  <c r="V82" i="6"/>
  <c r="V64" i="6"/>
  <c r="V71" i="6"/>
  <c r="V65" i="6"/>
  <c r="V77" i="6"/>
  <c r="V92" i="6"/>
  <c r="V66" i="6"/>
  <c r="AD52" i="6"/>
  <c r="AD51" i="6"/>
  <c r="AD92" i="6"/>
  <c r="AD67" i="6"/>
  <c r="AD57" i="6"/>
  <c r="AD60" i="6"/>
  <c r="AD71" i="6"/>
  <c r="AD59" i="6"/>
  <c r="AD65" i="6"/>
  <c r="AD84" i="6"/>
  <c r="AD69" i="6"/>
  <c r="AD53" i="6"/>
  <c r="AD68" i="6"/>
  <c r="AD74" i="6"/>
  <c r="AD90" i="6"/>
  <c r="AD85" i="6"/>
  <c r="AD86" i="6"/>
  <c r="AD83" i="6"/>
  <c r="AD61" i="6"/>
  <c r="AD88" i="6"/>
  <c r="AD79" i="6"/>
  <c r="AD81" i="6"/>
  <c r="AD62" i="6"/>
  <c r="AD58" i="6"/>
  <c r="AD82" i="6"/>
  <c r="AD64" i="6"/>
  <c r="AD76" i="6"/>
  <c r="AD55" i="6"/>
  <c r="AD56" i="6"/>
  <c r="AD70" i="6"/>
  <c r="AD80" i="6"/>
  <c r="AD87" i="6"/>
  <c r="AD89" i="6"/>
  <c r="AD93" i="6"/>
  <c r="AD78" i="6"/>
  <c r="AD77" i="6"/>
  <c r="AD63" i="6"/>
  <c r="AD91" i="6"/>
  <c r="AD72" i="6"/>
  <c r="AD75" i="6"/>
  <c r="AD66" i="6"/>
  <c r="AD94" i="6"/>
  <c r="AD73" i="6"/>
  <c r="AD54" i="6"/>
  <c r="AC92" i="3"/>
  <c r="AC69" i="3"/>
  <c r="AC89" i="3"/>
  <c r="AC52" i="3"/>
  <c r="AC54" i="3"/>
  <c r="AC90" i="3"/>
  <c r="AC64" i="3"/>
  <c r="AC70" i="3"/>
  <c r="AC65" i="3"/>
  <c r="AC59" i="3"/>
  <c r="AC87" i="3"/>
  <c r="AC80" i="3"/>
  <c r="AC85" i="3"/>
  <c r="AC91" i="3"/>
  <c r="AC55" i="3"/>
  <c r="AC77" i="3"/>
  <c r="AC88" i="3"/>
  <c r="AC72" i="3"/>
  <c r="AC58" i="3"/>
  <c r="AC75" i="3"/>
  <c r="AC86" i="3"/>
  <c r="AC74" i="3"/>
  <c r="AC63" i="3"/>
  <c r="AC73" i="3"/>
  <c r="AC83" i="3"/>
  <c r="AC62" i="3"/>
  <c r="AC79" i="3"/>
  <c r="AC68" i="3"/>
  <c r="AC78" i="3"/>
  <c r="AC61" i="3"/>
  <c r="AC60" i="3"/>
  <c r="AC81" i="3"/>
  <c r="AC76" i="3"/>
  <c r="AC51" i="3"/>
  <c r="AC57" i="3"/>
  <c r="AC84" i="3"/>
  <c r="AC94" i="3"/>
  <c r="C84" i="8" s="1"/>
  <c r="AC56" i="3"/>
  <c r="AC67" i="3"/>
  <c r="AC93" i="3"/>
  <c r="AC66" i="3"/>
  <c r="AC53" i="3"/>
  <c r="AC71" i="3"/>
  <c r="AC82" i="3"/>
  <c r="O66" i="7"/>
  <c r="O81" i="7"/>
  <c r="O74" i="7"/>
  <c r="O55" i="7"/>
  <c r="O65" i="7"/>
  <c r="O82" i="7"/>
  <c r="O89" i="7"/>
  <c r="O75" i="7"/>
  <c r="O80" i="7"/>
  <c r="O92" i="7"/>
  <c r="O68" i="7"/>
  <c r="O52" i="7"/>
  <c r="O58" i="7"/>
  <c r="O85" i="7"/>
  <c r="O90" i="7"/>
  <c r="O70" i="7"/>
  <c r="O57" i="7"/>
  <c r="O63" i="7"/>
  <c r="O71" i="7"/>
  <c r="O78" i="7"/>
  <c r="O54" i="7"/>
  <c r="O72" i="7"/>
  <c r="O93" i="7"/>
  <c r="O94" i="7"/>
  <c r="O61" i="7"/>
  <c r="O53" i="7"/>
  <c r="O62" i="7"/>
  <c r="O79" i="7"/>
  <c r="O59" i="7"/>
  <c r="O87" i="7"/>
  <c r="AA53" i="8" s="1"/>
  <c r="O83" i="7"/>
  <c r="O76" i="7"/>
  <c r="O67" i="7"/>
  <c r="O88" i="7"/>
  <c r="O73" i="7"/>
  <c r="O86" i="7"/>
  <c r="O56" i="7"/>
  <c r="O69" i="7"/>
  <c r="O60" i="7"/>
  <c r="O51" i="7"/>
  <c r="O91" i="7"/>
  <c r="O64" i="7"/>
  <c r="O84" i="7"/>
  <c r="O77" i="7"/>
  <c r="AB84" i="3"/>
  <c r="AB61" i="3"/>
  <c r="AB64" i="3"/>
  <c r="AB74" i="3"/>
  <c r="AB66" i="3"/>
  <c r="AB90" i="3"/>
  <c r="AB62" i="3"/>
  <c r="AB91" i="3"/>
  <c r="AB56" i="3"/>
  <c r="AB94" i="3"/>
  <c r="C79" i="8" s="1"/>
  <c r="AB70" i="3"/>
  <c r="AB75" i="3"/>
  <c r="AB53" i="3"/>
  <c r="AB72" i="3"/>
  <c r="AB67" i="3"/>
  <c r="AB76" i="3"/>
  <c r="AB51" i="3"/>
  <c r="AB80" i="3"/>
  <c r="AB86" i="3"/>
  <c r="AB68" i="3"/>
  <c r="AB57" i="3"/>
  <c r="AB87" i="3"/>
  <c r="AB78" i="3"/>
  <c r="AB82" i="3"/>
  <c r="AB52" i="3"/>
  <c r="AB92" i="3"/>
  <c r="AB88" i="3"/>
  <c r="AB79" i="3"/>
  <c r="AB81" i="3"/>
  <c r="AB77" i="3"/>
  <c r="AB58" i="3"/>
  <c r="AB85" i="3"/>
  <c r="AB65" i="3"/>
  <c r="AB60" i="3"/>
  <c r="AB93" i="3"/>
  <c r="AB63" i="3"/>
  <c r="AB59" i="3"/>
  <c r="AB54" i="3"/>
  <c r="AB69" i="3"/>
  <c r="AB55" i="3"/>
  <c r="AB83" i="3"/>
  <c r="AB73" i="3"/>
  <c r="AB71" i="3"/>
  <c r="AB89" i="3"/>
  <c r="M85" i="6"/>
  <c r="O51" i="8" s="1"/>
  <c r="M81" i="6"/>
  <c r="O47" i="8" s="1"/>
  <c r="M77" i="6"/>
  <c r="M59" i="6"/>
  <c r="M56" i="6"/>
  <c r="M76" i="6"/>
  <c r="M55" i="6"/>
  <c r="M68" i="6"/>
  <c r="M75" i="6"/>
  <c r="O41" i="8" s="1"/>
  <c r="M82" i="6"/>
  <c r="M72" i="6"/>
  <c r="O38" i="8" s="1"/>
  <c r="M80" i="6"/>
  <c r="O46" i="8" s="1"/>
  <c r="M64" i="6"/>
  <c r="M91" i="6"/>
  <c r="M90" i="6"/>
  <c r="M74" i="6"/>
  <c r="M89" i="6"/>
  <c r="O55" i="8" s="1"/>
  <c r="M52" i="6"/>
  <c r="M63" i="6"/>
  <c r="M65" i="6"/>
  <c r="M73" i="6"/>
  <c r="O39" i="8" s="1"/>
  <c r="M83" i="6"/>
  <c r="M57" i="6"/>
  <c r="M79" i="6"/>
  <c r="M51" i="6"/>
  <c r="M84" i="6"/>
  <c r="O50" i="8" s="1"/>
  <c r="M70" i="6"/>
  <c r="M54" i="6"/>
  <c r="M78" i="6"/>
  <c r="O44" i="8" s="1"/>
  <c r="M86" i="6"/>
  <c r="M93" i="6"/>
  <c r="O59" i="8" s="1"/>
  <c r="M92" i="6"/>
  <c r="O58" i="8" s="1"/>
  <c r="M67" i="6"/>
  <c r="M66" i="6"/>
  <c r="M71" i="6"/>
  <c r="M94" i="6"/>
  <c r="M87" i="6"/>
  <c r="O53" i="8" s="1"/>
  <c r="M62" i="6"/>
  <c r="M88" i="6"/>
  <c r="O54" i="8" s="1"/>
  <c r="M61" i="6"/>
  <c r="M53" i="6"/>
  <c r="M60" i="6"/>
  <c r="M58" i="6"/>
  <c r="M69" i="6"/>
  <c r="AD73" i="3"/>
  <c r="AD89" i="3"/>
  <c r="AD53" i="3"/>
  <c r="AD58" i="3"/>
  <c r="AD81" i="3"/>
  <c r="AD65" i="3"/>
  <c r="AD85" i="3"/>
  <c r="AD63" i="3"/>
  <c r="AD83" i="3"/>
  <c r="AD55" i="3"/>
  <c r="AD76" i="3"/>
  <c r="AD84" i="3"/>
  <c r="AD88" i="3"/>
  <c r="AD70" i="3"/>
  <c r="AD59" i="3"/>
  <c r="AD90" i="3"/>
  <c r="AD93" i="3"/>
  <c r="AD79" i="3"/>
  <c r="AD80" i="3"/>
  <c r="AD67" i="3"/>
  <c r="AD54" i="3"/>
  <c r="AD74" i="3"/>
  <c r="AD64" i="3"/>
  <c r="AD78" i="3"/>
  <c r="AD66" i="3"/>
  <c r="AD69" i="3"/>
  <c r="AD94" i="3"/>
  <c r="C89" i="8" s="1"/>
  <c r="AD60" i="3"/>
  <c r="AD71" i="3"/>
  <c r="AD91" i="3"/>
  <c r="AD77" i="3"/>
  <c r="AD62" i="3"/>
  <c r="AD56" i="3"/>
  <c r="AD57" i="3"/>
  <c r="AD72" i="3"/>
  <c r="AD86" i="3"/>
  <c r="AD51" i="3"/>
  <c r="AD92" i="3"/>
  <c r="AD75" i="3"/>
  <c r="AD82" i="3"/>
  <c r="AD87" i="3"/>
  <c r="AD52" i="3"/>
  <c r="AD61" i="3"/>
  <c r="AD68" i="3"/>
  <c r="N88" i="3"/>
  <c r="N78" i="3"/>
  <c r="N91" i="3"/>
  <c r="N56" i="3"/>
  <c r="N93" i="3"/>
  <c r="N64" i="3"/>
  <c r="N80" i="3"/>
  <c r="N90" i="3"/>
  <c r="N70" i="3"/>
  <c r="N67" i="3"/>
  <c r="N76" i="3"/>
  <c r="F42" i="8" s="1"/>
  <c r="N58" i="3"/>
  <c r="N51" i="3"/>
  <c r="N87" i="3"/>
  <c r="N60" i="3"/>
  <c r="N71" i="3"/>
  <c r="N83" i="3"/>
  <c r="N81" i="3"/>
  <c r="N66" i="3"/>
  <c r="N92" i="3"/>
  <c r="N75" i="3"/>
  <c r="N68" i="3"/>
  <c r="N79" i="3"/>
  <c r="N74" i="3"/>
  <c r="N69" i="3"/>
  <c r="N85" i="3"/>
  <c r="N54" i="3"/>
  <c r="N61" i="3"/>
  <c r="N82" i="3"/>
  <c r="N65" i="3"/>
  <c r="N62" i="3"/>
  <c r="N55" i="3"/>
  <c r="N63" i="3"/>
  <c r="N94" i="3"/>
  <c r="N73" i="3"/>
  <c r="N77" i="3"/>
  <c r="N52" i="3"/>
  <c r="N59" i="3"/>
  <c r="N89" i="3"/>
  <c r="N53" i="3"/>
  <c r="N57" i="3"/>
  <c r="N72" i="3"/>
  <c r="N86" i="3"/>
  <c r="N84" i="3"/>
  <c r="V67" i="3"/>
  <c r="V60" i="3"/>
  <c r="V72" i="3"/>
  <c r="V69" i="3"/>
  <c r="V77" i="3"/>
  <c r="V70" i="3"/>
  <c r="V64" i="3"/>
  <c r="V79" i="3"/>
  <c r="V74" i="3"/>
  <c r="V51" i="3"/>
  <c r="V90" i="3"/>
  <c r="V55" i="3"/>
  <c r="V81" i="3"/>
  <c r="V75" i="3"/>
  <c r="V73" i="3"/>
  <c r="V88" i="3"/>
  <c r="V53" i="3"/>
  <c r="V59" i="3"/>
  <c r="V86" i="3"/>
  <c r="V57" i="3"/>
  <c r="V68" i="3"/>
  <c r="V65" i="3"/>
  <c r="V56" i="3"/>
  <c r="V63" i="3"/>
  <c r="V94" i="3"/>
  <c r="V93" i="3"/>
  <c r="V83" i="3"/>
  <c r="V62" i="3"/>
  <c r="V85" i="3"/>
  <c r="V61" i="3"/>
  <c r="V84" i="3"/>
  <c r="V54" i="3"/>
  <c r="V58" i="3"/>
  <c r="V78" i="3"/>
  <c r="V91" i="3"/>
  <c r="V87" i="3"/>
  <c r="V89" i="3"/>
  <c r="V80" i="3"/>
  <c r="V92" i="3"/>
  <c r="V66" i="3"/>
  <c r="V82" i="3"/>
  <c r="V52" i="3"/>
  <c r="V76" i="3"/>
  <c r="V71" i="3"/>
  <c r="U56" i="3"/>
  <c r="U76" i="3"/>
  <c r="U71" i="3"/>
  <c r="U85" i="3"/>
  <c r="U87" i="3"/>
  <c r="U89" i="3"/>
  <c r="U78" i="3"/>
  <c r="U90" i="3"/>
  <c r="U63" i="3"/>
  <c r="U94" i="3"/>
  <c r="C83" i="8" s="1"/>
  <c r="U82" i="3"/>
  <c r="U86" i="3"/>
  <c r="U54" i="3"/>
  <c r="U81" i="3"/>
  <c r="U93" i="3"/>
  <c r="U88" i="3"/>
  <c r="U59" i="3"/>
  <c r="U66" i="3"/>
  <c r="U92" i="3"/>
  <c r="U58" i="3"/>
  <c r="U53" i="3"/>
  <c r="U79" i="3"/>
  <c r="U68" i="3"/>
  <c r="U57" i="3"/>
  <c r="U65" i="3"/>
  <c r="U51" i="3"/>
  <c r="U70" i="3"/>
  <c r="U69" i="3"/>
  <c r="U55" i="3"/>
  <c r="U74" i="3"/>
  <c r="U52" i="3"/>
  <c r="U61" i="3"/>
  <c r="U73" i="3"/>
  <c r="U83" i="3"/>
  <c r="U72" i="3"/>
  <c r="U60" i="3"/>
  <c r="U77" i="3"/>
  <c r="U62" i="3"/>
  <c r="U75" i="3"/>
  <c r="U64" i="3"/>
  <c r="U91" i="3"/>
  <c r="U80" i="3"/>
  <c r="U84" i="3"/>
  <c r="U67" i="3"/>
  <c r="T90" i="7"/>
  <c r="T55" i="7"/>
  <c r="T93" i="7"/>
  <c r="T58" i="7"/>
  <c r="T87" i="7"/>
  <c r="T63" i="7"/>
  <c r="T80" i="7"/>
  <c r="T94" i="7"/>
  <c r="T85" i="7"/>
  <c r="T74" i="7"/>
  <c r="T53" i="7"/>
  <c r="T52" i="7"/>
  <c r="T54" i="7"/>
  <c r="T75" i="7"/>
  <c r="T81" i="7"/>
  <c r="T83" i="7"/>
  <c r="T60" i="7"/>
  <c r="T57" i="7"/>
  <c r="T62" i="7"/>
  <c r="T73" i="7"/>
  <c r="T78" i="7"/>
  <c r="T76" i="7"/>
  <c r="T66" i="7"/>
  <c r="T88" i="7"/>
  <c r="T59" i="7"/>
  <c r="T70" i="7"/>
  <c r="T64" i="7"/>
  <c r="T56" i="7"/>
  <c r="T61" i="7"/>
  <c r="T84" i="7"/>
  <c r="T51" i="7"/>
  <c r="T65" i="7"/>
  <c r="T72" i="7"/>
  <c r="T71" i="7"/>
  <c r="T79" i="7"/>
  <c r="T68" i="7"/>
  <c r="T77" i="7"/>
  <c r="T89" i="7"/>
  <c r="T92" i="7"/>
  <c r="T91" i="7"/>
  <c r="T69" i="7"/>
  <c r="T67" i="7"/>
  <c r="T86" i="7"/>
  <c r="T82" i="7"/>
  <c r="Z70" i="7"/>
  <c r="Z72" i="7"/>
  <c r="Z52" i="7"/>
  <c r="Z94" i="7"/>
  <c r="Z86" i="7"/>
  <c r="Z62" i="7"/>
  <c r="Z80" i="7"/>
  <c r="Z56" i="7"/>
  <c r="Z71" i="7"/>
  <c r="Z77" i="7"/>
  <c r="Z76" i="7"/>
  <c r="Z78" i="7"/>
  <c r="Z64" i="7"/>
  <c r="Z75" i="7"/>
  <c r="Z87" i="7"/>
  <c r="Z83" i="7"/>
  <c r="Z92" i="7"/>
  <c r="Z63" i="7"/>
  <c r="Z54" i="7"/>
  <c r="Z73" i="7"/>
  <c r="Z82" i="7"/>
  <c r="Z55" i="7"/>
  <c r="Z91" i="7"/>
  <c r="Z67" i="7"/>
  <c r="Z61" i="7"/>
  <c r="Z90" i="7"/>
  <c r="Z59" i="7"/>
  <c r="Z57" i="7"/>
  <c r="Z84" i="7"/>
  <c r="Z51" i="7"/>
  <c r="Z79" i="7"/>
  <c r="Z53" i="7"/>
  <c r="Z68" i="7"/>
  <c r="Z66" i="7"/>
  <c r="Z85" i="7"/>
  <c r="Z89" i="7"/>
  <c r="Z93" i="7"/>
  <c r="Z74" i="7"/>
  <c r="Z58" i="7"/>
  <c r="Z65" i="7"/>
  <c r="Z81" i="7"/>
  <c r="Z88" i="7"/>
  <c r="Z69" i="7"/>
  <c r="Z60" i="7"/>
  <c r="R70" i="3"/>
  <c r="R57" i="3"/>
  <c r="R59" i="3"/>
  <c r="R65" i="3"/>
  <c r="R61" i="3"/>
  <c r="R88" i="3"/>
  <c r="R56" i="3"/>
  <c r="R77" i="3"/>
  <c r="R82" i="3"/>
  <c r="R55" i="3"/>
  <c r="R72" i="3"/>
  <c r="R79" i="3"/>
  <c r="R69" i="3"/>
  <c r="R63" i="3"/>
  <c r="R73" i="3"/>
  <c r="R92" i="3"/>
  <c r="R87" i="3"/>
  <c r="R52" i="3"/>
  <c r="R81" i="3"/>
  <c r="R66" i="3"/>
  <c r="R93" i="3"/>
  <c r="R86" i="3"/>
  <c r="R84" i="3"/>
  <c r="R54" i="3"/>
  <c r="R64" i="3"/>
  <c r="R94" i="3"/>
  <c r="R78" i="3"/>
  <c r="R58" i="3"/>
  <c r="R51" i="3"/>
  <c r="R62" i="3"/>
  <c r="R89" i="3"/>
  <c r="R80" i="3"/>
  <c r="R75" i="3"/>
  <c r="R68" i="3"/>
  <c r="R76" i="3"/>
  <c r="R53" i="3"/>
  <c r="R67" i="3"/>
  <c r="R71" i="3"/>
  <c r="R91" i="3"/>
  <c r="R60" i="3"/>
  <c r="R74" i="3"/>
  <c r="R90" i="3"/>
  <c r="R85" i="3"/>
  <c r="R83" i="3"/>
  <c r="W53" i="6"/>
  <c r="W67" i="6"/>
  <c r="W51" i="6"/>
  <c r="W64" i="6"/>
  <c r="W78" i="6"/>
  <c r="W76" i="6"/>
  <c r="W90" i="6"/>
  <c r="W62" i="6"/>
  <c r="W70" i="6"/>
  <c r="W59" i="6"/>
  <c r="W88" i="6"/>
  <c r="W65" i="6"/>
  <c r="W83" i="6"/>
  <c r="W92" i="6"/>
  <c r="W61" i="6"/>
  <c r="W68" i="6"/>
  <c r="W55" i="6"/>
  <c r="W86" i="6"/>
  <c r="W82" i="6"/>
  <c r="W58" i="6"/>
  <c r="W60" i="6"/>
  <c r="W89" i="6"/>
  <c r="W56" i="6"/>
  <c r="W93" i="6"/>
  <c r="W80" i="6"/>
  <c r="W74" i="6"/>
  <c r="W66" i="6"/>
  <c r="W75" i="6"/>
  <c r="W63" i="6"/>
  <c r="W85" i="6"/>
  <c r="W87" i="6"/>
  <c r="W57" i="6"/>
  <c r="W69" i="6"/>
  <c r="W54" i="6"/>
  <c r="W71" i="6"/>
  <c r="W52" i="6"/>
  <c r="W94" i="6"/>
  <c r="W81" i="6"/>
  <c r="W73" i="6"/>
  <c r="W72" i="6"/>
  <c r="W79" i="6"/>
  <c r="W77" i="6"/>
  <c r="W91" i="6"/>
  <c r="W84" i="6"/>
  <c r="AA94" i="3"/>
  <c r="C74" i="8" s="1"/>
  <c r="AA91" i="3"/>
  <c r="AA62" i="3"/>
  <c r="AA72" i="3"/>
  <c r="AA53" i="3"/>
  <c r="AA66" i="3"/>
  <c r="AA90" i="3"/>
  <c r="AA88" i="3"/>
  <c r="AA84" i="3"/>
  <c r="AA52" i="3"/>
  <c r="AA51" i="3"/>
  <c r="AA76" i="3"/>
  <c r="AA73" i="3"/>
  <c r="AA54" i="3"/>
  <c r="AA86" i="3"/>
  <c r="AA71" i="3"/>
  <c r="AA70" i="3"/>
  <c r="AA85" i="3"/>
  <c r="AA65" i="3"/>
  <c r="AA69" i="3"/>
  <c r="AA55" i="3"/>
  <c r="AA92" i="3"/>
  <c r="AA64" i="3"/>
  <c r="AA67" i="3"/>
  <c r="AA59" i="3"/>
  <c r="AA77" i="3"/>
  <c r="AA61" i="3"/>
  <c r="AA81" i="3"/>
  <c r="AA89" i="3"/>
  <c r="AA87" i="3"/>
  <c r="AA75" i="3"/>
  <c r="AA63" i="3"/>
  <c r="AA56" i="3"/>
  <c r="AA93" i="3"/>
  <c r="AA60" i="3"/>
  <c r="AA58" i="3"/>
  <c r="AA80" i="3"/>
  <c r="AA83" i="3"/>
  <c r="AA79" i="3"/>
  <c r="AA74" i="3"/>
  <c r="AA78" i="3"/>
  <c r="AA57" i="3"/>
  <c r="AA68" i="3"/>
  <c r="AA82" i="3"/>
  <c r="X93" i="6"/>
  <c r="X83" i="6"/>
  <c r="X82" i="6"/>
  <c r="X66" i="6"/>
  <c r="X87" i="6"/>
  <c r="X56" i="6"/>
  <c r="X86" i="6"/>
  <c r="X52" i="6"/>
  <c r="X80" i="6"/>
  <c r="X73" i="6"/>
  <c r="X90" i="6"/>
  <c r="X78" i="6"/>
  <c r="X71" i="6"/>
  <c r="X54" i="6"/>
  <c r="X72" i="6"/>
  <c r="X77" i="6"/>
  <c r="X76" i="6"/>
  <c r="X64" i="6"/>
  <c r="X55" i="6"/>
  <c r="X61" i="6"/>
  <c r="X65" i="6"/>
  <c r="X70" i="6"/>
  <c r="X68" i="6"/>
  <c r="X81" i="6"/>
  <c r="X51" i="6"/>
  <c r="X53" i="6"/>
  <c r="X74" i="6"/>
  <c r="X60" i="6"/>
  <c r="X58" i="6"/>
  <c r="X92" i="6"/>
  <c r="X59" i="6"/>
  <c r="X69" i="6"/>
  <c r="X85" i="6"/>
  <c r="X91" i="6"/>
  <c r="X89" i="6"/>
  <c r="X94" i="6"/>
  <c r="X57" i="6"/>
  <c r="X67" i="6"/>
  <c r="X79" i="6"/>
  <c r="X84" i="6"/>
  <c r="X63" i="6"/>
  <c r="X75" i="6"/>
  <c r="X62" i="6"/>
  <c r="X88" i="6"/>
  <c r="AD65" i="7"/>
  <c r="AD62" i="7"/>
  <c r="AD80" i="7"/>
  <c r="AD58" i="7"/>
  <c r="AD51" i="7"/>
  <c r="AD52" i="7"/>
  <c r="AD92" i="7"/>
  <c r="AD55" i="7"/>
  <c r="AD54" i="7"/>
  <c r="AD57" i="7"/>
  <c r="AD90" i="7"/>
  <c r="AD94" i="7"/>
  <c r="AD53" i="7"/>
  <c r="AD86" i="7"/>
  <c r="AD78" i="7"/>
  <c r="AD64" i="7"/>
  <c r="AD85" i="7"/>
  <c r="AD70" i="7"/>
  <c r="AD56" i="7"/>
  <c r="AD88" i="7"/>
  <c r="AD59" i="7"/>
  <c r="AD87" i="7"/>
  <c r="AD89" i="7"/>
  <c r="AD73" i="7"/>
  <c r="AD61" i="7"/>
  <c r="AD91" i="7"/>
  <c r="AD72" i="7"/>
  <c r="AD69" i="7"/>
  <c r="AD79" i="7"/>
  <c r="AD77" i="7"/>
  <c r="AD93" i="7"/>
  <c r="AD60" i="7"/>
  <c r="AD71" i="7"/>
  <c r="AD63" i="7"/>
  <c r="AD81" i="7"/>
  <c r="AD74" i="7"/>
  <c r="AD82" i="7"/>
  <c r="AD68" i="7"/>
  <c r="AD76" i="7"/>
  <c r="AD75" i="7"/>
  <c r="AD67" i="7"/>
  <c r="AD83" i="7"/>
  <c r="AD66" i="7"/>
  <c r="AD84" i="7"/>
  <c r="O64" i="6"/>
  <c r="O72" i="6"/>
  <c r="O94" i="6"/>
  <c r="O57" i="6"/>
  <c r="O75" i="6"/>
  <c r="O78" i="6"/>
  <c r="O79" i="6"/>
  <c r="O88" i="6"/>
  <c r="O52" i="6"/>
  <c r="O93" i="6"/>
  <c r="O80" i="6"/>
  <c r="O84" i="6"/>
  <c r="O59" i="6"/>
  <c r="O71" i="6"/>
  <c r="O81" i="6"/>
  <c r="O85" i="6"/>
  <c r="O60" i="6"/>
  <c r="O51" i="6"/>
  <c r="O68" i="6"/>
  <c r="O90" i="6"/>
  <c r="O56" i="6"/>
  <c r="O77" i="6"/>
  <c r="Q43" i="8" s="1"/>
  <c r="O87" i="6"/>
  <c r="Q53" i="8" s="1"/>
  <c r="O66" i="6"/>
  <c r="O54" i="6"/>
  <c r="O70" i="6"/>
  <c r="O67" i="6"/>
  <c r="O82" i="6"/>
  <c r="O55" i="6"/>
  <c r="O65" i="6"/>
  <c r="O92" i="6"/>
  <c r="Q58" i="8" s="1"/>
  <c r="O63" i="6"/>
  <c r="O91" i="6"/>
  <c r="Q57" i="8" s="1"/>
  <c r="O74" i="6"/>
  <c r="O53" i="6"/>
  <c r="O76" i="6"/>
  <c r="O58" i="6"/>
  <c r="O62" i="6"/>
  <c r="O69" i="6"/>
  <c r="O86" i="6"/>
  <c r="O83" i="6"/>
  <c r="Q49" i="8" s="1"/>
  <c r="O61" i="6"/>
  <c r="O73" i="6"/>
  <c r="Q39" i="8" s="1"/>
  <c r="O89" i="6"/>
  <c r="Q55" i="8" s="1"/>
  <c r="K55" i="7"/>
  <c r="K60" i="7"/>
  <c r="K53" i="7"/>
  <c r="K73" i="7"/>
  <c r="W39" i="8" s="1"/>
  <c r="K61" i="7"/>
  <c r="K87" i="7"/>
  <c r="W53" i="8" s="1"/>
  <c r="K62" i="7"/>
  <c r="K89" i="7"/>
  <c r="W55" i="8" s="1"/>
  <c r="K67" i="7"/>
  <c r="K78" i="7"/>
  <c r="W44" i="8" s="1"/>
  <c r="K51" i="7"/>
  <c r="K75" i="7"/>
  <c r="K91" i="7"/>
  <c r="K59" i="7"/>
  <c r="K54" i="7"/>
  <c r="K88" i="7"/>
  <c r="W54" i="8" s="1"/>
  <c r="K58" i="7"/>
  <c r="K66" i="7"/>
  <c r="K81" i="7"/>
  <c r="W47" i="8" s="1"/>
  <c r="K65" i="7"/>
  <c r="K76" i="7"/>
  <c r="W42" i="8" s="1"/>
  <c r="K72" i="7"/>
  <c r="W38" i="8" s="1"/>
  <c r="K90" i="7"/>
  <c r="K77" i="7"/>
  <c r="W43" i="8" s="1"/>
  <c r="K71" i="7"/>
  <c r="W37" i="8" s="1"/>
  <c r="K63" i="7"/>
  <c r="K94" i="7"/>
  <c r="K64" i="7"/>
  <c r="K56" i="7"/>
  <c r="K70" i="7"/>
  <c r="K80" i="7"/>
  <c r="W46" i="8" s="1"/>
  <c r="K57" i="7"/>
  <c r="K74" i="7"/>
  <c r="K86" i="7"/>
  <c r="W52" i="8" s="1"/>
  <c r="K79" i="7"/>
  <c r="W45" i="8" s="1"/>
  <c r="K93" i="7"/>
  <c r="W59" i="8" s="1"/>
  <c r="K84" i="7"/>
  <c r="W50" i="8" s="1"/>
  <c r="K68" i="7"/>
  <c r="K92" i="7"/>
  <c r="W58" i="8" s="1"/>
  <c r="K83" i="7"/>
  <c r="W49" i="8" s="1"/>
  <c r="K82" i="7"/>
  <c r="W48" i="8" s="1"/>
  <c r="K85" i="7"/>
  <c r="W51" i="8" s="1"/>
  <c r="K69" i="7"/>
  <c r="K52" i="7"/>
  <c r="P56" i="6"/>
  <c r="P89" i="6"/>
  <c r="R55" i="8" s="1"/>
  <c r="P59" i="6"/>
  <c r="P70" i="6"/>
  <c r="P94" i="6"/>
  <c r="P64" i="6"/>
  <c r="P60" i="6"/>
  <c r="P53" i="6"/>
  <c r="P61" i="6"/>
  <c r="P80" i="6"/>
  <c r="P63" i="6"/>
  <c r="P74" i="6"/>
  <c r="R40" i="8" s="1"/>
  <c r="P55" i="6"/>
  <c r="P77" i="6"/>
  <c r="P65" i="6"/>
  <c r="P91" i="6"/>
  <c r="R57" i="8" s="1"/>
  <c r="P79" i="6"/>
  <c r="P86" i="6"/>
  <c r="P58" i="6"/>
  <c r="P54" i="6"/>
  <c r="P68" i="6"/>
  <c r="P69" i="6"/>
  <c r="P84" i="6"/>
  <c r="P93" i="6"/>
  <c r="P88" i="6"/>
  <c r="R54" i="8" s="1"/>
  <c r="P87" i="6"/>
  <c r="R53" i="8" s="1"/>
  <c r="P72" i="6"/>
  <c r="R38" i="8" s="1"/>
  <c r="P83" i="6"/>
  <c r="P76" i="6"/>
  <c r="P75" i="6"/>
  <c r="P81" i="6"/>
  <c r="R47" i="8" s="1"/>
  <c r="P71" i="6"/>
  <c r="R37" i="8" s="1"/>
  <c r="P66" i="6"/>
  <c r="P85" i="6"/>
  <c r="P92" i="6"/>
  <c r="R58" i="8" s="1"/>
  <c r="P78" i="6"/>
  <c r="R44" i="8" s="1"/>
  <c r="P73" i="6"/>
  <c r="P51" i="6"/>
  <c r="P82" i="6"/>
  <c r="P90" i="6"/>
  <c r="P67" i="6"/>
  <c r="P57" i="6"/>
  <c r="P52" i="6"/>
  <c r="P62" i="6"/>
  <c r="J72" i="3"/>
  <c r="B38" i="8" s="1"/>
  <c r="J84" i="3"/>
  <c r="B50" i="8" s="1"/>
  <c r="J94" i="3"/>
  <c r="J79" i="3"/>
  <c r="J60" i="3"/>
  <c r="J55" i="3"/>
  <c r="J77" i="3"/>
  <c r="B43" i="8" s="1"/>
  <c r="J74" i="3"/>
  <c r="J62" i="3"/>
  <c r="J85" i="3"/>
  <c r="J70" i="3"/>
  <c r="J67" i="3"/>
  <c r="J91" i="3"/>
  <c r="J69" i="3"/>
  <c r="J75" i="3"/>
  <c r="J54" i="3"/>
  <c r="J80" i="3"/>
  <c r="J93" i="3"/>
  <c r="J89" i="3"/>
  <c r="B55" i="8" s="1"/>
  <c r="J68" i="3"/>
  <c r="J82" i="3"/>
  <c r="J64" i="3"/>
  <c r="J86" i="3"/>
  <c r="J81" i="3"/>
  <c r="J87" i="3"/>
  <c r="J71" i="3"/>
  <c r="B37" i="8" s="1"/>
  <c r="J51" i="3"/>
  <c r="J65" i="3"/>
  <c r="J63" i="3"/>
  <c r="J57" i="3"/>
  <c r="J83" i="3"/>
  <c r="J56" i="3"/>
  <c r="J59" i="3"/>
  <c r="J92" i="3"/>
  <c r="B58" i="8" s="1"/>
  <c r="J90" i="3"/>
  <c r="J76" i="3"/>
  <c r="J52" i="3"/>
  <c r="J66" i="3"/>
  <c r="J78" i="3"/>
  <c r="B44" i="8" s="1"/>
  <c r="J61" i="3"/>
  <c r="J73" i="3"/>
  <c r="B39" i="8" s="1"/>
  <c r="J88" i="3"/>
  <c r="B54" i="8" s="1"/>
  <c r="J53" i="3"/>
  <c r="J58" i="3"/>
  <c r="AF82" i="7"/>
  <c r="AF65" i="7"/>
  <c r="AF92" i="7"/>
  <c r="AF63" i="7"/>
  <c r="AF67" i="7"/>
  <c r="AF73" i="7"/>
  <c r="AF54" i="7"/>
  <c r="AF62" i="7"/>
  <c r="AF89" i="7"/>
  <c r="AF91" i="7"/>
  <c r="AF55" i="7"/>
  <c r="AF68" i="7"/>
  <c r="AF83" i="7"/>
  <c r="AF52" i="7"/>
  <c r="AF53" i="7"/>
  <c r="AF72" i="7"/>
  <c r="AF84" i="7"/>
  <c r="AF75" i="7"/>
  <c r="AF58" i="7"/>
  <c r="AF60" i="7"/>
  <c r="AF59" i="7"/>
  <c r="AF79" i="7"/>
  <c r="AF71" i="7"/>
  <c r="AF57" i="7"/>
  <c r="AF80" i="7"/>
  <c r="AF69" i="7"/>
  <c r="AF90" i="7"/>
  <c r="AF78" i="7"/>
  <c r="AF70" i="7"/>
  <c r="AF77" i="7"/>
  <c r="AF81" i="7"/>
  <c r="AF94" i="7"/>
  <c r="AF93" i="7"/>
  <c r="AF61" i="7"/>
  <c r="AF56" i="7"/>
  <c r="AF86" i="7"/>
  <c r="AF74" i="7"/>
  <c r="AF76" i="7"/>
  <c r="AF87" i="7"/>
  <c r="AF64" i="7"/>
  <c r="AF85" i="7"/>
  <c r="AF66" i="7"/>
  <c r="AF88" i="7"/>
  <c r="AF51" i="7"/>
  <c r="X77" i="3"/>
  <c r="X60" i="3"/>
  <c r="X55" i="3"/>
  <c r="X54" i="3"/>
  <c r="X62" i="3"/>
  <c r="X72" i="3"/>
  <c r="X66" i="3"/>
  <c r="X68" i="3"/>
  <c r="X78" i="3"/>
  <c r="X80" i="3"/>
  <c r="X89" i="3"/>
  <c r="X58" i="3"/>
  <c r="X69" i="3"/>
  <c r="X83" i="3"/>
  <c r="X87" i="3"/>
  <c r="X61" i="3"/>
  <c r="X85" i="3"/>
  <c r="X59" i="3"/>
  <c r="X73" i="3"/>
  <c r="X75" i="3"/>
  <c r="X56" i="3"/>
  <c r="X71" i="3"/>
  <c r="X67" i="3"/>
  <c r="X53" i="3"/>
  <c r="X91" i="3"/>
  <c r="X92" i="3"/>
  <c r="X81" i="3"/>
  <c r="X86" i="3"/>
  <c r="X51" i="3"/>
  <c r="X70" i="3"/>
  <c r="X74" i="3"/>
  <c r="X57" i="3"/>
  <c r="X84" i="3"/>
  <c r="X88" i="3"/>
  <c r="X94" i="3"/>
  <c r="X65" i="3"/>
  <c r="X64" i="3"/>
  <c r="X52" i="3"/>
  <c r="X79" i="3"/>
  <c r="X82" i="3"/>
  <c r="X93" i="3"/>
  <c r="X90" i="3"/>
  <c r="X76" i="3"/>
  <c r="X63" i="3"/>
  <c r="L69" i="3"/>
  <c r="L94" i="3"/>
  <c r="L54" i="3"/>
  <c r="L62" i="3"/>
  <c r="L71" i="3"/>
  <c r="L93" i="3"/>
  <c r="D59" i="8" s="1"/>
  <c r="L51" i="3"/>
  <c r="L84" i="3"/>
  <c r="L73" i="3"/>
  <c r="D39" i="8" s="1"/>
  <c r="L76" i="3"/>
  <c r="D42" i="8" s="1"/>
  <c r="L92" i="3"/>
  <c r="D58" i="8" s="1"/>
  <c r="L60" i="3"/>
  <c r="L57" i="3"/>
  <c r="L67" i="3"/>
  <c r="L83" i="3"/>
  <c r="D49" i="8" s="1"/>
  <c r="L90" i="3"/>
  <c r="D56" i="8" s="1"/>
  <c r="L85" i="3"/>
  <c r="D51" i="8" s="1"/>
  <c r="L68" i="3"/>
  <c r="L72" i="3"/>
  <c r="D38" i="8" s="1"/>
  <c r="L81" i="3"/>
  <c r="D47" i="8" s="1"/>
  <c r="L80" i="3"/>
  <c r="D46" i="8" s="1"/>
  <c r="L88" i="3"/>
  <c r="L89" i="3"/>
  <c r="L56" i="3"/>
  <c r="L77" i="3"/>
  <c r="D43" i="8" s="1"/>
  <c r="L91" i="3"/>
  <c r="D57" i="8" s="1"/>
  <c r="L55" i="3"/>
  <c r="L74" i="3"/>
  <c r="D40" i="8" s="1"/>
  <c r="L78" i="3"/>
  <c r="D44" i="8" s="1"/>
  <c r="L53" i="3"/>
  <c r="L65" i="3"/>
  <c r="L61" i="3"/>
  <c r="L58" i="3"/>
  <c r="L75" i="3"/>
  <c r="L64" i="3"/>
  <c r="L59" i="3"/>
  <c r="L86" i="3"/>
  <c r="D52" i="8" s="1"/>
  <c r="L52" i="3"/>
  <c r="L87" i="3"/>
  <c r="D53" i="8" s="1"/>
  <c r="L70" i="3"/>
  <c r="L66" i="3"/>
  <c r="L79" i="3"/>
  <c r="D45" i="8" s="1"/>
  <c r="L63" i="3"/>
  <c r="L82" i="3"/>
  <c r="D54" i="8" l="1"/>
  <c r="Q37" i="8"/>
  <c r="F50" i="8"/>
  <c r="AA46" i="8"/>
  <c r="C4" i="8"/>
  <c r="O52" i="8"/>
  <c r="O48" i="8"/>
  <c r="F41" i="8"/>
  <c r="F48" i="8"/>
  <c r="B42" i="8"/>
  <c r="Q54" i="8"/>
  <c r="Q52" i="8"/>
  <c r="AA56" i="8"/>
  <c r="B45" i="8"/>
  <c r="W41" i="8"/>
  <c r="O45" i="8"/>
  <c r="O57" i="8"/>
  <c r="N50" i="8"/>
  <c r="N43" i="8"/>
  <c r="B59" i="8"/>
  <c r="C5" i="8"/>
  <c r="B52" i="8"/>
  <c r="B57" i="8"/>
  <c r="R39" i="8"/>
  <c r="R45" i="8"/>
  <c r="Q47" i="8"/>
  <c r="Q41" i="8"/>
  <c r="F59" i="8"/>
  <c r="O43" i="8"/>
  <c r="AA49" i="8"/>
  <c r="G53" i="8"/>
  <c r="N46" i="8"/>
  <c r="N41" i="8"/>
  <c r="C93" i="8"/>
  <c r="Q40" i="8"/>
  <c r="AE99" i="7"/>
  <c r="F40" i="8"/>
  <c r="F53" i="8"/>
  <c r="O49" i="8"/>
  <c r="AA44" i="8"/>
  <c r="AA58" i="8"/>
  <c r="G41" i="8"/>
  <c r="AA37" i="8"/>
  <c r="G47" i="8"/>
  <c r="N53" i="8"/>
  <c r="R50" i="8"/>
  <c r="F55" i="8"/>
  <c r="AA39" i="8"/>
  <c r="D37" i="8"/>
  <c r="B46" i="8"/>
  <c r="D48" i="8"/>
  <c r="D41" i="8"/>
  <c r="G4" i="8"/>
  <c r="F47" i="8"/>
  <c r="O40" i="8"/>
  <c r="O42" i="8"/>
  <c r="AA43" i="8"/>
  <c r="AA54" i="8"/>
  <c r="N59" i="8"/>
  <c r="R56" i="8"/>
  <c r="R46" i="8"/>
  <c r="Q48" i="8"/>
  <c r="D55" i="8"/>
  <c r="B53" i="8"/>
  <c r="W40" i="8"/>
  <c r="W56" i="8"/>
  <c r="W57" i="8"/>
  <c r="O37" i="8"/>
  <c r="O56" i="8"/>
  <c r="C81" i="8"/>
  <c r="D81" i="8" s="1"/>
  <c r="D60" i="8"/>
  <c r="L4" i="8"/>
  <c r="B47" i="8"/>
  <c r="R49" i="8"/>
  <c r="R52" i="8"/>
  <c r="Q42" i="8"/>
  <c r="Q51" i="8"/>
  <c r="Q44" i="8"/>
  <c r="C68" i="8"/>
  <c r="B5" i="8"/>
  <c r="F43" i="8"/>
  <c r="F51" i="8"/>
  <c r="F37" i="8"/>
  <c r="AA42" i="8"/>
  <c r="AA38" i="8"/>
  <c r="AA47" i="8"/>
  <c r="H48" i="8"/>
  <c r="AB54" i="8"/>
  <c r="AB59" i="8"/>
  <c r="G56" i="8"/>
  <c r="G46" i="8"/>
  <c r="G59" i="8"/>
  <c r="P57" i="8"/>
  <c r="P53" i="8"/>
  <c r="P38" i="8"/>
  <c r="V46" i="8"/>
  <c r="V51" i="8"/>
  <c r="E55" i="8"/>
  <c r="E46" i="8"/>
  <c r="E54" i="8"/>
  <c r="L51" i="8"/>
  <c r="L43" i="8"/>
  <c r="L41" i="8"/>
  <c r="L48" i="8"/>
  <c r="M54" i="8"/>
  <c r="M51" i="8"/>
  <c r="C43" i="8"/>
  <c r="C37" i="8"/>
  <c r="C76" i="8"/>
  <c r="K4" i="8"/>
  <c r="C60" i="8"/>
  <c r="C58" i="8"/>
  <c r="Y46" i="8"/>
  <c r="Y57" i="8"/>
  <c r="Z41" i="8"/>
  <c r="Z55" i="8"/>
  <c r="F39" i="8"/>
  <c r="AA57" i="8"/>
  <c r="H52" i="8"/>
  <c r="H42" i="8"/>
  <c r="H45" i="8"/>
  <c r="AB56" i="8"/>
  <c r="P60" i="8"/>
  <c r="N5" i="8"/>
  <c r="P52" i="8"/>
  <c r="P37" i="8"/>
  <c r="P47" i="8"/>
  <c r="F6" i="8"/>
  <c r="V60" i="8"/>
  <c r="J6" i="8"/>
  <c r="O100" i="7"/>
  <c r="V58" i="8"/>
  <c r="V38" i="8"/>
  <c r="E49" i="8"/>
  <c r="E51" i="8"/>
  <c r="C86" i="8"/>
  <c r="D86" i="8" s="1"/>
  <c r="M4" i="8"/>
  <c r="E60" i="8"/>
  <c r="L50" i="8"/>
  <c r="L52" i="8"/>
  <c r="L55" i="8"/>
  <c r="X59" i="8"/>
  <c r="X47" i="8"/>
  <c r="X44" i="8"/>
  <c r="M47" i="8"/>
  <c r="M46" i="8"/>
  <c r="M38" i="8"/>
  <c r="C41" i="8"/>
  <c r="C45" i="8"/>
  <c r="C56" i="8"/>
  <c r="Y37" i="8"/>
  <c r="Y43" i="8"/>
  <c r="N6" i="8"/>
  <c r="Z60" i="8"/>
  <c r="Z54" i="8"/>
  <c r="C91" i="8"/>
  <c r="N4" i="8"/>
  <c r="F60" i="8"/>
  <c r="H56" i="8"/>
  <c r="H41" i="8"/>
  <c r="H39" i="8"/>
  <c r="AB50" i="8"/>
  <c r="P48" i="8"/>
  <c r="P58" i="8"/>
  <c r="C73" i="8"/>
  <c r="V39" i="8"/>
  <c r="V57" i="8"/>
  <c r="N60" i="8"/>
  <c r="L5" i="8"/>
  <c r="E41" i="8"/>
  <c r="E58" i="8"/>
  <c r="E38" i="8"/>
  <c r="L45" i="8"/>
  <c r="L38" i="8"/>
  <c r="L56" i="8"/>
  <c r="X43" i="8"/>
  <c r="X39" i="8"/>
  <c r="X51" i="8"/>
  <c r="X41" i="8"/>
  <c r="M52" i="8"/>
  <c r="C42" i="8"/>
  <c r="C49" i="8"/>
  <c r="Y39" i="8"/>
  <c r="Y58" i="8"/>
  <c r="Y45" i="8"/>
  <c r="Z42" i="8"/>
  <c r="Z46" i="8"/>
  <c r="B49" i="8"/>
  <c r="B48" i="8"/>
  <c r="E6" i="8"/>
  <c r="R60" i="8"/>
  <c r="P5" i="8"/>
  <c r="O5" i="8"/>
  <c r="Q60" i="8"/>
  <c r="C88" i="8"/>
  <c r="F52" i="8"/>
  <c r="F45" i="8"/>
  <c r="F57" i="8"/>
  <c r="H59" i="8"/>
  <c r="H40" i="8"/>
  <c r="C6" i="8"/>
  <c r="H60" i="8"/>
  <c r="P4" i="8"/>
  <c r="AB55" i="8"/>
  <c r="AB38" i="8"/>
  <c r="AB40" i="8"/>
  <c r="AB53" i="8"/>
  <c r="G51" i="8"/>
  <c r="G44" i="8"/>
  <c r="G45" i="8"/>
  <c r="P40" i="8"/>
  <c r="P54" i="8"/>
  <c r="P44" i="8"/>
  <c r="V59" i="8"/>
  <c r="V52" i="8"/>
  <c r="E43" i="8"/>
  <c r="L47" i="8"/>
  <c r="W100" i="7"/>
  <c r="F5" i="8"/>
  <c r="L6" i="8"/>
  <c r="X60" i="8"/>
  <c r="X56" i="8"/>
  <c r="M40" i="8"/>
  <c r="M48" i="8"/>
  <c r="M56" i="8"/>
  <c r="M42" i="8"/>
  <c r="C38" i="8"/>
  <c r="C44" i="8"/>
  <c r="C50" i="8"/>
  <c r="Y51" i="8"/>
  <c r="Y56" i="8"/>
  <c r="Z38" i="8"/>
  <c r="Z50" i="8"/>
  <c r="Z44" i="8"/>
  <c r="Z52" i="8"/>
  <c r="D50" i="8"/>
  <c r="B51" i="8"/>
  <c r="R51" i="8"/>
  <c r="R59" i="8"/>
  <c r="R43" i="8"/>
  <c r="Q50" i="8"/>
  <c r="Q38" i="8"/>
  <c r="F38" i="8"/>
  <c r="F44" i="8"/>
  <c r="AA45" i="8"/>
  <c r="AA41" i="8"/>
  <c r="AE99" i="3"/>
  <c r="H37" i="8"/>
  <c r="H57" i="8"/>
  <c r="AB41" i="8"/>
  <c r="AB43" i="8"/>
  <c r="AB46" i="8"/>
  <c r="AB47" i="8"/>
  <c r="G48" i="8"/>
  <c r="G49" i="8"/>
  <c r="G43" i="8"/>
  <c r="P56" i="8"/>
  <c r="P43" i="8"/>
  <c r="P46" i="8"/>
  <c r="V50" i="8"/>
  <c r="V47" i="8"/>
  <c r="V40" i="8"/>
  <c r="O99" i="7"/>
  <c r="E56" i="8"/>
  <c r="E44" i="8"/>
  <c r="E39" i="8"/>
  <c r="L60" i="8"/>
  <c r="O100" i="6"/>
  <c r="D6" i="8"/>
  <c r="J5" i="8"/>
  <c r="L44" i="8"/>
  <c r="X38" i="8"/>
  <c r="X55" i="8"/>
  <c r="M58" i="8"/>
  <c r="M41" i="8"/>
  <c r="C40" i="8"/>
  <c r="C47" i="8"/>
  <c r="Y40" i="8"/>
  <c r="Y53" i="8"/>
  <c r="Y55" i="8"/>
  <c r="Z56" i="8"/>
  <c r="W60" i="8"/>
  <c r="K6" i="8"/>
  <c r="Q46" i="8"/>
  <c r="W99" i="3"/>
  <c r="F54" i="8"/>
  <c r="AA55" i="8"/>
  <c r="H54" i="8"/>
  <c r="AB45" i="8"/>
  <c r="AB48" i="8"/>
  <c r="AB57" i="8"/>
  <c r="G40" i="8"/>
  <c r="G55" i="8"/>
  <c r="G38" i="8"/>
  <c r="P49" i="8"/>
  <c r="P41" i="8"/>
  <c r="C69" i="8"/>
  <c r="J84" i="8" s="1"/>
  <c r="B4" i="8"/>
  <c r="AE100" i="3"/>
  <c r="V48" i="8"/>
  <c r="V42" i="8"/>
  <c r="E53" i="8"/>
  <c r="E47" i="8"/>
  <c r="L39" i="8"/>
  <c r="L49" i="8"/>
  <c r="X37" i="8"/>
  <c r="X58" i="8"/>
  <c r="X46" i="8"/>
  <c r="M43" i="8"/>
  <c r="M57" i="8"/>
  <c r="C52" i="8"/>
  <c r="Y42" i="8"/>
  <c r="Z45" i="8"/>
  <c r="Z49" i="8"/>
  <c r="Z43" i="8"/>
  <c r="Z37" i="8"/>
  <c r="O99" i="3"/>
  <c r="B40" i="8"/>
  <c r="Q56" i="8"/>
  <c r="Q59" i="8"/>
  <c r="F4" i="8"/>
  <c r="AE100" i="7"/>
  <c r="F58" i="8"/>
  <c r="AA52" i="8"/>
  <c r="AA48" i="8"/>
  <c r="H58" i="8"/>
  <c r="H47" i="8"/>
  <c r="AE99" i="6"/>
  <c r="AB37" i="8"/>
  <c r="G50" i="8"/>
  <c r="C96" i="8"/>
  <c r="O4" i="8"/>
  <c r="G60" i="8"/>
  <c r="G37" i="8"/>
  <c r="P50" i="8"/>
  <c r="V55" i="8"/>
  <c r="V44" i="8"/>
  <c r="E52" i="8"/>
  <c r="E45" i="8"/>
  <c r="E42" i="8"/>
  <c r="L42" i="8"/>
  <c r="L57" i="8"/>
  <c r="L37" i="8"/>
  <c r="X57" i="8"/>
  <c r="X48" i="8"/>
  <c r="M45" i="8"/>
  <c r="M39" i="8"/>
  <c r="M49" i="8"/>
  <c r="M44" i="8"/>
  <c r="C48" i="8"/>
  <c r="C55" i="8"/>
  <c r="C59" i="8"/>
  <c r="Y60" i="8"/>
  <c r="M6" i="8"/>
  <c r="Y52" i="8"/>
  <c r="Y48" i="8"/>
  <c r="Y59" i="8"/>
  <c r="Z59" i="8"/>
  <c r="Z53" i="8"/>
  <c r="H46" i="8"/>
  <c r="H50" i="8"/>
  <c r="H44" i="8"/>
  <c r="AE100" i="6"/>
  <c r="D4" i="8"/>
  <c r="AB42" i="8"/>
  <c r="AB44" i="8"/>
  <c r="AB51" i="8"/>
  <c r="G52" i="8"/>
  <c r="G57" i="8"/>
  <c r="P42" i="8"/>
  <c r="V43" i="8"/>
  <c r="V37" i="8"/>
  <c r="V45" i="8"/>
  <c r="W100" i="3"/>
  <c r="E59" i="8"/>
  <c r="E50" i="8"/>
  <c r="W99" i="6"/>
  <c r="L46" i="8"/>
  <c r="O99" i="6"/>
  <c r="L40" i="8"/>
  <c r="L54" i="8"/>
  <c r="X49" i="8"/>
  <c r="X50" i="8"/>
  <c r="X54" i="8"/>
  <c r="M59" i="8"/>
  <c r="M37" i="8"/>
  <c r="M50" i="8"/>
  <c r="M60" i="8"/>
  <c r="K5" i="8"/>
  <c r="C51" i="8"/>
  <c r="Y41" i="8"/>
  <c r="Z40" i="8"/>
  <c r="Z48" i="8"/>
  <c r="C71" i="8"/>
  <c r="O100" i="3"/>
  <c r="J4" i="8"/>
  <c r="B60" i="8"/>
  <c r="O6" i="8"/>
  <c r="AA60" i="8"/>
  <c r="AA51" i="8"/>
  <c r="H43" i="8"/>
  <c r="H55" i="8"/>
  <c r="H51" i="8"/>
  <c r="AB49" i="8"/>
  <c r="AB52" i="8"/>
  <c r="AB39" i="8"/>
  <c r="G58" i="8"/>
  <c r="G42" i="8"/>
  <c r="P39" i="8"/>
  <c r="P59" i="8"/>
  <c r="P55" i="8"/>
  <c r="V49" i="8"/>
  <c r="V56" i="8"/>
  <c r="V41" i="8"/>
  <c r="E40" i="8"/>
  <c r="E57" i="8"/>
  <c r="W100" i="6"/>
  <c r="D5" i="8"/>
  <c r="L58" i="8"/>
  <c r="L53" i="8"/>
  <c r="X42" i="8"/>
  <c r="X45" i="8"/>
  <c r="C46" i="8"/>
  <c r="C39" i="8"/>
  <c r="C57" i="8"/>
  <c r="Y50" i="8"/>
  <c r="Y54" i="8"/>
  <c r="Z47" i="8"/>
  <c r="Z57" i="8"/>
  <c r="Z58" i="8"/>
  <c r="Z39" i="8"/>
  <c r="R41" i="8"/>
  <c r="E5" i="8"/>
  <c r="F56" i="8"/>
  <c r="O60" i="8"/>
  <c r="M5" i="8"/>
  <c r="B6" i="8"/>
  <c r="B56" i="8"/>
  <c r="B41" i="8"/>
  <c r="R48" i="8"/>
  <c r="R42" i="8"/>
  <c r="Q45" i="8"/>
  <c r="F49" i="8"/>
  <c r="F46" i="8"/>
  <c r="AA50" i="8"/>
  <c r="AA59" i="8"/>
  <c r="AA40" i="8"/>
  <c r="H53" i="8"/>
  <c r="H49" i="8"/>
  <c r="H38" i="8"/>
  <c r="AB58" i="8"/>
  <c r="G6" i="8"/>
  <c r="P6" i="8"/>
  <c r="AB60" i="8"/>
  <c r="E4" i="8"/>
  <c r="G54" i="8"/>
  <c r="G39" i="8"/>
  <c r="P51" i="8"/>
  <c r="P45" i="8"/>
  <c r="V53" i="8"/>
  <c r="V54" i="8"/>
  <c r="E37" i="8"/>
  <c r="E48" i="8"/>
  <c r="L59" i="8"/>
  <c r="W99" i="7"/>
  <c r="X52" i="8"/>
  <c r="X40" i="8"/>
  <c r="X53" i="8"/>
  <c r="M55" i="8"/>
  <c r="M53" i="8"/>
  <c r="C53" i="8"/>
  <c r="C54" i="8"/>
  <c r="Y47" i="8"/>
  <c r="Y38" i="8"/>
  <c r="Y44" i="8"/>
  <c r="Y49" i="8"/>
  <c r="Z51" i="8"/>
  <c r="D91" i="8" l="1"/>
  <c r="D76" i="8"/>
  <c r="D96" i="8"/>
  <c r="J86" i="8"/>
  <c r="G61" i="8"/>
  <c r="D71" i="8"/>
  <c r="J83" i="8"/>
  <c r="F98" i="8" s="1"/>
  <c r="D98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<sst xmlns="http://schemas.openxmlformats.org/spreadsheetml/2006/main" count="217" uniqueCount="67">
  <si>
    <t>Aggressive</t>
  </si>
  <si>
    <t>Water</t>
  </si>
  <si>
    <t>Dev_total</t>
  </si>
  <si>
    <t>solid</t>
  </si>
  <si>
    <t>GAS</t>
  </si>
  <si>
    <t>Solvent</t>
  </si>
  <si>
    <t>Ph to wwater</t>
  </si>
  <si>
    <t>ph to solvent</t>
  </si>
  <si>
    <t>ph to gas</t>
  </si>
  <si>
    <t>ph to solid</t>
  </si>
  <si>
    <t>su to gas</t>
  </si>
  <si>
    <t>su to solvent</t>
  </si>
  <si>
    <t>su to wwater</t>
  </si>
  <si>
    <t>su to solid</t>
  </si>
  <si>
    <t>TA to gas</t>
  </si>
  <si>
    <t>TA to solvent</t>
  </si>
  <si>
    <t>TA to wwater</t>
  </si>
  <si>
    <t>TA to solid</t>
  </si>
  <si>
    <t>PO to gas</t>
  </si>
  <si>
    <t>PO to solvent</t>
  </si>
  <si>
    <t>PO to wwater</t>
  </si>
  <si>
    <t>PO to solid</t>
  </si>
  <si>
    <t>IT to gas</t>
  </si>
  <si>
    <t>IT to solvent</t>
  </si>
  <si>
    <t>IT to wwater</t>
  </si>
  <si>
    <t>IT to solid</t>
  </si>
  <si>
    <t>PBOPI to gas</t>
  </si>
  <si>
    <t>PBOPI to solvent</t>
  </si>
  <si>
    <t>PBOPI to wwater</t>
  </si>
  <si>
    <t>PBOPI to solid</t>
  </si>
  <si>
    <t>Ton PFAS</t>
  </si>
  <si>
    <t>Wastewater treatement</t>
  </si>
  <si>
    <t>Cost</t>
  </si>
  <si>
    <t>$/year</t>
  </si>
  <si>
    <t>Usage of IER</t>
  </si>
  <si>
    <t>ton/year</t>
  </si>
  <si>
    <t>all throwaway without any regeneration</t>
  </si>
  <si>
    <t>Unit absorption ability</t>
  </si>
  <si>
    <t>Unit price</t>
  </si>
  <si>
    <t>$/kg</t>
  </si>
  <si>
    <t>destruction</t>
  </si>
  <si>
    <t>kgPFAS/year</t>
  </si>
  <si>
    <t>unit price</t>
  </si>
  <si>
    <t>gas</t>
  </si>
  <si>
    <t>Unit: million $</t>
  </si>
  <si>
    <t>wastewater</t>
  </si>
  <si>
    <t>solvent</t>
  </si>
  <si>
    <t>agg</t>
  </si>
  <si>
    <t>mon</t>
  </si>
  <si>
    <t>con</t>
  </si>
  <si>
    <t xml:space="preserve">mon </t>
  </si>
  <si>
    <t>dev</t>
  </si>
  <si>
    <t>photoacid generators</t>
  </si>
  <si>
    <t>surfactant</t>
  </si>
  <si>
    <t>Top antireflective coatings</t>
  </si>
  <si>
    <t>polymer</t>
  </si>
  <si>
    <t>immersion topcoat</t>
  </si>
  <si>
    <t>PBO/PI</t>
  </si>
  <si>
    <t>aggressive</t>
  </si>
  <si>
    <t>moderate</t>
  </si>
  <si>
    <t>conservative</t>
  </si>
  <si>
    <t xml:space="preserve">Figurec </t>
  </si>
  <si>
    <t>Figure b</t>
  </si>
  <si>
    <t>Figure d</t>
  </si>
  <si>
    <t>aggressive, same unit</t>
  </si>
  <si>
    <t>Others</t>
  </si>
  <si>
    <t>Cumulative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</si>
</sst>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2" fontId="0" fillId="0" borderId="0" xfId="0" applyNumberFormat="1"/>
    <xf numFmtId="2" fontId="2" fillId="0" borderId="0" xfId="0" applyNumberFormat="1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/IER-economic%20model/IER-wastewater-.xlsm" TargetMode="External"/><Relationship Id="rId1" Type="http://schemas.openxmlformats.org/officeDocument/2006/relationships/externalLinkPath" Target="/personal/bw537_cornell_edu/Documents/1A-PFAS-destruction/Code/Chapter%202/Test%20code/IER-economic%20model/IER-wastewater-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/destruction%20tech/Database-IAM%20scenarios-Basic%202025.xlsx" TargetMode="External"/><Relationship Id="rId1" Type="http://schemas.openxmlformats.org/officeDocument/2006/relationships/externalLinkPath" Target="/personal/bw537_cornell_edu/Documents/1A-PFAS-destruction/Code/Chapter%202/Test%20code/destruction%20tech/Database-IAM%20scenarios-Basic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/IER-economic%20model/Incineration-solvent.xlsm" TargetMode="External"/><Relationship Id="rId1" Type="http://schemas.openxmlformats.org/officeDocument/2006/relationships/externalLinkPath" Target="/personal/bw537_cornell_edu/Documents/1A-PFAS-destruction/Code/Chapter%202/Test%20code/IER-economic%20model/Incineration-solvent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/PFAS_Litho_agg.xlsx" TargetMode="External"/><Relationship Id="rId1" Type="http://schemas.openxmlformats.org/officeDocument/2006/relationships/externalLinkPath" Target="PFAS_Litho_agg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/PFAS_Litho_mon.xlsx" TargetMode="External"/><Relationship Id="rId1" Type="http://schemas.openxmlformats.org/officeDocument/2006/relationships/externalLinkPath" Target="/personal/bw537_cornell_edu/Documents/1A-PFAS-destruction/Code/Chapter%202/Test%20code/PFAS_Litho_mon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/PFAS_Litho_cons.xlsx" TargetMode="External"/><Relationship Id="rId1" Type="http://schemas.openxmlformats.org/officeDocument/2006/relationships/externalLinkPath" Target="/personal/bw537_cornell_edu/Documents/1A-PFAS-destruction/Code/Chapter%202/Test%20code/PFAS_Litho_c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tle Page"/>
      <sheetName val="Index"/>
      <sheetName val="INPUT"/>
      <sheetName val="OUTPUT"/>
      <sheetName val="Critical Design Assumptions"/>
      <sheetName val="O&amp;M Assumptions"/>
      <sheetName val="Indirect Assumptions"/>
      <sheetName val="Vessel Constraints"/>
      <sheetName val="Backwash and Bed Life"/>
      <sheetName val="pH Adjust"/>
      <sheetName val="Pumps Pipe Structure"/>
      <sheetName val="Instrumentation and Control"/>
      <sheetName val="Residuals Management"/>
      <sheetName val="O&amp;M"/>
      <sheetName val="HVAC"/>
      <sheetName val="Indirect"/>
      <sheetName val="PFAS Reference"/>
      <sheetName val="Standard Inputs"/>
      <sheetName val="AutoSize"/>
      <sheetName val="Cost Equations"/>
      <sheetName val="Cost Coefficients"/>
      <sheetName val="Cost Data"/>
      <sheetName val="Engineering Data"/>
      <sheetName val="Lookup Tables"/>
      <sheetName val="IER-wastewater-"/>
    </sheetNames>
    <definedNames>
      <definedName name="Annualized_Cost" refersTo="='OUTPUT'!$C$443"/>
    </definedNames>
    <sheetDataSet>
      <sheetData sheetId="0"/>
      <sheetData sheetId="1"/>
      <sheetData sheetId="2"/>
      <sheetData sheetId="3">
        <row r="426">
          <cell r="C426">
            <v>26.010713669632079</v>
          </cell>
        </row>
        <row r="443">
          <cell r="C443">
            <v>854004.86420241778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43">
          <cell r="C443">
            <v>6000</v>
          </cell>
        </row>
      </sheetData>
      <sheetData sheetId="22"/>
      <sheetData sheetId="23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LCI"/>
      <sheetName val="SSP"/>
      <sheetName val="RO-SDS"/>
      <sheetName val="RO-CSA"/>
      <sheetName val="RO membrane"/>
      <sheetName val="GAC"/>
      <sheetName val="IER"/>
      <sheetName val="Post fully"/>
      <sheetName val="Incineration"/>
      <sheetName val="Incineration-solvent"/>
      <sheetName val="Post partial"/>
      <sheetName val="All raw data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g/gPFAS convert via GAC weight</v>
          </cell>
        </row>
        <row r="37">
          <cell r="A37">
            <v>1.05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tle Page"/>
      <sheetName val="Index"/>
      <sheetName val="INPUT"/>
      <sheetName val="OUTPUT"/>
      <sheetName val="Critical Design Assumptions"/>
      <sheetName val="O&amp;M Assumptions"/>
      <sheetName val="Indirect Assumptions"/>
      <sheetName val="Vessel Constraints"/>
      <sheetName val="Backwash and Bed Life"/>
      <sheetName val="pH Adjust"/>
      <sheetName val="Pumps Pipe Structure"/>
      <sheetName val="Instrumentation and Control"/>
      <sheetName val="Residuals Management"/>
      <sheetName val="O&amp;M"/>
      <sheetName val="HVAC"/>
      <sheetName val="Indirect"/>
      <sheetName val="PFAS Reference"/>
      <sheetName val="Standard Inputs"/>
      <sheetName val="AutoSize"/>
      <sheetName val="Cost Equations"/>
      <sheetName val="Cost Coefficients"/>
      <sheetName val="Cost Data"/>
      <sheetName val="Engineering Data"/>
      <sheetName val="Lookup Tables"/>
      <sheetName val="Incineration-solvent"/>
    </sheetNames>
    <definedNames>
      <definedName name="Annualized_Cost" refersTo="='OUTPUT'!$C$443"/>
    </definedNames>
    <sheetDataSet>
      <sheetData sheetId="0"/>
      <sheetData sheetId="1"/>
      <sheetData sheetId="2"/>
      <sheetData sheetId="3">
        <row r="425">
          <cell r="C425">
            <v>785000000</v>
          </cell>
        </row>
        <row r="443">
          <cell r="C443">
            <v>3463621180.6888614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43">
          <cell r="C443">
            <v>6000</v>
          </cell>
        </row>
      </sheetData>
      <sheetData sheetId="22"/>
      <sheetData sheetId="23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age"/>
      <sheetName val="Manu_gas"/>
      <sheetName val="Manu_solvent"/>
      <sheetName val="Manu_water"/>
      <sheetName val="Manu_solid"/>
      <sheetName val="Quarterly computing power"/>
    </sheetNames>
    <sheetDataSet>
      <sheetData sheetId="0">
        <row r="1">
          <cell r="R1" t="str">
            <v>photoacid generators</v>
          </cell>
        </row>
      </sheetData>
      <sheetData sheetId="1">
        <row r="1">
          <cell r="R1" t="str">
            <v>photoacid generators</v>
          </cell>
          <cell r="S1" t="str">
            <v>surfactant</v>
          </cell>
          <cell r="T1" t="str">
            <v>Top antireflective coatings</v>
          </cell>
          <cell r="U1" t="str">
            <v>polymer</v>
          </cell>
          <cell r="V1" t="str">
            <v>immersion topcoat</v>
          </cell>
          <cell r="W1" t="str">
            <v>PBO/PI</v>
          </cell>
        </row>
        <row r="2">
          <cell r="R2">
            <v>2.8748464036561961E-3</v>
          </cell>
          <cell r="S2">
            <v>0</v>
          </cell>
          <cell r="T2">
            <v>0</v>
          </cell>
          <cell r="U2">
            <v>1.951040145648309E-4</v>
          </cell>
          <cell r="V2">
            <v>0</v>
          </cell>
          <cell r="W2">
            <v>0</v>
          </cell>
          <cell r="X2">
            <v>2.348976613109335E-4</v>
          </cell>
          <cell r="Y2">
            <v>0</v>
          </cell>
          <cell r="Z2">
            <v>0</v>
          </cell>
          <cell r="AA2">
            <v>1.5941539233319619E-5</v>
          </cell>
          <cell r="AB2">
            <v>0</v>
          </cell>
          <cell r="AC2">
            <v>0</v>
          </cell>
        </row>
        <row r="3">
          <cell r="R3">
            <v>5.1443307411433315E-3</v>
          </cell>
          <cell r="S3">
            <v>0</v>
          </cell>
          <cell r="T3">
            <v>0</v>
          </cell>
          <cell r="U3">
            <v>3.4912459273297802E-4</v>
          </cell>
          <cell r="V3">
            <v>0</v>
          </cell>
          <cell r="W3">
            <v>0</v>
          </cell>
          <cell r="X3">
            <v>3.8960295056717832E-4</v>
          </cell>
          <cell r="Y3">
            <v>0</v>
          </cell>
          <cell r="Z3">
            <v>0</v>
          </cell>
          <cell r="AA3">
            <v>2.6440751632952368E-5</v>
          </cell>
          <cell r="AB3">
            <v>0</v>
          </cell>
          <cell r="AC3">
            <v>0</v>
          </cell>
        </row>
        <row r="4">
          <cell r="R4">
            <v>8.9326422317870038E-3</v>
          </cell>
          <cell r="S4">
            <v>0</v>
          </cell>
          <cell r="T4">
            <v>0</v>
          </cell>
          <cell r="U4">
            <v>6.0622172992495522E-4</v>
          </cell>
          <cell r="V4">
            <v>0</v>
          </cell>
          <cell r="W4">
            <v>0</v>
          </cell>
          <cell r="X4">
            <v>6.1477268968922714E-4</v>
          </cell>
          <cell r="Y4">
            <v>0</v>
          </cell>
          <cell r="Z4">
            <v>0</v>
          </cell>
          <cell r="AA4">
            <v>4.1722096752940618E-5</v>
          </cell>
          <cell r="AB4">
            <v>0</v>
          </cell>
          <cell r="AC4">
            <v>0</v>
          </cell>
        </row>
        <row r="5">
          <cell r="R5">
            <v>1.5173569149661736E-2</v>
          </cell>
          <cell r="S5">
            <v>0</v>
          </cell>
          <cell r="T5">
            <v>0</v>
          </cell>
          <cell r="U5">
            <v>1.0297677999809101E-3</v>
          </cell>
          <cell r="V5">
            <v>0</v>
          </cell>
          <cell r="W5">
            <v>0</v>
          </cell>
          <cell r="X5">
            <v>9.3401842329337518E-4</v>
          </cell>
          <cell r="Y5">
            <v>0</v>
          </cell>
          <cell r="Z5">
            <v>0</v>
          </cell>
          <cell r="AA5">
            <v>6.338799312209935E-5</v>
          </cell>
          <cell r="AB5">
            <v>0</v>
          </cell>
          <cell r="AC5">
            <v>0</v>
          </cell>
        </row>
        <row r="6">
          <cell r="R6">
            <v>2.5120672363011895E-2</v>
          </cell>
          <cell r="S6">
            <v>0</v>
          </cell>
          <cell r="T6">
            <v>0</v>
          </cell>
          <cell r="U6">
            <v>1.7048368289722191E-3</v>
          </cell>
          <cell r="V6">
            <v>0</v>
          </cell>
          <cell r="W6">
            <v>0</v>
          </cell>
          <cell r="X6">
            <v>1.3766477447518842E-3</v>
          </cell>
          <cell r="Y6">
            <v>0</v>
          </cell>
          <cell r="Z6">
            <v>0</v>
          </cell>
          <cell r="AA6">
            <v>9.342742669699646E-5</v>
          </cell>
          <cell r="AB6">
            <v>0</v>
          </cell>
          <cell r="AC6">
            <v>0</v>
          </cell>
        </row>
        <row r="7">
          <cell r="R7">
            <v>5.2882761575695048E-2</v>
          </cell>
          <cell r="S7">
            <v>0</v>
          </cell>
          <cell r="T7">
            <v>0</v>
          </cell>
          <cell r="U7">
            <v>3.5889357676886779E-3</v>
          </cell>
          <cell r="V7">
            <v>0</v>
          </cell>
          <cell r="W7">
            <v>0</v>
          </cell>
          <cell r="X7">
            <v>3.0854390274067593E-3</v>
          </cell>
          <cell r="Y7">
            <v>0</v>
          </cell>
          <cell r="Z7">
            <v>0</v>
          </cell>
          <cell r="AA7">
            <v>2.0939607075232705E-4</v>
          </cell>
          <cell r="AB7">
            <v>0</v>
          </cell>
          <cell r="AC7">
            <v>0</v>
          </cell>
        </row>
        <row r="8">
          <cell r="R8">
            <v>0.11069450160742951</v>
          </cell>
          <cell r="S8">
            <v>0</v>
          </cell>
          <cell r="T8">
            <v>0</v>
          </cell>
          <cell r="U8">
            <v>7.5123810532611007E-3</v>
          </cell>
          <cell r="V8">
            <v>0</v>
          </cell>
          <cell r="W8">
            <v>0</v>
          </cell>
          <cell r="X8">
            <v>7.1864575578345878E-3</v>
          </cell>
          <cell r="Y8">
            <v>0</v>
          </cell>
          <cell r="Z8">
            <v>0</v>
          </cell>
          <cell r="AA8">
            <v>4.8771535002708842E-4</v>
          </cell>
          <cell r="AB8">
            <v>0</v>
          </cell>
          <cell r="AC8">
            <v>0</v>
          </cell>
        </row>
        <row r="9">
          <cell r="R9">
            <v>0.15841432795894769</v>
          </cell>
          <cell r="S9">
            <v>0</v>
          </cell>
          <cell r="T9">
            <v>0</v>
          </cell>
          <cell r="U9">
            <v>1.075092961838689E-2</v>
          </cell>
          <cell r="V9">
            <v>0</v>
          </cell>
          <cell r="W9">
            <v>0</v>
          </cell>
          <cell r="X9">
            <v>1.009470994798865E-2</v>
          </cell>
          <cell r="Y9">
            <v>0</v>
          </cell>
          <cell r="Z9">
            <v>0</v>
          </cell>
          <cell r="AA9">
            <v>6.8508649165232259E-4</v>
          </cell>
          <cell r="AB9">
            <v>0</v>
          </cell>
          <cell r="AC9">
            <v>0</v>
          </cell>
        </row>
        <row r="10">
          <cell r="R10">
            <v>0.26256715140063158</v>
          </cell>
          <cell r="S10">
            <v>0</v>
          </cell>
          <cell r="T10">
            <v>0</v>
          </cell>
          <cell r="U10">
            <v>1.7819353849987927E-2</v>
          </cell>
          <cell r="V10">
            <v>0</v>
          </cell>
          <cell r="W10">
            <v>0</v>
          </cell>
          <cell r="X10">
            <v>1.7346379697303065E-2</v>
          </cell>
          <cell r="Y10">
            <v>0</v>
          </cell>
          <cell r="Z10">
            <v>0</v>
          </cell>
          <cell r="AA10">
            <v>1.1772275252011828E-3</v>
          </cell>
          <cell r="AB10">
            <v>0</v>
          </cell>
          <cell r="AC10">
            <v>0</v>
          </cell>
        </row>
        <row r="11">
          <cell r="R11">
            <v>0.39774914629290137</v>
          </cell>
          <cell r="S11">
            <v>0</v>
          </cell>
          <cell r="T11">
            <v>0</v>
          </cell>
          <cell r="U11">
            <v>2.6993600469501736E-2</v>
          </cell>
          <cell r="V11">
            <v>0</v>
          </cell>
          <cell r="W11">
            <v>0</v>
          </cell>
          <cell r="X11">
            <v>2.694096493257889E-2</v>
          </cell>
          <cell r="Y11">
            <v>0</v>
          </cell>
          <cell r="Z11">
            <v>0</v>
          </cell>
          <cell r="AA11">
            <v>1.8283726072848905E-3</v>
          </cell>
          <cell r="AB11">
            <v>0</v>
          </cell>
          <cell r="AC11">
            <v>0</v>
          </cell>
        </row>
        <row r="12">
          <cell r="R12">
            <v>0.51057146889182059</v>
          </cell>
          <cell r="S12">
            <v>0</v>
          </cell>
          <cell r="T12">
            <v>0</v>
          </cell>
          <cell r="U12">
            <v>3.4650387991639567E-2</v>
          </cell>
          <cell r="V12">
            <v>0</v>
          </cell>
          <cell r="W12">
            <v>0</v>
          </cell>
          <cell r="X12">
            <v>3.4493040148571609E-2</v>
          </cell>
          <cell r="Y12">
            <v>0</v>
          </cell>
          <cell r="Z12">
            <v>0</v>
          </cell>
          <cell r="AA12">
            <v>2.3409009256889061E-3</v>
          </cell>
          <cell r="AB12">
            <v>0</v>
          </cell>
          <cell r="AC12">
            <v>0</v>
          </cell>
        </row>
        <row r="13">
          <cell r="R13">
            <v>0.69761104245786454</v>
          </cell>
          <cell r="S13">
            <v>0</v>
          </cell>
          <cell r="T13">
            <v>0</v>
          </cell>
          <cell r="U13">
            <v>4.7343995427090349E-2</v>
          </cell>
          <cell r="V13">
            <v>0</v>
          </cell>
          <cell r="W13">
            <v>0</v>
          </cell>
          <cell r="X13">
            <v>4.7691608439676979E-2</v>
          </cell>
          <cell r="Y13">
            <v>0</v>
          </cell>
          <cell r="Z13">
            <v>0</v>
          </cell>
          <cell r="AA13">
            <v>3.2366335313779486E-3</v>
          </cell>
          <cell r="AB13">
            <v>0</v>
          </cell>
          <cell r="AC13">
            <v>0</v>
          </cell>
        </row>
        <row r="14">
          <cell r="R14">
            <v>0.94453915479245543</v>
          </cell>
          <cell r="S14">
            <v>0</v>
          </cell>
          <cell r="T14">
            <v>0</v>
          </cell>
          <cell r="U14">
            <v>6.4101991946182185E-2</v>
          </cell>
          <cell r="V14">
            <v>0</v>
          </cell>
          <cell r="W14">
            <v>0</v>
          </cell>
          <cell r="X14">
            <v>5.9885570315413778E-2</v>
          </cell>
          <cell r="Y14">
            <v>0</v>
          </cell>
          <cell r="Z14">
            <v>0</v>
          </cell>
          <cell r="AA14">
            <v>4.0641876269223382E-3</v>
          </cell>
          <cell r="AB14">
            <v>0</v>
          </cell>
          <cell r="AC14">
            <v>0</v>
          </cell>
        </row>
        <row r="15">
          <cell r="R15">
            <v>1.2696698585969197</v>
          </cell>
          <cell r="S15">
            <v>0</v>
          </cell>
          <cell r="T15">
            <v>0</v>
          </cell>
          <cell r="U15">
            <v>8.6167277065368003E-2</v>
          </cell>
          <cell r="V15">
            <v>0</v>
          </cell>
          <cell r="W15">
            <v>0</v>
          </cell>
          <cell r="X15">
            <v>8.3784563584748922E-2</v>
          </cell>
          <cell r="Y15">
            <v>0</v>
          </cell>
          <cell r="Z15">
            <v>0</v>
          </cell>
          <cell r="AA15">
            <v>5.6861141148818609E-3</v>
          </cell>
          <cell r="AB15">
            <v>0</v>
          </cell>
          <cell r="AC15">
            <v>0</v>
          </cell>
        </row>
        <row r="16">
          <cell r="R16">
            <v>2.1223363538507019</v>
          </cell>
          <cell r="S16">
            <v>0</v>
          </cell>
          <cell r="T16">
            <v>0</v>
          </cell>
          <cell r="U16">
            <v>0.14403424905293724</v>
          </cell>
          <cell r="V16">
            <v>0</v>
          </cell>
          <cell r="W16">
            <v>0</v>
          </cell>
          <cell r="X16">
            <v>0.14530942488630497</v>
          </cell>
          <cell r="Y16">
            <v>0</v>
          </cell>
          <cell r="Z16">
            <v>0</v>
          </cell>
          <cell r="AA16">
            <v>9.8615536862661848E-3</v>
          </cell>
          <cell r="AB16">
            <v>0</v>
          </cell>
          <cell r="AC16">
            <v>0</v>
          </cell>
        </row>
        <row r="17">
          <cell r="R17">
            <v>2.9300736572657335</v>
          </cell>
          <cell r="S17">
            <v>0</v>
          </cell>
          <cell r="T17">
            <v>0</v>
          </cell>
          <cell r="U17">
            <v>0.19885206137488209</v>
          </cell>
          <cell r="V17">
            <v>0</v>
          </cell>
          <cell r="W17">
            <v>0</v>
          </cell>
          <cell r="X17">
            <v>0.21369859886569809</v>
          </cell>
          <cell r="Y17">
            <v>0</v>
          </cell>
          <cell r="Z17">
            <v>0</v>
          </cell>
          <cell r="AA17">
            <v>1.4502845958153402E-2</v>
          </cell>
          <cell r="AB17">
            <v>0</v>
          </cell>
          <cell r="AC17">
            <v>0</v>
          </cell>
        </row>
        <row r="18">
          <cell r="R18">
            <v>4.2346701150015562</v>
          </cell>
          <cell r="S18">
            <v>0</v>
          </cell>
          <cell r="T18">
            <v>0</v>
          </cell>
          <cell r="U18">
            <v>0.28738966323340431</v>
          </cell>
          <cell r="V18">
            <v>0</v>
          </cell>
          <cell r="W18">
            <v>0</v>
          </cell>
          <cell r="X18">
            <v>0.32015757820387508</v>
          </cell>
          <cell r="Y18">
            <v>0</v>
          </cell>
          <cell r="Z18">
            <v>0</v>
          </cell>
          <cell r="AA18">
            <v>2.1727779515973024E-2</v>
          </cell>
          <cell r="AB18">
            <v>0</v>
          </cell>
          <cell r="AC18">
            <v>0</v>
          </cell>
        </row>
        <row r="19">
          <cell r="R19">
            <v>5.628068369902592</v>
          </cell>
          <cell r="S19">
            <v>0</v>
          </cell>
          <cell r="T19">
            <v>0</v>
          </cell>
          <cell r="U19">
            <v>0.38195387823740462</v>
          </cell>
          <cell r="V19">
            <v>0</v>
          </cell>
          <cell r="W19">
            <v>0</v>
          </cell>
          <cell r="X19">
            <v>0.44748114546681494</v>
          </cell>
          <cell r="Y19">
            <v>0</v>
          </cell>
          <cell r="Z19">
            <v>0</v>
          </cell>
          <cell r="AA19">
            <v>3.0368706937390015E-2</v>
          </cell>
          <cell r="AB19">
            <v>0</v>
          </cell>
          <cell r="AC19">
            <v>0</v>
          </cell>
        </row>
        <row r="20">
          <cell r="R20">
            <v>7.7015039238062171</v>
          </cell>
          <cell r="S20">
            <v>0</v>
          </cell>
          <cell r="T20">
            <v>0</v>
          </cell>
          <cell r="U20">
            <v>0.52266943089912854</v>
          </cell>
          <cell r="V20">
            <v>0</v>
          </cell>
          <cell r="W20">
            <v>0</v>
          </cell>
          <cell r="X20">
            <v>0.62183154319968703</v>
          </cell>
          <cell r="Y20">
            <v>0</v>
          </cell>
          <cell r="Z20">
            <v>0</v>
          </cell>
          <cell r="AA20">
            <v>4.2201152140513426E-2</v>
          </cell>
          <cell r="AB20">
            <v>0</v>
          </cell>
          <cell r="AC20">
            <v>0</v>
          </cell>
        </row>
        <row r="21">
          <cell r="R21">
            <v>9.4050968579504275</v>
          </cell>
          <cell r="S21">
            <v>0</v>
          </cell>
          <cell r="T21">
            <v>0</v>
          </cell>
          <cell r="U21">
            <v>0.63828528439763221</v>
          </cell>
          <cell r="V21">
            <v>0</v>
          </cell>
          <cell r="W21">
            <v>0</v>
          </cell>
          <cell r="X21">
            <v>0.7957097614350801</v>
          </cell>
          <cell r="Y21">
            <v>0</v>
          </cell>
          <cell r="Z21">
            <v>0</v>
          </cell>
          <cell r="AA21">
            <v>5.4001552461017649E-2</v>
          </cell>
          <cell r="AB21">
            <v>0</v>
          </cell>
          <cell r="AC21">
            <v>0</v>
          </cell>
        </row>
        <row r="22">
          <cell r="R22">
            <v>11.780615595954636</v>
          </cell>
          <cell r="S22">
            <v>0</v>
          </cell>
          <cell r="T22">
            <v>0</v>
          </cell>
          <cell r="U22">
            <v>0.79950198170332532</v>
          </cell>
          <cell r="V22">
            <v>0</v>
          </cell>
          <cell r="W22">
            <v>0</v>
          </cell>
          <cell r="X22">
            <v>1.0055002279031786</v>
          </cell>
          <cell r="Y22">
            <v>0</v>
          </cell>
          <cell r="Z22">
            <v>0</v>
          </cell>
          <cell r="AA22">
            <v>6.8239169529289212E-2</v>
          </cell>
          <cell r="AB22">
            <v>0</v>
          </cell>
          <cell r="AC22">
            <v>0</v>
          </cell>
        </row>
        <row r="23">
          <cell r="R23">
            <v>14.340755998858789</v>
          </cell>
          <cell r="S23">
            <v>0</v>
          </cell>
          <cell r="T23">
            <v>0</v>
          </cell>
          <cell r="U23">
            <v>0.97324819291689613</v>
          </cell>
          <cell r="V23">
            <v>0</v>
          </cell>
          <cell r="W23">
            <v>0</v>
          </cell>
          <cell r="X23">
            <v>1.2614298134249466</v>
          </cell>
          <cell r="Y23">
            <v>0</v>
          </cell>
          <cell r="Z23">
            <v>0</v>
          </cell>
          <cell r="AA23">
            <v>8.5608059052467253E-2</v>
          </cell>
          <cell r="AB23">
            <v>0</v>
          </cell>
          <cell r="AC23">
            <v>0</v>
          </cell>
        </row>
        <row r="24">
          <cell r="R24">
            <v>17.714216538969378</v>
          </cell>
          <cell r="S24">
            <v>0</v>
          </cell>
          <cell r="T24">
            <v>0</v>
          </cell>
          <cell r="U24">
            <v>1.2021911004456456</v>
          </cell>
          <cell r="V24">
            <v>0</v>
          </cell>
          <cell r="W24">
            <v>0</v>
          </cell>
          <cell r="X24">
            <v>1.573597185194658</v>
          </cell>
          <cell r="Y24">
            <v>0</v>
          </cell>
          <cell r="Z24">
            <v>0</v>
          </cell>
          <cell r="AA24">
            <v>0.10679357608425175</v>
          </cell>
          <cell r="AB24">
            <v>0</v>
          </cell>
          <cell r="AC24">
            <v>0</v>
          </cell>
        </row>
        <row r="25">
          <cell r="R25">
            <v>21.066327792925772</v>
          </cell>
          <cell r="S25">
            <v>0</v>
          </cell>
          <cell r="T25">
            <v>0</v>
          </cell>
          <cell r="U25">
            <v>1.4296851196332721</v>
          </cell>
          <cell r="V25">
            <v>0</v>
          </cell>
          <cell r="W25">
            <v>0</v>
          </cell>
          <cell r="X25">
            <v>1.9306038062689668</v>
          </cell>
          <cell r="Y25">
            <v>0</v>
          </cell>
          <cell r="Z25">
            <v>0</v>
          </cell>
          <cell r="AA25">
            <v>0.13102214875138227</v>
          </cell>
          <cell r="AB25">
            <v>0</v>
          </cell>
          <cell r="AC25">
            <v>0</v>
          </cell>
        </row>
        <row r="26">
          <cell r="R26">
            <v>25.547982757562639</v>
          </cell>
          <cell r="S26">
            <v>0</v>
          </cell>
          <cell r="T26">
            <v>0</v>
          </cell>
          <cell r="U26">
            <v>1.7338366299132719</v>
          </cell>
          <cell r="V26">
            <v>0</v>
          </cell>
          <cell r="W26">
            <v>0</v>
          </cell>
          <cell r="X26">
            <v>2.3538150869242549</v>
          </cell>
          <cell r="Y26">
            <v>0</v>
          </cell>
          <cell r="Z26">
            <v>0</v>
          </cell>
          <cell r="AA26">
            <v>0.15974375967291121</v>
          </cell>
          <cell r="AB26">
            <v>0</v>
          </cell>
          <cell r="AC26">
            <v>0</v>
          </cell>
        </row>
        <row r="27">
          <cell r="R27">
            <v>30.017459494685646</v>
          </cell>
          <cell r="S27">
            <v>0</v>
          </cell>
          <cell r="T27">
            <v>0</v>
          </cell>
          <cell r="U27">
            <v>2.0371616539242257</v>
          </cell>
          <cell r="V27">
            <v>0</v>
          </cell>
          <cell r="W27">
            <v>0</v>
          </cell>
          <cell r="X27">
            <v>2.8433363296246155</v>
          </cell>
          <cell r="Y27">
            <v>0</v>
          </cell>
          <cell r="Z27">
            <v>0</v>
          </cell>
          <cell r="AA27">
            <v>0.19296555529445808</v>
          </cell>
          <cell r="AB27">
            <v>0</v>
          </cell>
          <cell r="AC27">
            <v>0</v>
          </cell>
        </row>
        <row r="28">
          <cell r="R28">
            <v>35.879873847553988</v>
          </cell>
          <cell r="S28">
            <v>0</v>
          </cell>
          <cell r="T28">
            <v>0</v>
          </cell>
          <cell r="U28">
            <v>2.4350196312521453</v>
          </cell>
          <cell r="V28">
            <v>0</v>
          </cell>
          <cell r="W28">
            <v>0</v>
          </cell>
          <cell r="X28">
            <v>3.3798181691154663</v>
          </cell>
          <cell r="Y28">
            <v>0</v>
          </cell>
          <cell r="Z28">
            <v>0</v>
          </cell>
          <cell r="AA28">
            <v>0.22937437368999825</v>
          </cell>
          <cell r="AB28">
            <v>0</v>
          </cell>
          <cell r="AC28">
            <v>0</v>
          </cell>
        </row>
        <row r="29">
          <cell r="R29">
            <v>42.409042764318201</v>
          </cell>
          <cell r="S29">
            <v>0</v>
          </cell>
          <cell r="T29">
            <v>0</v>
          </cell>
          <cell r="U29">
            <v>2.8781275015761101</v>
          </cell>
          <cell r="V29">
            <v>0</v>
          </cell>
          <cell r="W29">
            <v>0</v>
          </cell>
          <cell r="X29">
            <v>4.0796520028574559</v>
          </cell>
          <cell r="Y29">
            <v>0</v>
          </cell>
          <cell r="Z29">
            <v>0</v>
          </cell>
          <cell r="AA29">
            <v>0.27686922082955606</v>
          </cell>
          <cell r="AB29">
            <v>0</v>
          </cell>
          <cell r="AC29">
            <v>0</v>
          </cell>
        </row>
        <row r="30">
          <cell r="R30">
            <v>50.938263690815432</v>
          </cell>
          <cell r="S30">
            <v>0</v>
          </cell>
          <cell r="T30">
            <v>0</v>
          </cell>
          <cell r="U30">
            <v>3.456970684903613</v>
          </cell>
          <cell r="V30">
            <v>0</v>
          </cell>
          <cell r="W30">
            <v>0</v>
          </cell>
          <cell r="X30">
            <v>4.8982302428360835</v>
          </cell>
          <cell r="Y30">
            <v>0</v>
          </cell>
          <cell r="Z30">
            <v>0</v>
          </cell>
          <cell r="AA30">
            <v>0.3324227629778006</v>
          </cell>
          <cell r="AB30">
            <v>0</v>
          </cell>
          <cell r="AC30">
            <v>0</v>
          </cell>
        </row>
        <row r="31">
          <cell r="R31">
            <v>60.869480563265284</v>
          </cell>
          <cell r="S31">
            <v>0</v>
          </cell>
          <cell r="T31">
            <v>0</v>
          </cell>
          <cell r="U31">
            <v>4.1309615732045355</v>
          </cell>
          <cell r="V31">
            <v>0</v>
          </cell>
          <cell r="W31">
            <v>0</v>
          </cell>
          <cell r="X31">
            <v>5.877933678964836</v>
          </cell>
          <cell r="Y31">
            <v>0</v>
          </cell>
          <cell r="Z31">
            <v>0</v>
          </cell>
          <cell r="AA31">
            <v>0.39891121023139448</v>
          </cell>
          <cell r="AB31">
            <v>0</v>
          </cell>
          <cell r="AC31">
            <v>0</v>
          </cell>
        </row>
        <row r="32">
          <cell r="R32">
            <v>73.20517754031988</v>
          </cell>
          <cell r="S32">
            <v>0</v>
          </cell>
          <cell r="T32">
            <v>0</v>
          </cell>
          <cell r="U32">
            <v>4.9681346477791388</v>
          </cell>
          <cell r="V32">
            <v>0</v>
          </cell>
          <cell r="W32">
            <v>0</v>
          </cell>
          <cell r="X32">
            <v>7.0957311607170572</v>
          </cell>
          <cell r="Y32">
            <v>0</v>
          </cell>
          <cell r="Z32">
            <v>0</v>
          </cell>
          <cell r="AA32">
            <v>0.4815581221897608</v>
          </cell>
          <cell r="AB32">
            <v>0</v>
          </cell>
          <cell r="AC32">
            <v>0</v>
          </cell>
        </row>
        <row r="33">
          <cell r="R33">
            <v>78.778492966008841</v>
          </cell>
          <cell r="S33">
            <v>0</v>
          </cell>
          <cell r="T33">
            <v>0</v>
          </cell>
          <cell r="U33">
            <v>5.3463726686365671</v>
          </cell>
          <cell r="V33">
            <v>0</v>
          </cell>
          <cell r="W33">
            <v>0</v>
          </cell>
          <cell r="X33">
            <v>8.0230592488025447</v>
          </cell>
          <cell r="Y33">
            <v>0</v>
          </cell>
          <cell r="Z33">
            <v>0</v>
          </cell>
          <cell r="AA33">
            <v>0.54449206974748388</v>
          </cell>
          <cell r="AB33">
            <v>0</v>
          </cell>
          <cell r="AC33">
            <v>0</v>
          </cell>
        </row>
        <row r="34">
          <cell r="R34">
            <v>86.093261385347319</v>
          </cell>
          <cell r="S34">
            <v>0</v>
          </cell>
          <cell r="T34">
            <v>0</v>
          </cell>
          <cell r="U34">
            <v>5.842795949689064</v>
          </cell>
          <cell r="V34">
            <v>0</v>
          </cell>
          <cell r="W34">
            <v>0</v>
          </cell>
          <cell r="X34">
            <v>8.9956127661269178</v>
          </cell>
          <cell r="Y34">
            <v>0</v>
          </cell>
          <cell r="Z34">
            <v>0</v>
          </cell>
          <cell r="AA34">
            <v>0.61049528138613396</v>
          </cell>
          <cell r="AB34">
            <v>0</v>
          </cell>
          <cell r="AC34">
            <v>0</v>
          </cell>
        </row>
        <row r="35">
          <cell r="R35">
            <v>98.347314044502411</v>
          </cell>
          <cell r="S35">
            <v>0</v>
          </cell>
          <cell r="T35">
            <v>0</v>
          </cell>
          <cell r="U35">
            <v>6.6744281598305824</v>
          </cell>
          <cell r="V35">
            <v>0</v>
          </cell>
          <cell r="W35">
            <v>0</v>
          </cell>
          <cell r="X35">
            <v>10.277456764625089</v>
          </cell>
          <cell r="Y35">
            <v>0</v>
          </cell>
          <cell r="Z35">
            <v>0</v>
          </cell>
          <cell r="AA35">
            <v>0.69748876731107345</v>
          </cell>
          <cell r="AB35">
            <v>0</v>
          </cell>
          <cell r="AC35">
            <v>0</v>
          </cell>
        </row>
        <row r="36">
          <cell r="R36">
            <v>113.71838533657181</v>
          </cell>
          <cell r="S36">
            <v>0</v>
          </cell>
          <cell r="T36">
            <v>0</v>
          </cell>
          <cell r="U36">
            <v>7.7175996188104152</v>
          </cell>
          <cell r="V36">
            <v>0</v>
          </cell>
          <cell r="W36">
            <v>0</v>
          </cell>
          <cell r="X36">
            <v>11.714111338346108</v>
          </cell>
          <cell r="Y36">
            <v>0</v>
          </cell>
          <cell r="Z36">
            <v>0</v>
          </cell>
          <cell r="AA36">
            <v>0.7949886109616483</v>
          </cell>
          <cell r="AB36">
            <v>0</v>
          </cell>
          <cell r="AC36">
            <v>0</v>
          </cell>
        </row>
        <row r="37">
          <cell r="R37">
            <v>125.00105312128278</v>
          </cell>
          <cell r="S37">
            <v>0</v>
          </cell>
          <cell r="T37">
            <v>0</v>
          </cell>
          <cell r="U37">
            <v>8.4833079283043826</v>
          </cell>
          <cell r="V37">
            <v>0</v>
          </cell>
          <cell r="W37">
            <v>0</v>
          </cell>
          <cell r="X37">
            <v>13.100561756137736</v>
          </cell>
          <cell r="Y37">
            <v>0</v>
          </cell>
          <cell r="Z37">
            <v>0</v>
          </cell>
          <cell r="AA37">
            <v>0.88908130480512193</v>
          </cell>
          <cell r="AB37">
            <v>0</v>
          </cell>
          <cell r="AC37">
            <v>0</v>
          </cell>
        </row>
        <row r="38">
          <cell r="R38">
            <v>138.77916225865118</v>
          </cell>
          <cell r="S38">
            <v>0</v>
          </cell>
          <cell r="T38">
            <v>0</v>
          </cell>
          <cell r="U38">
            <v>9.4183715902774807</v>
          </cell>
          <cell r="V38">
            <v>0</v>
          </cell>
          <cell r="W38">
            <v>0</v>
          </cell>
          <cell r="X38">
            <v>14.548409624160961</v>
          </cell>
          <cell r="Y38">
            <v>0</v>
          </cell>
          <cell r="Z38">
            <v>0</v>
          </cell>
          <cell r="AA38">
            <v>0.9873407913541099</v>
          </cell>
          <cell r="AB38">
            <v>0</v>
          </cell>
          <cell r="AC38">
            <v>0</v>
          </cell>
        </row>
        <row r="39">
          <cell r="R39">
            <v>154.76529388529232</v>
          </cell>
          <cell r="S39">
            <v>0</v>
          </cell>
          <cell r="T39">
            <v>0</v>
          </cell>
          <cell r="U39">
            <v>10.503284667286687</v>
          </cell>
          <cell r="V39">
            <v>0</v>
          </cell>
          <cell r="W39">
            <v>0</v>
          </cell>
          <cell r="X39">
            <v>16.275775113457069</v>
          </cell>
          <cell r="Y39">
            <v>0</v>
          </cell>
          <cell r="Z39">
            <v>0</v>
          </cell>
          <cell r="AA39">
            <v>1.1045699905049937</v>
          </cell>
          <cell r="AB39">
            <v>0</v>
          </cell>
          <cell r="AC39">
            <v>0</v>
          </cell>
        </row>
        <row r="40">
          <cell r="R40">
            <v>174.25731022013855</v>
          </cell>
          <cell r="S40">
            <v>0</v>
          </cell>
          <cell r="T40">
            <v>0</v>
          </cell>
          <cell r="U40">
            <v>11.826127736069488</v>
          </cell>
          <cell r="V40">
            <v>0</v>
          </cell>
          <cell r="W40">
            <v>0</v>
          </cell>
          <cell r="X40">
            <v>18.188775086244767</v>
          </cell>
          <cell r="Y40">
            <v>0</v>
          </cell>
          <cell r="Z40">
            <v>0</v>
          </cell>
          <cell r="AA40">
            <v>1.2343974394005652</v>
          </cell>
          <cell r="AB40">
            <v>0</v>
          </cell>
          <cell r="AC40">
            <v>0</v>
          </cell>
        </row>
        <row r="41">
          <cell r="R41">
            <v>192.09231712118438</v>
          </cell>
          <cell r="S41">
            <v>0</v>
          </cell>
          <cell r="T41">
            <v>0</v>
          </cell>
          <cell r="U41">
            <v>13.036516382141182</v>
          </cell>
          <cell r="V41">
            <v>0</v>
          </cell>
          <cell r="W41">
            <v>0</v>
          </cell>
          <cell r="X41">
            <v>20.24972272266794</v>
          </cell>
          <cell r="Y41">
            <v>0</v>
          </cell>
          <cell r="Z41">
            <v>0</v>
          </cell>
          <cell r="AA41">
            <v>1.3742654884075227</v>
          </cell>
          <cell r="AB41">
            <v>0</v>
          </cell>
          <cell r="AC41">
            <v>0</v>
          </cell>
        </row>
        <row r="42">
          <cell r="R42">
            <v>213.0746198094792</v>
          </cell>
          <cell r="S42">
            <v>0</v>
          </cell>
          <cell r="T42">
            <v>0</v>
          </cell>
          <cell r="U42">
            <v>14.460499063126992</v>
          </cell>
          <cell r="V42">
            <v>0</v>
          </cell>
          <cell r="W42">
            <v>0</v>
          </cell>
          <cell r="X42">
            <v>22.395435240131569</v>
          </cell>
          <cell r="Y42">
            <v>0</v>
          </cell>
          <cell r="Z42">
            <v>0</v>
          </cell>
          <cell r="AA42">
            <v>1.5198861816476017</v>
          </cell>
          <cell r="AB42">
            <v>0</v>
          </cell>
          <cell r="AC42">
            <v>0</v>
          </cell>
        </row>
        <row r="43">
          <cell r="R43">
            <v>231.80718104081973</v>
          </cell>
          <cell r="S43">
            <v>0</v>
          </cell>
          <cell r="T43">
            <v>0</v>
          </cell>
          <cell r="U43">
            <v>15.73180103413592</v>
          </cell>
          <cell r="V43">
            <v>0</v>
          </cell>
          <cell r="W43">
            <v>0</v>
          </cell>
          <cell r="X43">
            <v>24.642653310791566</v>
          </cell>
          <cell r="Y43">
            <v>0</v>
          </cell>
          <cell r="Z43">
            <v>0</v>
          </cell>
          <cell r="AA43">
            <v>1.672395639763623</v>
          </cell>
          <cell r="AB43">
            <v>0</v>
          </cell>
          <cell r="AC43">
            <v>0</v>
          </cell>
        </row>
        <row r="44">
          <cell r="R44">
            <v>253.99540666662742</v>
          </cell>
          <cell r="S44">
            <v>0</v>
          </cell>
          <cell r="T44">
            <v>0</v>
          </cell>
          <cell r="U44">
            <v>17.237624750547255</v>
          </cell>
          <cell r="V44">
            <v>0</v>
          </cell>
          <cell r="W44">
            <v>0</v>
          </cell>
          <cell r="X44">
            <v>26.98824431353902</v>
          </cell>
          <cell r="Y44">
            <v>0</v>
          </cell>
          <cell r="Z44">
            <v>0</v>
          </cell>
          <cell r="AA44">
            <v>1.8315812646308025</v>
          </cell>
          <cell r="AB44">
            <v>0</v>
          </cell>
          <cell r="AC44">
            <v>0</v>
          </cell>
        </row>
        <row r="45">
          <cell r="R45">
            <v>277.77034675175918</v>
          </cell>
          <cell r="S45">
            <v>0</v>
          </cell>
          <cell r="T45">
            <v>0</v>
          </cell>
          <cell r="U45">
            <v>18.851132258547761</v>
          </cell>
          <cell r="V45">
            <v>0</v>
          </cell>
          <cell r="W45">
            <v>0</v>
          </cell>
          <cell r="X45">
            <v>29.541686514646358</v>
          </cell>
          <cell r="Y45">
            <v>0</v>
          </cell>
          <cell r="Z45">
            <v>0</v>
          </cell>
          <cell r="AA45">
            <v>2.0048728964069253</v>
          </cell>
          <cell r="AB45">
            <v>0</v>
          </cell>
          <cell r="AC45">
            <v>0</v>
          </cell>
        </row>
      </sheetData>
      <sheetData sheetId="2">
        <row r="1">
          <cell r="R1" t="str">
            <v>photoacid generators</v>
          </cell>
          <cell r="S1" t="str">
            <v>surfactant</v>
          </cell>
          <cell r="T1" t="str">
            <v>Top antireflective coatings</v>
          </cell>
          <cell r="U1" t="str">
            <v>polymer</v>
          </cell>
          <cell r="V1" t="str">
            <v>immersion topcoat</v>
          </cell>
          <cell r="W1" t="str">
            <v>PBO/PI</v>
          </cell>
        </row>
        <row r="2">
          <cell r="R2">
            <v>0.1855938256510021</v>
          </cell>
          <cell r="S2">
            <v>9.4506331281075088E-5</v>
          </cell>
          <cell r="T2">
            <v>2.264008481519824E-2</v>
          </cell>
          <cell r="U2">
            <v>1.271193167061579E-2</v>
          </cell>
          <cell r="V2">
            <v>3.2554414966821391E-2</v>
          </cell>
          <cell r="W2">
            <v>7.9089734644223975E-2</v>
          </cell>
          <cell r="X2">
            <v>1.5164481672386119E-2</v>
          </cell>
          <cell r="Y2">
            <v>7.7219138277328563E-6</v>
          </cell>
          <cell r="Z2">
            <v>1.8498737769808309E-3</v>
          </cell>
          <cell r="AA2">
            <v>1.0386652366451549E-3</v>
          </cell>
          <cell r="AB2">
            <v>2.659952869595637E-3</v>
          </cell>
          <cell r="AC2">
            <v>6.4622560975790728E-3</v>
          </cell>
        </row>
        <row r="3">
          <cell r="R3">
            <v>0.33210679410510358</v>
          </cell>
          <cell r="S3">
            <v>1.6911227835462881E-4</v>
          </cell>
          <cell r="T3">
            <v>4.0512802405302042E-2</v>
          </cell>
          <cell r="U3">
            <v>2.2747086866725989E-2</v>
          </cell>
          <cell r="V3">
            <v>5.8253782692796588E-2</v>
          </cell>
          <cell r="W3">
            <v>0.14152538818133226</v>
          </cell>
          <cell r="X3">
            <v>2.5151918373350492E-2</v>
          </cell>
          <cell r="Y3">
            <v>1.2807621815050325E-5</v>
          </cell>
          <cell r="Z3">
            <v>3.0682139518391008E-3</v>
          </cell>
          <cell r="AA3">
            <v>1.7227376321676188E-3</v>
          </cell>
          <cell r="AB3">
            <v>4.4118169613971223E-3</v>
          </cell>
          <cell r="AC3">
            <v>1.0718344443646263E-2</v>
          </cell>
        </row>
        <row r="4">
          <cell r="R4">
            <v>0.57667193727658961</v>
          </cell>
          <cell r="S4">
            <v>2.9364742578906201E-4</v>
          </cell>
          <cell r="T4">
            <v>7.0346637474015442E-2</v>
          </cell>
          <cell r="U4">
            <v>3.9498158073461E-2</v>
          </cell>
          <cell r="V4">
            <v>0.10115216645797684</v>
          </cell>
          <cell r="W4">
            <v>0.24574540848002496</v>
          </cell>
          <cell r="X4">
            <v>3.9688386565651462E-2</v>
          </cell>
          <cell r="Y4">
            <v>2.0209744562504932E-5</v>
          </cell>
          <cell r="Z4">
            <v>4.8414780765088025E-3</v>
          </cell>
          <cell r="AA4">
            <v>2.7183881595730392E-3</v>
          </cell>
          <cell r="AB4">
            <v>6.9616120099352079E-3</v>
          </cell>
          <cell r="AC4">
            <v>1.6912976231425667E-2</v>
          </cell>
        </row>
        <row r="5">
          <cell r="R5">
            <v>0.97957259340333258</v>
          </cell>
          <cell r="S5">
            <v>4.9880868450936737E-4</v>
          </cell>
          <cell r="T5">
            <v>0.11949539010526566</v>
          </cell>
          <cell r="U5">
            <v>6.7094149442055162E-2</v>
          </cell>
          <cell r="V5">
            <v>0.17182367238737564</v>
          </cell>
          <cell r="W5">
            <v>0.417439191229935</v>
          </cell>
          <cell r="X5">
            <v>6.0298196170436254E-2</v>
          </cell>
          <cell r="Y5">
            <v>3.0704476740785015E-5</v>
          </cell>
          <cell r="Z5">
            <v>7.3556125626141906E-3</v>
          </cell>
          <cell r="AA5">
            <v>4.130021819914103E-3</v>
          </cell>
          <cell r="AB5">
            <v>1.0576712307091687E-2</v>
          </cell>
          <cell r="AC5">
            <v>2.5695727311602058E-2</v>
          </cell>
        </row>
        <row r="6">
          <cell r="R6">
            <v>1.6217359232992035</v>
          </cell>
          <cell r="S6">
            <v>8.2580501738209195E-4</v>
          </cell>
          <cell r="T6">
            <v>0.19783114401871565</v>
          </cell>
          <cell r="U6">
            <v>0.1110780284443755</v>
          </cell>
          <cell r="V6">
            <v>0.28446347300885244</v>
          </cell>
          <cell r="W6">
            <v>0.69109337763169831</v>
          </cell>
          <cell r="X6">
            <v>8.8873381616975375E-2</v>
          </cell>
          <cell r="Y6">
            <v>4.5255262214149712E-5</v>
          </cell>
          <cell r="Z6">
            <v>1.0841421532014952E-2</v>
          </cell>
          <cell r="AA6">
            <v>6.0872302755156475E-3</v>
          </cell>
          <cell r="AB6">
            <v>1.5588993515895398E-2</v>
          </cell>
          <cell r="AC6">
            <v>3.7872877205726609E-2</v>
          </cell>
        </row>
        <row r="7">
          <cell r="R7">
            <v>3.4139959683901093</v>
          </cell>
          <cell r="S7">
            <v>1.7384427140784485E-3</v>
          </cell>
          <cell r="T7">
            <v>0.42152795587256325</v>
          </cell>
          <cell r="U7">
            <v>0.2338358149669324</v>
          </cell>
          <cell r="V7">
            <v>0.59572068569758774</v>
          </cell>
          <cell r="W7">
            <v>1.4654811978709055</v>
          </cell>
          <cell r="X7">
            <v>0.19918922700741598</v>
          </cell>
          <cell r="Y7">
            <v>1.0142925288141169E-4</v>
          </cell>
          <cell r="Z7">
            <v>2.4610239834021934E-2</v>
          </cell>
          <cell r="AA7">
            <v>1.3643125434584612E-2</v>
          </cell>
          <cell r="AB7">
            <v>3.474726390510581E-2</v>
          </cell>
          <cell r="AC7">
            <v>8.5537415219469864E-2</v>
          </cell>
        </row>
        <row r="8">
          <cell r="R8">
            <v>7.1461960561531033</v>
          </cell>
          <cell r="S8">
            <v>3.6389183180710566E-3</v>
          </cell>
          <cell r="T8">
            <v>0.8978788815963008</v>
          </cell>
          <cell r="U8">
            <v>0.48946647687226957</v>
          </cell>
          <cell r="V8">
            <v>1.2374031232770868</v>
          </cell>
          <cell r="W8">
            <v>3.1001520477732738</v>
          </cell>
          <cell r="X8">
            <v>0.46394205594455951</v>
          </cell>
          <cell r="Y8">
            <v>2.362441825881015E-4</v>
          </cell>
          <cell r="Z8">
            <v>5.8401368976773116E-2</v>
          </cell>
          <cell r="AA8">
            <v>3.177691765124948E-2</v>
          </cell>
          <cell r="AB8">
            <v>8.0266592085144903E-2</v>
          </cell>
          <cell r="AC8">
            <v>0.20149682835804528</v>
          </cell>
        </row>
        <row r="9">
          <cell r="R9">
            <v>10.22688416551302</v>
          </cell>
          <cell r="S9">
            <v>5.2076371588816164E-3</v>
          </cell>
          <cell r="T9">
            <v>1.2997466873369254</v>
          </cell>
          <cell r="U9">
            <v>0.70047294008458894</v>
          </cell>
          <cell r="V9">
            <v>1.7617322092230179</v>
          </cell>
          <cell r="W9">
            <v>4.467662745681733</v>
          </cell>
          <cell r="X9">
            <v>0.65169249936334894</v>
          </cell>
          <cell r="Y9">
            <v>3.318486863568348E-4</v>
          </cell>
          <cell r="Z9">
            <v>8.2892929318210878E-2</v>
          </cell>
          <cell r="AA9">
            <v>4.4636563167450308E-2</v>
          </cell>
          <cell r="AB9">
            <v>0.11222147193313152</v>
          </cell>
          <cell r="AC9">
            <v>0.28483883858367542</v>
          </cell>
        </row>
        <row r="10">
          <cell r="R10">
            <v>16.950763719673429</v>
          </cell>
          <cell r="S10">
            <v>8.6315074649684943E-3</v>
          </cell>
          <cell r="T10">
            <v>2.195748969183601</v>
          </cell>
          <cell r="U10">
            <v>1.1610135704322029</v>
          </cell>
          <cell r="V10">
            <v>2.8944992482747152</v>
          </cell>
          <cell r="W10">
            <v>7.4920178545808156</v>
          </cell>
          <cell r="X10">
            <v>1.1198445124313341</v>
          </cell>
          <cell r="Y10">
            <v>5.7023662346473254E-4</v>
          </cell>
          <cell r="Z10">
            <v>0.14527734126093891</v>
          </cell>
          <cell r="AA10">
            <v>7.6701834631664689E-2</v>
          </cell>
          <cell r="AB10">
            <v>0.19109069696869674</v>
          </cell>
          <cell r="AC10">
            <v>0.49541041724728896</v>
          </cell>
        </row>
        <row r="11">
          <cell r="R11">
            <v>25.677819036187987</v>
          </cell>
          <cell r="S11">
            <v>1.3075415973011793E-2</v>
          </cell>
          <cell r="T11">
            <v>3.383158495377848</v>
          </cell>
          <cell r="U11">
            <v>1.7587582986314532</v>
          </cell>
          <cell r="V11">
            <v>4.3496756871643774</v>
          </cell>
          <cell r="W11">
            <v>11.46873918872752</v>
          </cell>
          <cell r="X11">
            <v>1.7392500490488008</v>
          </cell>
          <cell r="Y11">
            <v>8.8564444824323061E-4</v>
          </cell>
          <cell r="Z11">
            <v>0.2295541113835306</v>
          </cell>
          <cell r="AA11">
            <v>0.11912695750557226</v>
          </cell>
          <cell r="AB11">
            <v>0.29437230918649665</v>
          </cell>
          <cell r="AC11">
            <v>0.77765948324026468</v>
          </cell>
        </row>
        <row r="12">
          <cell r="R12">
            <v>32.961382583560386</v>
          </cell>
          <cell r="S12">
            <v>1.6784283264799426E-2</v>
          </cell>
          <cell r="T12">
            <v>4.3945497564249152</v>
          </cell>
          <cell r="U12">
            <v>2.2576335268779593</v>
          </cell>
          <cell r="V12">
            <v>5.5516111873447551</v>
          </cell>
          <cell r="W12">
            <v>14.830470412689422</v>
          </cell>
          <cell r="X12">
            <v>2.2267955851016641</v>
          </cell>
          <cell r="Y12">
            <v>1.1339077715687845E-3</v>
          </cell>
          <cell r="Z12">
            <v>0.29725439179149971</v>
          </cell>
          <cell r="AA12">
            <v>0.1525205551582875</v>
          </cell>
          <cell r="AB12">
            <v>0.37482719695195205</v>
          </cell>
          <cell r="AC12">
            <v>1.0026862906528855</v>
          </cell>
        </row>
        <row r="13">
          <cell r="R13">
            <v>45.036250292007715</v>
          </cell>
          <cell r="S13">
            <v>2.2932933112534908E-2</v>
          </cell>
          <cell r="T13">
            <v>6.1049881253839526</v>
          </cell>
          <cell r="U13">
            <v>3.0846809391671233</v>
          </cell>
          <cell r="V13">
            <v>7.523444951289644</v>
          </cell>
          <cell r="W13">
            <v>20.474410969620557</v>
          </cell>
          <cell r="X13">
            <v>3.0788664223981943</v>
          </cell>
          <cell r="Y13">
            <v>1.5677912186178977E-3</v>
          </cell>
          <cell r="Z13">
            <v>0.41795257982742012</v>
          </cell>
          <cell r="AA13">
            <v>0.21088168987947045</v>
          </cell>
          <cell r="AB13">
            <v>0.51397091983337928</v>
          </cell>
          <cell r="AC13">
            <v>1.4009546006760134</v>
          </cell>
        </row>
        <row r="14">
          <cell r="R14">
            <v>60.977391693744224</v>
          </cell>
          <cell r="S14">
            <v>3.1050330256683051E-2</v>
          </cell>
          <cell r="T14">
            <v>8.4075399028012257</v>
          </cell>
          <cell r="U14">
            <v>4.1765421556687761</v>
          </cell>
          <cell r="V14">
            <v>10.099283233765339</v>
          </cell>
          <cell r="W14">
            <v>28.018762922194881</v>
          </cell>
          <cell r="X14">
            <v>3.866082056416849</v>
          </cell>
          <cell r="Y14">
            <v>1.9686497128983448E-3</v>
          </cell>
          <cell r="Z14">
            <v>0.53165866345345636</v>
          </cell>
          <cell r="AA14">
            <v>0.2648006783726719</v>
          </cell>
          <cell r="AB14">
            <v>0.64117261233249612</v>
          </cell>
          <cell r="AC14">
            <v>1.7735146110250035</v>
          </cell>
        </row>
        <row r="15">
          <cell r="R15">
            <v>81.967122163841964</v>
          </cell>
          <cell r="S15">
            <v>4.1738522142105411E-2</v>
          </cell>
          <cell r="T15">
            <v>11.428476454266422</v>
          </cell>
          <cell r="U15">
            <v>5.614197845908512</v>
          </cell>
          <cell r="V15">
            <v>13.48491341507704</v>
          </cell>
          <cell r="W15">
            <v>38.337908760942128</v>
          </cell>
          <cell r="X15">
            <v>5.4089490368657636</v>
          </cell>
          <cell r="Y15">
            <v>2.7542938336845898E-3</v>
          </cell>
          <cell r="Z15">
            <v>0.75371502868057805</v>
          </cell>
          <cell r="AA15">
            <v>0.3704767134644677</v>
          </cell>
          <cell r="AB15">
            <v>0.89003607545312446</v>
          </cell>
          <cell r="AC15">
            <v>2.5320317060263586</v>
          </cell>
        </row>
        <row r="16">
          <cell r="R16">
            <v>137.01341495267457</v>
          </cell>
          <cell r="S16">
            <v>6.9768674351365509E-2</v>
          </cell>
          <cell r="T16">
            <v>19.322988958831683</v>
          </cell>
          <cell r="U16">
            <v>9.3844995259233315</v>
          </cell>
          <cell r="V16">
            <v>22.348394525601162</v>
          </cell>
          <cell r="W16">
            <v>66.396080357417745</v>
          </cell>
          <cell r="X16">
            <v>9.3808601508233611</v>
          </cell>
          <cell r="Y16">
            <v>4.7768328176081322E-3</v>
          </cell>
          <cell r="Z16">
            <v>1.3233501551812554</v>
          </cell>
          <cell r="AA16">
            <v>0.64252597213610607</v>
          </cell>
          <cell r="AB16">
            <v>1.5295879389418519</v>
          </cell>
          <cell r="AC16">
            <v>4.5565924521767327</v>
          </cell>
        </row>
        <row r="17">
          <cell r="R17">
            <v>189.15917692144089</v>
          </cell>
          <cell r="S17">
            <v>9.6321845709508205E-2</v>
          </cell>
          <cell r="T17">
            <v>26.775389599097863</v>
          </cell>
          <cell r="U17">
            <v>12.956134308136647</v>
          </cell>
          <cell r="V17">
            <v>30.73041607510109</v>
          </cell>
          <cell r="W17">
            <v>93.905199873663761</v>
          </cell>
          <cell r="X17">
            <v>13.795916348540644</v>
          </cell>
          <cell r="Y17">
            <v>7.0250259467839271E-3</v>
          </cell>
          <cell r="Z17">
            <v>1.9543269861342132</v>
          </cell>
          <cell r="AA17">
            <v>0.94492769541782995</v>
          </cell>
          <cell r="AB17">
            <v>2.2392735355141209</v>
          </cell>
          <cell r="AC17">
            <v>6.8857234117875024</v>
          </cell>
        </row>
        <row r="18">
          <cell r="R18">
            <v>273.3810842949984</v>
          </cell>
          <cell r="S18">
            <v>0.13920852823491081</v>
          </cell>
          <cell r="T18">
            <v>38.77036376410598</v>
          </cell>
          <cell r="U18">
            <v>18.72476981067129</v>
          </cell>
          <cell r="V18">
            <v>44.245478500702077</v>
          </cell>
          <cell r="W18">
            <v>139.81488804535434</v>
          </cell>
          <cell r="X18">
            <v>20.668676307175332</v>
          </cell>
          <cell r="Y18">
            <v>1.0524707723307138E-2</v>
          </cell>
          <cell r="Z18">
            <v>2.9331528132492135</v>
          </cell>
          <cell r="AA18">
            <v>1.4156656344427785</v>
          </cell>
          <cell r="AB18">
            <v>3.342143118663472</v>
          </cell>
          <cell r="AC18">
            <v>10.632091505546239</v>
          </cell>
        </row>
        <row r="19">
          <cell r="R19">
            <v>363.33584238350744</v>
          </cell>
          <cell r="S19">
            <v>0.1850144387408334</v>
          </cell>
          <cell r="T19">
            <v>51.538052522922023</v>
          </cell>
          <cell r="U19">
            <v>24.886067118148425</v>
          </cell>
          <cell r="V19">
            <v>58.656337953904341</v>
          </cell>
          <cell r="W19">
            <v>190.40621937132451</v>
          </cell>
          <cell r="X19">
            <v>28.888408642721586</v>
          </cell>
          <cell r="Y19">
            <v>1.4710282024715506E-2</v>
          </cell>
          <cell r="Z19">
            <v>4.0998168827336796</v>
          </cell>
          <cell r="AA19">
            <v>1.9786621427247928</v>
          </cell>
          <cell r="AB19">
            <v>4.6589540350348928</v>
          </cell>
          <cell r="AC19">
            <v>15.254939822132755</v>
          </cell>
        </row>
        <row r="20">
          <cell r="R20">
            <v>497.19232814231975</v>
          </cell>
          <cell r="S20">
            <v>0.25317557148794811</v>
          </cell>
          <cell r="T20">
            <v>70.472734479119609</v>
          </cell>
          <cell r="U20">
            <v>34.054338178170028</v>
          </cell>
          <cell r="V20">
            <v>80.064888623236783</v>
          </cell>
          <cell r="W20">
            <v>267.9710425756208</v>
          </cell>
          <cell r="X20">
            <v>40.14409078207504</v>
          </cell>
          <cell r="Y20">
            <v>2.0441793950422033E-2</v>
          </cell>
          <cell r="Z20">
            <v>5.6919904729825967</v>
          </cell>
          <cell r="AA20">
            <v>2.7496008404953076</v>
          </cell>
          <cell r="AB20">
            <v>6.4591495207615512</v>
          </cell>
          <cell r="AC20">
            <v>21.777186317949116</v>
          </cell>
        </row>
        <row r="21">
          <cell r="R21">
            <v>607.17257946904465</v>
          </cell>
          <cell r="S21">
            <v>0.30917867412243083</v>
          </cell>
          <cell r="T21">
            <v>85.978028804788352</v>
          </cell>
          <cell r="U21">
            <v>41.587247395804496</v>
          </cell>
          <cell r="V21">
            <v>97.626074020186678</v>
          </cell>
          <cell r="W21">
            <v>333.54909231530615</v>
          </cell>
          <cell r="X21">
            <v>51.369290040944982</v>
          </cell>
          <cell r="Y21">
            <v>2.615778367224451E-2</v>
          </cell>
          <cell r="Z21">
            <v>7.2745474891144868</v>
          </cell>
          <cell r="AA21">
            <v>3.5184516655013556</v>
          </cell>
          <cell r="AB21">
            <v>8.2515422724120278</v>
          </cell>
          <cell r="AC21">
            <v>28.470448666924813</v>
          </cell>
        </row>
        <row r="22">
          <cell r="R22">
            <v>760.53089799734346</v>
          </cell>
          <cell r="S22">
            <v>0.38727034557058493</v>
          </cell>
          <cell r="T22">
            <v>107.52743670632223</v>
          </cell>
          <cell r="U22">
            <v>52.091263137783677</v>
          </cell>
          <cell r="V22">
            <v>122.07426452549356</v>
          </cell>
          <cell r="W22">
            <v>427.53314077639914</v>
          </cell>
          <cell r="X22">
            <v>64.912905869395701</v>
          </cell>
          <cell r="Y22">
            <v>3.3054335536173741E-2</v>
          </cell>
          <cell r="Z22">
            <v>9.1776519620231376</v>
          </cell>
          <cell r="AA22">
            <v>4.4460984683000797</v>
          </cell>
          <cell r="AB22">
            <v>10.410648495551483</v>
          </cell>
          <cell r="AC22">
            <v>36.770512586344061</v>
          </cell>
        </row>
        <row r="23">
          <cell r="R23">
            <v>925.80798931408094</v>
          </cell>
          <cell r="S23">
            <v>0.471431181688722</v>
          </cell>
          <cell r="T23">
            <v>130.52663788817117</v>
          </cell>
          <cell r="U23">
            <v>63.411634837472008</v>
          </cell>
          <cell r="V23">
            <v>148.61516483810726</v>
          </cell>
          <cell r="W23">
            <v>531.04371181274007</v>
          </cell>
          <cell r="X23">
            <v>81.435162785052697</v>
          </cell>
          <cell r="Y23">
            <v>4.146764282215179E-2</v>
          </cell>
          <cell r="Z23">
            <v>11.4768133748602</v>
          </cell>
          <cell r="AA23">
            <v>5.5777621980576599</v>
          </cell>
          <cell r="AB23">
            <v>13.06386298670847</v>
          </cell>
          <cell r="AC23">
            <v>47.118155048609452</v>
          </cell>
        </row>
        <row r="24">
          <cell r="R24">
            <v>1143.5912581960501</v>
          </cell>
          <cell r="S24">
            <v>0.58232871658375585</v>
          </cell>
          <cell r="T24">
            <v>160.54479112512044</v>
          </cell>
          <cell r="U24">
            <v>78.328327369242075</v>
          </cell>
          <cell r="V24">
            <v>183.83393857570081</v>
          </cell>
          <cell r="W24">
            <v>670.27836704338381</v>
          </cell>
          <cell r="X24">
            <v>101.58800875848507</v>
          </cell>
          <cell r="Y24">
            <v>5.1729684305164871E-2</v>
          </cell>
          <cell r="Z24">
            <v>14.254580563757486</v>
          </cell>
          <cell r="AA24">
            <v>6.9580969160048562</v>
          </cell>
          <cell r="AB24">
            <v>16.322876069534182</v>
          </cell>
          <cell r="AC24">
            <v>60.002407247743541</v>
          </cell>
        </row>
        <row r="25">
          <cell r="R25">
            <v>1359.9962636385412</v>
          </cell>
          <cell r="S25">
            <v>0.69252442521518942</v>
          </cell>
          <cell r="T25">
            <v>190.09568002317104</v>
          </cell>
          <cell r="U25">
            <v>93.150618103941042</v>
          </cell>
          <cell r="V25">
            <v>219.06723690178242</v>
          </cell>
          <cell r="W25">
            <v>811.37062617783704</v>
          </cell>
          <cell r="X25">
            <v>124.63557905777208</v>
          </cell>
          <cell r="Y25">
            <v>6.3465749911270464E-2</v>
          </cell>
          <cell r="Z25">
            <v>17.401809935331492</v>
          </cell>
          <cell r="AA25">
            <v>8.5367008258632566</v>
          </cell>
          <cell r="AB25">
            <v>20.075293525801914</v>
          </cell>
          <cell r="AC25">
            <v>75.029017905095898</v>
          </cell>
        </row>
        <row r="26">
          <cell r="R26">
            <v>1649.3221521719011</v>
          </cell>
          <cell r="S26">
            <v>0.83985221574924629</v>
          </cell>
          <cell r="T26">
            <v>229.24426118746419</v>
          </cell>
          <cell r="U26">
            <v>112.96750001084412</v>
          </cell>
          <cell r="V26">
            <v>266.48107264171625</v>
          </cell>
          <cell r="W26">
            <v>1003.5608832009184</v>
          </cell>
          <cell r="X26">
            <v>151.95717806062027</v>
          </cell>
          <cell r="Y26">
            <v>7.737819596078116E-2</v>
          </cell>
          <cell r="Z26">
            <v>21.098685598699401</v>
          </cell>
          <cell r="AA26">
            <v>10.408047021987617</v>
          </cell>
          <cell r="AB26">
            <v>24.552673043549493</v>
          </cell>
          <cell r="AC26">
            <v>93.177912776746879</v>
          </cell>
        </row>
        <row r="27">
          <cell r="R27">
            <v>1937.8618408473931</v>
          </cell>
          <cell r="S27">
            <v>0.98677966503294012</v>
          </cell>
          <cell r="T27">
            <v>268.15565947212332</v>
          </cell>
          <cell r="U27">
            <v>132.7305325031042</v>
          </cell>
          <cell r="V27">
            <v>313.81402906410671</v>
          </cell>
          <cell r="W27">
            <v>1193.5896243206721</v>
          </cell>
          <cell r="X27">
            <v>183.55960386488164</v>
          </cell>
          <cell r="Y27">
            <v>9.3470484116742192E-2</v>
          </cell>
          <cell r="Z27">
            <v>25.360472193381653</v>
          </cell>
          <cell r="AA27">
            <v>12.57260112846366</v>
          </cell>
          <cell r="AB27">
            <v>29.736834190674152</v>
          </cell>
          <cell r="AC27">
            <v>113.99088730888543</v>
          </cell>
        </row>
        <row r="28">
          <cell r="R28">
            <v>2316.3265497502539</v>
          </cell>
          <cell r="S28">
            <v>1.179497881990371</v>
          </cell>
          <cell r="T28">
            <v>319.02749522084264</v>
          </cell>
          <cell r="U28">
            <v>158.6528254589027</v>
          </cell>
          <cell r="V28">
            <v>375.95962487710023</v>
          </cell>
          <cell r="W28">
            <v>1440.7550108830308</v>
          </cell>
          <cell r="X28">
            <v>218.19370357078759</v>
          </cell>
          <cell r="Y28">
            <v>0.1111065325625729</v>
          </cell>
          <cell r="Z28">
            <v>30.015860635414263</v>
          </cell>
          <cell r="AA28">
            <v>14.944804553822566</v>
          </cell>
          <cell r="AB28">
            <v>35.42390807375736</v>
          </cell>
          <cell r="AC28">
            <v>136.60951050063636</v>
          </cell>
        </row>
        <row r="29">
          <cell r="R29">
            <v>2737.8354818597259</v>
          </cell>
          <cell r="S29">
            <v>1.3941346708821403</v>
          </cell>
          <cell r="T29">
            <v>375.50509761739255</v>
          </cell>
          <cell r="U29">
            <v>187.52335886557751</v>
          </cell>
          <cell r="V29">
            <v>445.23930335596538</v>
          </cell>
          <cell r="W29">
            <v>1713.7746227726188</v>
          </cell>
          <cell r="X29">
            <v>263.37345242936908</v>
          </cell>
          <cell r="Y29">
            <v>0.13411253665698672</v>
          </cell>
          <cell r="Z29">
            <v>36.069454516903463</v>
          </cell>
          <cell r="AA29">
            <v>18.039314181884478</v>
          </cell>
          <cell r="AB29">
            <v>42.849702016044411</v>
          </cell>
          <cell r="AC29">
            <v>165.8733209658329</v>
          </cell>
        </row>
        <row r="30">
          <cell r="R30">
            <v>3288.4634178628467</v>
          </cell>
          <cell r="S30">
            <v>1.6745202168451807</v>
          </cell>
          <cell r="T30">
            <v>449.05472091405005</v>
          </cell>
          <cell r="U30">
            <v>225.23767761433854</v>
          </cell>
          <cell r="V30">
            <v>535.82491505477128</v>
          </cell>
          <cell r="W30">
            <v>2067.5632692719028</v>
          </cell>
          <cell r="X30">
            <v>316.21908166336345</v>
          </cell>
          <cell r="Y30">
            <v>0.16102208779979313</v>
          </cell>
          <cell r="Z30">
            <v>43.128261142750155</v>
          </cell>
          <cell r="AA30">
            <v>21.658885175460824</v>
          </cell>
          <cell r="AB30">
            <v>51.5435101880703</v>
          </cell>
          <cell r="AC30">
            <v>199.82761644856683</v>
          </cell>
        </row>
        <row r="31">
          <cell r="R31">
            <v>3929.6011601727046</v>
          </cell>
          <cell r="S31">
            <v>2.0009943097143843</v>
          </cell>
          <cell r="T31">
            <v>534.43552670987719</v>
          </cell>
          <cell r="U31">
            <v>269.15131074899654</v>
          </cell>
          <cell r="V31">
            <v>641.39540554550501</v>
          </cell>
          <cell r="W31">
            <v>2476.2654898617011</v>
          </cell>
          <cell r="X31">
            <v>379.46660281208358</v>
          </cell>
          <cell r="Y31">
            <v>0.19322839189111396</v>
          </cell>
          <cell r="Z31">
            <v>51.550982133735737</v>
          </cell>
          <cell r="AA31">
            <v>25.990915965591888</v>
          </cell>
          <cell r="AB31">
            <v>61.957920991492401</v>
          </cell>
          <cell r="AC31">
            <v>240.14563336510844</v>
          </cell>
        </row>
        <row r="32">
          <cell r="R32">
            <v>4725.96690379344</v>
          </cell>
          <cell r="S32">
            <v>2.4065121362020268</v>
          </cell>
          <cell r="T32">
            <v>640.17590253443086</v>
          </cell>
          <cell r="U32">
            <v>323.69702035014592</v>
          </cell>
          <cell r="V32">
            <v>772.64041591562363</v>
          </cell>
          <cell r="W32">
            <v>2980.0065790500398</v>
          </cell>
          <cell r="X32">
            <v>458.08495724629159</v>
          </cell>
          <cell r="Y32">
            <v>0.23326168622550508</v>
          </cell>
          <cell r="Z32">
            <v>61.989821839201774</v>
          </cell>
          <cell r="AA32">
            <v>31.375745693188538</v>
          </cell>
          <cell r="AB32">
            <v>74.914614352116558</v>
          </cell>
          <cell r="AC32">
            <v>289.8756673477651</v>
          </cell>
        </row>
        <row r="33">
          <cell r="R33">
            <v>5085.7680152885978</v>
          </cell>
          <cell r="S33">
            <v>2.5897266527355773</v>
          </cell>
          <cell r="T33">
            <v>687.81259757071655</v>
          </cell>
          <cell r="U33">
            <v>348.34098212147529</v>
          </cell>
          <cell r="V33">
            <v>831.9877289627708</v>
          </cell>
          <cell r="W33">
            <v>3205.8791221719089</v>
          </cell>
          <cell r="X33">
            <v>517.95123993970162</v>
          </cell>
          <cell r="Y33">
            <v>0.26374622807351322</v>
          </cell>
          <cell r="Z33">
            <v>69.915955918585851</v>
          </cell>
          <cell r="AA33">
            <v>35.476184338186577</v>
          </cell>
          <cell r="AB33">
            <v>84.789244825631997</v>
          </cell>
          <cell r="AC33">
            <v>327.45795680490937</v>
          </cell>
        </row>
        <row r="34">
          <cell r="R34">
            <v>5557.9935411356873</v>
          </cell>
          <cell r="S34">
            <v>2.8301888654656806</v>
          </cell>
          <cell r="T34">
            <v>750.1587623243812</v>
          </cell>
          <cell r="U34">
            <v>380.68526187664827</v>
          </cell>
          <cell r="V34">
            <v>909.94310831955397</v>
          </cell>
          <cell r="W34">
            <v>3500.1324892760731</v>
          </cell>
          <cell r="X34">
            <v>580.73717789486011</v>
          </cell>
          <cell r="Y34">
            <v>0.29571748913982232</v>
          </cell>
          <cell r="Z34">
            <v>78.205347782661448</v>
          </cell>
          <cell r="AA34">
            <v>39.776599776910999</v>
          </cell>
          <cell r="AB34">
            <v>95.153999256866854</v>
          </cell>
          <cell r="AC34">
            <v>366.5811567144392</v>
          </cell>
        </row>
        <row r="35">
          <cell r="R35">
            <v>6349.0885053219581</v>
          </cell>
          <cell r="S35">
            <v>3.2330227555368198</v>
          </cell>
          <cell r="T35">
            <v>855.45885642851795</v>
          </cell>
          <cell r="U35">
            <v>434.86995845494101</v>
          </cell>
          <cell r="V35">
            <v>1040.4616661901996</v>
          </cell>
          <cell r="W35">
            <v>4008.0987496614975</v>
          </cell>
          <cell r="X35">
            <v>663.49023602919783</v>
          </cell>
          <cell r="Y35">
            <v>0.33785621815806083</v>
          </cell>
          <cell r="Z35">
            <v>89.220339918168321</v>
          </cell>
          <cell r="AA35">
            <v>45.444628962948293</v>
          </cell>
          <cell r="AB35">
            <v>108.80698694613787</v>
          </cell>
          <cell r="AC35">
            <v>419.71733300042484</v>
          </cell>
        </row>
        <row r="36">
          <cell r="R36">
            <v>7341.4114071024924</v>
          </cell>
          <cell r="S36">
            <v>3.7383240313983239</v>
          </cell>
          <cell r="T36">
            <v>988.60969713561758</v>
          </cell>
          <cell r="U36">
            <v>502.83741846269919</v>
          </cell>
          <cell r="V36">
            <v>1204.0849153164056</v>
          </cell>
          <cell r="W36">
            <v>4664.0033472383047</v>
          </cell>
          <cell r="X36">
            <v>756.23752789730986</v>
          </cell>
          <cell r="Y36">
            <v>0.38508411628433148</v>
          </cell>
          <cell r="Z36">
            <v>101.66526068275741</v>
          </cell>
          <cell r="AA36">
            <v>51.797196095645546</v>
          </cell>
          <cell r="AB36">
            <v>124.10000620014009</v>
          </cell>
          <cell r="AC36">
            <v>481.02134507143398</v>
          </cell>
        </row>
        <row r="37">
          <cell r="R37">
            <v>8069.7958783739687</v>
          </cell>
          <cell r="S37">
            <v>4.1092250778125328</v>
          </cell>
          <cell r="T37">
            <v>1087.1228830099797</v>
          </cell>
          <cell r="U37">
            <v>552.72686708127515</v>
          </cell>
          <cell r="V37">
            <v>1324.1183827760924</v>
          </cell>
          <cell r="W37">
            <v>5159.1172434157306</v>
          </cell>
          <cell r="X37">
            <v>845.74374874657894</v>
          </cell>
          <cell r="Y37">
            <v>0.43066162690262411</v>
          </cell>
          <cell r="Z37">
            <v>113.77087704226565</v>
          </cell>
          <cell r="AA37">
            <v>57.927771612045063</v>
          </cell>
          <cell r="AB37">
            <v>138.85010380861308</v>
          </cell>
          <cell r="AC37">
            <v>541.86252920519325</v>
          </cell>
        </row>
        <row r="38">
          <cell r="R38">
            <v>8959.2806111197242</v>
          </cell>
          <cell r="S38">
            <v>4.5621600745855515</v>
          </cell>
          <cell r="T38">
            <v>1208.369069608789</v>
          </cell>
          <cell r="U38">
            <v>613.65060258302742</v>
          </cell>
          <cell r="V38">
            <v>1470.6162026301747</v>
          </cell>
          <cell r="W38">
            <v>5780.3305492264899</v>
          </cell>
          <cell r="X38">
            <v>939.21365532848642</v>
          </cell>
          <cell r="Y38">
            <v>0.47825748805401685</v>
          </cell>
          <cell r="Z38">
            <v>126.51181493314968</v>
          </cell>
          <cell r="AA38">
            <v>64.329833003690467</v>
          </cell>
          <cell r="AB38">
            <v>154.24456425533123</v>
          </cell>
          <cell r="AC38">
            <v>607.14161441481701</v>
          </cell>
        </row>
        <row r="39">
          <cell r="R39">
            <v>9991.3104691933586</v>
          </cell>
          <cell r="S39">
            <v>5.087680550910413</v>
          </cell>
          <cell r="T39">
            <v>1350.1350174377656</v>
          </cell>
          <cell r="U39">
            <v>684.33772265208086</v>
          </cell>
          <cell r="V39">
            <v>1640.4942339027027</v>
          </cell>
          <cell r="W39">
            <v>6520.2369651761364</v>
          </cell>
          <cell r="X39">
            <v>1050.7286110660377</v>
          </cell>
          <cell r="Y39">
            <v>0.53504207834284023</v>
          </cell>
          <cell r="Z39">
            <v>141.83019285949101</v>
          </cell>
          <cell r="AA39">
            <v>71.96785917517073</v>
          </cell>
          <cell r="AB39">
            <v>172.60056528566838</v>
          </cell>
          <cell r="AC39">
            <v>687.09146332574653</v>
          </cell>
        </row>
        <row r="40">
          <cell r="R40">
            <v>11249.672612170845</v>
          </cell>
          <cell r="S40">
            <v>5.7284518111538532</v>
          </cell>
          <cell r="T40">
            <v>1524.3119229344136</v>
          </cell>
          <cell r="U40">
            <v>770.52708548411488</v>
          </cell>
          <cell r="V40">
            <v>1847.5103652791963</v>
          </cell>
          <cell r="W40">
            <v>7445.6132380709441</v>
          </cell>
          <cell r="X40">
            <v>1174.2277249555293</v>
          </cell>
          <cell r="Y40">
            <v>0.59792912821758637</v>
          </cell>
          <cell r="Z40">
            <v>158.9243923384677</v>
          </cell>
          <cell r="AA40">
            <v>80.426719763005906</v>
          </cell>
          <cell r="AB40">
            <v>192.91769650938235</v>
          </cell>
          <cell r="AC40">
            <v>777.91043015071534</v>
          </cell>
        </row>
        <row r="41">
          <cell r="R41">
            <v>12401.061833197546</v>
          </cell>
          <cell r="S41">
            <v>6.3147513325637172</v>
          </cell>
          <cell r="T41">
            <v>1684.883444839483</v>
          </cell>
          <cell r="U41">
            <v>849.38952098074492</v>
          </cell>
          <cell r="V41">
            <v>2036.8212450809663</v>
          </cell>
          <cell r="W41">
            <v>8313.4311921630051</v>
          </cell>
          <cell r="X41">
            <v>1307.2780179463857</v>
          </cell>
          <cell r="Y41">
            <v>0.66567973911389278</v>
          </cell>
          <cell r="Z41">
            <v>177.47944535208435</v>
          </cell>
          <cell r="AA41">
            <v>89.539772028201483</v>
          </cell>
          <cell r="AB41">
            <v>214.79376375406451</v>
          </cell>
          <cell r="AC41">
            <v>878.19227311578584</v>
          </cell>
        </row>
        <row r="42">
          <cell r="R42">
            <v>13755.633618992906</v>
          </cell>
          <cell r="S42">
            <v>7.004513556513448</v>
          </cell>
          <cell r="T42">
            <v>1875.1957894470984</v>
          </cell>
          <cell r="U42">
            <v>942.16859875219154</v>
          </cell>
          <cell r="V42">
            <v>2259.4142865027834</v>
          </cell>
          <cell r="W42">
            <v>9359.0801528833963</v>
          </cell>
          <cell r="X42">
            <v>1445.8005471350239</v>
          </cell>
          <cell r="Y42">
            <v>0.73621687033296224</v>
          </cell>
          <cell r="Z42">
            <v>196.94135027828756</v>
          </cell>
          <cell r="AA42">
            <v>99.027635752709728</v>
          </cell>
          <cell r="AB42">
            <v>237.55678849803306</v>
          </cell>
          <cell r="AC42">
            <v>985.12343778448655</v>
          </cell>
        </row>
        <row r="43">
          <cell r="R43">
            <v>14964.966993723665</v>
          </cell>
          <cell r="S43">
            <v>7.6203188514400173</v>
          </cell>
          <cell r="T43">
            <v>2046.3500051820106</v>
          </cell>
          <cell r="U43">
            <v>1024.9998199560723</v>
          </cell>
          <cell r="V43">
            <v>2458.0297250405847</v>
          </cell>
          <cell r="W43">
            <v>10314.529487269408</v>
          </cell>
          <cell r="X43">
            <v>1590.8760538735503</v>
          </cell>
          <cell r="Y43">
            <v>0.81009084675706422</v>
          </cell>
          <cell r="Z43">
            <v>217.47355843280536</v>
          </cell>
          <cell r="AA43">
            <v>108.96433446707319</v>
          </cell>
          <cell r="AB43">
            <v>261.38333293486482</v>
          </cell>
          <cell r="AC43">
            <v>1099.7422015144616</v>
          </cell>
        </row>
        <row r="44">
          <cell r="R44">
            <v>16397.390539226486</v>
          </cell>
          <cell r="S44">
            <v>8.3497240116130875</v>
          </cell>
          <cell r="T44">
            <v>2250.5466479195156</v>
          </cell>
          <cell r="U44">
            <v>1123.1112208603986</v>
          </cell>
          <cell r="V44">
            <v>2693.1537873611192</v>
          </cell>
          <cell r="W44">
            <v>11472.044243055945</v>
          </cell>
          <cell r="X44">
            <v>1742.3023029624844</v>
          </cell>
          <cell r="Y44">
            <v>0.88719868809204427</v>
          </cell>
          <cell r="Z44">
            <v>239.0598635332563</v>
          </cell>
          <cell r="AA44">
            <v>119.33601641718221</v>
          </cell>
          <cell r="AB44">
            <v>286.2390782481362</v>
          </cell>
          <cell r="AC44">
            <v>1222.1069296593912</v>
          </cell>
        </row>
        <row r="45">
          <cell r="R45">
            <v>17932.248916150977</v>
          </cell>
          <cell r="S45">
            <v>9.1312900671128219</v>
          </cell>
          <cell r="T45">
            <v>2470.9107588886254</v>
          </cell>
          <cell r="U45">
            <v>1228.2387203507408</v>
          </cell>
          <cell r="V45">
            <v>2944.9526931629339</v>
          </cell>
          <cell r="W45">
            <v>12739.832798848805</v>
          </cell>
          <cell r="X45">
            <v>1907.1469729523392</v>
          </cell>
          <cell r="Y45">
            <v>0.97113933071490721</v>
          </cell>
          <cell r="Z45">
            <v>262.72709543975918</v>
          </cell>
          <cell r="AA45">
            <v>130.62677015764709</v>
          </cell>
          <cell r="AB45">
            <v>313.28242514889632</v>
          </cell>
          <cell r="AC45">
            <v>1358.2681476835282</v>
          </cell>
        </row>
      </sheetData>
      <sheetData sheetId="3">
        <row r="1">
          <cell r="R1" t="str">
            <v>photoacid generators</v>
          </cell>
          <cell r="S1" t="str">
            <v>surfactant</v>
          </cell>
          <cell r="T1" t="str">
            <v>Top antireflective coatings</v>
          </cell>
          <cell r="U1" t="str">
            <v>polymer</v>
          </cell>
          <cell r="V1" t="str">
            <v>immersion topcoat</v>
          </cell>
          <cell r="W1" t="str">
            <v>PBO/PI</v>
          </cell>
        </row>
        <row r="2">
          <cell r="R2">
            <v>5.6519089160315698E-3</v>
          </cell>
          <cell r="S2">
            <v>4.4960884413719976E-3</v>
          </cell>
          <cell r="T2">
            <v>0.20021511787003621</v>
          </cell>
          <cell r="U2">
            <v>2.856161862701648E-4</v>
          </cell>
          <cell r="V2">
            <v>0.1223368838021747</v>
          </cell>
          <cell r="W2">
            <v>9.2897712876290842E-4</v>
          </cell>
          <cell r="X2">
            <v>4.6180560625074679E-4</v>
          </cell>
          <cell r="Y2">
            <v>3.673659429534184E-4</v>
          </cell>
          <cell r="Z2">
            <v>1.6359156749018701E-2</v>
          </cell>
          <cell r="AA2">
            <v>2.3337098671457591E-5</v>
          </cell>
          <cell r="AB2">
            <v>9.9958898188965209E-3</v>
          </cell>
          <cell r="AC2">
            <v>7.5904769966225107E-5</v>
          </cell>
        </row>
        <row r="3">
          <cell r="R3">
            <v>1.0113684246193353E-2</v>
          </cell>
          <cell r="S3">
            <v>8.0454266893819158E-3</v>
          </cell>
          <cell r="T3">
            <v>0.3582705442595317</v>
          </cell>
          <cell r="U3">
            <v>5.1108960998023575E-4</v>
          </cell>
          <cell r="V3">
            <v>0.21891304916979842</v>
          </cell>
          <cell r="W3">
            <v>1.6623377148901812E-3</v>
          </cell>
          <cell r="X3">
            <v>7.6595410009465664E-4</v>
          </cell>
          <cell r="Y3">
            <v>6.0931579528622384E-4</v>
          </cell>
          <cell r="Z3">
            <v>2.713341504823228E-2</v>
          </cell>
          <cell r="AA3">
            <v>3.8707079710095235E-5</v>
          </cell>
          <cell r="AB3">
            <v>1.6579254749716117E-2</v>
          </cell>
          <cell r="AC3">
            <v>1.258961974160266E-4</v>
          </cell>
        </row>
        <row r="4">
          <cell r="R4">
            <v>1.7561453095145878E-2</v>
          </cell>
          <cell r="S4">
            <v>1.3970120086475375E-2</v>
          </cell>
          <cell r="T4">
            <v>0.62210280697207621</v>
          </cell>
          <cell r="U4">
            <v>8.8745861494168702E-4</v>
          </cell>
          <cell r="V4">
            <v>0.38012173915334246</v>
          </cell>
          <cell r="W4">
            <v>2.8864917173307791E-3</v>
          </cell>
          <cell r="X4">
            <v>1.2086347436747389E-3</v>
          </cell>
          <cell r="Y4">
            <v>9.6146784769704291E-4</v>
          </cell>
          <cell r="Z4">
            <v>4.2815082702459317E-2</v>
          </cell>
          <cell r="AA4">
            <v>6.1077708648634739E-5</v>
          </cell>
          <cell r="AB4">
            <v>2.6161180300836577E-2</v>
          </cell>
          <cell r="AC4">
            <v>1.9865748910377189E-4</v>
          </cell>
        </row>
        <row r="5">
          <cell r="R5">
            <v>2.983103050511729E-2</v>
          </cell>
          <cell r="S5">
            <v>2.3730557841764796E-2</v>
          </cell>
          <cell r="T5">
            <v>1.0567444340487215</v>
          </cell>
          <cell r="U5">
            <v>1.5074951298689608E-3</v>
          </cell>
          <cell r="V5">
            <v>0.64569959757350037</v>
          </cell>
          <cell r="W5">
            <v>4.903183239219738E-3</v>
          </cell>
          <cell r="X5">
            <v>1.8362675124611251E-3</v>
          </cell>
          <cell r="Y5">
            <v>1.4607491487743677E-3</v>
          </cell>
          <cell r="Z5">
            <v>6.5048556498405685E-2</v>
          </cell>
          <cell r="AA5">
            <v>9.2794794055032047E-5</v>
          </cell>
          <cell r="AB5">
            <v>3.9746437644185527E-2</v>
          </cell>
          <cell r="AC5">
            <v>3.0181847349452509E-4</v>
          </cell>
        </row>
        <row r="6">
          <cell r="R6">
            <v>4.9386900087826105E-2</v>
          </cell>
          <cell r="S6">
            <v>3.9287234443965056E-2</v>
          </cell>
          <cell r="T6">
            <v>1.7494981198781536</v>
          </cell>
          <cell r="U6">
            <v>2.495740512516032E-3</v>
          </cell>
          <cell r="V6">
            <v>1.0689909457416045</v>
          </cell>
          <cell r="W6">
            <v>8.1174876176707753E-3</v>
          </cell>
          <cell r="X6">
            <v>2.706470736280915E-3</v>
          </cell>
          <cell r="Y6">
            <v>2.1529950278901862E-3</v>
          </cell>
          <cell r="Z6">
            <v>9.5874927484988562E-2</v>
          </cell>
          <cell r="AA6">
            <v>1.3677004732962371E-4</v>
          </cell>
          <cell r="AB6">
            <v>5.8582188937833013E-2</v>
          </cell>
          <cell r="AC6">
            <v>4.4484959878589715E-4</v>
          </cell>
        </row>
        <row r="7">
          <cell r="R7">
            <v>0.10396678976446169</v>
          </cell>
          <cell r="S7">
            <v>8.2705487418710866E-2</v>
          </cell>
          <cell r="T7">
            <v>3.7277364488442917</v>
          </cell>
          <cell r="U7">
            <v>5.2539059691937336E-3</v>
          </cell>
          <cell r="V7">
            <v>2.2386706189932646</v>
          </cell>
          <cell r="W7">
            <v>1.7213340284655591E-2</v>
          </cell>
          <cell r="X7">
            <v>6.0659311491194114E-3</v>
          </cell>
          <cell r="Y7">
            <v>4.8254427541029052E-3</v>
          </cell>
          <cell r="Z7">
            <v>0.21763796864713367</v>
          </cell>
          <cell r="AA7">
            <v>3.0653857780237569E-4</v>
          </cell>
          <cell r="AB7">
            <v>0.13057743446272355</v>
          </cell>
          <cell r="AC7">
            <v>1.0047106966515414E-3</v>
          </cell>
        </row>
        <row r="8">
          <cell r="R8">
            <v>0.2176238841125655</v>
          </cell>
          <cell r="S8">
            <v>0.17311960338738047</v>
          </cell>
          <cell r="T8">
            <v>7.940293845151194</v>
          </cell>
          <cell r="U8">
            <v>1.0997506284155424E-2</v>
          </cell>
          <cell r="V8">
            <v>4.6500618199737156</v>
          </cell>
          <cell r="W8">
            <v>3.6413958916717573E-2</v>
          </cell>
          <cell r="X8">
            <v>1.4128477783770041E-2</v>
          </cell>
          <cell r="Y8">
            <v>1.1239191324829676E-2</v>
          </cell>
          <cell r="Z8">
            <v>0.51646612938511283</v>
          </cell>
          <cell r="AA8">
            <v>7.1397504849326338E-4</v>
          </cell>
          <cell r="AB8">
            <v>0.30163542361688167</v>
          </cell>
          <cell r="AC8">
            <v>2.3667539903240772E-3</v>
          </cell>
        </row>
        <row r="9">
          <cell r="R9">
            <v>0.31144041347031215</v>
          </cell>
          <cell r="S9">
            <v>0.24775056781402754</v>
          </cell>
          <cell r="T9">
            <v>11.494167903101689</v>
          </cell>
          <cell r="U9">
            <v>1.5738474286710699E-2</v>
          </cell>
          <cell r="V9">
            <v>6.6204485256430559</v>
          </cell>
          <cell r="W9">
            <v>5.2476551203949874E-2</v>
          </cell>
          <cell r="X9">
            <v>1.9846062414753195E-2</v>
          </cell>
          <cell r="Y9">
            <v>1.5787524738167712E-2</v>
          </cell>
          <cell r="Z9">
            <v>0.73305456889883336</v>
          </cell>
          <cell r="AA9">
            <v>1.0029101218003073E-3</v>
          </cell>
          <cell r="AB9">
            <v>0.42171930246587369</v>
          </cell>
          <cell r="AC9">
            <v>3.3456777623282756E-3</v>
          </cell>
        </row>
        <row r="10">
          <cell r="R10">
            <v>0.51620344731144574</v>
          </cell>
          <cell r="S10">
            <v>0.41063937641850112</v>
          </cell>
          <cell r="T10">
            <v>19.417866243283136</v>
          </cell>
          <cell r="U10">
            <v>2.6086064398951388E-2</v>
          </cell>
          <cell r="V10">
            <v>10.877296322558998</v>
          </cell>
          <cell r="W10">
            <v>8.8000209717446848E-2</v>
          </cell>
          <cell r="X10">
            <v>3.4102746479731882E-2</v>
          </cell>
          <cell r="Y10">
            <v>2.7128704043981731E-2</v>
          </cell>
          <cell r="Z10">
            <v>1.2847443038233894</v>
          </cell>
          <cell r="AA10">
            <v>1.7233640059646179E-3</v>
          </cell>
          <cell r="AB10">
            <v>0.71810353264101656</v>
          </cell>
          <cell r="AC10">
            <v>5.8190225197225619E-3</v>
          </cell>
        </row>
        <row r="11">
          <cell r="R11">
            <v>0.78196941005883325</v>
          </cell>
          <cell r="S11">
            <v>0.6220559599075397</v>
          </cell>
          <cell r="T11">
            <v>29.918592728521048</v>
          </cell>
          <cell r="U11">
            <v>3.9516404811023149E-2</v>
          </cell>
          <cell r="V11">
            <v>16.345732818731392</v>
          </cell>
          <cell r="W11">
            <v>0.13471023072717855</v>
          </cell>
          <cell r="X11">
            <v>5.2965570513709523E-2</v>
          </cell>
          <cell r="Y11">
            <v>4.2134063537699211E-2</v>
          </cell>
          <cell r="Z11">
            <v>2.0300367177667109</v>
          </cell>
          <cell r="AA11">
            <v>2.6765867034479838E-3</v>
          </cell>
          <cell r="AB11">
            <v>1.1062275583889116</v>
          </cell>
          <cell r="AC11">
            <v>9.1342811699337018E-3</v>
          </cell>
        </row>
        <row r="12">
          <cell r="R12">
            <v>1.0037765612907219</v>
          </cell>
          <cell r="S12">
            <v>0.79850334851258542</v>
          </cell>
          <cell r="T12">
            <v>38.862720906315154</v>
          </cell>
          <cell r="U12">
            <v>5.0725310255802236E-2</v>
          </cell>
          <cell r="V12">
            <v>20.862510152101873</v>
          </cell>
          <cell r="W12">
            <v>0.17419666261567929</v>
          </cell>
          <cell r="X12">
            <v>6.7812847639028548E-2</v>
          </cell>
          <cell r="Y12">
            <v>5.3945059089953229E-2</v>
          </cell>
          <cell r="Z12">
            <v>2.6287367549952307</v>
          </cell>
          <cell r="AA12">
            <v>3.4268858912146869E-3</v>
          </cell>
          <cell r="AB12">
            <v>1.4085705820897165</v>
          </cell>
          <cell r="AC12">
            <v>1.1777415053050444E-2</v>
          </cell>
        </row>
        <row r="13">
          <cell r="R13">
            <v>1.3714938181654615</v>
          </cell>
          <cell r="S13">
            <v>1.0910220944601714</v>
          </cell>
          <cell r="T13">
            <v>53.988795850198606</v>
          </cell>
          <cell r="U13">
            <v>6.9307704645843571E-2</v>
          </cell>
          <cell r="V13">
            <v>28.272503491032516</v>
          </cell>
          <cell r="W13">
            <v>0.2404896109619073</v>
          </cell>
          <cell r="X13">
            <v>9.3761053326984006E-2</v>
          </cell>
          <cell r="Y13">
            <v>7.4586833294247201E-2</v>
          </cell>
          <cell r="Z13">
            <v>3.6961180012036938</v>
          </cell>
          <cell r="AA13">
            <v>4.7381645510893664E-3</v>
          </cell>
          <cell r="AB13">
            <v>1.9314615471184524</v>
          </cell>
          <cell r="AC13">
            <v>1.6455419762345061E-2</v>
          </cell>
        </row>
        <row r="14">
          <cell r="R14">
            <v>1.8569511274491128</v>
          </cell>
          <cell r="S14">
            <v>1.4772029458285809</v>
          </cell>
          <cell r="T14">
            <v>74.351161065720618</v>
          </cell>
          <cell r="U14">
            <v>9.3840029446988313E-2</v>
          </cell>
          <cell r="V14">
            <v>37.952297429199874</v>
          </cell>
          <cell r="W14">
            <v>0.32910452978552451</v>
          </cell>
          <cell r="X14">
            <v>0.11773421647043934</v>
          </cell>
          <cell r="Y14">
            <v>9.365746293703614E-2</v>
          </cell>
          <cell r="Z14">
            <v>4.7016653355689986</v>
          </cell>
          <cell r="AA14">
            <v>5.9496354950821844E-3</v>
          </cell>
          <cell r="AB14">
            <v>2.4094753185397555</v>
          </cell>
          <cell r="AC14">
            <v>2.0831458324906613E-2</v>
          </cell>
        </row>
        <row r="15">
          <cell r="R15">
            <v>2.4961536675816993</v>
          </cell>
          <cell r="S15">
            <v>1.9856879895691</v>
          </cell>
          <cell r="T15">
            <v>101.06648358622101</v>
          </cell>
          <cell r="U15">
            <v>0.12614178704414694</v>
          </cell>
          <cell r="V15">
            <v>50.675224458003626</v>
          </cell>
          <cell r="W15">
            <v>0.45031179537678961</v>
          </cell>
          <cell r="X15">
            <v>0.16471931208158125</v>
          </cell>
          <cell r="Y15">
            <v>0.13103406408763282</v>
          </cell>
          <cell r="Z15">
            <v>6.6653965539209148</v>
          </cell>
          <cell r="AA15">
            <v>8.324002106321898E-3</v>
          </cell>
          <cell r="AB15">
            <v>3.3446842787199351</v>
          </cell>
          <cell r="AC15">
            <v>2.97408956393913E-2</v>
          </cell>
        </row>
        <row r="16">
          <cell r="R16">
            <v>4.1724843963459382</v>
          </cell>
          <cell r="S16">
            <v>3.3192075712692191</v>
          </cell>
          <cell r="T16">
            <v>170.880742875875</v>
          </cell>
          <cell r="U16">
            <v>0.21085426150017611</v>
          </cell>
          <cell r="V16">
            <v>83.98347649712278</v>
          </cell>
          <cell r="W16">
            <v>0.77987921402199167</v>
          </cell>
          <cell r="X16">
            <v>0.28567635232749755</v>
          </cell>
          <cell r="Y16">
            <v>0.22725528042918686</v>
          </cell>
          <cell r="Z16">
            <v>11.702902593592853</v>
          </cell>
          <cell r="AA16">
            <v>1.4436501272678332E-2</v>
          </cell>
          <cell r="AB16">
            <v>5.7480689529285076</v>
          </cell>
          <cell r="AC16">
            <v>5.3521107286646094E-2</v>
          </cell>
        </row>
        <row r="17">
          <cell r="R17">
            <v>5.7604849452367137</v>
          </cell>
          <cell r="S17">
            <v>4.5824605746055402</v>
          </cell>
          <cell r="T17">
            <v>236.78523417018295</v>
          </cell>
          <cell r="U17">
            <v>0.29110301768281704</v>
          </cell>
          <cell r="V17">
            <v>115.48244207133411</v>
          </cell>
          <cell r="W17">
            <v>1.1029975425630556</v>
          </cell>
          <cell r="X17">
            <v>0.42012853790603222</v>
          </cell>
          <cell r="Y17">
            <v>0.33421187270231617</v>
          </cell>
          <cell r="Z17">
            <v>17.282877298356439</v>
          </cell>
          <cell r="AA17">
            <v>2.1230970371729725E-2</v>
          </cell>
          <cell r="AB17">
            <v>8.4150105782786842</v>
          </cell>
          <cell r="AC17">
            <v>8.0878758707594811E-2</v>
          </cell>
        </row>
        <row r="18">
          <cell r="R18">
            <v>8.3253038315336703</v>
          </cell>
          <cell r="S18">
            <v>6.6227716836863966</v>
          </cell>
          <cell r="T18">
            <v>342.86147840240278</v>
          </cell>
          <cell r="U18">
            <v>0.42071476473343716</v>
          </cell>
          <cell r="V18">
            <v>166.27096409591903</v>
          </cell>
          <cell r="W18">
            <v>1.6422464159091277</v>
          </cell>
          <cell r="X18">
            <v>0.62942544286340052</v>
          </cell>
          <cell r="Y18">
            <v>0.50070737168754798</v>
          </cell>
          <cell r="Z18">
            <v>25.939016617167972</v>
          </cell>
          <cell r="AA18">
            <v>3.1807677229568759E-2</v>
          </cell>
          <cell r="AB18">
            <v>12.559506130731513</v>
          </cell>
          <cell r="AC18">
            <v>0.12488308228618115</v>
          </cell>
        </row>
        <row r="19">
          <cell r="R19">
            <v>11.064705842869721</v>
          </cell>
          <cell r="S19">
            <v>8.8019635111596504</v>
          </cell>
          <cell r="T19">
            <v>455.77113976808198</v>
          </cell>
          <cell r="U19">
            <v>0.55914897638877781</v>
          </cell>
          <cell r="V19">
            <v>220.42581959593826</v>
          </cell>
          <cell r="W19">
            <v>2.2364852248633955</v>
          </cell>
          <cell r="X19">
            <v>0.87974184380890819</v>
          </cell>
          <cell r="Y19">
            <v>0.69983384270774174</v>
          </cell>
          <cell r="Z19">
            <v>36.256282921301434</v>
          </cell>
          <cell r="AA19">
            <v>4.4457282320715281E-2</v>
          </cell>
          <cell r="AB19">
            <v>17.507976076505351</v>
          </cell>
          <cell r="AC19">
            <v>0.17918242182964264</v>
          </cell>
        </row>
        <row r="20">
          <cell r="R20">
            <v>15.141051931836712</v>
          </cell>
          <cell r="S20">
            <v>12.044693145681959</v>
          </cell>
          <cell r="T20">
            <v>623.21793206750181</v>
          </cell>
          <cell r="U20">
            <v>0.76514494007913647</v>
          </cell>
          <cell r="V20">
            <v>300.87743816369209</v>
          </cell>
          <cell r="W20">
            <v>3.147550953904783</v>
          </cell>
          <cell r="X20">
            <v>1.22251235363748</v>
          </cell>
          <cell r="Y20">
            <v>0.97250747389667369</v>
          </cell>
          <cell r="Z20">
            <v>50.336496208632013</v>
          </cell>
          <cell r="AA20">
            <v>6.1779006226318621E-2</v>
          </cell>
          <cell r="AB20">
            <v>24.272966514299871</v>
          </cell>
          <cell r="AC20">
            <v>0.25579183075006973</v>
          </cell>
        </row>
        <row r="21">
          <cell r="R21">
            <v>18.490292462229071</v>
          </cell>
          <cell r="S21">
            <v>14.709010964633094</v>
          </cell>
          <cell r="T21">
            <v>760.33730932970172</v>
          </cell>
          <cell r="U21">
            <v>0.93439701427282229</v>
          </cell>
          <cell r="V21">
            <v>366.87096621586807</v>
          </cell>
          <cell r="W21">
            <v>3.9178216929720966</v>
          </cell>
          <cell r="X21">
            <v>1.5643545649982187</v>
          </cell>
          <cell r="Y21">
            <v>1.2444426444923131</v>
          </cell>
          <cell r="Z21">
            <v>64.331666372844339</v>
          </cell>
          <cell r="AA21">
            <v>7.9053819066644382E-2</v>
          </cell>
          <cell r="AB21">
            <v>31.008634902443376</v>
          </cell>
          <cell r="AC21">
            <v>0.33440996832479764</v>
          </cell>
        </row>
        <row r="22">
          <cell r="R22">
            <v>23.160529981162512</v>
          </cell>
          <cell r="S22">
            <v>18.424180695655913</v>
          </cell>
          <cell r="T22">
            <v>950.90714501065156</v>
          </cell>
          <cell r="U22">
            <v>1.1704049629058988</v>
          </cell>
          <cell r="V22">
            <v>458.74530780884157</v>
          </cell>
          <cell r="W22">
            <v>5.0217453801819447</v>
          </cell>
          <cell r="X22">
            <v>1.9767997677824396</v>
          </cell>
          <cell r="Y22">
            <v>1.5725424310400955</v>
          </cell>
          <cell r="Z22">
            <v>81.161562968753458</v>
          </cell>
          <cell r="AA22">
            <v>9.9896516218134696E-2</v>
          </cell>
          <cell r="AB22">
            <v>39.122383142304749</v>
          </cell>
          <cell r="AC22">
            <v>0.43190137581397198</v>
          </cell>
        </row>
        <row r="23">
          <cell r="R23">
            <v>28.193731181429861</v>
          </cell>
          <cell r="S23">
            <v>22.428087707574093</v>
          </cell>
          <cell r="T23">
            <v>1154.2980692553072</v>
          </cell>
          <cell r="U23">
            <v>1.4247550865381364</v>
          </cell>
          <cell r="V23">
            <v>558.4838852294007</v>
          </cell>
          <cell r="W23">
            <v>6.2375662893114159</v>
          </cell>
          <cell r="X23">
            <v>2.4799538508830583</v>
          </cell>
          <cell r="Y23">
            <v>1.972801050007051</v>
          </cell>
          <cell r="Z23">
            <v>101.49394586532259</v>
          </cell>
          <cell r="AA23">
            <v>0.12532313799433348</v>
          </cell>
          <cell r="AB23">
            <v>49.092950674780084</v>
          </cell>
          <cell r="AC23">
            <v>0.55344335881975881</v>
          </cell>
        </row>
        <row r="24">
          <cell r="R24">
            <v>34.825908705864961</v>
          </cell>
          <cell r="S24">
            <v>27.703978942154855</v>
          </cell>
          <cell r="T24">
            <v>1419.7603295619492</v>
          </cell>
          <cell r="U24">
            <v>1.7599086212709449</v>
          </cell>
          <cell r="V24">
            <v>690.83321587417595</v>
          </cell>
          <cell r="W24">
            <v>7.8729973705042422</v>
          </cell>
          <cell r="X24">
            <v>3.0936706566071845</v>
          </cell>
          <cell r="Y24">
            <v>2.4610122150286946</v>
          </cell>
          <cell r="Z24">
            <v>126.05882668093005</v>
          </cell>
          <cell r="AA24">
            <v>0.15633698766972934</v>
          </cell>
          <cell r="AB24">
            <v>61.340060789637278</v>
          </cell>
          <cell r="AC24">
            <v>0.70478001038460136</v>
          </cell>
        </row>
        <row r="25">
          <cell r="R25">
            <v>41.416113824187399</v>
          </cell>
          <cell r="S25">
            <v>32.946481165556676</v>
          </cell>
          <cell r="T25">
            <v>1681.0903887106581</v>
          </cell>
          <cell r="U25">
            <v>2.0929411029682949</v>
          </cell>
          <cell r="V25">
            <v>823.23712875905437</v>
          </cell>
          <cell r="W25">
            <v>9.5302476112719798</v>
          </cell>
          <cell r="X25">
            <v>3.7955408164063358</v>
          </cell>
          <cell r="Y25">
            <v>3.01934929365108</v>
          </cell>
          <cell r="Z25">
            <v>153.89100596546746</v>
          </cell>
          <cell r="AA25">
            <v>0.19180561982161112</v>
          </cell>
          <cell r="AB25">
            <v>75.441345017676355</v>
          </cell>
          <cell r="AC25">
            <v>0.88128050929637503</v>
          </cell>
        </row>
        <row r="26">
          <cell r="R26">
            <v>50.226986509766</v>
          </cell>
          <cell r="S26">
            <v>39.955522434368397</v>
          </cell>
          <cell r="T26">
            <v>2027.2965913920148</v>
          </cell>
          <cell r="U26">
            <v>2.538193829357573</v>
          </cell>
          <cell r="V26">
            <v>1001.4145255712335</v>
          </cell>
          <cell r="W26">
            <v>11.787687896647201</v>
          </cell>
          <cell r="X26">
            <v>4.6275684361980245</v>
          </cell>
          <cell r="Y26">
            <v>3.6812265142192913</v>
          </cell>
          <cell r="Z26">
            <v>186.58392221263622</v>
          </cell>
          <cell r="AA26">
            <v>0.23385168941807619</v>
          </cell>
          <cell r="AB26">
            <v>92.266978602527246</v>
          </cell>
          <cell r="AC26">
            <v>1.0944549285042349</v>
          </cell>
        </row>
        <row r="27">
          <cell r="R27">
            <v>59.013916965742524</v>
          </cell>
          <cell r="S27">
            <v>46.945517681141574</v>
          </cell>
          <cell r="T27">
            <v>2371.4052931766082</v>
          </cell>
          <cell r="U27">
            <v>2.9822366480127838</v>
          </cell>
          <cell r="V27">
            <v>1179.2879843866037</v>
          </cell>
          <cell r="W27">
            <v>14.019739313964116</v>
          </cell>
          <cell r="X27">
            <v>5.5899605391939708</v>
          </cell>
          <cell r="Y27">
            <v>4.4468085635113948</v>
          </cell>
          <cell r="Z27">
            <v>224.27256659520702</v>
          </cell>
          <cell r="AA27">
            <v>0.28248565826611388</v>
          </cell>
          <cell r="AB27">
            <v>111.74864093661964</v>
          </cell>
          <cell r="AC27">
            <v>1.3389212604353871</v>
          </cell>
        </row>
        <row r="28">
          <cell r="R28">
            <v>70.539343822742197</v>
          </cell>
          <cell r="S28">
            <v>56.11398434320148</v>
          </cell>
          <cell r="T28">
            <v>2821.2848176498374</v>
          </cell>
          <cell r="U28">
            <v>3.5646679137918005</v>
          </cell>
          <cell r="V28">
            <v>1412.8261555237468</v>
          </cell>
          <cell r="W28">
            <v>16.922909898252367</v>
          </cell>
          <cell r="X28">
            <v>6.6446765365603371</v>
          </cell>
          <cell r="Y28">
            <v>5.2858341874449586</v>
          </cell>
          <cell r="Z28">
            <v>265.44198593530865</v>
          </cell>
          <cell r="AA28">
            <v>0.33578516560803867</v>
          </cell>
          <cell r="AB28">
            <v>133.12020904860111</v>
          </cell>
          <cell r="AC28">
            <v>1.6045964927997867</v>
          </cell>
        </row>
        <row r="29">
          <cell r="R29">
            <v>83.375601080870481</v>
          </cell>
          <cell r="S29">
            <v>66.325215406222668</v>
          </cell>
          <cell r="T29">
            <v>3320.7383273492119</v>
          </cell>
          <cell r="U29">
            <v>4.2133412909670893</v>
          </cell>
          <cell r="V29">
            <v>1673.173637871653</v>
          </cell>
          <cell r="W29">
            <v>20.129760651894088</v>
          </cell>
          <cell r="X29">
            <v>8.0205403321483306</v>
          </cell>
          <cell r="Y29">
            <v>6.3803325950004757</v>
          </cell>
          <cell r="Z29">
            <v>318.97628240163914</v>
          </cell>
          <cell r="AA29">
            <v>0.4053137047195563</v>
          </cell>
          <cell r="AB29">
            <v>161.0257478697512</v>
          </cell>
          <cell r="AC29">
            <v>1.9483251795239318</v>
          </cell>
        </row>
        <row r="30">
          <cell r="R30">
            <v>100.14393337854192</v>
          </cell>
          <cell r="S30">
            <v>79.664408614166462</v>
          </cell>
          <cell r="T30">
            <v>3971.1663896924974</v>
          </cell>
          <cell r="U30">
            <v>5.0607199717145681</v>
          </cell>
          <cell r="V30">
            <v>2013.5871106322656</v>
          </cell>
          <cell r="W30">
            <v>24.285313360374733</v>
          </cell>
          <cell r="X30">
            <v>9.6298540148274014</v>
          </cell>
          <cell r="Y30">
            <v>7.6605401770284578</v>
          </cell>
          <cell r="Z30">
            <v>381.4000680080851</v>
          </cell>
          <cell r="AA30">
            <v>0.4866395086891514</v>
          </cell>
          <cell r="AB30">
            <v>193.69638259697621</v>
          </cell>
          <cell r="AC30">
            <v>2.3471476571641596</v>
          </cell>
        </row>
        <row r="31">
          <cell r="R31">
            <v>119.66857063118142</v>
          </cell>
          <cell r="S31">
            <v>95.196239925986433</v>
          </cell>
          <cell r="T31">
            <v>4726.2222225564574</v>
          </cell>
          <cell r="U31">
            <v>6.0473870453097325</v>
          </cell>
          <cell r="V31">
            <v>2410.3125575882709</v>
          </cell>
          <cell r="W31">
            <v>29.085873345946307</v>
          </cell>
          <cell r="X31">
            <v>11.555937640958078</v>
          </cell>
          <cell r="Y31">
            <v>9.19273796316023</v>
          </cell>
          <cell r="Z31">
            <v>455.88548136945906</v>
          </cell>
          <cell r="AA31">
            <v>0.58397311188513412</v>
          </cell>
          <cell r="AB31">
            <v>232.83290419089388</v>
          </cell>
          <cell r="AC31">
            <v>2.8207175301828009</v>
          </cell>
        </row>
        <row r="32">
          <cell r="R32">
            <v>143.92038305545881</v>
          </cell>
          <cell r="S32">
            <v>114.4885348201645</v>
          </cell>
          <cell r="T32">
            <v>5661.32568979802</v>
          </cell>
          <cell r="U32">
            <v>7.2729393812849246</v>
          </cell>
          <cell r="V32">
            <v>2903.5207936947522</v>
          </cell>
          <cell r="W32">
            <v>35.002746790763958</v>
          </cell>
          <cell r="X32">
            <v>13.950110921409722</v>
          </cell>
          <cell r="Y32">
            <v>11.097300646813391</v>
          </cell>
          <cell r="Z32">
            <v>548.20022043144684</v>
          </cell>
          <cell r="AA32">
            <v>0.70496137475202081</v>
          </cell>
          <cell r="AB32">
            <v>281.52311999524971</v>
          </cell>
          <cell r="AC32">
            <v>3.4048396591835735</v>
          </cell>
        </row>
        <row r="33">
          <cell r="R33">
            <v>154.87744535494255</v>
          </cell>
          <cell r="S33">
            <v>123.20486798971811</v>
          </cell>
          <cell r="T33">
            <v>6082.5956006433335</v>
          </cell>
          <cell r="U33">
            <v>7.8266486489318821</v>
          </cell>
          <cell r="V33">
            <v>3126.5432423432599</v>
          </cell>
          <cell r="W33">
            <v>37.655814569024031</v>
          </cell>
          <cell r="X33">
            <v>15.77322532587711</v>
          </cell>
          <cell r="Y33">
            <v>12.547586510050545</v>
          </cell>
          <cell r="Z33">
            <v>618.29412166508041</v>
          </cell>
          <cell r="AA33">
            <v>0.79709148354786274</v>
          </cell>
          <cell r="AB33">
            <v>318.63119034635463</v>
          </cell>
          <cell r="AC33">
            <v>3.846276054302193</v>
          </cell>
        </row>
        <row r="34">
          <cell r="R34">
            <v>169.25818054670324</v>
          </cell>
          <cell r="S34">
            <v>134.64472985492046</v>
          </cell>
          <cell r="T34">
            <v>6633.9471007278253</v>
          </cell>
          <cell r="U34">
            <v>8.5533713902664648</v>
          </cell>
          <cell r="V34">
            <v>3419.4933136575473</v>
          </cell>
          <cell r="W34">
            <v>41.112074086531564</v>
          </cell>
          <cell r="X34">
            <v>17.685252308916183</v>
          </cell>
          <cell r="Y34">
            <v>14.06860224929027</v>
          </cell>
          <cell r="Z34">
            <v>691.60045345155345</v>
          </cell>
          <cell r="AA34">
            <v>0.89371474182300004</v>
          </cell>
          <cell r="AB34">
            <v>357.58110727112069</v>
          </cell>
          <cell r="AC34">
            <v>4.3058117713388482</v>
          </cell>
        </row>
        <row r="35">
          <cell r="R35">
            <v>193.34948135279726</v>
          </cell>
          <cell r="S35">
            <v>153.80933790170911</v>
          </cell>
          <cell r="T35">
            <v>7565.1569846516213</v>
          </cell>
          <cell r="U35">
            <v>9.7708123576901311</v>
          </cell>
          <cell r="V35">
            <v>3909.9715994606236</v>
          </cell>
          <cell r="W35">
            <v>47.078575810225821</v>
          </cell>
          <cell r="X35">
            <v>20.205340169909185</v>
          </cell>
          <cell r="Y35">
            <v>16.073329868115405</v>
          </cell>
          <cell r="Z35">
            <v>789.0103336154109</v>
          </cell>
          <cell r="AA35">
            <v>1.0210660304966228</v>
          </cell>
          <cell r="AB35">
            <v>408.88794138861772</v>
          </cell>
          <cell r="AC35">
            <v>4.929941978648877</v>
          </cell>
        </row>
        <row r="36">
          <cell r="R36">
            <v>223.56879838278402</v>
          </cell>
          <cell r="S36">
            <v>177.84877732354579</v>
          </cell>
          <cell r="T36">
            <v>8742.6619049852397</v>
          </cell>
          <cell r="U36">
            <v>11.297929338877104</v>
          </cell>
          <cell r="V36">
            <v>4524.8546632812431</v>
          </cell>
          <cell r="W36">
            <v>54.782740864518267</v>
          </cell>
          <cell r="X36">
            <v>23.029783515523977</v>
          </cell>
          <cell r="Y36">
            <v>18.32017200025032</v>
          </cell>
          <cell r="Z36">
            <v>899.06563146892495</v>
          </cell>
          <cell r="AA36">
            <v>1.1637977603768459</v>
          </cell>
          <cell r="AB36">
            <v>466.35788275810819</v>
          </cell>
          <cell r="AC36">
            <v>5.650010459995487</v>
          </cell>
        </row>
        <row r="37">
          <cell r="R37">
            <v>245.75036974184164</v>
          </cell>
          <cell r="S37">
            <v>195.49419731891112</v>
          </cell>
          <cell r="T37">
            <v>9613.852507078198</v>
          </cell>
          <cell r="U37">
            <v>12.418863152775488</v>
          </cell>
          <cell r="V37">
            <v>4975.9308191867913</v>
          </cell>
          <cell r="W37">
            <v>60.598280488599087</v>
          </cell>
          <cell r="X37">
            <v>25.755526173631328</v>
          </cell>
          <cell r="Y37">
            <v>20.488497824558877</v>
          </cell>
          <cell r="Z37">
            <v>1006.1203278665878</v>
          </cell>
          <cell r="AA37">
            <v>1.3015417039415187</v>
          </cell>
          <cell r="AB37">
            <v>521.78756807229911</v>
          </cell>
          <cell r="AC37">
            <v>6.3646426281442876</v>
          </cell>
        </row>
        <row r="38">
          <cell r="R38">
            <v>272.83794484864075</v>
          </cell>
          <cell r="S38">
            <v>217.04233886751686</v>
          </cell>
          <cell r="T38">
            <v>10686.079918738646</v>
          </cell>
          <cell r="U38">
            <v>13.787719235251569</v>
          </cell>
          <cell r="V38">
            <v>5526.4578915678039</v>
          </cell>
          <cell r="W38">
            <v>67.89496640842647</v>
          </cell>
          <cell r="X38">
            <v>28.601975383554535</v>
          </cell>
          <cell r="Y38">
            <v>22.752845601888964</v>
          </cell>
          <cell r="Z38">
            <v>1118.793420852782</v>
          </cell>
          <cell r="AA38">
            <v>1.4453854883740578</v>
          </cell>
          <cell r="AB38">
            <v>579.63871731846905</v>
          </cell>
          <cell r="AC38">
            <v>7.1314017710229436</v>
          </cell>
        </row>
        <row r="39">
          <cell r="R39">
            <v>304.26646212822777</v>
          </cell>
          <cell r="S39">
            <v>242.04369599650389</v>
          </cell>
          <cell r="T39">
            <v>11939.771598174493</v>
          </cell>
          <cell r="U39">
            <v>15.375942502625872</v>
          </cell>
          <cell r="V39">
            <v>6164.8459256796223</v>
          </cell>
          <cell r="W39">
            <v>76.585805250333692</v>
          </cell>
          <cell r="X39">
            <v>31.9979524339394</v>
          </cell>
          <cell r="Y39">
            <v>25.454342280310431</v>
          </cell>
          <cell r="Z39">
            <v>1254.2598233479412</v>
          </cell>
          <cell r="AA39">
            <v>1.6169993675433927</v>
          </cell>
          <cell r="AB39">
            <v>648.61909885533976</v>
          </cell>
          <cell r="AC39">
            <v>8.0704816834844753</v>
          </cell>
        </row>
        <row r="40">
          <cell r="R40">
            <v>342.58750104503429</v>
          </cell>
          <cell r="S40">
            <v>272.52804786680883</v>
          </cell>
          <cell r="T40">
            <v>13480.086042616833</v>
          </cell>
          <cell r="U40">
            <v>17.31247565486461</v>
          </cell>
          <cell r="V40">
            <v>6942.7959651809651</v>
          </cell>
          <cell r="W40">
            <v>87.45514748401537</v>
          </cell>
          <cell r="X40">
            <v>35.758884353229497</v>
          </cell>
          <cell r="Y40">
            <v>28.446160227543036</v>
          </cell>
          <cell r="Z40">
            <v>1405.4305098322823</v>
          </cell>
          <cell r="AA40">
            <v>1.8070560453080438</v>
          </cell>
          <cell r="AB40">
            <v>724.96925057031365</v>
          </cell>
          <cell r="AC40">
            <v>9.137228757776688</v>
          </cell>
        </row>
        <row r="41">
          <cell r="R41">
            <v>377.65088195933527</v>
          </cell>
          <cell r="S41">
            <v>300.42093573643558</v>
          </cell>
          <cell r="T41">
            <v>14900.082762912381</v>
          </cell>
          <cell r="U41">
            <v>19.084384806845854</v>
          </cell>
          <cell r="V41">
            <v>7654.2110874739128</v>
          </cell>
          <cell r="W41">
            <v>97.648417633521689</v>
          </cell>
          <cell r="X41">
            <v>39.810679366333559</v>
          </cell>
          <cell r="Y41">
            <v>31.669359503375826</v>
          </cell>
          <cell r="Z41">
            <v>1569.5200950317226</v>
          </cell>
          <cell r="AA41">
            <v>2.0118113335450332</v>
          </cell>
          <cell r="AB41">
            <v>807.17775897965862</v>
          </cell>
          <cell r="AC41">
            <v>10.315125471728397</v>
          </cell>
        </row>
        <row r="42">
          <cell r="R42">
            <v>418.90180357101696</v>
          </cell>
          <cell r="S42">
            <v>333.23600664604402</v>
          </cell>
          <cell r="T42">
            <v>16583.089201216797</v>
          </cell>
          <cell r="U42">
            <v>21.168978009938485</v>
          </cell>
          <cell r="V42">
            <v>8490.6979071985788</v>
          </cell>
          <cell r="W42">
            <v>109.93046629120914</v>
          </cell>
          <cell r="X42">
            <v>44.029120982299467</v>
          </cell>
          <cell r="Y42">
            <v>35.025126001372406</v>
          </cell>
          <cell r="Z42">
            <v>1741.6293260960629</v>
          </cell>
          <cell r="AA42">
            <v>2.2249880184944271</v>
          </cell>
          <cell r="AB42">
            <v>892.71938262508615</v>
          </cell>
          <cell r="AC42">
            <v>11.571124202487296</v>
          </cell>
        </row>
        <row r="43">
          <cell r="R43">
            <v>455.72976408705381</v>
          </cell>
          <cell r="S43">
            <v>362.53261599616764</v>
          </cell>
          <cell r="T43">
            <v>18096.672818815052</v>
          </cell>
          <cell r="U43">
            <v>23.030059245848459</v>
          </cell>
          <cell r="V43">
            <v>9237.0788159165149</v>
          </cell>
          <cell r="W43">
            <v>121.15304256269459</v>
          </cell>
          <cell r="X43">
            <v>48.447121134821501</v>
          </cell>
          <cell r="Y43">
            <v>38.539641135080743</v>
          </cell>
          <cell r="Z43">
            <v>1923.2036668878116</v>
          </cell>
          <cell r="AA43">
            <v>2.4482492870766439</v>
          </cell>
          <cell r="AB43">
            <v>982.25762808723903</v>
          </cell>
          <cell r="AC43">
            <v>12.917420412876751</v>
          </cell>
        </row>
        <row r="44">
          <cell r="R44">
            <v>499.35151378677097</v>
          </cell>
          <cell r="S44">
            <v>397.23367850993321</v>
          </cell>
          <cell r="T44">
            <v>19902.463531529629</v>
          </cell>
          <cell r="U44">
            <v>25.23446097502794</v>
          </cell>
          <cell r="V44">
            <v>10120.656208430506</v>
          </cell>
          <cell r="W44">
            <v>134.74905144005916</v>
          </cell>
          <cell r="X44">
            <v>53.058521133420236</v>
          </cell>
          <cell r="Y44">
            <v>42.208005671783198</v>
          </cell>
          <cell r="Z44">
            <v>2114.0997989183797</v>
          </cell>
          <cell r="AA44">
            <v>2.6812839131708652</v>
          </cell>
          <cell r="AB44">
            <v>1075.6635280029709</v>
          </cell>
          <cell r="AC44">
            <v>14.354699654301445</v>
          </cell>
        </row>
        <row r="45">
          <cell r="R45">
            <v>546.09272252556741</v>
          </cell>
          <cell r="S45">
            <v>434.41626787370785</v>
          </cell>
          <cell r="T45">
            <v>21851.229484137199</v>
          </cell>
          <cell r="U45">
            <v>27.596502893956515</v>
          </cell>
          <cell r="V45">
            <v>11066.896327074513</v>
          </cell>
          <cell r="W45">
            <v>149.64032118242059</v>
          </cell>
          <cell r="X45">
            <v>58.07855376008704</v>
          </cell>
          <cell r="Y45">
            <v>46.201437095287915</v>
          </cell>
          <cell r="Z45">
            <v>2323.3983799306288</v>
          </cell>
          <cell r="AA45">
            <v>2.9349685699977663</v>
          </cell>
          <cell r="AB45">
            <v>1177.2902594552802</v>
          </cell>
          <cell r="AC45">
            <v>15.954030565423182</v>
          </cell>
        </row>
      </sheetData>
      <sheetData sheetId="4">
        <row r="1">
          <cell r="R1" t="str">
            <v>photoacid generators</v>
          </cell>
          <cell r="S1" t="str">
            <v>surfactant</v>
          </cell>
          <cell r="T1" t="str">
            <v>Top antireflective coatings</v>
          </cell>
          <cell r="U1" t="str">
            <v>polymer</v>
          </cell>
          <cell r="V1" t="str">
            <v>immersion topcoat</v>
          </cell>
          <cell r="W1" t="str">
            <v>PBO/PI</v>
          </cell>
        </row>
        <row r="2">
          <cell r="R2">
            <v>1.3885312561876871E-3</v>
          </cell>
          <cell r="S2">
            <v>1.407541104186225E-5</v>
          </cell>
          <cell r="T2">
            <v>7.0912909334960015E-4</v>
          </cell>
          <cell r="U2">
            <v>9.8557698079141393E-5</v>
          </cell>
          <cell r="V2">
            <v>2.13141938633914E-4</v>
          </cell>
          <cell r="W2">
            <v>7.6409374227252196E-4</v>
          </cell>
          <cell r="X2">
            <v>1.134539724699067E-4</v>
          </cell>
          <cell r="Y2">
            <v>1.150072272215532E-6</v>
          </cell>
          <cell r="Z2">
            <v>5.7941448761755898E-5</v>
          </cell>
          <cell r="AA2">
            <v>8.0529424993057905E-6</v>
          </cell>
          <cell r="AB2">
            <v>1.7415380122120909E-5</v>
          </cell>
          <cell r="AC2">
            <v>6.2432494777414583E-5</v>
          </cell>
        </row>
        <row r="3">
          <cell r="R3">
            <v>2.484676752525011E-3</v>
          </cell>
          <cell r="S3">
            <v>2.5186935074093662E-5</v>
          </cell>
          <cell r="T3">
            <v>1.2689354776373339E-3</v>
          </cell>
          <cell r="U3">
            <v>1.7636190766923631E-4</v>
          </cell>
          <cell r="V3">
            <v>3.8140215969341808E-4</v>
          </cell>
          <cell r="W3">
            <v>1.367290761165084E-3</v>
          </cell>
          <cell r="X3">
            <v>1.8817557476373921E-4</v>
          </cell>
          <cell r="Y3">
            <v>1.9075181426670697E-6</v>
          </cell>
          <cell r="Z3">
            <v>9.6102103663925841E-5</v>
          </cell>
          <cell r="AA3">
            <v>1.3356668350666666E-5</v>
          </cell>
          <cell r="AB3">
            <v>2.8885274731815617E-5</v>
          </cell>
          <cell r="AC3">
            <v>1.0355098488764092E-4</v>
          </cell>
        </row>
        <row r="4">
          <cell r="R4">
            <v>4.3144054316794382E-3</v>
          </cell>
          <cell r="S4">
            <v>4.37347229898603E-5</v>
          </cell>
          <cell r="T4">
            <v>2.2033860588125524E-3</v>
          </cell>
          <cell r="U4">
            <v>3.0623571924044132E-4</v>
          </cell>
          <cell r="V4">
            <v>6.6226866241788414E-4</v>
          </cell>
          <cell r="W4">
            <v>2.3741706765924159E-3</v>
          </cell>
          <cell r="X4">
            <v>2.9693102699275602E-4</v>
          </cell>
          <cell r="Y4">
            <v>3.0099619561177558E-6</v>
          </cell>
          <cell r="Z4">
            <v>1.5164399722398262E-4</v>
          </cell>
          <cell r="AA4">
            <v>2.1076110730866919E-5</v>
          </cell>
          <cell r="AB4">
            <v>4.5579423906925999E-5</v>
          </cell>
          <cell r="AC4">
            <v>1.6339793476067817E-4</v>
          </cell>
        </row>
        <row r="5">
          <cell r="R5">
            <v>7.3287306777277787E-3</v>
          </cell>
          <cell r="S5">
            <v>7.429065513969302E-5</v>
          </cell>
          <cell r="T5">
            <v>3.7428153797338954E-3</v>
          </cell>
          <cell r="U5">
            <v>5.2019198143365562E-4</v>
          </cell>
          <cell r="V5">
            <v>1.1249727778296368E-3</v>
          </cell>
          <cell r="W5">
            <v>4.0329212790119057E-3</v>
          </cell>
          <cell r="X5">
            <v>4.5112454458387513E-4</v>
          </cell>
          <cell r="Y5">
            <v>4.5730071741594701E-6</v>
          </cell>
          <cell r="Z5">
            <v>2.3039131302441001E-4</v>
          </cell>
          <cell r="AA5">
            <v>3.202073879363782E-5</v>
          </cell>
          <cell r="AB5">
            <v>6.9248394351557673E-5</v>
          </cell>
          <cell r="AC5">
            <v>2.4824896088294267E-4</v>
          </cell>
        </row>
        <row r="6">
          <cell r="R6">
            <v>1.2133113862407108E-2</v>
          </cell>
          <cell r="S6">
            <v>1.229922366313754E-4</v>
          </cell>
          <cell r="T6">
            <v>6.1964352580574722E-3</v>
          </cell>
          <cell r="U6">
            <v>8.61206233192152E-4</v>
          </cell>
          <cell r="V6">
            <v>1.8624538689893983E-3</v>
          </cell>
          <cell r="W6">
            <v>6.6767214171318057E-3</v>
          </cell>
          <cell r="X6">
            <v>6.649114957645155E-4</v>
          </cell>
          <cell r="Y6">
            <v>6.7401454361499572E-6</v>
          </cell>
          <cell r="Z6">
            <v>3.395732606292039E-4</v>
          </cell>
          <cell r="AA6">
            <v>4.7195298022194093E-5</v>
          </cell>
          <cell r="AB6">
            <v>1.0206505946169932E-4</v>
          </cell>
          <cell r="AC6">
            <v>3.6589360939099768E-4</v>
          </cell>
        </row>
        <row r="7">
          <cell r="R7">
            <v>2.5542014094383329E-2</v>
          </cell>
          <cell r="S7">
            <v>2.589169999691306E-4</v>
          </cell>
          <cell r="T7">
            <v>1.3203030801755571E-2</v>
          </cell>
          <cell r="U7">
            <v>1.8129675527499508E-3</v>
          </cell>
          <cell r="V7">
            <v>3.9003330873344224E-3</v>
          </cell>
          <cell r="W7">
            <v>1.4158158675690743E-2</v>
          </cell>
          <cell r="X7">
            <v>1.4902460608563258E-3</v>
          </cell>
          <cell r="Y7">
            <v>1.5106484471699616E-5</v>
          </cell>
          <cell r="Z7">
            <v>7.7083797181275583E-4</v>
          </cell>
          <cell r="AA7">
            <v>1.0577739656560854E-4</v>
          </cell>
          <cell r="AB7">
            <v>2.2749907189260131E-4</v>
          </cell>
          <cell r="AC7">
            <v>8.263854214882807E-4</v>
          </cell>
        </row>
        <row r="8">
          <cell r="R8">
            <v>5.3464691252568003E-2</v>
          </cell>
          <cell r="S8">
            <v>5.419665580105829E-4</v>
          </cell>
          <cell r="T8">
            <v>2.8123217843102521E-2</v>
          </cell>
          <cell r="U8">
            <v>3.7949141403071538E-3</v>
          </cell>
          <cell r="V8">
            <v>8.1015893185528848E-3</v>
          </cell>
          <cell r="W8">
            <v>2.9950875299464663E-2</v>
          </cell>
          <cell r="X8">
            <v>3.4710101129677268E-3</v>
          </cell>
          <cell r="Y8">
            <v>3.5185303789717241E-5</v>
          </cell>
          <cell r="Z8">
            <v>1.8292382811690429E-3</v>
          </cell>
          <cell r="AA8">
            <v>2.4637167166316845E-4</v>
          </cell>
          <cell r="AB8">
            <v>5.2552555657970094E-4</v>
          </cell>
          <cell r="AC8">
            <v>1.9466807712622278E-3</v>
          </cell>
        </row>
        <row r="9">
          <cell r="R9">
            <v>7.6513042755682228E-2</v>
          </cell>
          <cell r="S9">
            <v>7.7560553430151738E-4</v>
          </cell>
          <cell r="T9">
            <v>4.0710456586127833E-2</v>
          </cell>
          <cell r="U9">
            <v>5.4308819721748201E-3</v>
          </cell>
          <cell r="V9">
            <v>1.153450365519703E-2</v>
          </cell>
          <cell r="W9">
            <v>4.3162531293292089E-2</v>
          </cell>
          <cell r="X9">
            <v>4.8756762333822742E-3</v>
          </cell>
          <cell r="Y9">
            <v>4.9424272436124333E-5</v>
          </cell>
          <cell r="Z9">
            <v>2.5963589930129271E-3</v>
          </cell>
          <cell r="AA9">
            <v>3.4607461949447236E-4</v>
          </cell>
          <cell r="AB9">
            <v>7.3474218807362192E-4</v>
          </cell>
          <cell r="AC9">
            <v>2.7518561681487978E-3</v>
          </cell>
        </row>
        <row r="10">
          <cell r="R10">
            <v>0.12681814795540711</v>
          </cell>
          <cell r="S10">
            <v>1.2855436649953076E-3</v>
          </cell>
          <cell r="T10">
            <v>6.8774895873854158E-2</v>
          </cell>
          <cell r="U10">
            <v>9.0015292644268895E-3</v>
          </cell>
          <cell r="V10">
            <v>1.8951014225887575E-2</v>
          </cell>
          <cell r="W10">
            <v>7.2381124875822059E-2</v>
          </cell>
          <cell r="X10">
            <v>8.3781833912144089E-3</v>
          </cell>
          <cell r="Y10">
            <v>8.4928858813896325E-5</v>
          </cell>
          <cell r="Z10">
            <v>4.5503535050121675E-3</v>
          </cell>
          <cell r="AA10">
            <v>5.9468194572018522E-4</v>
          </cell>
          <cell r="AB10">
            <v>1.2511188312959759E-3</v>
          </cell>
          <cell r="AC10">
            <v>4.7862089989060032E-3</v>
          </cell>
        </row>
        <row r="11">
          <cell r="R11">
            <v>0.192110131882966</v>
          </cell>
          <cell r="S11">
            <v>1.947402378959203E-3</v>
          </cell>
          <cell r="T11">
            <v>0.10596674597591532</v>
          </cell>
          <cell r="U11">
            <v>1.3635942505212217E-2</v>
          </cell>
          <cell r="V11">
            <v>2.8478420187734652E-2</v>
          </cell>
          <cell r="W11">
            <v>0.11080062267603429</v>
          </cell>
          <cell r="X11">
            <v>1.3012302790565318E-2</v>
          </cell>
          <cell r="Y11">
            <v>1.3190449229154497E-4</v>
          </cell>
          <cell r="Z11">
            <v>7.1900569370128842E-3</v>
          </cell>
          <cell r="AA11">
            <v>9.2361090471092429E-4</v>
          </cell>
          <cell r="AB11">
            <v>1.9273295104242517E-3</v>
          </cell>
          <cell r="AC11">
            <v>7.5130451181272869E-3</v>
          </cell>
        </row>
        <row r="12">
          <cell r="R12">
            <v>0.24660254619945077</v>
          </cell>
          <cell r="S12">
            <v>2.4997868692254463E-3</v>
          </cell>
          <cell r="T12">
            <v>0.13764538030181483</v>
          </cell>
          <cell r="U12">
            <v>1.7503804243199368E-2</v>
          </cell>
          <cell r="V12">
            <v>3.6347794061676597E-2</v>
          </cell>
          <cell r="W12">
            <v>0.14327864024666259</v>
          </cell>
          <cell r="X12">
            <v>1.6659903745228469E-2</v>
          </cell>
          <cell r="Y12">
            <v>1.6887988087194665E-4</v>
          </cell>
          <cell r="Z12">
            <v>9.3105542256532951E-3</v>
          </cell>
          <cell r="AA12">
            <v>1.1825169624614064E-3</v>
          </cell>
          <cell r="AB12">
            <v>2.4540878861585491E-3</v>
          </cell>
          <cell r="AC12">
            <v>9.6870513423358614E-3</v>
          </cell>
        </row>
        <row r="13">
          <cell r="R13">
            <v>0.33694138785379857</v>
          </cell>
          <cell r="S13">
            <v>3.4155432295264756E-3</v>
          </cell>
          <cell r="T13">
            <v>0.19121945565139392</v>
          </cell>
          <cell r="U13">
            <v>2.3916038927086873E-2</v>
          </cell>
          <cell r="V13">
            <v>4.9257885413014346E-2</v>
          </cell>
          <cell r="W13">
            <v>0.19780530771758603</v>
          </cell>
          <cell r="X13">
            <v>2.303472244365351E-2</v>
          </cell>
          <cell r="Y13">
            <v>2.3350081979415502E-4</v>
          </cell>
          <cell r="Z13">
            <v>1.3091043448617466E-2</v>
          </cell>
          <cell r="AA13">
            <v>1.635000443685768E-3</v>
          </cell>
          <cell r="AB13">
            <v>3.3650968191685114E-3</v>
          </cell>
          <cell r="AC13">
            <v>1.3534760843487276E-2</v>
          </cell>
        </row>
        <row r="14">
          <cell r="R14">
            <v>0.45620598632832887</v>
          </cell>
          <cell r="S14">
            <v>4.6245172722719436E-3</v>
          </cell>
          <cell r="T14">
            <v>0.26333961189808436</v>
          </cell>
          <cell r="U14">
            <v>3.2381418611988934E-2</v>
          </cell>
          <cell r="V14">
            <v>6.612254618771625E-2</v>
          </cell>
          <cell r="W14">
            <v>0.27069203748592918</v>
          </cell>
          <cell r="X14">
            <v>2.8924323077512783E-2</v>
          </cell>
          <cell r="Y14">
            <v>2.932031487295408E-4</v>
          </cell>
          <cell r="Z14">
            <v>1.6652527102421471E-2</v>
          </cell>
          <cell r="AA14">
            <v>2.053043234218501E-3</v>
          </cell>
          <cell r="AB14">
            <v>4.1979182771614935E-3</v>
          </cell>
          <cell r="AC14">
            <v>1.7134099920918855E-2</v>
          </cell>
        </row>
        <row r="15">
          <cell r="R15">
            <v>0.61324190449238991</v>
          </cell>
          <cell r="S15">
            <v>6.2163756381859126E-3</v>
          </cell>
          <cell r="T15">
            <v>0.35796090043535628</v>
          </cell>
          <cell r="U15">
            <v>4.3527799754670436E-2</v>
          </cell>
          <cell r="V15">
            <v>8.8289118097477845E-2</v>
          </cell>
          <cell r="W15">
            <v>0.37038632520168835</v>
          </cell>
          <cell r="X15">
            <v>4.0467374248416149E-2</v>
          </cell>
          <cell r="Y15">
            <v>4.1021397522961992E-4</v>
          </cell>
          <cell r="Z15">
            <v>2.3607740840857178E-2</v>
          </cell>
          <cell r="AA15">
            <v>2.8723669240124871E-3</v>
          </cell>
          <cell r="AB15">
            <v>5.8272899319352185E-3</v>
          </cell>
          <cell r="AC15">
            <v>2.4462208534564267E-2</v>
          </cell>
        </row>
        <row r="16">
          <cell r="R16">
            <v>1.0250740212476182</v>
          </cell>
          <cell r="S16">
            <v>1.0391079158714012E-2</v>
          </cell>
          <cell r="T16">
            <v>0.60523155072202672</v>
          </cell>
          <cell r="U16">
            <v>7.275956910921573E-2</v>
          </cell>
          <cell r="V16">
            <v>0.14632055711635103</v>
          </cell>
          <cell r="W16">
            <v>0.64145909378432209</v>
          </cell>
          <cell r="X16">
            <v>7.0183463720596279E-2</v>
          </cell>
          <cell r="Y16">
            <v>7.1144318560121124E-4</v>
          </cell>
          <cell r="Z16">
            <v>4.1449760607688735E-2</v>
          </cell>
          <cell r="AA16">
            <v>4.9816095940932283E-3</v>
          </cell>
          <cell r="AB16">
            <v>1.0014596758976917E-2</v>
          </cell>
          <cell r="AC16">
            <v>4.4021689976029246E-2</v>
          </cell>
        </row>
        <row r="17">
          <cell r="R17">
            <v>1.4152056439854905</v>
          </cell>
          <cell r="S17">
            <v>1.4345806807799094E-2</v>
          </cell>
          <cell r="T17">
            <v>0.83865444433955938</v>
          </cell>
          <cell r="U17">
            <v>0.10045104131308479</v>
          </cell>
          <cell r="V17">
            <v>0.20119975935520171</v>
          </cell>
          <cell r="W17">
            <v>0.90722741596095458</v>
          </cell>
          <cell r="X17">
            <v>0.10321496952016709</v>
          </cell>
          <cell r="Y17">
            <v>1.0462804601593084E-3</v>
          </cell>
          <cell r="Z17">
            <v>6.1213115370295744E-2</v>
          </cell>
          <cell r="AA17">
            <v>7.3261799170053279E-3</v>
          </cell>
          <cell r="AB17">
            <v>1.4661086767417963E-2</v>
          </cell>
          <cell r="AC17">
            <v>6.6523654348238134E-2</v>
          </cell>
        </row>
        <row r="18">
          <cell r="R18">
            <v>2.0453168582660579</v>
          </cell>
          <cell r="S18">
            <v>2.0733185056263311E-2</v>
          </cell>
          <cell r="T18">
            <v>1.2143590949102161</v>
          </cell>
          <cell r="U18">
            <v>0.14517622163336921</v>
          </cell>
          <cell r="V18">
            <v>0.28968627060373198</v>
          </cell>
          <cell r="W18">
            <v>1.3507654503148665</v>
          </cell>
          <cell r="X18">
            <v>0.15463393232976277</v>
          </cell>
          <cell r="Y18">
            <v>1.5675096609180843E-3</v>
          </cell>
          <cell r="Z18">
            <v>9.1871740414989717E-2</v>
          </cell>
          <cell r="AA18">
            <v>1.0975888621470911E-2</v>
          </cell>
          <cell r="AB18">
            <v>2.1881851178401981E-2</v>
          </cell>
          <cell r="AC18">
            <v>0.10271768672889356</v>
          </cell>
        </row>
        <row r="19">
          <cell r="R19">
            <v>2.7183187364835648</v>
          </cell>
          <cell r="S19">
            <v>2.7555341940124125E-2</v>
          </cell>
          <cell r="T19">
            <v>1.6142665876432472</v>
          </cell>
          <cell r="U19">
            <v>0.19294577354260647</v>
          </cell>
          <cell r="V19">
            <v>0.38403779018615569</v>
          </cell>
          <cell r="W19">
            <v>1.839533301835693</v>
          </cell>
          <cell r="X19">
            <v>0.21613034917104668</v>
          </cell>
          <cell r="Y19">
            <v>2.19089306751082E-3</v>
          </cell>
          <cell r="Z19">
            <v>0.12841380466033647</v>
          </cell>
          <cell r="AA19">
            <v>1.5340893195176401E-2</v>
          </cell>
          <cell r="AB19">
            <v>3.0503343280648468E-2</v>
          </cell>
          <cell r="AC19">
            <v>0.14737948115858049</v>
          </cell>
        </row>
        <row r="20">
          <cell r="R20">
            <v>3.7197740040152478</v>
          </cell>
          <cell r="S20">
            <v>3.7707000008843347E-2</v>
          </cell>
          <cell r="T20">
            <v>2.2073356489149534</v>
          </cell>
          <cell r="U20">
            <v>0.26402888777378658</v>
          </cell>
          <cell r="V20">
            <v>0.52420495330840633</v>
          </cell>
          <cell r="W20">
            <v>2.5888947239909466</v>
          </cell>
          <cell r="X20">
            <v>0.30034040521889649</v>
          </cell>
          <cell r="Y20">
            <v>3.0445225032543458E-3</v>
          </cell>
          <cell r="Z20">
            <v>0.17828360964227094</v>
          </cell>
          <cell r="AA20">
            <v>2.1318107782321218E-2</v>
          </cell>
          <cell r="AB20">
            <v>4.2289675676388166E-2</v>
          </cell>
          <cell r="AC20">
            <v>0.21039154910178892</v>
          </cell>
        </row>
        <row r="21">
          <cell r="R21">
            <v>4.5425978021393218</v>
          </cell>
          <cell r="S21">
            <v>4.6047887635255663E-2</v>
          </cell>
          <cell r="T21">
            <v>2.6929899826787156</v>
          </cell>
          <cell r="U21">
            <v>0.32243277253076269</v>
          </cell>
          <cell r="V21">
            <v>0.63918244880418695</v>
          </cell>
          <cell r="W21">
            <v>3.2224507431372214</v>
          </cell>
          <cell r="X21">
            <v>0.38432240178156934</v>
          </cell>
          <cell r="Y21">
            <v>3.8958401213981188E-3</v>
          </cell>
          <cell r="Z21">
            <v>0.22785220583720656</v>
          </cell>
          <cell r="AA21">
            <v>2.7279134748349122E-2</v>
          </cell>
          <cell r="AB21">
            <v>5.4024921610603766E-2</v>
          </cell>
          <cell r="AC21">
            <v>0.27505581810264734</v>
          </cell>
        </row>
        <row r="22">
          <cell r="R22">
            <v>5.6899571926039387</v>
          </cell>
          <cell r="S22">
            <v>5.7678562106257332E-2</v>
          </cell>
          <cell r="T22">
            <v>3.3679570692497478</v>
          </cell>
          <cell r="U22">
            <v>0.40387213508724684</v>
          </cell>
          <cell r="V22">
            <v>0.7992508980668509</v>
          </cell>
          <cell r="W22">
            <v>4.1304399230933733</v>
          </cell>
          <cell r="X22">
            <v>0.48564976993963055</v>
          </cell>
          <cell r="Y22">
            <v>4.9229861436854514E-3</v>
          </cell>
          <cell r="Z22">
            <v>0.28746093789095456</v>
          </cell>
          <cell r="AA22">
            <v>3.4471333061187333E-2</v>
          </cell>
          <cell r="AB22">
            <v>6.8161132830664439E-2</v>
          </cell>
          <cell r="AC22">
            <v>0.35524355586430589</v>
          </cell>
        </row>
        <row r="23">
          <cell r="R23">
            <v>6.9264875912855368</v>
          </cell>
          <cell r="S23">
            <v>7.021315471959691E-2</v>
          </cell>
          <cell r="T23">
            <v>4.0883343476467404</v>
          </cell>
          <cell r="U23">
            <v>0.49164083972090633</v>
          </cell>
          <cell r="V23">
            <v>0.97302084452374094</v>
          </cell>
          <cell r="W23">
            <v>5.1304657790873103</v>
          </cell>
          <cell r="X23">
            <v>0.60926201872905594</v>
          </cell>
          <cell r="Y23">
            <v>6.1760319096821814E-3</v>
          </cell>
          <cell r="Z23">
            <v>0.35947490168383955</v>
          </cell>
          <cell r="AA23">
            <v>4.3245308181143249E-2</v>
          </cell>
          <cell r="AB23">
            <v>8.5532395095188257E-2</v>
          </cell>
          <cell r="AC23">
            <v>0.45521315227599202</v>
          </cell>
        </row>
        <row r="24">
          <cell r="R24">
            <v>8.5558460834477934</v>
          </cell>
          <cell r="S24">
            <v>8.6729808852899826E-2</v>
          </cell>
          <cell r="T24">
            <v>5.0285581128270485</v>
          </cell>
          <cell r="U24">
            <v>0.60729241156532621</v>
          </cell>
          <cell r="V24">
            <v>1.203607009822377</v>
          </cell>
          <cell r="W24">
            <v>6.4756255428389853</v>
          </cell>
          <cell r="X24">
            <v>0.7600367357062634</v>
          </cell>
          <cell r="Y24">
            <v>7.7044210667266836E-3</v>
          </cell>
          <cell r="Z24">
            <v>0.4464796785774614</v>
          </cell>
          <cell r="AA24">
            <v>5.3947270393075619E-2</v>
          </cell>
          <cell r="AB24">
            <v>0.10686997303092177</v>
          </cell>
          <cell r="AC24">
            <v>0.57968918603062436</v>
          </cell>
        </row>
        <row r="25">
          <cell r="R25">
            <v>10.174893015630815</v>
          </cell>
          <cell r="S25">
            <v>0.10314193567034738</v>
          </cell>
          <cell r="T25">
            <v>5.9541462995763341</v>
          </cell>
          <cell r="U25">
            <v>0.72221207074258087</v>
          </cell>
          <cell r="V25">
            <v>1.4342882712531768</v>
          </cell>
          <cell r="W25">
            <v>7.8387318014791161</v>
          </cell>
          <cell r="X25">
            <v>0.93246850506868462</v>
          </cell>
          <cell r="Y25">
            <v>9.4523457314658159E-3</v>
          </cell>
          <cell r="Z25">
            <v>0.54505669050319905</v>
          </cell>
          <cell r="AA25">
            <v>6.6186446276471453E-2</v>
          </cell>
          <cell r="AB25">
            <v>0.13143799343638068</v>
          </cell>
          <cell r="AC25">
            <v>0.72486275656411769</v>
          </cell>
        </row>
        <row r="26">
          <cell r="R26">
            <v>12.339501876101682</v>
          </cell>
          <cell r="S26">
            <v>0.12508437255839838</v>
          </cell>
          <cell r="T26">
            <v>7.1803518590326423</v>
          </cell>
          <cell r="U26">
            <v>0.8758556171726839</v>
          </cell>
          <cell r="V26">
            <v>1.744718573194683</v>
          </cell>
          <cell r="W26">
            <v>9.6955008673721554</v>
          </cell>
          <cell r="X26">
            <v>1.136876674636885</v>
          </cell>
          <cell r="Y26">
            <v>1.1524412164371665E-2</v>
          </cell>
          <cell r="Z26">
            <v>0.6608496351316766</v>
          </cell>
          <cell r="AA26">
            <v>8.0695301278068551E-2</v>
          </cell>
          <cell r="AB26">
            <v>0.16075252270637719</v>
          </cell>
          <cell r="AC26">
            <v>0.90020102344504138</v>
          </cell>
        </row>
        <row r="27">
          <cell r="R27">
            <v>14.498228735528441</v>
          </cell>
          <cell r="S27">
            <v>0.14696718415384216</v>
          </cell>
          <cell r="T27">
            <v>8.3991284145004137</v>
          </cell>
          <cell r="U27">
            <v>1.0290816602297637</v>
          </cell>
          <cell r="V27">
            <v>2.0546193379120017</v>
          </cell>
          <cell r="W27">
            <v>11.531387314515937</v>
          </cell>
          <cell r="X27">
            <v>1.3733121047846781</v>
          </cell>
          <cell r="Y27">
            <v>1.3921135932280755E-2</v>
          </cell>
          <cell r="Z27">
            <v>0.79433662904557467</v>
          </cell>
          <cell r="AA27">
            <v>9.7477445458025225E-2</v>
          </cell>
          <cell r="AB27">
            <v>0.19469452898156023</v>
          </cell>
          <cell r="AC27">
            <v>1.1012772271979372</v>
          </cell>
        </row>
        <row r="28">
          <cell r="R28">
            <v>17.329734987594104</v>
          </cell>
          <cell r="S28">
            <v>0.17566989731771485</v>
          </cell>
          <cell r="T28">
            <v>9.9925278675493807</v>
          </cell>
          <cell r="U28">
            <v>1.2300614632098468</v>
          </cell>
          <cell r="V28">
            <v>2.461502176465264</v>
          </cell>
          <cell r="W28">
            <v>13.91927653968809</v>
          </cell>
          <cell r="X28">
            <v>1.6324291837224361</v>
          </cell>
          <cell r="Y28">
            <v>1.6547781445489587E-2</v>
          </cell>
          <cell r="Z28">
            <v>0.94015195668395235</v>
          </cell>
          <cell r="AA28">
            <v>0.11586952897742181</v>
          </cell>
          <cell r="AB28">
            <v>0.23192923136616922</v>
          </cell>
          <cell r="AC28">
            <v>1.3197979810907334</v>
          </cell>
        </row>
        <row r="29">
          <cell r="R29">
            <v>20.48327915827614</v>
          </cell>
          <cell r="S29">
            <v>0.20763707864202091</v>
          </cell>
          <cell r="T29">
            <v>11.761510241464306</v>
          </cell>
          <cell r="U29">
            <v>1.4538994595590662</v>
          </cell>
          <cell r="V29">
            <v>2.9150936476672222</v>
          </cell>
          <cell r="W29">
            <v>16.55694599073539</v>
          </cell>
          <cell r="X29">
            <v>1.9704441646454378</v>
          </cell>
          <cell r="Y29">
            <v>1.9974207587210795E-2</v>
          </cell>
          <cell r="Z29">
            <v>1.1297616500984129</v>
          </cell>
          <cell r="AA29">
            <v>0.13986177134688915</v>
          </cell>
          <cell r="AB29">
            <v>0.28054777107478118</v>
          </cell>
          <cell r="AC29">
            <v>1.602518545928775</v>
          </cell>
        </row>
        <row r="30">
          <cell r="R30">
            <v>24.602834843863238</v>
          </cell>
          <cell r="S30">
            <v>0.24939662804077162</v>
          </cell>
          <cell r="T30">
            <v>14.065219706790646</v>
          </cell>
          <cell r="U30">
            <v>1.7463047789719286</v>
          </cell>
          <cell r="V30">
            <v>3.5081804197532893</v>
          </cell>
          <cell r="W30">
            <v>19.974933066974881</v>
          </cell>
          <cell r="X30">
            <v>2.3658118859956594</v>
          </cell>
          <cell r="Y30">
            <v>2.3982013076564942E-2</v>
          </cell>
          <cell r="Z30">
            <v>1.3508564553332663</v>
          </cell>
          <cell r="AA30">
            <v>0.16792490088569309</v>
          </cell>
          <cell r="AB30">
            <v>0.33746831871126942</v>
          </cell>
          <cell r="AC30">
            <v>1.9305543500484428</v>
          </cell>
        </row>
        <row r="31">
          <cell r="R31">
            <v>29.399545033958066</v>
          </cell>
          <cell r="S31">
            <v>0.29802042910639764</v>
          </cell>
          <cell r="T31">
            <v>16.739503566487532</v>
          </cell>
          <cell r="U31">
            <v>2.0867744029589925</v>
          </cell>
          <cell r="V31">
            <v>4.1993769603349929</v>
          </cell>
          <cell r="W31">
            <v>23.923445609219897</v>
          </cell>
          <cell r="X31">
            <v>2.8390019809966214</v>
          </cell>
          <cell r="Y31">
            <v>2.8778696664634E-2</v>
          </cell>
          <cell r="Z31">
            <v>1.6146715668325273</v>
          </cell>
          <cell r="AA31">
            <v>0.20151184846740547</v>
          </cell>
          <cell r="AB31">
            <v>0.40565408431736844</v>
          </cell>
          <cell r="AC31">
            <v>2.3200706958213511</v>
          </cell>
        </row>
        <row r="32">
          <cell r="R32">
            <v>35.357602757569467</v>
          </cell>
          <cell r="S32">
            <v>0.35841670113647212</v>
          </cell>
          <cell r="T32">
            <v>20.05148660237154</v>
          </cell>
          <cell r="U32">
            <v>2.5096762653729674</v>
          </cell>
          <cell r="V32">
            <v>5.0586710368780796</v>
          </cell>
          <cell r="W32">
            <v>28.790138053009301</v>
          </cell>
          <cell r="X32">
            <v>3.4271898803463334</v>
          </cell>
          <cell r="Y32">
            <v>3.4741102203798641E-2</v>
          </cell>
          <cell r="Z32">
            <v>1.9416352242738486</v>
          </cell>
          <cell r="AA32">
            <v>0.24326131945668331</v>
          </cell>
          <cell r="AB32">
            <v>0.49048481292923746</v>
          </cell>
          <cell r="AC32">
            <v>2.8005174685925489</v>
          </cell>
        </row>
        <row r="33">
          <cell r="R33">
            <v>38.049476194466855</v>
          </cell>
          <cell r="S33">
            <v>0.38570396955636266</v>
          </cell>
          <cell r="T33">
            <v>21.543555498623018</v>
          </cell>
          <cell r="U33">
            <v>2.7007449563215653</v>
          </cell>
          <cell r="V33">
            <v>5.4472328147037494</v>
          </cell>
          <cell r="W33">
            <v>30.972315013482955</v>
          </cell>
          <cell r="X33">
            <v>3.8750830385372832</v>
          </cell>
          <cell r="Y33">
            <v>3.9281353117331774E-2</v>
          </cell>
          <cell r="Z33">
            <v>2.1898963204384647</v>
          </cell>
          <cell r="AA33">
            <v>0.27505269502707946</v>
          </cell>
          <cell r="AB33">
            <v>0.55513650102019707</v>
          </cell>
          <cell r="AC33">
            <v>3.163603681027777</v>
          </cell>
        </row>
        <row r="34">
          <cell r="R34">
            <v>41.582459580677956</v>
          </cell>
          <cell r="S34">
            <v>0.42151749060127164</v>
          </cell>
          <cell r="T34">
            <v>23.496352038321135</v>
          </cell>
          <cell r="U34">
            <v>2.9515154797398369</v>
          </cell>
          <cell r="V34">
            <v>5.9576262805356839</v>
          </cell>
          <cell r="W34">
            <v>33.815125872038934</v>
          </cell>
          <cell r="X34">
            <v>4.3448197713946337</v>
          </cell>
          <cell r="Y34">
            <v>4.4043030297420363E-2</v>
          </cell>
          <cell r="Z34">
            <v>2.4495353184799127</v>
          </cell>
          <cell r="AA34">
            <v>0.30839452358680991</v>
          </cell>
          <cell r="AB34">
            <v>0.6229971538744834</v>
          </cell>
          <cell r="AC34">
            <v>3.5415767816206971</v>
          </cell>
        </row>
        <row r="35">
          <cell r="R35">
            <v>47.501083654147422</v>
          </cell>
          <cell r="S35">
            <v>0.48151402742037747</v>
          </cell>
          <cell r="T35">
            <v>26.79454464100818</v>
          </cell>
          <cell r="U35">
            <v>3.3716183487803977</v>
          </cell>
          <cell r="V35">
            <v>6.8121640899420095</v>
          </cell>
          <cell r="W35">
            <v>38.722638112306939</v>
          </cell>
          <cell r="X35">
            <v>4.9639417026420496</v>
          </cell>
          <cell r="Y35">
            <v>5.0319011215030358E-2</v>
          </cell>
          <cell r="Z35">
            <v>2.794545129620789</v>
          </cell>
          <cell r="AA35">
            <v>0.35233968657982057</v>
          </cell>
          <cell r="AB35">
            <v>0.71238669649725839</v>
          </cell>
          <cell r="AC35">
            <v>4.0549306317891194</v>
          </cell>
        </row>
        <row r="36">
          <cell r="R36">
            <v>54.925206523106112</v>
          </cell>
          <cell r="S36">
            <v>0.55677166425081426</v>
          </cell>
          <cell r="T36">
            <v>30.965073847063888</v>
          </cell>
          <cell r="U36">
            <v>3.8985812507392823</v>
          </cell>
          <cell r="V36">
            <v>7.8834466351784425</v>
          </cell>
          <cell r="W36">
            <v>45.059397247872155</v>
          </cell>
          <cell r="X36">
            <v>5.6578360885889367</v>
          </cell>
          <cell r="Y36">
            <v>5.735295348915577E-2</v>
          </cell>
          <cell r="Z36">
            <v>3.1843429351783206</v>
          </cell>
          <cell r="AA36">
            <v>0.40159218491877074</v>
          </cell>
          <cell r="AB36">
            <v>0.81251393806144834</v>
          </cell>
          <cell r="AC36">
            <v>4.6471947506456388</v>
          </cell>
        </row>
        <row r="37">
          <cell r="R37">
            <v>60.374658310279436</v>
          </cell>
          <cell r="S37">
            <v>0.61201224563165391</v>
          </cell>
          <cell r="T37">
            <v>34.05068800232408</v>
          </cell>
          <cell r="U37">
            <v>4.2853823555352033</v>
          </cell>
          <cell r="V37">
            <v>8.6693359218200001</v>
          </cell>
          <cell r="W37">
            <v>49.84274152741915</v>
          </cell>
          <cell r="X37">
            <v>6.3274822087467975</v>
          </cell>
          <cell r="Y37">
            <v>6.414109336847594E-2</v>
          </cell>
          <cell r="Z37">
            <v>3.5635131027606191</v>
          </cell>
          <cell r="AA37">
            <v>0.44912354572629865</v>
          </cell>
          <cell r="AB37">
            <v>0.90908653512742355</v>
          </cell>
          <cell r="AC37">
            <v>5.2349874430624013</v>
          </cell>
        </row>
        <row r="38">
          <cell r="R38">
            <v>67.029391294994781</v>
          </cell>
          <cell r="S38">
            <v>0.67947064940635882</v>
          </cell>
          <cell r="T38">
            <v>37.848341548091383</v>
          </cell>
          <cell r="U38">
            <v>4.7577341023051183</v>
          </cell>
          <cell r="V38">
            <v>9.6284939764545108</v>
          </cell>
          <cell r="W38">
            <v>55.844344664939513</v>
          </cell>
          <cell r="X38">
            <v>7.0267828796967899</v>
          </cell>
          <cell r="Y38">
            <v>7.1229838646342941E-2</v>
          </cell>
          <cell r="Z38">
            <v>3.9625827091130206</v>
          </cell>
          <cell r="AA38">
            <v>0.49875978119949876</v>
          </cell>
          <cell r="AB38">
            <v>1.0098779376816005</v>
          </cell>
          <cell r="AC38">
            <v>5.8656551363392175</v>
          </cell>
        </row>
        <row r="39">
          <cell r="R39">
            <v>74.75058412146771</v>
          </cell>
          <cell r="S39">
            <v>0.75773965651857222</v>
          </cell>
          <cell r="T39">
            <v>42.28871175307944</v>
          </cell>
          <cell r="U39">
            <v>5.3057829762582225</v>
          </cell>
          <cell r="V39">
            <v>10.740728152791014</v>
          </cell>
          <cell r="W39">
            <v>62.992653669105621</v>
          </cell>
          <cell r="X39">
            <v>7.8610886602411689</v>
          </cell>
          <cell r="Y39">
            <v>7.9687118051061309E-2</v>
          </cell>
          <cell r="Z39">
            <v>4.44238247749555</v>
          </cell>
          <cell r="AA39">
            <v>0.55797865499736787</v>
          </cell>
          <cell r="AB39">
            <v>1.1300592909376683</v>
          </cell>
          <cell r="AC39">
            <v>6.6380585275413431</v>
          </cell>
        </row>
        <row r="40">
          <cell r="R40">
            <v>84.165095412447855</v>
          </cell>
          <cell r="S40">
            <v>0.85317367400163779</v>
          </cell>
          <cell r="T40">
            <v>47.7442527585779</v>
          </cell>
          <cell r="U40">
            <v>5.9740232893546885</v>
          </cell>
          <cell r="V40">
            <v>12.096114806645758</v>
          </cell>
          <cell r="W40">
            <v>71.932805289882751</v>
          </cell>
          <cell r="X40">
            <v>8.7850546334923703</v>
          </cell>
          <cell r="Y40">
            <v>8.90532744153852E-2</v>
          </cell>
          <cell r="Z40">
            <v>4.9778042427853366</v>
          </cell>
          <cell r="AA40">
            <v>0.62356159309925452</v>
          </cell>
          <cell r="AB40">
            <v>1.2630806565777968</v>
          </cell>
          <cell r="AC40">
            <v>7.5154695410284447</v>
          </cell>
        </row>
        <row r="41">
          <cell r="R41">
            <v>92.779282419075429</v>
          </cell>
          <cell r="S41">
            <v>0.94049487931800058</v>
          </cell>
          <cell r="T41">
            <v>52.773648128593003</v>
          </cell>
          <cell r="U41">
            <v>6.5854567291228641</v>
          </cell>
          <cell r="V41">
            <v>13.335580727522078</v>
          </cell>
          <cell r="W41">
            <v>80.316880304628214</v>
          </cell>
          <cell r="X41">
            <v>9.7804783218328133</v>
          </cell>
          <cell r="Y41">
            <v>9.9143790931856365E-2</v>
          </cell>
          <cell r="Z41">
            <v>5.5589826274072376</v>
          </cell>
          <cell r="AA41">
            <v>0.69421658692751143</v>
          </cell>
          <cell r="AB41">
            <v>1.4063087682477355</v>
          </cell>
          <cell r="AC41">
            <v>8.4843023360536591</v>
          </cell>
        </row>
        <row r="42">
          <cell r="R42">
            <v>102.91359188076885</v>
          </cell>
          <cell r="S42">
            <v>1.0432254233105136</v>
          </cell>
          <cell r="T42">
            <v>58.734580761417739</v>
          </cell>
          <cell r="U42">
            <v>7.3047881865280671</v>
          </cell>
          <cell r="V42">
            <v>14.792953327319029</v>
          </cell>
          <cell r="W42">
            <v>90.418998248180657</v>
          </cell>
          <cell r="X42">
            <v>10.816842871083953</v>
          </cell>
          <cell r="Y42">
            <v>0.10964932111341991</v>
          </cell>
          <cell r="Z42">
            <v>6.1685652817049821</v>
          </cell>
          <cell r="AA42">
            <v>0.76777755567765449</v>
          </cell>
          <cell r="AB42">
            <v>1.5553440136375234</v>
          </cell>
          <cell r="AC42">
            <v>9.5173748851627096</v>
          </cell>
        </row>
        <row r="43">
          <cell r="R43">
            <v>111.961291523117</v>
          </cell>
          <cell r="S43">
            <v>1.1349411055336198</v>
          </cell>
          <cell r="T43">
            <v>64.095445564608951</v>
          </cell>
          <cell r="U43">
            <v>7.9469922749758757</v>
          </cell>
          <cell r="V43">
            <v>16.09333853331081</v>
          </cell>
          <cell r="W43">
            <v>99.649688687930592</v>
          </cell>
          <cell r="X43">
            <v>11.902233912014971</v>
          </cell>
          <cell r="Y43">
            <v>0.12065182824041382</v>
          </cell>
          <cell r="Z43">
            <v>6.8116718014872921</v>
          </cell>
          <cell r="AA43">
            <v>0.84481841596306739</v>
          </cell>
          <cell r="AB43">
            <v>1.7113423898144329</v>
          </cell>
          <cell r="AC43">
            <v>10.624718088513344</v>
          </cell>
        </row>
        <row r="44">
          <cell r="R44">
            <v>122.67805356007173</v>
          </cell>
          <cell r="S44">
            <v>1.2435759166232259</v>
          </cell>
          <cell r="T44">
            <v>70.491259949203226</v>
          </cell>
          <cell r="U44">
            <v>8.7076661111011902</v>
          </cell>
          <cell r="V44">
            <v>17.632754877101831</v>
          </cell>
          <cell r="W44">
            <v>110.83255313251617</v>
          </cell>
          <cell r="X44">
            <v>13.035138409940611</v>
          </cell>
          <cell r="Y44">
            <v>0.13213597482221937</v>
          </cell>
          <cell r="Z44">
            <v>7.4877945761853244</v>
          </cell>
          <cell r="AA44">
            <v>0.92523177285473546</v>
          </cell>
          <cell r="AB44">
            <v>1.8740792028599402</v>
          </cell>
          <cell r="AC44">
            <v>11.806895819555299</v>
          </cell>
        </row>
        <row r="45">
          <cell r="R45">
            <v>134.16118788690406</v>
          </cell>
          <cell r="S45">
            <v>1.3599793716976545</v>
          </cell>
          <cell r="T45">
            <v>77.393469172086256</v>
          </cell>
          <cell r="U45">
            <v>9.5227369141117553</v>
          </cell>
          <cell r="V45">
            <v>19.281345613049474</v>
          </cell>
          <cell r="W45">
            <v>123.08078365653638</v>
          </cell>
          <cell r="X45">
            <v>14.268433622720346</v>
          </cell>
          <cell r="Y45">
            <v>0.14463777265966704</v>
          </cell>
          <cell r="Z45">
            <v>8.2290958054407319</v>
          </cell>
          <cell r="AA45">
            <v>1.0127708445766943</v>
          </cell>
          <cell r="AB45">
            <v>2.0511387934393457</v>
          </cell>
          <cell r="AC45">
            <v>13.122362802729022</v>
          </cell>
        </row>
      </sheetData>
      <sheetData sheetId="5">
        <row r="3">
          <cell r="B3">
            <v>1322.7930890501441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age"/>
      <sheetName val="Manu_gas"/>
      <sheetName val="Manu_solvent"/>
      <sheetName val="Manu_water"/>
      <sheetName val="Manu_solid"/>
      <sheetName val="Quarterly computing power"/>
    </sheetNames>
    <sheetDataSet>
      <sheetData sheetId="0" refreshError="1"/>
      <sheetData sheetId="1">
        <row r="2">
          <cell r="R2">
            <v>2.8766551762540462E-3</v>
          </cell>
          <cell r="S2">
            <v>0</v>
          </cell>
          <cell r="T2">
            <v>0</v>
          </cell>
          <cell r="U2">
            <v>1.9522676852999109E-4</v>
          </cell>
          <cell r="V2">
            <v>0</v>
          </cell>
          <cell r="W2">
            <v>0</v>
          </cell>
          <cell r="X2">
            <v>2.359043276736406E-4</v>
          </cell>
          <cell r="Y2">
            <v>0</v>
          </cell>
          <cell r="Z2">
            <v>0</v>
          </cell>
          <cell r="AA2">
            <v>1.6009857543627178E-5</v>
          </cell>
          <cell r="AB2">
            <v>0</v>
          </cell>
          <cell r="AC2">
            <v>0</v>
          </cell>
        </row>
        <row r="3">
          <cell r="R3">
            <v>5.1484057542121762E-3</v>
          </cell>
          <cell r="S3">
            <v>0</v>
          </cell>
          <cell r="T3">
            <v>0</v>
          </cell>
          <cell r="U3">
            <v>3.4940114712841432E-4</v>
          </cell>
          <cell r="V3">
            <v>0</v>
          </cell>
          <cell r="W3">
            <v>0</v>
          </cell>
          <cell r="X3">
            <v>3.9912708042470844E-4</v>
          </cell>
          <cell r="Y3">
            <v>0</v>
          </cell>
          <cell r="Z3">
            <v>0</v>
          </cell>
          <cell r="AA3">
            <v>2.708711519800325E-5</v>
          </cell>
          <cell r="AB3">
            <v>0</v>
          </cell>
          <cell r="AC3">
            <v>0</v>
          </cell>
        </row>
        <row r="4">
          <cell r="R4">
            <v>8.9338905746338994E-3</v>
          </cell>
          <cell r="S4">
            <v>0</v>
          </cell>
          <cell r="T4">
            <v>0</v>
          </cell>
          <cell r="U4">
            <v>6.0630644982535495E-4</v>
          </cell>
          <cell r="V4">
            <v>0</v>
          </cell>
          <cell r="W4">
            <v>0</v>
          </cell>
          <cell r="X4">
            <v>6.2009661341362815E-4</v>
          </cell>
          <cell r="Y4">
            <v>0</v>
          </cell>
          <cell r="Z4">
            <v>0</v>
          </cell>
          <cell r="AA4">
            <v>4.2083409583617961E-5</v>
          </cell>
          <cell r="AB4">
            <v>0</v>
          </cell>
          <cell r="AC4">
            <v>0</v>
          </cell>
        </row>
        <row r="5">
          <cell r="R5">
            <v>1.5169887768141117E-2</v>
          </cell>
          <cell r="S5">
            <v>0</v>
          </cell>
          <cell r="T5">
            <v>0</v>
          </cell>
          <cell r="U5">
            <v>1.0295179597414783E-3</v>
          </cell>
          <cell r="V5">
            <v>0</v>
          </cell>
          <cell r="W5">
            <v>0</v>
          </cell>
          <cell r="X5">
            <v>9.3746884711469079E-4</v>
          </cell>
          <cell r="Y5">
            <v>0</v>
          </cell>
          <cell r="Z5">
            <v>0</v>
          </cell>
          <cell r="AA5">
            <v>6.3622159211332047E-5</v>
          </cell>
          <cell r="AB5">
            <v>0</v>
          </cell>
          <cell r="AC5">
            <v>0</v>
          </cell>
        </row>
        <row r="6">
          <cell r="R6">
            <v>2.5127492341788699E-2</v>
          </cell>
          <cell r="S6">
            <v>0</v>
          </cell>
          <cell r="T6">
            <v>0</v>
          </cell>
          <cell r="U6">
            <v>1.7052996729129974E-3</v>
          </cell>
          <cell r="V6">
            <v>0</v>
          </cell>
          <cell r="W6">
            <v>0</v>
          </cell>
          <cell r="X6">
            <v>1.3657111437164469E-3</v>
          </cell>
          <cell r="Y6">
            <v>0</v>
          </cell>
          <cell r="Z6">
            <v>0</v>
          </cell>
          <cell r="AA6">
            <v>9.2685204516015273E-5</v>
          </cell>
          <cell r="AB6">
            <v>0</v>
          </cell>
          <cell r="AC6">
            <v>0</v>
          </cell>
        </row>
        <row r="7">
          <cell r="R7">
            <v>5.2839900685587027E-2</v>
          </cell>
          <cell r="S7">
            <v>0</v>
          </cell>
          <cell r="T7">
            <v>0</v>
          </cell>
          <cell r="U7">
            <v>3.5860269751642284E-3</v>
          </cell>
          <cell r="V7">
            <v>0</v>
          </cell>
          <cell r="W7">
            <v>0</v>
          </cell>
          <cell r="X7">
            <v>3.0933445239910069E-3</v>
          </cell>
          <cell r="Y7">
            <v>0</v>
          </cell>
          <cell r="Z7">
            <v>0</v>
          </cell>
          <cell r="AA7">
            <v>2.0993258432701887E-4</v>
          </cell>
          <cell r="AB7">
            <v>0</v>
          </cell>
          <cell r="AC7">
            <v>0</v>
          </cell>
        </row>
        <row r="8">
          <cell r="R8">
            <v>0.11067963010043089</v>
          </cell>
          <cell r="S8">
            <v>0</v>
          </cell>
          <cell r="T8">
            <v>0</v>
          </cell>
          <cell r="U8">
            <v>7.5113717851783366E-3</v>
          </cell>
          <cell r="V8">
            <v>0</v>
          </cell>
          <cell r="W8">
            <v>0</v>
          </cell>
          <cell r="X8">
            <v>7.2577395663774649E-3</v>
          </cell>
          <cell r="Y8">
            <v>0</v>
          </cell>
          <cell r="Z8">
            <v>0</v>
          </cell>
          <cell r="AA8">
            <v>4.9255296709604674E-4</v>
          </cell>
          <cell r="AB8">
            <v>0</v>
          </cell>
          <cell r="AC8">
            <v>0</v>
          </cell>
        </row>
        <row r="9">
          <cell r="R9">
            <v>0.15841068458016225</v>
          </cell>
          <cell r="S9">
            <v>0</v>
          </cell>
          <cell r="T9">
            <v>0</v>
          </cell>
          <cell r="U9">
            <v>1.0750682357236965E-2</v>
          </cell>
          <cell r="V9">
            <v>0</v>
          </cell>
          <cell r="W9">
            <v>0</v>
          </cell>
          <cell r="X9">
            <v>1.0094090824718464E-2</v>
          </cell>
          <cell r="Y9">
            <v>0</v>
          </cell>
          <cell r="Z9">
            <v>0</v>
          </cell>
          <cell r="AA9">
            <v>6.8504447429954538E-4</v>
          </cell>
          <cell r="AB9">
            <v>0</v>
          </cell>
          <cell r="AC9">
            <v>0</v>
          </cell>
        </row>
        <row r="10">
          <cell r="R10">
            <v>0.26253820447933451</v>
          </cell>
          <cell r="S10">
            <v>0</v>
          </cell>
          <cell r="T10">
            <v>0</v>
          </cell>
          <cell r="U10">
            <v>1.7817389341363336E-2</v>
          </cell>
          <cell r="V10">
            <v>0</v>
          </cell>
          <cell r="W10">
            <v>0</v>
          </cell>
          <cell r="X10">
            <v>1.7385326827880694E-2</v>
          </cell>
          <cell r="Y10">
            <v>0</v>
          </cell>
          <cell r="Z10">
            <v>0</v>
          </cell>
          <cell r="AA10">
            <v>1.1798707069453666E-3</v>
          </cell>
          <cell r="AB10">
            <v>0</v>
          </cell>
          <cell r="AC10">
            <v>0</v>
          </cell>
        </row>
        <row r="11">
          <cell r="R11">
            <v>0.39745873262847098</v>
          </cell>
          <cell r="S11">
            <v>0</v>
          </cell>
          <cell r="T11">
            <v>0</v>
          </cell>
          <cell r="U11">
            <v>2.6973891287215414E-2</v>
          </cell>
          <cell r="V11">
            <v>0</v>
          </cell>
          <cell r="W11">
            <v>0</v>
          </cell>
          <cell r="X11">
            <v>2.7265062749315012E-2</v>
          </cell>
          <cell r="Y11">
            <v>0</v>
          </cell>
          <cell r="Z11">
            <v>0</v>
          </cell>
          <cell r="AA11">
            <v>1.8503677946022008E-3</v>
          </cell>
          <cell r="AB11">
            <v>0</v>
          </cell>
          <cell r="AC11">
            <v>0</v>
          </cell>
        </row>
        <row r="12">
          <cell r="R12">
            <v>0.51006099148557704</v>
          </cell>
          <cell r="S12">
            <v>0</v>
          </cell>
          <cell r="T12">
            <v>0</v>
          </cell>
          <cell r="U12">
            <v>3.4615743987293432E-2</v>
          </cell>
          <cell r="V12">
            <v>0</v>
          </cell>
          <cell r="W12">
            <v>0</v>
          </cell>
          <cell r="X12">
            <v>3.4833832393518539E-2</v>
          </cell>
          <cell r="Y12">
            <v>0</v>
          </cell>
          <cell r="Z12">
            <v>0</v>
          </cell>
          <cell r="AA12">
            <v>2.3640290952624686E-3</v>
          </cell>
          <cell r="AB12">
            <v>0</v>
          </cell>
          <cell r="AC12">
            <v>0</v>
          </cell>
        </row>
        <row r="13">
          <cell r="R13">
            <v>0.69731075199258763</v>
          </cell>
          <cell r="S13">
            <v>0</v>
          </cell>
          <cell r="T13">
            <v>0</v>
          </cell>
          <cell r="U13">
            <v>4.7323615946907843E-2</v>
          </cell>
          <cell r="V13">
            <v>0</v>
          </cell>
          <cell r="W13">
            <v>0</v>
          </cell>
          <cell r="X13">
            <v>4.8424211746038261E-2</v>
          </cell>
          <cell r="Y13">
            <v>0</v>
          </cell>
          <cell r="Z13">
            <v>0</v>
          </cell>
          <cell r="AA13">
            <v>3.286352307995987E-3</v>
          </cell>
          <cell r="AB13">
            <v>0</v>
          </cell>
          <cell r="AC13">
            <v>0</v>
          </cell>
        </row>
        <row r="14">
          <cell r="R14">
            <v>0.94465298584143442</v>
          </cell>
          <cell r="S14">
            <v>0</v>
          </cell>
          <cell r="T14">
            <v>0</v>
          </cell>
          <cell r="U14">
            <v>6.4109717191819557E-2</v>
          </cell>
          <cell r="V14">
            <v>0</v>
          </cell>
          <cell r="W14">
            <v>0</v>
          </cell>
          <cell r="X14">
            <v>6.0479672250596993E-2</v>
          </cell>
          <cell r="Y14">
            <v>0</v>
          </cell>
          <cell r="Z14">
            <v>0</v>
          </cell>
          <cell r="AA14">
            <v>4.1045068844894773E-3</v>
          </cell>
          <cell r="AB14">
            <v>0</v>
          </cell>
          <cell r="AC14">
            <v>0</v>
          </cell>
        </row>
        <row r="15">
          <cell r="R15">
            <v>1.2688688874909797</v>
          </cell>
          <cell r="S15">
            <v>0</v>
          </cell>
          <cell r="T15">
            <v>0</v>
          </cell>
          <cell r="U15">
            <v>8.6112918447070835E-2</v>
          </cell>
          <cell r="V15">
            <v>0</v>
          </cell>
          <cell r="W15">
            <v>0</v>
          </cell>
          <cell r="X15">
            <v>8.3814711051826404E-2</v>
          </cell>
          <cell r="Y15">
            <v>0</v>
          </cell>
          <cell r="Z15">
            <v>0</v>
          </cell>
          <cell r="AA15">
            <v>5.6881600996163129E-3</v>
          </cell>
          <cell r="AB15">
            <v>0</v>
          </cell>
          <cell r="AC15">
            <v>0</v>
          </cell>
        </row>
        <row r="16">
          <cell r="R16">
            <v>2.1225878604050621</v>
          </cell>
          <cell r="S16">
            <v>0</v>
          </cell>
          <cell r="T16">
            <v>0</v>
          </cell>
          <cell r="U16">
            <v>0.14405131776950675</v>
          </cell>
          <cell r="V16">
            <v>0</v>
          </cell>
          <cell r="W16">
            <v>0</v>
          </cell>
          <cell r="X16">
            <v>0.14469687893855471</v>
          </cell>
          <cell r="Y16">
            <v>0</v>
          </cell>
          <cell r="Z16">
            <v>0</v>
          </cell>
          <cell r="AA16">
            <v>9.8199827093404246E-3</v>
          </cell>
          <cell r="AB16">
            <v>0</v>
          </cell>
          <cell r="AC16">
            <v>0</v>
          </cell>
        </row>
        <row r="17">
          <cell r="R17">
            <v>2.9295199755357944</v>
          </cell>
          <cell r="S17">
            <v>0</v>
          </cell>
          <cell r="T17">
            <v>0</v>
          </cell>
          <cell r="U17">
            <v>0.19881448527058482</v>
          </cell>
          <cell r="V17">
            <v>0</v>
          </cell>
          <cell r="W17">
            <v>0</v>
          </cell>
          <cell r="X17">
            <v>0.21459840729641538</v>
          </cell>
          <cell r="Y17">
            <v>0</v>
          </cell>
          <cell r="Z17">
            <v>0</v>
          </cell>
          <cell r="AA17">
            <v>1.4563912259625705E-2</v>
          </cell>
          <cell r="AB17">
            <v>0</v>
          </cell>
          <cell r="AC17">
            <v>0</v>
          </cell>
        </row>
        <row r="18">
          <cell r="R18">
            <v>3.6991995809254332</v>
          </cell>
          <cell r="S18">
            <v>0</v>
          </cell>
          <cell r="T18">
            <v>0</v>
          </cell>
          <cell r="U18">
            <v>0.25104947798157345</v>
          </cell>
          <cell r="V18">
            <v>0</v>
          </cell>
          <cell r="W18">
            <v>0</v>
          </cell>
          <cell r="X18">
            <v>0.28785893229298187</v>
          </cell>
          <cell r="Y18">
            <v>0</v>
          </cell>
          <cell r="Z18">
            <v>0</v>
          </cell>
          <cell r="AA18">
            <v>1.9535803111874039E-2</v>
          </cell>
          <cell r="AB18">
            <v>0</v>
          </cell>
          <cell r="AC18">
            <v>0</v>
          </cell>
        </row>
        <row r="19">
          <cell r="R19">
            <v>4.3980433008289248</v>
          </cell>
          <cell r="S19">
            <v>0</v>
          </cell>
          <cell r="T19">
            <v>0</v>
          </cell>
          <cell r="U19">
            <v>0.29847713016263838</v>
          </cell>
          <cell r="V19">
            <v>0</v>
          </cell>
          <cell r="W19">
            <v>0</v>
          </cell>
          <cell r="X19">
            <v>0.35627910378441857</v>
          </cell>
          <cell r="Y19">
            <v>0</v>
          </cell>
          <cell r="Z19">
            <v>0</v>
          </cell>
          <cell r="AA19">
            <v>2.4179199057555285E-2</v>
          </cell>
          <cell r="AB19">
            <v>0</v>
          </cell>
          <cell r="AC19">
            <v>0</v>
          </cell>
        </row>
        <row r="20">
          <cell r="R20">
            <v>6.0251859960470826</v>
          </cell>
          <cell r="S20">
            <v>0</v>
          </cell>
          <cell r="T20">
            <v>0</v>
          </cell>
          <cell r="U20">
            <v>0.4089046200289343</v>
          </cell>
          <cell r="V20">
            <v>0</v>
          </cell>
          <cell r="W20">
            <v>0</v>
          </cell>
          <cell r="X20">
            <v>0.50859866618259131</v>
          </cell>
          <cell r="Y20">
            <v>0</v>
          </cell>
          <cell r="Z20">
            <v>0</v>
          </cell>
          <cell r="AA20">
            <v>3.4516501976711786E-2</v>
          </cell>
          <cell r="AB20">
            <v>0</v>
          </cell>
          <cell r="AC20">
            <v>0</v>
          </cell>
        </row>
        <row r="21">
          <cell r="R21">
            <v>7.2172466275675164</v>
          </cell>
          <cell r="S21">
            <v>0</v>
          </cell>
          <cell r="T21">
            <v>0</v>
          </cell>
          <cell r="U21">
            <v>0.48980487769784387</v>
          </cell>
          <cell r="V21">
            <v>0</v>
          </cell>
          <cell r="W21">
            <v>0</v>
          </cell>
          <cell r="X21">
            <v>0.63346339766586257</v>
          </cell>
          <cell r="Y21">
            <v>0</v>
          </cell>
          <cell r="Z21">
            <v>0</v>
          </cell>
          <cell r="AA21">
            <v>4.2990558315500201E-2</v>
          </cell>
          <cell r="AB21">
            <v>0</v>
          </cell>
          <cell r="AC21">
            <v>0</v>
          </cell>
        </row>
        <row r="22">
          <cell r="R22">
            <v>8.9524296152498248</v>
          </cell>
          <cell r="S22">
            <v>0</v>
          </cell>
          <cell r="T22">
            <v>0</v>
          </cell>
          <cell r="U22">
            <v>0.60756461834724451</v>
          </cell>
          <cell r="V22">
            <v>0</v>
          </cell>
          <cell r="W22">
            <v>0</v>
          </cell>
          <cell r="X22">
            <v>0.78280326254102217</v>
          </cell>
          <cell r="Y22">
            <v>0</v>
          </cell>
          <cell r="Z22">
            <v>0</v>
          </cell>
          <cell r="AA22">
            <v>5.3125641405385338E-2</v>
          </cell>
          <cell r="AB22">
            <v>0</v>
          </cell>
          <cell r="AC22">
            <v>0</v>
          </cell>
        </row>
        <row r="23">
          <cell r="R23">
            <v>10.710471957954583</v>
          </cell>
          <cell r="S23">
            <v>0</v>
          </cell>
          <cell r="T23">
            <v>0</v>
          </cell>
          <cell r="U23">
            <v>0.72687572950797785</v>
          </cell>
          <cell r="V23">
            <v>0</v>
          </cell>
          <cell r="W23">
            <v>0</v>
          </cell>
          <cell r="X23">
            <v>0.96784387778455561</v>
          </cell>
          <cell r="Y23">
            <v>0</v>
          </cell>
          <cell r="Z23">
            <v>0</v>
          </cell>
          <cell r="AA23">
            <v>6.568358775189112E-2</v>
          </cell>
          <cell r="AB23">
            <v>0</v>
          </cell>
          <cell r="AC23">
            <v>0</v>
          </cell>
        </row>
        <row r="24">
          <cell r="R24">
            <v>12.425419867213245</v>
          </cell>
          <cell r="S24">
            <v>0</v>
          </cell>
          <cell r="T24">
            <v>0</v>
          </cell>
          <cell r="U24">
            <v>0.84326219851738182</v>
          </cell>
          <cell r="V24">
            <v>0</v>
          </cell>
          <cell r="W24">
            <v>0</v>
          </cell>
          <cell r="X24">
            <v>1.1564502867111992</v>
          </cell>
          <cell r="Y24">
            <v>0</v>
          </cell>
          <cell r="Z24">
            <v>0</v>
          </cell>
          <cell r="AA24">
            <v>7.848352986617077E-2</v>
          </cell>
          <cell r="AB24">
            <v>0</v>
          </cell>
          <cell r="AC24">
            <v>0</v>
          </cell>
        </row>
        <row r="25">
          <cell r="R25">
            <v>14.04143139243258</v>
          </cell>
          <cell r="S25">
            <v>0</v>
          </cell>
          <cell r="T25">
            <v>0</v>
          </cell>
          <cell r="U25">
            <v>0.95293426160650718</v>
          </cell>
          <cell r="V25">
            <v>0</v>
          </cell>
          <cell r="W25">
            <v>0</v>
          </cell>
          <cell r="X25">
            <v>1.335720106016872</v>
          </cell>
          <cell r="Y25">
            <v>0</v>
          </cell>
          <cell r="Z25">
            <v>0</v>
          </cell>
          <cell r="AA25">
            <v>9.0649836000775447E-2</v>
          </cell>
          <cell r="AB25">
            <v>0</v>
          </cell>
          <cell r="AC25">
            <v>0</v>
          </cell>
        </row>
        <row r="26">
          <cell r="R26">
            <v>16.402998178056272</v>
          </cell>
          <cell r="S26">
            <v>0</v>
          </cell>
          <cell r="T26">
            <v>0</v>
          </cell>
          <cell r="U26">
            <v>1.1132040972235224</v>
          </cell>
          <cell r="V26">
            <v>0</v>
          </cell>
          <cell r="W26">
            <v>0</v>
          </cell>
          <cell r="X26">
            <v>1.562730830239446</v>
          </cell>
          <cell r="Y26">
            <v>0</v>
          </cell>
          <cell r="Z26">
            <v>0</v>
          </cell>
          <cell r="AA26">
            <v>0.10605612121614051</v>
          </cell>
          <cell r="AB26">
            <v>0</v>
          </cell>
          <cell r="AC26">
            <v>0</v>
          </cell>
        </row>
        <row r="27">
          <cell r="R27">
            <v>18.22777871191121</v>
          </cell>
          <cell r="S27">
            <v>0</v>
          </cell>
          <cell r="T27">
            <v>0</v>
          </cell>
          <cell r="U27">
            <v>1.2370444552343258</v>
          </cell>
          <cell r="V27">
            <v>0</v>
          </cell>
          <cell r="W27">
            <v>0</v>
          </cell>
          <cell r="X27">
            <v>1.786314126325361</v>
          </cell>
          <cell r="Y27">
            <v>0</v>
          </cell>
          <cell r="Z27">
            <v>0</v>
          </cell>
          <cell r="AA27">
            <v>0.12122980096491641</v>
          </cell>
          <cell r="AB27">
            <v>0</v>
          </cell>
          <cell r="AC27">
            <v>0</v>
          </cell>
        </row>
        <row r="28">
          <cell r="R28">
            <v>21.878940169701618</v>
          </cell>
          <cell r="S28">
            <v>0</v>
          </cell>
          <cell r="T28">
            <v>0</v>
          </cell>
          <cell r="U28">
            <v>1.4848337831557488</v>
          </cell>
          <cell r="V28">
            <v>0</v>
          </cell>
          <cell r="W28">
            <v>0</v>
          </cell>
          <cell r="X28">
            <v>2.0863411325802224</v>
          </cell>
          <cell r="Y28">
            <v>0</v>
          </cell>
          <cell r="Z28">
            <v>0</v>
          </cell>
          <cell r="AA28">
            <v>0.14159140126597772</v>
          </cell>
          <cell r="AB28">
            <v>0</v>
          </cell>
          <cell r="AC28">
            <v>0</v>
          </cell>
        </row>
        <row r="29">
          <cell r="R29">
            <v>25.863219164568626</v>
          </cell>
          <cell r="S29">
            <v>0</v>
          </cell>
          <cell r="T29">
            <v>0</v>
          </cell>
          <cell r="U29">
            <v>1.7552304297578973</v>
          </cell>
          <cell r="V29">
            <v>0</v>
          </cell>
          <cell r="W29">
            <v>0</v>
          </cell>
          <cell r="X29">
            <v>2.4811904990522335</v>
          </cell>
          <cell r="Y29">
            <v>0</v>
          </cell>
          <cell r="Z29">
            <v>0</v>
          </cell>
          <cell r="AA29">
            <v>0.16838820559232195</v>
          </cell>
          <cell r="AB29">
            <v>0</v>
          </cell>
          <cell r="AC29">
            <v>0</v>
          </cell>
        </row>
        <row r="30">
          <cell r="R30">
            <v>30.554676317858345</v>
          </cell>
          <cell r="S30">
            <v>0</v>
          </cell>
          <cell r="T30">
            <v>0</v>
          </cell>
          <cell r="U30">
            <v>2.0736203526426888</v>
          </cell>
          <cell r="V30">
            <v>0</v>
          </cell>
          <cell r="W30">
            <v>0</v>
          </cell>
          <cell r="X30">
            <v>2.9315045165533267</v>
          </cell>
          <cell r="Y30">
            <v>0</v>
          </cell>
          <cell r="Z30">
            <v>0</v>
          </cell>
          <cell r="AA30">
            <v>0.19894916791627218</v>
          </cell>
          <cell r="AB30">
            <v>0</v>
          </cell>
          <cell r="AC30">
            <v>0</v>
          </cell>
        </row>
        <row r="31">
          <cell r="R31">
            <v>36.943921474485542</v>
          </cell>
          <cell r="S31">
            <v>0</v>
          </cell>
          <cell r="T31">
            <v>0</v>
          </cell>
          <cell r="U31">
            <v>2.5072321722207707</v>
          </cell>
          <cell r="V31">
            <v>0</v>
          </cell>
          <cell r="W31">
            <v>0</v>
          </cell>
          <cell r="X31">
            <v>3.5416368451836333</v>
          </cell>
          <cell r="Y31">
            <v>0</v>
          </cell>
          <cell r="Z31">
            <v>0</v>
          </cell>
          <cell r="AA31">
            <v>0.24035634242833265</v>
          </cell>
          <cell r="AB31">
            <v>0</v>
          </cell>
          <cell r="AC31">
            <v>0</v>
          </cell>
        </row>
        <row r="32">
          <cell r="R32">
            <v>47.029866471149205</v>
          </cell>
          <cell r="S32">
            <v>0</v>
          </cell>
          <cell r="T32">
            <v>0</v>
          </cell>
          <cell r="U32">
            <v>3.1917238226360811</v>
          </cell>
          <cell r="V32">
            <v>0</v>
          </cell>
          <cell r="W32">
            <v>0</v>
          </cell>
          <cell r="X32">
            <v>4.4434062231133487</v>
          </cell>
          <cell r="Y32">
            <v>0</v>
          </cell>
          <cell r="Z32">
            <v>0</v>
          </cell>
          <cell r="AA32">
            <v>0.30155572533169772</v>
          </cell>
          <cell r="AB32">
            <v>0</v>
          </cell>
          <cell r="AC32">
            <v>0</v>
          </cell>
        </row>
        <row r="33">
          <cell r="R33">
            <v>48.903740877429165</v>
          </cell>
          <cell r="S33">
            <v>0</v>
          </cell>
          <cell r="T33">
            <v>0</v>
          </cell>
          <cell r="U33">
            <v>3.3188959800739681</v>
          </cell>
          <cell r="V33">
            <v>0</v>
          </cell>
          <cell r="W33">
            <v>0</v>
          </cell>
          <cell r="X33">
            <v>5.0030946568395605</v>
          </cell>
          <cell r="Y33">
            <v>0</v>
          </cell>
          <cell r="Z33">
            <v>0</v>
          </cell>
          <cell r="AA33">
            <v>0.33953947993737338</v>
          </cell>
          <cell r="AB33">
            <v>0</v>
          </cell>
          <cell r="AC33">
            <v>0</v>
          </cell>
        </row>
        <row r="34">
          <cell r="R34">
            <v>52.432830702190998</v>
          </cell>
          <cell r="S34">
            <v>0</v>
          </cell>
          <cell r="T34">
            <v>0</v>
          </cell>
          <cell r="U34">
            <v>3.5584008077737201</v>
          </cell>
          <cell r="V34">
            <v>0</v>
          </cell>
          <cell r="W34">
            <v>0</v>
          </cell>
          <cell r="X34">
            <v>5.5361459566870188</v>
          </cell>
          <cell r="Y34">
            <v>0</v>
          </cell>
          <cell r="Z34">
            <v>0</v>
          </cell>
          <cell r="AA34">
            <v>0.37571548170114555</v>
          </cell>
          <cell r="AB34">
            <v>0</v>
          </cell>
          <cell r="AC34">
            <v>0</v>
          </cell>
        </row>
        <row r="35">
          <cell r="R35">
            <v>61.099294908483401</v>
          </cell>
          <cell r="S35">
            <v>0</v>
          </cell>
          <cell r="T35">
            <v>0</v>
          </cell>
          <cell r="U35">
            <v>4.1465581286586346</v>
          </cell>
          <cell r="V35">
            <v>0</v>
          </cell>
          <cell r="W35">
            <v>0</v>
          </cell>
          <cell r="X35">
            <v>6.3513979925561426</v>
          </cell>
          <cell r="Y35">
            <v>0</v>
          </cell>
          <cell r="Z35">
            <v>0</v>
          </cell>
          <cell r="AA35">
            <v>0.43104328804166109</v>
          </cell>
          <cell r="AB35">
            <v>0</v>
          </cell>
          <cell r="AC35">
            <v>0</v>
          </cell>
        </row>
        <row r="36">
          <cell r="R36">
            <v>72.108050875898329</v>
          </cell>
          <cell r="S36">
            <v>0</v>
          </cell>
          <cell r="T36">
            <v>0</v>
          </cell>
          <cell r="U36">
            <v>4.8936771684360556</v>
          </cell>
          <cell r="V36">
            <v>0</v>
          </cell>
          <cell r="W36">
            <v>0</v>
          </cell>
          <cell r="X36">
            <v>7.3079926582117185</v>
          </cell>
          <cell r="Y36">
            <v>0</v>
          </cell>
          <cell r="Z36">
            <v>0</v>
          </cell>
          <cell r="AA36">
            <v>0.49596343798196546</v>
          </cell>
          <cell r="AB36">
            <v>0</v>
          </cell>
          <cell r="AC36">
            <v>0</v>
          </cell>
        </row>
        <row r="37">
          <cell r="R37">
            <v>78.300175213688902</v>
          </cell>
          <cell r="S37">
            <v>0</v>
          </cell>
          <cell r="T37">
            <v>0</v>
          </cell>
          <cell r="U37">
            <v>5.3139112078793724</v>
          </cell>
          <cell r="V37">
            <v>0</v>
          </cell>
          <cell r="W37">
            <v>0</v>
          </cell>
          <cell r="X37">
            <v>8.126608241585469</v>
          </cell>
          <cell r="Y37">
            <v>0</v>
          </cell>
          <cell r="Z37">
            <v>0</v>
          </cell>
          <cell r="AA37">
            <v>0.55151951447301761</v>
          </cell>
          <cell r="AB37">
            <v>0</v>
          </cell>
          <cell r="AC37">
            <v>0</v>
          </cell>
        </row>
        <row r="38">
          <cell r="R38">
            <v>84.859880925660022</v>
          </cell>
          <cell r="S38">
            <v>0</v>
          </cell>
          <cell r="T38">
            <v>0</v>
          </cell>
          <cell r="U38">
            <v>5.7590914850384411</v>
          </cell>
          <cell r="V38">
            <v>0</v>
          </cell>
          <cell r="W38">
            <v>0</v>
          </cell>
          <cell r="X38">
            <v>8.9639606944408623</v>
          </cell>
          <cell r="Y38">
            <v>0</v>
          </cell>
          <cell r="Z38">
            <v>0</v>
          </cell>
          <cell r="AA38">
            <v>0.60834718531832699</v>
          </cell>
          <cell r="AB38">
            <v>0</v>
          </cell>
          <cell r="AC38">
            <v>0</v>
          </cell>
        </row>
        <row r="39">
          <cell r="R39">
            <v>94.983973421455502</v>
          </cell>
          <cell r="S39">
            <v>0</v>
          </cell>
          <cell r="T39">
            <v>0</v>
          </cell>
          <cell r="U39">
            <v>6.4461720494968677</v>
          </cell>
          <cell r="V39">
            <v>0</v>
          </cell>
          <cell r="W39">
            <v>0</v>
          </cell>
          <cell r="X39">
            <v>10.070085031925242</v>
          </cell>
          <cell r="Y39">
            <v>0</v>
          </cell>
          <cell r="Z39">
            <v>0</v>
          </cell>
          <cell r="AA39">
            <v>0.68341529976666848</v>
          </cell>
          <cell r="AB39">
            <v>0</v>
          </cell>
          <cell r="AC39">
            <v>0</v>
          </cell>
        </row>
        <row r="40">
          <cell r="R40">
            <v>109.16430297769607</v>
          </cell>
          <cell r="S40">
            <v>0</v>
          </cell>
          <cell r="T40">
            <v>0</v>
          </cell>
          <cell r="U40">
            <v>7.4085327588399066</v>
          </cell>
          <cell r="V40">
            <v>0</v>
          </cell>
          <cell r="W40">
            <v>0</v>
          </cell>
          <cell r="X40">
            <v>11.312611560204198</v>
          </cell>
          <cell r="Y40">
            <v>0</v>
          </cell>
          <cell r="Z40">
            <v>0</v>
          </cell>
          <cell r="AA40">
            <v>0.76774047051743166</v>
          </cell>
          <cell r="AB40">
            <v>0</v>
          </cell>
          <cell r="AC40">
            <v>0</v>
          </cell>
        </row>
        <row r="41">
          <cell r="R41">
            <v>125.46724678494245</v>
          </cell>
          <cell r="S41">
            <v>0</v>
          </cell>
          <cell r="T41">
            <v>0</v>
          </cell>
          <cell r="U41">
            <v>8.5149465769741042</v>
          </cell>
          <cell r="V41">
            <v>0</v>
          </cell>
          <cell r="W41">
            <v>0</v>
          </cell>
          <cell r="X41">
            <v>12.913423903577444</v>
          </cell>
          <cell r="Y41">
            <v>0</v>
          </cell>
          <cell r="Z41">
            <v>0</v>
          </cell>
          <cell r="AA41">
            <v>0.87638102757809533</v>
          </cell>
          <cell r="AB41">
            <v>0</v>
          </cell>
          <cell r="AC41">
            <v>0</v>
          </cell>
        </row>
        <row r="42">
          <cell r="R42">
            <v>138.24710390975011</v>
          </cell>
          <cell r="S42">
            <v>0</v>
          </cell>
          <cell r="T42">
            <v>0</v>
          </cell>
          <cell r="U42">
            <v>9.382262976015058</v>
          </cell>
          <cell r="V42">
            <v>0</v>
          </cell>
          <cell r="W42">
            <v>0</v>
          </cell>
          <cell r="X42">
            <v>14.217077150593974</v>
          </cell>
          <cell r="Y42">
            <v>0</v>
          </cell>
          <cell r="Z42">
            <v>0</v>
          </cell>
          <cell r="AA42">
            <v>0.96485461760013114</v>
          </cell>
          <cell r="AB42">
            <v>0</v>
          </cell>
          <cell r="AC42">
            <v>0</v>
          </cell>
        </row>
        <row r="43">
          <cell r="R43">
            <v>148.41564770423841</v>
          </cell>
          <cell r="S43">
            <v>0</v>
          </cell>
          <cell r="T43">
            <v>0</v>
          </cell>
          <cell r="U43">
            <v>10.072360267494641</v>
          </cell>
          <cell r="V43">
            <v>0</v>
          </cell>
          <cell r="W43">
            <v>0</v>
          </cell>
          <cell r="X43">
            <v>15.63081520969485</v>
          </cell>
          <cell r="Y43">
            <v>0</v>
          </cell>
          <cell r="Z43">
            <v>0</v>
          </cell>
          <cell r="AA43">
            <v>1.0607992115523093</v>
          </cell>
          <cell r="AB43">
            <v>0</v>
          </cell>
          <cell r="AC43">
            <v>0</v>
          </cell>
        </row>
        <row r="44">
          <cell r="R44">
            <v>159.80555089045876</v>
          </cell>
          <cell r="S44">
            <v>0</v>
          </cell>
          <cell r="T44">
            <v>0</v>
          </cell>
          <cell r="U44">
            <v>10.845346203129379</v>
          </cell>
          <cell r="V44">
            <v>0</v>
          </cell>
          <cell r="W44">
            <v>0</v>
          </cell>
          <cell r="X44">
            <v>17.03676319411883</v>
          </cell>
          <cell r="Y44">
            <v>0</v>
          </cell>
          <cell r="Z44">
            <v>0</v>
          </cell>
          <cell r="AA44">
            <v>1.1562151251404549</v>
          </cell>
          <cell r="AB44">
            <v>0</v>
          </cell>
          <cell r="AC44">
            <v>0</v>
          </cell>
        </row>
        <row r="45">
          <cell r="R45">
            <v>174.50693515255637</v>
          </cell>
          <cell r="S45">
            <v>0</v>
          </cell>
          <cell r="T45">
            <v>0</v>
          </cell>
          <cell r="U45">
            <v>11.843068754688167</v>
          </cell>
          <cell r="V45">
            <v>0</v>
          </cell>
          <cell r="W45">
            <v>0</v>
          </cell>
          <cell r="X45">
            <v>18.486796466021612</v>
          </cell>
          <cell r="Y45">
            <v>0</v>
          </cell>
          <cell r="Z45">
            <v>0</v>
          </cell>
          <cell r="AA45">
            <v>1.2546229260723627</v>
          </cell>
          <cell r="AB45">
            <v>0</v>
          </cell>
          <cell r="AC45">
            <v>0</v>
          </cell>
        </row>
      </sheetData>
      <sheetData sheetId="2">
        <row r="2">
          <cell r="R2">
            <v>0.1857105960724551</v>
          </cell>
          <cell r="S2">
            <v>9.4565792009873362E-5</v>
          </cell>
          <cell r="T2">
            <v>2.2654329320565429E-2</v>
          </cell>
          <cell r="U2">
            <v>1.271992966092313E-2</v>
          </cell>
          <cell r="V2">
            <v>3.2574897290209563E-2</v>
          </cell>
          <cell r="W2">
            <v>7.9139495683496791E-2</v>
          </cell>
          <cell r="X2">
            <v>1.522946986137993E-2</v>
          </cell>
          <cell r="Y2">
            <v>7.755006498229102E-6</v>
          </cell>
          <cell r="Z2">
            <v>1.857801508981855E-3</v>
          </cell>
          <cell r="AA2">
            <v>1.0431164915023069E-3</v>
          </cell>
          <cell r="AB2">
            <v>2.6713522384325351E-3</v>
          </cell>
          <cell r="AC2">
            <v>6.4899504381881979E-3</v>
          </cell>
        </row>
        <row r="3">
          <cell r="R3">
            <v>0.33236986807805141</v>
          </cell>
          <cell r="S3">
            <v>1.6924623839317869E-4</v>
          </cell>
          <cell r="T3">
            <v>4.0544894082055374E-2</v>
          </cell>
          <cell r="U3">
            <v>2.2765105668572969E-2</v>
          </cell>
          <cell r="V3">
            <v>5.8299927650756658E-2</v>
          </cell>
          <cell r="W3">
            <v>0.14163749563231698</v>
          </cell>
          <cell r="X3">
            <v>2.5766775464152951E-2</v>
          </cell>
          <cell r="Y3">
            <v>1.3120713523301238E-5</v>
          </cell>
          <cell r="Z3">
            <v>3.1432186920892962E-3</v>
          </cell>
          <cell r="AA3">
            <v>1.7648512170245416E-3</v>
          </cell>
          <cell r="AB3">
            <v>4.5196670626010006E-3</v>
          </cell>
          <cell r="AC3">
            <v>1.0980362234298035E-2</v>
          </cell>
        </row>
        <row r="4">
          <cell r="R4">
            <v>0.5767525275733042</v>
          </cell>
          <cell r="S4">
            <v>2.9368846321718017E-4</v>
          </cell>
          <cell r="T4">
            <v>7.0356468464601987E-2</v>
          </cell>
          <cell r="U4">
            <v>3.9503677968002499E-2</v>
          </cell>
          <cell r="V4">
            <v>0.10116630254225842</v>
          </cell>
          <cell r="W4">
            <v>0.24577975156853926</v>
          </cell>
          <cell r="X4">
            <v>4.003208749180498E-2</v>
          </cell>
          <cell r="Y4">
            <v>2.0384760695044573E-5</v>
          </cell>
          <cell r="Z4">
            <v>4.8834052154741363E-3</v>
          </cell>
          <cell r="AA4">
            <v>2.7419293666852114E-3</v>
          </cell>
          <cell r="AB4">
            <v>7.0218994819738634E-3</v>
          </cell>
          <cell r="AC4">
            <v>1.7059442391876345E-2</v>
          </cell>
        </row>
        <row r="5">
          <cell r="R5">
            <v>0.97933493142625316</v>
          </cell>
          <cell r="S5">
            <v>4.986876645268328E-4</v>
          </cell>
          <cell r="T5">
            <v>0.1194663983686087</v>
          </cell>
          <cell r="U5">
            <v>6.7077871191403543E-2</v>
          </cell>
          <cell r="V5">
            <v>0.17178198486573237</v>
          </cell>
          <cell r="W5">
            <v>0.41733791295391298</v>
          </cell>
          <cell r="X5">
            <v>6.0520948021213716E-2</v>
          </cell>
          <cell r="Y5">
            <v>3.0817904329926007E-5</v>
          </cell>
          <cell r="Z5">
            <v>7.382785453612338E-3</v>
          </cell>
          <cell r="AA5">
            <v>4.1452788269651384E-3</v>
          </cell>
          <cell r="AB5">
            <v>1.0615784491521316E-2</v>
          </cell>
          <cell r="AC5">
            <v>2.5790651723595306E-2</v>
          </cell>
        </row>
        <row r="6">
          <cell r="R6">
            <v>1.6221762062828216</v>
          </cell>
          <cell r="S6">
            <v>8.2602921411579935E-4</v>
          </cell>
          <cell r="T6">
            <v>0.19788485293956382</v>
          </cell>
          <cell r="U6">
            <v>0.11110818487433138</v>
          </cell>
          <cell r="V6">
            <v>0.28454070162839978</v>
          </cell>
          <cell r="W6">
            <v>0.69128100167695172</v>
          </cell>
          <cell r="X6">
            <v>8.8167338461694431E-2</v>
          </cell>
          <cell r="Y6">
            <v>4.4895737601207098E-5</v>
          </cell>
          <cell r="Z6">
            <v>1.0755293252355426E-2</v>
          </cell>
          <cell r="AA6">
            <v>6.0388710571259423E-3</v>
          </cell>
          <cell r="AB6">
            <v>1.5465148760926438E-2</v>
          </cell>
          <cell r="AC6">
            <v>3.7572001001452728E-2</v>
          </cell>
        </row>
        <row r="7">
          <cell r="R7">
            <v>3.4112289626273533</v>
          </cell>
          <cell r="S7">
            <v>1.7370337255932203E-3</v>
          </cell>
          <cell r="T7">
            <v>0.42118135443151727</v>
          </cell>
          <cell r="U7">
            <v>0.23364629363956618</v>
          </cell>
          <cell r="V7">
            <v>0.59524091269328117</v>
          </cell>
          <cell r="W7">
            <v>1.4642830378900151</v>
          </cell>
          <cell r="X7">
            <v>0.19969958865765075</v>
          </cell>
          <cell r="Y7">
            <v>1.0168913441044994E-4</v>
          </cell>
          <cell r="Z7">
            <v>2.4675934320072597E-2</v>
          </cell>
          <cell r="AA7">
            <v>1.3678081782956278E-2</v>
          </cell>
          <cell r="AB7">
            <v>3.4834669057929549E-2</v>
          </cell>
          <cell r="AC7">
            <v>8.5762115127017424E-2</v>
          </cell>
        </row>
        <row r="8">
          <cell r="R8">
            <v>7.1452359840346205</v>
          </cell>
          <cell r="S8">
            <v>3.6384294392338172E-3</v>
          </cell>
          <cell r="T8">
            <v>0.89776290404838255</v>
          </cell>
          <cell r="U8">
            <v>0.48940071837450611</v>
          </cell>
          <cell r="V8">
            <v>1.2372340189288376</v>
          </cell>
          <cell r="W8">
            <v>3.0997453088541009</v>
          </cell>
          <cell r="X8">
            <v>0.46854386724436836</v>
          </cell>
          <cell r="Y8">
            <v>2.3858747338275613E-4</v>
          </cell>
          <cell r="Z8">
            <v>5.898926639468613E-2</v>
          </cell>
          <cell r="AA8">
            <v>3.2092110845845519E-2</v>
          </cell>
          <cell r="AB8">
            <v>8.1057445960608321E-2</v>
          </cell>
          <cell r="AC8">
            <v>0.20351354726744941</v>
          </cell>
        </row>
        <row r="9">
          <cell r="R9">
            <v>10.226648956909795</v>
          </cell>
          <cell r="S9">
            <v>5.2075173881828956E-3</v>
          </cell>
          <cell r="T9">
            <v>1.2997252663620835</v>
          </cell>
          <cell r="U9">
            <v>0.70045682987358382</v>
          </cell>
          <cell r="V9">
            <v>1.7616864756967732</v>
          </cell>
          <cell r="W9">
            <v>4.4675777720878536</v>
          </cell>
          <cell r="X9">
            <v>0.65165253011277713</v>
          </cell>
          <cell r="Y9">
            <v>3.3182833359336137E-4</v>
          </cell>
          <cell r="Z9">
            <v>8.2875318454112654E-2</v>
          </cell>
          <cell r="AA9">
            <v>4.4633825541990996E-2</v>
          </cell>
          <cell r="AB9">
            <v>0.11222230083146462</v>
          </cell>
          <cell r="AC9">
            <v>0.28479508128300718</v>
          </cell>
        </row>
        <row r="10">
          <cell r="R10">
            <v>16.948894969448197</v>
          </cell>
          <cell r="S10">
            <v>8.6305558776662347E-3</v>
          </cell>
          <cell r="T10">
            <v>2.1955098677745664</v>
          </cell>
          <cell r="U10">
            <v>1.1608855735816115</v>
          </cell>
          <cell r="V10">
            <v>2.8941783131938594</v>
          </cell>
          <cell r="W10">
            <v>7.4911981251201318</v>
          </cell>
          <cell r="X10">
            <v>1.1223588543985565</v>
          </cell>
          <cell r="Y10">
            <v>5.7151695288342255E-4</v>
          </cell>
          <cell r="Z10">
            <v>0.14560010958734448</v>
          </cell>
          <cell r="AA10">
            <v>7.6874050184481596E-2</v>
          </cell>
          <cell r="AB10">
            <v>0.19152184879766693</v>
          </cell>
          <cell r="AC10">
            <v>0.49651557169006122</v>
          </cell>
        </row>
        <row r="11">
          <cell r="R11">
            <v>25.659070562205379</v>
          </cell>
          <cell r="S11">
            <v>1.3065869052541782E-2</v>
          </cell>
          <cell r="T11">
            <v>3.3806227264146251</v>
          </cell>
          <cell r="U11">
            <v>1.7574741539711489</v>
          </cell>
          <cell r="V11">
            <v>4.346540174265936</v>
          </cell>
          <cell r="W11">
            <v>11.460227751680952</v>
          </cell>
          <cell r="X11">
            <v>1.7601730985782278</v>
          </cell>
          <cell r="Y11">
            <v>8.9629868549116927E-4</v>
          </cell>
          <cell r="Z11">
            <v>0.23238158191835709</v>
          </cell>
          <cell r="AA11">
            <v>0.12056004599882381</v>
          </cell>
          <cell r="AB11">
            <v>0.29787298636432502</v>
          </cell>
          <cell r="AC11">
            <v>0.78715306853876377</v>
          </cell>
        </row>
        <row r="12">
          <cell r="R12">
            <v>32.928427273456649</v>
          </cell>
          <cell r="S12">
            <v>1.6767502073705327E-2</v>
          </cell>
          <cell r="T12">
            <v>4.390041234727871</v>
          </cell>
          <cell r="U12">
            <v>2.2553763092752011</v>
          </cell>
          <cell r="V12">
            <v>5.546131258753614</v>
          </cell>
          <cell r="W12">
            <v>14.815401805615918</v>
          </cell>
          <cell r="X12">
            <v>2.2487963905747685</v>
          </cell>
          <cell r="Y12">
            <v>1.1451108134975692E-3</v>
          </cell>
          <cell r="Z12">
            <v>0.30023151886956734</v>
          </cell>
          <cell r="AA12">
            <v>0.15402746270163714</v>
          </cell>
          <cell r="AB12">
            <v>0.37850572568840429</v>
          </cell>
          <cell r="AC12">
            <v>1.0126773145724806</v>
          </cell>
        </row>
        <row r="13">
          <cell r="R13">
            <v>45.016864193262975</v>
          </cell>
          <cell r="S13">
            <v>2.2923061506818547E-2</v>
          </cell>
          <cell r="T13">
            <v>6.1024017199622467</v>
          </cell>
          <cell r="U13">
            <v>3.0833531214892531</v>
          </cell>
          <cell r="V13">
            <v>7.520180883754195</v>
          </cell>
          <cell r="W13">
            <v>20.465684777566729</v>
          </cell>
          <cell r="X13">
            <v>3.1261616970741706</v>
          </cell>
          <cell r="Y13">
            <v>1.59187447074592E-3</v>
          </cell>
          <cell r="Z13">
            <v>0.42451273834663361</v>
          </cell>
          <cell r="AA13">
            <v>0.21412109883025399</v>
          </cell>
          <cell r="AB13">
            <v>0.52178005187080134</v>
          </cell>
          <cell r="AC13">
            <v>1.4227685682540523</v>
          </cell>
        </row>
        <row r="14">
          <cell r="R14">
            <v>60.984740378470846</v>
          </cell>
          <cell r="S14">
            <v>3.105407228436537E-2</v>
          </cell>
          <cell r="T14">
            <v>8.4088150918318547</v>
          </cell>
          <cell r="U14">
            <v>4.1770454912608201</v>
          </cell>
          <cell r="V14">
            <v>10.100339087683679</v>
          </cell>
          <cell r="W14">
            <v>28.022689313215295</v>
          </cell>
          <cell r="X14">
            <v>3.9044359840691527</v>
          </cell>
          <cell r="Y14">
            <v>1.988179936923443E-3</v>
          </cell>
          <cell r="Z14">
            <v>0.53692732634114493</v>
          </cell>
          <cell r="AA14">
            <v>0.26742766505127319</v>
          </cell>
          <cell r="AB14">
            <v>0.64753696300953401</v>
          </cell>
          <cell r="AC14">
            <v>1.7910969701393387</v>
          </cell>
        </row>
        <row r="15">
          <cell r="R15">
            <v>81.915413212853053</v>
          </cell>
          <cell r="S15">
            <v>4.1712191399500081E-2</v>
          </cell>
          <cell r="T15">
            <v>11.421251802356723</v>
          </cell>
          <cell r="U15">
            <v>5.6106561297472952</v>
          </cell>
          <cell r="V15">
            <v>13.476443309898368</v>
          </cell>
          <cell r="W15">
            <v>38.312800745984426</v>
          </cell>
          <cell r="X15">
            <v>5.410895291713147</v>
          </cell>
          <cell r="Y15">
            <v>2.7552848871569727E-3</v>
          </cell>
          <cell r="Z15">
            <v>0.75374373531028327</v>
          </cell>
          <cell r="AA15">
            <v>0.370610018861599</v>
          </cell>
          <cell r="AB15">
            <v>0.89052789165168178</v>
          </cell>
          <cell r="AC15">
            <v>2.5317150222797768</v>
          </cell>
        </row>
        <row r="16">
          <cell r="R16">
            <v>137.02965166832678</v>
          </cell>
          <cell r="S16">
            <v>6.9776942258031924E-2</v>
          </cell>
          <cell r="T16">
            <v>19.325508794475159</v>
          </cell>
          <cell r="U16">
            <v>9.3856116319926048</v>
          </cell>
          <cell r="V16">
            <v>22.350864941614823</v>
          </cell>
          <cell r="W16">
            <v>66.405605577093425</v>
          </cell>
          <cell r="X16">
            <v>9.3413155178699618</v>
          </cell>
          <cell r="Y16">
            <v>4.7566962738994512E-3</v>
          </cell>
          <cell r="Z16">
            <v>1.3174284096374538</v>
          </cell>
          <cell r="AA16">
            <v>0.63981743013434522</v>
          </cell>
          <cell r="AB16">
            <v>1.5233989473757177</v>
          </cell>
          <cell r="AC16">
            <v>4.5351270517659721</v>
          </cell>
        </row>
        <row r="17">
          <cell r="R17">
            <v>189.12343243424957</v>
          </cell>
          <cell r="S17">
            <v>9.6303644240056691E-2</v>
          </cell>
          <cell r="T17">
            <v>26.770480552033955</v>
          </cell>
          <cell r="U17">
            <v>12.953686050619549</v>
          </cell>
          <cell r="V17">
            <v>30.724530921151761</v>
          </cell>
          <cell r="W17">
            <v>93.887302785799335</v>
          </cell>
          <cell r="X17">
            <v>13.854006022061103</v>
          </cell>
          <cell r="Y17">
            <v>7.0546058205242165E-3</v>
          </cell>
          <cell r="Z17">
            <v>1.9623586270326989</v>
          </cell>
          <cell r="AA17">
            <v>0.94890644825602521</v>
          </cell>
          <cell r="AB17">
            <v>2.2487784916426152</v>
          </cell>
          <cell r="AC17">
            <v>6.9157642834930435</v>
          </cell>
        </row>
        <row r="18">
          <cell r="R18">
            <v>238.8122722651861</v>
          </cell>
          <cell r="S18">
            <v>0.12160572496156272</v>
          </cell>
          <cell r="T18">
            <v>33.847218287475421</v>
          </cell>
          <cell r="U18">
            <v>16.357038153026231</v>
          </cell>
          <cell r="V18">
            <v>38.698083089618045</v>
          </cell>
          <cell r="W18">
            <v>120.97288198235388</v>
          </cell>
          <cell r="X18">
            <v>18.583546037145567</v>
          </cell>
          <cell r="Y18">
            <v>9.4629374226389111E-3</v>
          </cell>
          <cell r="Z18">
            <v>2.6359447765565642</v>
          </cell>
          <cell r="AA18">
            <v>1.2728482027530301</v>
          </cell>
          <cell r="AB18">
            <v>3.0077262588159908</v>
          </cell>
          <cell r="AC18">
            <v>9.4938548784376025</v>
          </cell>
        </row>
        <row r="19">
          <cell r="R19">
            <v>283.92810152970401</v>
          </cell>
          <cell r="S19">
            <v>0.14457918052527657</v>
          </cell>
          <cell r="T19">
            <v>40.250713537593064</v>
          </cell>
          <cell r="U19">
            <v>19.447169717813143</v>
          </cell>
          <cell r="V19">
            <v>45.925692706509338</v>
          </cell>
          <cell r="W19">
            <v>146.34641324260519</v>
          </cell>
          <cell r="X19">
            <v>23.000603366762807</v>
          </cell>
          <cell r="Y19">
            <v>1.1712149549260399E-2</v>
          </cell>
          <cell r="Z19">
            <v>3.2628778528359845</v>
          </cell>
          <cell r="AA19">
            <v>1.5753869901417463</v>
          </cell>
          <cell r="AB19">
            <v>3.7153441072373092</v>
          </cell>
          <cell r="AC19">
            <v>11.978045994027035</v>
          </cell>
        </row>
        <row r="20">
          <cell r="R20">
            <v>388.97289185365179</v>
          </cell>
          <cell r="S20">
            <v>0.19806909442130213</v>
          </cell>
          <cell r="T20">
            <v>55.109834368863432</v>
          </cell>
          <cell r="U20">
            <v>26.642032975081083</v>
          </cell>
          <cell r="V20">
            <v>62.726198886327289</v>
          </cell>
          <cell r="W20">
            <v>207.21593737377333</v>
          </cell>
          <cell r="X20">
            <v>32.834022735189059</v>
          </cell>
          <cell r="Y20">
            <v>1.6719430288253095E-2</v>
          </cell>
          <cell r="Z20">
            <v>4.6538651272109712</v>
          </cell>
          <cell r="AA20">
            <v>2.2489102318847265</v>
          </cell>
          <cell r="AB20">
            <v>5.2880677269285528</v>
          </cell>
          <cell r="AC20">
            <v>17.676144449861269</v>
          </cell>
        </row>
        <row r="21">
          <cell r="R21">
            <v>465.92973126269203</v>
          </cell>
          <cell r="S21">
            <v>0.23725632780056075</v>
          </cell>
          <cell r="T21">
            <v>65.959404460002517</v>
          </cell>
          <cell r="U21">
            <v>31.91306007268426</v>
          </cell>
          <cell r="V21">
            <v>75.01434433173651</v>
          </cell>
          <cell r="W21">
            <v>253.10307967155325</v>
          </cell>
          <cell r="X21">
            <v>40.895017985367595</v>
          </cell>
          <cell r="Y21">
            <v>2.0824173993472538E-2</v>
          </cell>
          <cell r="Z21">
            <v>5.790324649753126</v>
          </cell>
          <cell r="AA21">
            <v>2.8010343149892911</v>
          </cell>
          <cell r="AB21">
            <v>6.5752136496249385</v>
          </cell>
          <cell r="AC21">
            <v>22.482683270155103</v>
          </cell>
        </row>
        <row r="22">
          <cell r="R22">
            <v>577.94936767837305</v>
          </cell>
          <cell r="S22">
            <v>0.29429790680757645</v>
          </cell>
          <cell r="T22">
            <v>81.700036342697473</v>
          </cell>
          <cell r="U22">
            <v>39.58565348406789</v>
          </cell>
          <cell r="V22">
            <v>92.872374060462448</v>
          </cell>
          <cell r="W22">
            <v>321.75314729434513</v>
          </cell>
          <cell r="X22">
            <v>50.536074568124498</v>
          </cell>
          <cell r="Y22">
            <v>2.5733501575430778E-2</v>
          </cell>
          <cell r="Z22">
            <v>7.1450542979218987</v>
          </cell>
          <cell r="AA22">
            <v>3.4613819967220136</v>
          </cell>
          <cell r="AB22">
            <v>8.1121787798483069</v>
          </cell>
          <cell r="AC22">
            <v>28.391104396478045</v>
          </cell>
        </row>
        <row r="23">
          <cell r="R23">
            <v>691.44475429244221</v>
          </cell>
          <cell r="S23">
            <v>0.35209095336286739</v>
          </cell>
          <cell r="T23">
            <v>97.493533246308317</v>
          </cell>
          <cell r="U23">
            <v>47.359325881344532</v>
          </cell>
          <cell r="V23">
            <v>111.09794735720469</v>
          </cell>
          <cell r="W23">
            <v>392.8336109255614</v>
          </cell>
          <cell r="X23">
            <v>62.481893878744437</v>
          </cell>
          <cell r="Y23">
            <v>3.1816438619447773E-2</v>
          </cell>
          <cell r="Z23">
            <v>8.8073796656913697</v>
          </cell>
          <cell r="AA23">
            <v>4.2795904597108434</v>
          </cell>
          <cell r="AB23">
            <v>10.030489399606605</v>
          </cell>
          <cell r="AC23">
            <v>35.872592414497127</v>
          </cell>
        </row>
        <row r="24">
          <cell r="R24">
            <v>802.15805809424296</v>
          </cell>
          <cell r="S24">
            <v>0.40846733404047963</v>
          </cell>
          <cell r="T24">
            <v>112.7536996307726</v>
          </cell>
          <cell r="U24">
            <v>54.942444274534566</v>
          </cell>
          <cell r="V24">
            <v>129.00192508861755</v>
          </cell>
          <cell r="W24">
            <v>463.61558037356195</v>
          </cell>
          <cell r="X24">
            <v>74.657913067274023</v>
          </cell>
          <cell r="Y24">
            <v>3.8016595866487583E-2</v>
          </cell>
          <cell r="Z24">
            <v>10.485661067626818</v>
          </cell>
          <cell r="AA24">
            <v>5.1135660696309202</v>
          </cell>
          <cell r="AB24">
            <v>11.999531681995286</v>
          </cell>
          <cell r="AC24">
            <v>43.657046392527107</v>
          </cell>
        </row>
        <row r="25">
          <cell r="R25">
            <v>906.48424431418505</v>
          </cell>
          <cell r="S25">
            <v>0.46159132715614037</v>
          </cell>
          <cell r="T25">
            <v>126.99981899311852</v>
          </cell>
          <cell r="U25">
            <v>62.088087972712636</v>
          </cell>
          <cell r="V25">
            <v>145.98746400807838</v>
          </cell>
          <cell r="W25">
            <v>531.6344197278346</v>
          </cell>
          <cell r="X25">
            <v>86.231182354422558</v>
          </cell>
          <cell r="Y25">
            <v>4.3909826513680972E-2</v>
          </cell>
          <cell r="Z25">
            <v>12.066032991984331</v>
          </cell>
          <cell r="AA25">
            <v>5.9062573559268134</v>
          </cell>
          <cell r="AB25">
            <v>13.883797013882649</v>
          </cell>
          <cell r="AC25">
            <v>51.202614508922217</v>
          </cell>
        </row>
        <row r="26">
          <cell r="R26">
            <v>1058.941855168395</v>
          </cell>
          <cell r="S26">
            <v>0.5392243487675541</v>
          </cell>
          <cell r="T26">
            <v>147.62880308747509</v>
          </cell>
          <cell r="U26">
            <v>72.530411283017131</v>
          </cell>
          <cell r="V26">
            <v>170.97174783759402</v>
          </cell>
          <cell r="W26">
            <v>632.90730465260367</v>
          </cell>
          <cell r="X26">
            <v>100.88650053722682</v>
          </cell>
          <cell r="Y26">
            <v>5.1372468928402845E-2</v>
          </cell>
          <cell r="Z26">
            <v>14.049038786164765</v>
          </cell>
          <cell r="AA26">
            <v>6.910048310165033</v>
          </cell>
          <cell r="AB26">
            <v>16.285465432005655</v>
          </cell>
          <cell r="AC26">
            <v>60.937690006611149</v>
          </cell>
        </row>
        <row r="27">
          <cell r="R27">
            <v>1176.7457141227037</v>
          </cell>
          <cell r="S27">
            <v>0.59921131482891576</v>
          </cell>
          <cell r="T27">
            <v>163.51539704715816</v>
          </cell>
          <cell r="U27">
            <v>80.599185124545755</v>
          </cell>
          <cell r="V27">
            <v>190.29666271453772</v>
          </cell>
          <cell r="W27">
            <v>710.4914980746496</v>
          </cell>
          <cell r="X27">
            <v>115.32055142059643</v>
          </cell>
          <cell r="Y27">
            <v>5.8722439703167449E-2</v>
          </cell>
          <cell r="Z27">
            <v>15.995561655729142</v>
          </cell>
          <cell r="AA27">
            <v>7.8986839391574426</v>
          </cell>
          <cell r="AB27">
            <v>18.653272455702393</v>
          </cell>
          <cell r="AC27">
            <v>70.44378094063859</v>
          </cell>
        </row>
        <row r="28">
          <cell r="R28">
            <v>1412.4567497310777</v>
          </cell>
          <cell r="S28">
            <v>0.71923785741282309</v>
          </cell>
          <cell r="T28">
            <v>195.19880848700109</v>
          </cell>
          <cell r="U28">
            <v>96.743809376745688</v>
          </cell>
          <cell r="V28">
            <v>229.0014676884141</v>
          </cell>
          <cell r="W28">
            <v>864.42820039505239</v>
          </cell>
          <cell r="X28">
            <v>134.68964182439663</v>
          </cell>
          <cell r="Y28">
            <v>6.8585384593137996E-2</v>
          </cell>
          <cell r="Z28">
            <v>18.599083628704236</v>
          </cell>
          <cell r="AA28">
            <v>9.2253366598039115</v>
          </cell>
          <cell r="AB28">
            <v>21.833763622208618</v>
          </cell>
          <cell r="AC28">
            <v>83.093226461978617</v>
          </cell>
        </row>
        <row r="29">
          <cell r="R29">
            <v>1669.6731283792947</v>
          </cell>
          <cell r="S29">
            <v>0.85021514723472502</v>
          </cell>
          <cell r="T29">
            <v>229.66299953147833</v>
          </cell>
          <cell r="U29">
            <v>114.36140532030836</v>
          </cell>
          <cell r="V29">
            <v>271.27783873247643</v>
          </cell>
          <cell r="W29">
            <v>1031.0322994321355</v>
          </cell>
          <cell r="X29">
            <v>160.1802573877938</v>
          </cell>
          <cell r="Y29">
            <v>8.156547458558723E-2</v>
          </cell>
          <cell r="Z29">
            <v>22.014548262936366</v>
          </cell>
          <cell r="AA29">
            <v>10.971272776736855</v>
          </cell>
          <cell r="AB29">
            <v>26.023429643335454</v>
          </cell>
          <cell r="AC29">
            <v>99.603998684802889</v>
          </cell>
        </row>
        <row r="30">
          <cell r="R30">
            <v>1972.543389499835</v>
          </cell>
          <cell r="S30">
            <v>1.004439874982229</v>
          </cell>
          <cell r="T30">
            <v>270.11861784767245</v>
          </cell>
          <cell r="U30">
            <v>135.1059858629051</v>
          </cell>
          <cell r="V30">
            <v>321.10402094206512</v>
          </cell>
          <cell r="W30">
            <v>1225.6320513526653</v>
          </cell>
          <cell r="X30">
            <v>189.25155008225212</v>
          </cell>
          <cell r="Y30">
            <v>9.6368883096158778E-2</v>
          </cell>
          <cell r="Z30">
            <v>25.897719614438884</v>
          </cell>
          <cell r="AA30">
            <v>12.962461249802477</v>
          </cell>
          <cell r="AB30">
            <v>30.806043563577255</v>
          </cell>
          <cell r="AC30">
            <v>118.28284264069445</v>
          </cell>
        </row>
        <row r="31">
          <cell r="R31">
            <v>2385.0191482508017</v>
          </cell>
          <cell r="S31">
            <v>1.2144768768339724</v>
          </cell>
          <cell r="T31">
            <v>325.04833158831559</v>
          </cell>
          <cell r="U31">
            <v>163.35780750964199</v>
          </cell>
          <cell r="V31">
            <v>389.02276178860217</v>
          </cell>
          <cell r="W31">
            <v>1488.5704925269931</v>
          </cell>
          <cell r="X31">
            <v>228.64036503940594</v>
          </cell>
          <cell r="Y31">
            <v>0.11642608263958359</v>
          </cell>
          <cell r="Z31">
            <v>31.143158368782537</v>
          </cell>
          <cell r="AA31">
            <v>15.660330764402705</v>
          </cell>
          <cell r="AB31">
            <v>37.291851901570553</v>
          </cell>
          <cell r="AC31">
            <v>143.39179361492864</v>
          </cell>
        </row>
        <row r="32">
          <cell r="R32">
            <v>3036.1458014367754</v>
          </cell>
          <cell r="S32">
            <v>1.546037428356011</v>
          </cell>
          <cell r="T32">
            <v>411.50405569346782</v>
          </cell>
          <cell r="U32">
            <v>207.9556140109282</v>
          </cell>
          <cell r="V32">
            <v>496.33165225030979</v>
          </cell>
          <cell r="W32">
            <v>1900.4406063570877</v>
          </cell>
          <cell r="X32">
            <v>286.85663304316779</v>
          </cell>
          <cell r="Y32">
            <v>0.1460704196244636</v>
          </cell>
          <cell r="Z32">
            <v>38.873036389191704</v>
          </cell>
          <cell r="AA32">
            <v>19.647754475219894</v>
          </cell>
          <cell r="AB32">
            <v>46.886180586685526</v>
          </cell>
          <cell r="AC32">
            <v>180.21648941282018</v>
          </cell>
        </row>
        <row r="33">
          <cell r="R33">
            <v>3157.1190539238287</v>
          </cell>
          <cell r="S33">
            <v>1.6076382829942961</v>
          </cell>
          <cell r="T33">
            <v>427.5205874721666</v>
          </cell>
          <cell r="U33">
            <v>216.24147004193281</v>
          </cell>
          <cell r="V33">
            <v>516.2855580507852</v>
          </cell>
          <cell r="W33">
            <v>1976.3840520997294</v>
          </cell>
          <cell r="X33">
            <v>322.98889995515248</v>
          </cell>
          <cell r="Y33">
            <v>0.16446935059505224</v>
          </cell>
          <cell r="Z33">
            <v>43.656850904670357</v>
          </cell>
          <cell r="AA33">
            <v>22.122572301074229</v>
          </cell>
          <cell r="AB33">
            <v>52.846009189264727</v>
          </cell>
          <cell r="AC33">
            <v>202.89926263231862</v>
          </cell>
        </row>
        <row r="34">
          <cell r="R34">
            <v>3384.9494106380448</v>
          </cell>
          <cell r="S34">
            <v>1.7236519008611304</v>
          </cell>
          <cell r="T34">
            <v>457.60017482634572</v>
          </cell>
          <cell r="U34">
            <v>231.84632067144241</v>
          </cell>
          <cell r="V34">
            <v>553.89598127978911</v>
          </cell>
          <cell r="W34">
            <v>2118.3497992317657</v>
          </cell>
          <cell r="X34">
            <v>357.40153148952243</v>
          </cell>
          <cell r="Y34">
            <v>0.18199262511473549</v>
          </cell>
          <cell r="Z34">
            <v>48.200221556649289</v>
          </cell>
          <cell r="AA34">
            <v>24.479606642796291</v>
          </cell>
          <cell r="AB34">
            <v>58.526874790747847</v>
          </cell>
          <cell r="AC34">
            <v>224.34247598199718</v>
          </cell>
        </row>
        <row r="35">
          <cell r="R35">
            <v>3944.4374740238604</v>
          </cell>
          <cell r="S35">
            <v>2.0085491170302481</v>
          </cell>
          <cell r="T35">
            <v>532.07182284810688</v>
          </cell>
          <cell r="U35">
            <v>270.16749869198526</v>
          </cell>
          <cell r="V35">
            <v>646.20294629007685</v>
          </cell>
          <cell r="W35">
            <v>2477.6000437086836</v>
          </cell>
          <cell r="X35">
            <v>410.03242822692368</v>
          </cell>
          <cell r="Y35">
            <v>0.20879283220803671</v>
          </cell>
          <cell r="Z35">
            <v>55.205750134288593</v>
          </cell>
          <cell r="AA35">
            <v>28.084469901271117</v>
          </cell>
          <cell r="AB35">
            <v>67.210167002916478</v>
          </cell>
          <cell r="AC35">
            <v>258.13705312726927</v>
          </cell>
        </row>
        <row r="36">
          <cell r="R36">
            <v>4655.138794641327</v>
          </cell>
          <cell r="S36">
            <v>2.3704457168367146</v>
          </cell>
          <cell r="T36">
            <v>627.4344091212497</v>
          </cell>
          <cell r="U36">
            <v>318.84577014964816</v>
          </cell>
          <cell r="V36">
            <v>763.38986098191765</v>
          </cell>
          <cell r="W36">
            <v>2947.3586906778137</v>
          </cell>
          <cell r="X36">
            <v>471.78809745870205</v>
          </cell>
          <cell r="Y36">
            <v>0.24023946958636067</v>
          </cell>
          <cell r="Z36">
            <v>63.492185186716156</v>
          </cell>
          <cell r="AA36">
            <v>32.314318845835281</v>
          </cell>
          <cell r="AB36">
            <v>77.393004901281984</v>
          </cell>
          <cell r="AC36">
            <v>298.95625351342983</v>
          </cell>
        </row>
        <row r="37">
          <cell r="R37">
            <v>5054.8888624347455</v>
          </cell>
          <cell r="S37">
            <v>2.5740026627857571</v>
          </cell>
          <cell r="T37">
            <v>681.50015912698302</v>
          </cell>
          <cell r="U37">
            <v>346.2259673587385</v>
          </cell>
          <cell r="V37">
            <v>829.26631585845917</v>
          </cell>
          <cell r="W37">
            <v>3219.0858092102762</v>
          </cell>
          <cell r="X37">
            <v>524.63613750099387</v>
          </cell>
          <cell r="Y37">
            <v>0.26715024833815038</v>
          </cell>
          <cell r="Z37">
            <v>70.639823552336409</v>
          </cell>
          <cell r="AA37">
            <v>35.934054963602804</v>
          </cell>
          <cell r="AB37">
            <v>86.102050391572732</v>
          </cell>
          <cell r="AC37">
            <v>334.87931343946644</v>
          </cell>
        </row>
        <row r="38">
          <cell r="R38">
            <v>5478.3691835681193</v>
          </cell>
          <cell r="S38">
            <v>2.7896433037373844</v>
          </cell>
          <cell r="T38">
            <v>739.22501054580664</v>
          </cell>
          <cell r="U38">
            <v>375.23152768497886</v>
          </cell>
          <cell r="V38">
            <v>899.0133744792829</v>
          </cell>
          <cell r="W38">
            <v>3514.8431174048619</v>
          </cell>
          <cell r="X38">
            <v>578.69378904927748</v>
          </cell>
          <cell r="Y38">
            <v>0.29467697401223492</v>
          </cell>
          <cell r="Z38">
            <v>78.008453800192555</v>
          </cell>
          <cell r="AA38">
            <v>39.63664135269925</v>
          </cell>
          <cell r="AB38">
            <v>95.005326419491723</v>
          </cell>
          <cell r="AC38">
            <v>372.63300519650528</v>
          </cell>
        </row>
        <row r="39">
          <cell r="R39">
            <v>6131.9585562558686</v>
          </cell>
          <cell r="S39">
            <v>3.122457897974857</v>
          </cell>
          <cell r="T39">
            <v>829.00605339564811</v>
          </cell>
          <cell r="U39">
            <v>419.99801394660005</v>
          </cell>
          <cell r="V39">
            <v>1006.5979322556331</v>
          </cell>
          <cell r="W39">
            <v>3983.4293375272505</v>
          </cell>
          <cell r="X39">
            <v>650.10276838755476</v>
          </cell>
          <cell r="Y39">
            <v>0.33103917859589932</v>
          </cell>
          <cell r="Z39">
            <v>87.817628951662229</v>
          </cell>
          <cell r="AA39">
            <v>44.527677263147893</v>
          </cell>
          <cell r="AB39">
            <v>106.75965380669571</v>
          </cell>
          <cell r="AC39">
            <v>423.8291615435993</v>
          </cell>
        </row>
        <row r="40">
          <cell r="R40">
            <v>7047.4097636621473</v>
          </cell>
          <cell r="S40">
            <v>3.5886152972058309</v>
          </cell>
          <cell r="T40">
            <v>955.71874840879457</v>
          </cell>
          <cell r="U40">
            <v>482.70027872029084</v>
          </cell>
          <cell r="V40">
            <v>1157.2009748525513</v>
          </cell>
          <cell r="W40">
            <v>4656.6352433583115</v>
          </cell>
          <cell r="X40">
            <v>730.31757623359078</v>
          </cell>
          <cell r="Y40">
            <v>0.37188540382647628</v>
          </cell>
          <cell r="Z40">
            <v>98.920606805534902</v>
          </cell>
          <cell r="AA40">
            <v>50.021853336805869</v>
          </cell>
          <cell r="AB40">
            <v>119.95598150303222</v>
          </cell>
          <cell r="AC40">
            <v>482.81764934084072</v>
          </cell>
        </row>
        <row r="41">
          <cell r="R41">
            <v>8099.8923264564883</v>
          </cell>
          <cell r="S41">
            <v>4.1245505062468748</v>
          </cell>
          <cell r="T41">
            <v>1102.4968524592546</v>
          </cell>
          <cell r="U41">
            <v>554.78827181934366</v>
          </cell>
          <cell r="V41">
            <v>1330.2496679443186</v>
          </cell>
          <cell r="W41">
            <v>5449.9058834528078</v>
          </cell>
          <cell r="X41">
            <v>833.66253636020383</v>
          </cell>
          <cell r="Y41">
            <v>0.42450974627804555</v>
          </cell>
          <cell r="Z41">
            <v>113.33298554393561</v>
          </cell>
          <cell r="AA41">
            <v>57.100289631892409</v>
          </cell>
          <cell r="AB41">
            <v>136.94791174466008</v>
          </cell>
          <cell r="AC41">
            <v>560.71017275949021</v>
          </cell>
        </row>
        <row r="42">
          <cell r="R42">
            <v>8924.9320823369289</v>
          </cell>
          <cell r="S42">
            <v>4.5446694418623022</v>
          </cell>
          <cell r="T42">
            <v>1218.4118980719218</v>
          </cell>
          <cell r="U42">
            <v>611.29795884964096</v>
          </cell>
          <cell r="V42">
            <v>1465.8261729927453</v>
          </cell>
          <cell r="W42">
            <v>6086.7875698544158</v>
          </cell>
          <cell r="X42">
            <v>917.82355210297169</v>
          </cell>
          <cell r="Y42">
            <v>0.46736542214354737</v>
          </cell>
          <cell r="Z42">
            <v>125.15729814111553</v>
          </cell>
          <cell r="AA42">
            <v>62.864754466317834</v>
          </cell>
          <cell r="AB42">
            <v>150.77785908283852</v>
          </cell>
          <cell r="AC42">
            <v>625.67747797537822</v>
          </cell>
        </row>
        <row r="43">
          <cell r="R43">
            <v>9581.3911341035528</v>
          </cell>
          <cell r="S43">
            <v>4.8789453069192499</v>
          </cell>
          <cell r="T43">
            <v>1311.3190620639971</v>
          </cell>
          <cell r="U43">
            <v>656.2609988718159</v>
          </cell>
          <cell r="V43">
            <v>1573.6400357150615</v>
          </cell>
          <cell r="W43">
            <v>6605.4314584362</v>
          </cell>
          <cell r="X43">
            <v>1009.0914036734977</v>
          </cell>
          <cell r="Y43">
            <v>0.51383997368415535</v>
          </cell>
          <cell r="Z43">
            <v>138.07423062951352</v>
          </cell>
          <cell r="AA43">
            <v>69.115989866088611</v>
          </cell>
          <cell r="AB43">
            <v>165.76727783440379</v>
          </cell>
          <cell r="AC43">
            <v>697.78481401356089</v>
          </cell>
        </row>
        <row r="44">
          <cell r="R44">
            <v>10316.698489458866</v>
          </cell>
          <cell r="S44">
            <v>5.2533715588426002</v>
          </cell>
          <cell r="T44">
            <v>1416.1395209395475</v>
          </cell>
          <cell r="U44">
            <v>706.62461859564633</v>
          </cell>
          <cell r="V44">
            <v>1694.3364966103763</v>
          </cell>
          <cell r="W44">
            <v>7199.6196205439228</v>
          </cell>
          <cell r="X44">
            <v>1099.8563449808689</v>
          </cell>
          <cell r="Y44">
            <v>0.56005843802052779</v>
          </cell>
          <cell r="Z44">
            <v>151.01306869275268</v>
          </cell>
          <cell r="AA44">
            <v>75.332779287501808</v>
          </cell>
          <cell r="AB44">
            <v>180.66581938901268</v>
          </cell>
          <cell r="AC44">
            <v>771.13027053110329</v>
          </cell>
        </row>
        <row r="45">
          <cell r="R45">
            <v>11265.787854406528</v>
          </cell>
          <cell r="S45">
            <v>5.7366578622768252</v>
          </cell>
          <cell r="T45">
            <v>1552.4030598310042</v>
          </cell>
          <cell r="U45">
            <v>771.63087143947666</v>
          </cell>
          <cell r="V45">
            <v>1850.0379392938517</v>
          </cell>
          <cell r="W45">
            <v>7983.5646759283745</v>
          </cell>
          <cell r="X45">
            <v>1193.4673364798989</v>
          </cell>
          <cell r="Y45">
            <v>0.60772614109807077</v>
          </cell>
          <cell r="Z45">
            <v>164.45307281870694</v>
          </cell>
          <cell r="AA45">
            <v>81.74450404925085</v>
          </cell>
          <cell r="AB45">
            <v>196.02303122357296</v>
          </cell>
          <cell r="AC45">
            <v>848.45267727764553</v>
          </cell>
        </row>
      </sheetData>
      <sheetData sheetId="3">
        <row r="2">
          <cell r="R2">
            <v>5.6554649383497909E-3</v>
          </cell>
          <cell r="S2">
            <v>4.4989172539165283E-3</v>
          </cell>
          <cell r="T2">
            <v>0.20034108759781641</v>
          </cell>
          <cell r="U2">
            <v>2.8579588795112093E-4</v>
          </cell>
          <cell r="V2">
            <v>0.12241385473281161</v>
          </cell>
          <cell r="W2">
            <v>9.2956161507577663E-4</v>
          </cell>
          <cell r="X2">
            <v>4.6378469862368811E-4</v>
          </cell>
          <cell r="Y2">
            <v>3.6894030914979301E-4</v>
          </cell>
          <cell r="Z2">
            <v>1.6429264781297869E-2</v>
          </cell>
          <cell r="AA2">
            <v>2.3437111043248032E-5</v>
          </cell>
          <cell r="AB2">
            <v>1.003872773388406E-2</v>
          </cell>
          <cell r="AC2">
            <v>7.6230063876209491E-5</v>
          </cell>
        </row>
        <row r="3">
          <cell r="R3">
            <v>1.0121695666444344E-2</v>
          </cell>
          <cell r="S3">
            <v>8.0517997669605872E-3</v>
          </cell>
          <cell r="T3">
            <v>0.3585543434986363</v>
          </cell>
          <cell r="U3">
            <v>5.1149446280654464E-4</v>
          </cell>
          <cell r="V3">
            <v>0.21908645822555223</v>
          </cell>
          <cell r="W3">
            <v>1.6636545135669909E-3</v>
          </cell>
          <cell r="X3">
            <v>7.8467840981456274E-4</v>
          </cell>
          <cell r="Y3">
            <v>6.2421096676811851E-4</v>
          </cell>
          <cell r="Z3">
            <v>2.7796711278462088E-2</v>
          </cell>
          <cell r="AA3">
            <v>3.9653302660994447E-5</v>
          </cell>
          <cell r="AB3">
            <v>1.6984546791132888E-2</v>
          </cell>
          <cell r="AC3">
            <v>1.2897382229287602E-4</v>
          </cell>
        </row>
        <row r="4">
          <cell r="R4">
            <v>1.7563907320198618E-2</v>
          </cell>
          <cell r="S4">
            <v>1.3972072420289677E-2</v>
          </cell>
          <cell r="T4">
            <v>0.62218974626382939</v>
          </cell>
          <cell r="U4">
            <v>8.8758263788866381E-4</v>
          </cell>
          <cell r="V4">
            <v>0.38017486142575724</v>
          </cell>
          <cell r="W4">
            <v>2.8868951065178141E-3</v>
          </cell>
          <cell r="X4">
            <v>1.2191015052825749E-3</v>
          </cell>
          <cell r="Y4">
            <v>9.6979414710892916E-4</v>
          </cell>
          <cell r="Z4">
            <v>4.3185860777648424E-2</v>
          </cell>
          <cell r="AA4">
            <v>6.160664083374999E-5</v>
          </cell>
          <cell r="AB4">
            <v>2.6387735791667442E-2</v>
          </cell>
          <cell r="AC4">
            <v>2.0037786044916158E-4</v>
          </cell>
        </row>
        <row r="5">
          <cell r="R5">
            <v>2.9823792959134579E-2</v>
          </cell>
          <cell r="S5">
            <v>2.3724800380468043E-2</v>
          </cell>
          <cell r="T5">
            <v>1.0564880487913599</v>
          </cell>
          <cell r="U5">
            <v>1.5071293843638136E-3</v>
          </cell>
          <cell r="V5">
            <v>0.64554293920637962</v>
          </cell>
          <cell r="W5">
            <v>4.9019936385403572E-3</v>
          </cell>
          <cell r="X5">
            <v>1.84305099874929E-3</v>
          </cell>
          <cell r="Y5">
            <v>1.4661454059939263E-3</v>
          </cell>
          <cell r="Z5">
            <v>6.5288856992793021E-2</v>
          </cell>
          <cell r="AA5">
            <v>9.3137593897001523E-5</v>
          </cell>
          <cell r="AB5">
            <v>3.9893267783548701E-2</v>
          </cell>
          <cell r="AC5">
            <v>3.0293344256225141E-4</v>
          </cell>
        </row>
        <row r="6">
          <cell r="R6">
            <v>4.9400308073312478E-2</v>
          </cell>
          <cell r="S6">
            <v>3.9297900484317597E-2</v>
          </cell>
          <cell r="T6">
            <v>1.7499730888549072</v>
          </cell>
          <cell r="U6">
            <v>2.4964180778726352E-3</v>
          </cell>
          <cell r="V6">
            <v>1.0692811647077689</v>
          </cell>
          <cell r="W6">
            <v>8.1196914238616871E-3</v>
          </cell>
          <cell r="X6">
            <v>2.6849695274425382E-3</v>
          </cell>
          <cell r="Y6">
            <v>2.1358908356659372E-3</v>
          </cell>
          <cell r="Z6">
            <v>9.5113261448631664E-2</v>
          </cell>
          <cell r="AA6">
            <v>1.3568349527086766E-4</v>
          </cell>
          <cell r="AB6">
            <v>5.8116790268755797E-2</v>
          </cell>
          <cell r="AC6">
            <v>4.4131554833526973E-4</v>
          </cell>
        </row>
        <row r="7">
          <cell r="R7">
            <v>0.10388252583765069</v>
          </cell>
          <cell r="S7">
            <v>8.2638455540988087E-2</v>
          </cell>
          <cell r="T7">
            <v>3.7246713168476853</v>
          </cell>
          <cell r="U7">
            <v>5.2496477368383539E-3</v>
          </cell>
          <cell r="V7">
            <v>2.236867670473405</v>
          </cell>
          <cell r="W7">
            <v>1.7199266862562915E-2</v>
          </cell>
          <cell r="X7">
            <v>6.0814732478462648E-3</v>
          </cell>
          <cell r="Y7">
            <v>4.8378064796120428E-3</v>
          </cell>
          <cell r="Z7">
            <v>0.21821893066098677</v>
          </cell>
          <cell r="AA7">
            <v>3.0732398942718219E-4</v>
          </cell>
          <cell r="AB7">
            <v>0.13090589602578981</v>
          </cell>
          <cell r="AC7">
            <v>1.0073499908138726E-3</v>
          </cell>
        </row>
        <row r="8">
          <cell r="R8">
            <v>0.21759464693213959</v>
          </cell>
          <cell r="S8">
            <v>0.17309634523674072</v>
          </cell>
          <cell r="T8">
            <v>7.9392682103703933</v>
          </cell>
          <cell r="U8">
            <v>1.0996028798920861E-2</v>
          </cell>
          <cell r="V8">
            <v>4.6494263393784294</v>
          </cell>
          <cell r="W8">
            <v>3.6409181417400016E-2</v>
          </cell>
          <cell r="X8">
            <v>1.4268617242742091E-2</v>
          </cell>
          <cell r="Y8">
            <v>1.1350672137954099E-2</v>
          </cell>
          <cell r="Z8">
            <v>0.52166513600473152</v>
          </cell>
          <cell r="AA8">
            <v>7.2105692090349092E-4</v>
          </cell>
          <cell r="AB8">
            <v>0.30460738913263963</v>
          </cell>
          <cell r="AC8">
            <v>2.3904420928371004E-3</v>
          </cell>
        </row>
        <row r="9">
          <cell r="R9">
            <v>0.31143325063718968</v>
          </cell>
          <cell r="S9">
            <v>0.2477448697867437</v>
          </cell>
          <cell r="T9">
            <v>11.493978469049747</v>
          </cell>
          <cell r="U9">
            <v>1.5738112316779886E-2</v>
          </cell>
          <cell r="V9">
            <v>6.620276662714728</v>
          </cell>
          <cell r="W9">
            <v>5.2475553115821034E-2</v>
          </cell>
          <cell r="X9">
            <v>1.9844845226827456E-2</v>
          </cell>
          <cell r="Y9">
            <v>1.5786556466271404E-2</v>
          </cell>
          <cell r="Z9">
            <v>0.73289882914520599</v>
          </cell>
          <cell r="AA9">
            <v>1.0028486118611899E-3</v>
          </cell>
          <cell r="AB9">
            <v>0.42172241739941385</v>
          </cell>
          <cell r="AC9">
            <v>3.3451637951020605E-3</v>
          </cell>
        </row>
        <row r="10">
          <cell r="R10">
            <v>0.51614653805801136</v>
          </cell>
          <cell r="S10">
            <v>0.4105941051587596</v>
          </cell>
          <cell r="T10">
            <v>19.415751776081116</v>
          </cell>
          <cell r="U10">
            <v>2.6083188520346325E-2</v>
          </cell>
          <cell r="V10">
            <v>10.876090274232375</v>
          </cell>
          <cell r="W10">
            <v>8.7990581288116876E-2</v>
          </cell>
          <cell r="X10">
            <v>3.4179316008554568E-2</v>
          </cell>
          <cell r="Y10">
            <v>2.7189615035049634E-2</v>
          </cell>
          <cell r="Z10">
            <v>1.2875986702731397</v>
          </cell>
          <cell r="AA10">
            <v>1.7272334060437322E-3</v>
          </cell>
          <cell r="AB10">
            <v>0.7197237666785683</v>
          </cell>
          <cell r="AC10">
            <v>5.8320035115757337E-3</v>
          </cell>
        </row>
        <row r="11">
          <cell r="R11">
            <v>0.78139846074576969</v>
          </cell>
          <cell r="S11">
            <v>0.62160177024432817</v>
          </cell>
          <cell r="T11">
            <v>29.896167932589108</v>
          </cell>
          <cell r="U11">
            <v>3.9487552193655559E-2</v>
          </cell>
          <cell r="V11">
            <v>16.33394981241695</v>
          </cell>
          <cell r="W11">
            <v>0.1346102565600539</v>
          </cell>
          <cell r="X11">
            <v>5.3602742411918633E-2</v>
          </cell>
          <cell r="Y11">
            <v>4.2640933207622432E-2</v>
          </cell>
          <cell r="Z11">
            <v>2.0550411446946661</v>
          </cell>
          <cell r="AA11">
            <v>2.7087858436444586E-3</v>
          </cell>
          <cell r="AB11">
            <v>1.1193828228152394</v>
          </cell>
          <cell r="AC11">
            <v>9.2457915151376441E-3</v>
          </cell>
        </row>
        <row r="12">
          <cell r="R12">
            <v>1.0027729696553185</v>
          </cell>
          <cell r="S12">
            <v>0.79770499227244906</v>
          </cell>
          <cell r="T12">
            <v>38.822850286997195</v>
          </cell>
          <cell r="U12">
            <v>5.0674594290676979E-2</v>
          </cell>
          <cell r="V12">
            <v>20.841917019404448</v>
          </cell>
          <cell r="W12">
            <v>0.1740196688326483</v>
          </cell>
          <cell r="X12">
            <v>6.8482840555965027E-2</v>
          </cell>
          <cell r="Y12">
            <v>5.44780378506503E-2</v>
          </cell>
          <cell r="Z12">
            <v>2.6550646532215327</v>
          </cell>
          <cell r="AA12">
            <v>3.4607436239924793E-3</v>
          </cell>
          <cell r="AB12">
            <v>1.4223941984272546</v>
          </cell>
          <cell r="AC12">
            <v>1.1894768243777139E-2</v>
          </cell>
        </row>
        <row r="13">
          <cell r="R13">
            <v>1.3709034511963121</v>
          </cell>
          <cell r="S13">
            <v>1.0905524580690695</v>
          </cell>
          <cell r="T13">
            <v>53.965923256275332</v>
          </cell>
          <cell r="U13">
            <v>6.9277870767638278E-2</v>
          </cell>
          <cell r="V13">
            <v>28.260237386689568</v>
          </cell>
          <cell r="W13">
            <v>0.2403871143120492</v>
          </cell>
          <cell r="X13">
            <v>9.520134145989835E-2</v>
          </cell>
          <cell r="Y13">
            <v>7.5732581203997368E-2</v>
          </cell>
          <cell r="Z13">
            <v>3.7541320467292096</v>
          </cell>
          <cell r="AA13">
            <v>4.8109487395405163E-3</v>
          </cell>
          <cell r="AB13">
            <v>1.9608076397953331</v>
          </cell>
          <cell r="AC13">
            <v>1.6711643620709642E-2</v>
          </cell>
        </row>
        <row r="14">
          <cell r="R14">
            <v>1.8571749177426844</v>
          </cell>
          <cell r="S14">
            <v>1.4773809708051269</v>
          </cell>
          <cell r="T14">
            <v>74.362438060668197</v>
          </cell>
          <cell r="U14">
            <v>9.3851338569467785E-2</v>
          </cell>
          <cell r="V14">
            <v>37.956265243649966</v>
          </cell>
          <cell r="W14">
            <v>0.32915064863360211</v>
          </cell>
          <cell r="X14">
            <v>0.11890221279199001</v>
          </cell>
          <cell r="Y14">
            <v>9.4586602956613128E-2</v>
          </cell>
          <cell r="Z14">
            <v>4.7482581805025106</v>
          </cell>
          <cell r="AA14">
            <v>6.0086595628608842E-3</v>
          </cell>
          <cell r="AB14">
            <v>2.4333920385928307</v>
          </cell>
          <cell r="AC14">
            <v>2.1037978293147602E-2</v>
          </cell>
        </row>
        <row r="15">
          <cell r="R15">
            <v>2.4945789692849876</v>
          </cell>
          <cell r="S15">
            <v>1.9844353184953651</v>
          </cell>
          <cell r="T15">
            <v>101.00259316595637</v>
          </cell>
          <cell r="U15">
            <v>0.12606221051014491</v>
          </cell>
          <cell r="V15">
            <v>50.64339448120657</v>
          </cell>
          <cell r="W15">
            <v>0.45001688009164853</v>
          </cell>
          <cell r="X15">
            <v>0.16477858159168593</v>
          </cell>
          <cell r="Y15">
            <v>0.13108121292942532</v>
          </cell>
          <cell r="Z15">
            <v>6.6656504178660825</v>
          </cell>
          <cell r="AA15">
            <v>8.326997259232128E-3</v>
          </cell>
          <cell r="AB15">
            <v>3.3465324845991153</v>
          </cell>
          <cell r="AC15">
            <v>2.9737175915726163E-2</v>
          </cell>
        </row>
        <row r="16">
          <cell r="R16">
            <v>4.1729788548099513</v>
          </cell>
          <cell r="S16">
            <v>3.3196009125310502</v>
          </cell>
          <cell r="T16">
            <v>170.90302676723363</v>
          </cell>
          <cell r="U16">
            <v>0.21087924869350472</v>
          </cell>
          <cell r="V16">
            <v>83.992760122619188</v>
          </cell>
          <cell r="W16">
            <v>0.77999109594023275</v>
          </cell>
          <cell r="X16">
            <v>0.28447209532817902</v>
          </cell>
          <cell r="Y16">
            <v>0.22629729507317392</v>
          </cell>
          <cell r="Z16">
            <v>11.650534283503632</v>
          </cell>
          <cell r="AA16">
            <v>1.4375644790993198E-2</v>
          </cell>
          <cell r="AB16">
            <v>5.7248112183677602</v>
          </cell>
          <cell r="AC16">
            <v>5.3268977650214301E-2</v>
          </cell>
        </row>
        <row r="17">
          <cell r="R17">
            <v>5.7593964144887382</v>
          </cell>
          <cell r="S17">
            <v>4.5815946493780153</v>
          </cell>
          <cell r="T17">
            <v>236.74182154851866</v>
          </cell>
          <cell r="U17">
            <v>0.29104800936518604</v>
          </cell>
          <cell r="V17">
            <v>115.46032613419959</v>
          </cell>
          <cell r="W17">
            <v>1.1027873258342691</v>
          </cell>
          <cell r="X17">
            <v>0.42189754903853105</v>
          </cell>
          <cell r="Y17">
            <v>0.33561911946153511</v>
          </cell>
          <cell r="Z17">
            <v>17.35390423762394</v>
          </cell>
          <cell r="AA17">
            <v>2.1320366400689173E-2</v>
          </cell>
          <cell r="AB17">
            <v>8.4507294420525074</v>
          </cell>
          <cell r="AC17">
            <v>8.1231614648610229E-2</v>
          </cell>
        </row>
        <row r="18">
          <cell r="R18">
            <v>7.272576046853402</v>
          </cell>
          <cell r="S18">
            <v>5.785327681150088</v>
          </cell>
          <cell r="T18">
            <v>299.32417896467126</v>
          </cell>
          <cell r="U18">
            <v>0.36751573065343746</v>
          </cell>
          <cell r="V18">
            <v>145.4242964933168</v>
          </cell>
          <cell r="W18">
            <v>1.4209308081216157</v>
          </cell>
          <cell r="X18">
            <v>0.56592674443994406</v>
          </cell>
          <cell r="Y18">
            <v>0.45019421440469382</v>
          </cell>
          <cell r="Z18">
            <v>23.31068979842766</v>
          </cell>
          <cell r="AA18">
            <v>2.8598804555526939E-2</v>
          </cell>
          <cell r="AB18">
            <v>11.302794358569567</v>
          </cell>
          <cell r="AC18">
            <v>0.11151351165276413</v>
          </cell>
        </row>
        <row r="19">
          <cell r="R19">
            <v>8.6464932921058448</v>
          </cell>
          <cell r="S19">
            <v>6.8782776096706026</v>
          </cell>
          <cell r="T19">
            <v>355.9527899768467</v>
          </cell>
          <cell r="U19">
            <v>0.43694590188757376</v>
          </cell>
          <cell r="V19">
            <v>172.58507449440413</v>
          </cell>
          <cell r="W19">
            <v>1.7189648111784916</v>
          </cell>
          <cell r="X19">
            <v>0.70043987070542169</v>
          </cell>
          <cell r="Y19">
            <v>0.55719928493928206</v>
          </cell>
          <cell r="Z19">
            <v>28.854904000295235</v>
          </cell>
          <cell r="AA19">
            <v>3.5396353259513916E-2</v>
          </cell>
          <cell r="AB19">
            <v>13.961965551997288</v>
          </cell>
          <cell r="AC19">
            <v>0.14069247830677778</v>
          </cell>
        </row>
        <row r="20">
          <cell r="R20">
            <v>11.845433692908891</v>
          </cell>
          <cell r="S20">
            <v>9.4230318111921587</v>
          </cell>
          <cell r="T20">
            <v>487.35780250050931</v>
          </cell>
          <cell r="U20">
            <v>0.59860263962998628</v>
          </cell>
          <cell r="V20">
            <v>235.72003097980976</v>
          </cell>
          <cell r="W20">
            <v>2.4339298570331094</v>
          </cell>
          <cell r="X20">
            <v>0.99989805800523057</v>
          </cell>
          <cell r="Y20">
            <v>0.79541800264965801</v>
          </cell>
          <cell r="Z20">
            <v>41.155948071815416</v>
          </cell>
          <cell r="AA20">
            <v>5.0529312172093534E-2</v>
          </cell>
          <cell r="AB20">
            <v>19.872134937968262</v>
          </cell>
          <cell r="AC20">
            <v>0.20762155787343722</v>
          </cell>
        </row>
        <row r="21">
          <cell r="R21">
            <v>14.18900867596607</v>
          </cell>
          <cell r="S21">
            <v>11.287343594937312</v>
          </cell>
          <cell r="T21">
            <v>583.30479087832691</v>
          </cell>
          <cell r="U21">
            <v>0.7170339446710704</v>
          </cell>
          <cell r="V21">
            <v>281.89789727018444</v>
          </cell>
          <cell r="W21">
            <v>2.9729139096498516</v>
          </cell>
          <cell r="X21">
            <v>1.2453804212614576</v>
          </cell>
          <cell r="Y21">
            <v>0.9906990010511616</v>
          </cell>
          <cell r="Z21">
            <v>51.206103763262206</v>
          </cell>
          <cell r="AA21">
            <v>6.293463176083533E-2</v>
          </cell>
          <cell r="AB21">
            <v>24.709126213708753</v>
          </cell>
          <cell r="AC21">
            <v>0.26407850077064188</v>
          </cell>
        </row>
        <row r="22">
          <cell r="R22">
            <v>17.600354821817682</v>
          </cell>
          <cell r="S22">
            <v>14.001066374930653</v>
          </cell>
          <cell r="T22">
            <v>722.50535012830881</v>
          </cell>
          <cell r="U22">
            <v>0.88942449283823422</v>
          </cell>
          <cell r="V22">
            <v>349.00694254362924</v>
          </cell>
          <cell r="W22">
            <v>3.7792681476111021</v>
          </cell>
          <cell r="X22">
            <v>1.5389805637711251</v>
          </cell>
          <cell r="Y22">
            <v>1.2242576494183663</v>
          </cell>
          <cell r="Z22">
            <v>63.186507476593803</v>
          </cell>
          <cell r="AA22">
            <v>7.7771557521285742E-2</v>
          </cell>
          <cell r="AB22">
            <v>30.484918060552364</v>
          </cell>
          <cell r="AC22">
            <v>0.33347800145355955</v>
          </cell>
        </row>
        <row r="23">
          <cell r="R23">
            <v>21.056642148631799</v>
          </cell>
          <cell r="S23">
            <v>16.75053982381641</v>
          </cell>
          <cell r="T23">
            <v>862.17341541814324</v>
          </cell>
          <cell r="U23">
            <v>1.0640861194859055</v>
          </cell>
          <cell r="V23">
            <v>417.49718710504999</v>
          </cell>
          <cell r="W23">
            <v>4.614169482307716</v>
          </cell>
          <cell r="X23">
            <v>1.9027678957805207</v>
          </cell>
          <cell r="Y23">
            <v>1.5136501436826644</v>
          </cell>
          <cell r="Z23">
            <v>77.887100348175835</v>
          </cell>
          <cell r="AA23">
            <v>9.6155355265655024E-2</v>
          </cell>
          <cell r="AB23">
            <v>37.693775710890371</v>
          </cell>
          <cell r="AC23">
            <v>0.42135452916120497</v>
          </cell>
        </row>
        <row r="24">
          <cell r="R24">
            <v>24.428206405609714</v>
          </cell>
          <cell r="S24">
            <v>19.432616147117283</v>
          </cell>
          <cell r="T24">
            <v>997.12503049914562</v>
          </cell>
          <cell r="U24">
            <v>1.234466311231631</v>
          </cell>
          <cell r="V24">
            <v>484.77890129210851</v>
          </cell>
          <cell r="W24">
            <v>5.4455647454449361</v>
          </cell>
          <cell r="X24">
            <v>2.2735655296567114</v>
          </cell>
          <cell r="Y24">
            <v>1.8086193267546009</v>
          </cell>
          <cell r="Z24">
            <v>92.728798665579106</v>
          </cell>
          <cell r="AA24">
            <v>0.11489341485563143</v>
          </cell>
          <cell r="AB24">
            <v>45.093278885733419</v>
          </cell>
          <cell r="AC24">
            <v>0.51278965330250748</v>
          </cell>
        </row>
        <row r="25">
          <cell r="R25">
            <v>27.605263077639563</v>
          </cell>
          <cell r="S25">
            <v>21.959961862151697</v>
          </cell>
          <cell r="T25">
            <v>1123.1090314693167</v>
          </cell>
          <cell r="U25">
            <v>1.3950171664755053</v>
          </cell>
          <cell r="V25">
            <v>548.6091959917735</v>
          </cell>
          <cell r="W25">
            <v>6.2445046631139158</v>
          </cell>
          <cell r="X25">
            <v>2.6260075553665034</v>
          </cell>
          <cell r="Y25">
            <v>2.0889866400976733</v>
          </cell>
          <cell r="Z25">
            <v>106.70464520928671</v>
          </cell>
          <cell r="AA25">
            <v>0.13270388363000116</v>
          </cell>
          <cell r="AB25">
            <v>52.174197071316101</v>
          </cell>
          <cell r="AC25">
            <v>0.6014188570188409</v>
          </cell>
        </row>
        <row r="26">
          <cell r="R26">
            <v>32.2480712480154</v>
          </cell>
          <cell r="S26">
            <v>25.653311571154273</v>
          </cell>
          <cell r="T26">
            <v>1305.5391997175418</v>
          </cell>
          <cell r="U26">
            <v>1.6296389876880431</v>
          </cell>
          <cell r="V26">
            <v>642.49813335548015</v>
          </cell>
          <cell r="W26">
            <v>7.4340420194112582</v>
          </cell>
          <cell r="X26">
            <v>3.0723075506068023</v>
          </cell>
          <cell r="Y26">
            <v>2.4440178834874202</v>
          </cell>
          <cell r="Z26">
            <v>124.24114041500592</v>
          </cell>
          <cell r="AA26">
            <v>0.15525741456383457</v>
          </cell>
          <cell r="AB26">
            <v>61.199474610436774</v>
          </cell>
          <cell r="AC26">
            <v>0.71576571283793156</v>
          </cell>
        </row>
        <row r="27">
          <cell r="R27">
            <v>35.835564950628168</v>
          </cell>
          <cell r="S27">
            <v>28.50715957356288</v>
          </cell>
          <cell r="T27">
            <v>1446.0305586569805</v>
          </cell>
          <cell r="U27">
            <v>1.8109310581780849</v>
          </cell>
          <cell r="V27">
            <v>715.11961551687227</v>
          </cell>
          <cell r="W27">
            <v>8.3453352683621436</v>
          </cell>
          <cell r="X27">
            <v>3.5118692687621045</v>
          </cell>
          <cell r="Y27">
            <v>2.7936888335379235</v>
          </cell>
          <cell r="Z27">
            <v>141.45500286065067</v>
          </cell>
          <cell r="AA27">
            <v>0.17747043027853743</v>
          </cell>
          <cell r="AB27">
            <v>70.097503741637112</v>
          </cell>
          <cell r="AC27">
            <v>0.82742294751417489</v>
          </cell>
        </row>
        <row r="28">
          <cell r="R28">
            <v>43.013698700978011</v>
          </cell>
          <cell r="S28">
            <v>34.217358493086643</v>
          </cell>
          <cell r="T28">
            <v>1726.219348042373</v>
          </cell>
          <cell r="U28">
            <v>2.1736741980218173</v>
          </cell>
          <cell r="V28">
            <v>860.56917231280181</v>
          </cell>
          <cell r="W28">
            <v>10.153454569509428</v>
          </cell>
          <cell r="X28">
            <v>4.1017182810590764</v>
          </cell>
          <cell r="Y28">
            <v>3.2629131904309903</v>
          </cell>
          <cell r="Z28">
            <v>164.47896513602666</v>
          </cell>
          <cell r="AA28">
            <v>0.20727813381204985</v>
          </cell>
          <cell r="AB28">
            <v>82.049534784654384</v>
          </cell>
          <cell r="AC28">
            <v>0.97600159218554738</v>
          </cell>
        </row>
        <row r="29">
          <cell r="R29">
            <v>50.846736997009074</v>
          </cell>
          <cell r="S29">
            <v>40.448533387592448</v>
          </cell>
          <cell r="T29">
            <v>2030.9996582130016</v>
          </cell>
          <cell r="U29">
            <v>2.5695125878930041</v>
          </cell>
          <cell r="V29">
            <v>1019.4403883142627</v>
          </cell>
          <cell r="W29">
            <v>12.110363367595827</v>
          </cell>
          <cell r="X29">
            <v>4.8779867634428262</v>
          </cell>
          <cell r="Y29">
            <v>3.8804340675185758</v>
          </cell>
          <cell r="Z29">
            <v>194.68325367582372</v>
          </cell>
          <cell r="AA29">
            <v>0.24650644530010016</v>
          </cell>
          <cell r="AB29">
            <v>97.793964095360508</v>
          </cell>
          <cell r="AC29">
            <v>1.1699348484066547</v>
          </cell>
        </row>
        <row r="30">
          <cell r="R30">
            <v>60.070077931027633</v>
          </cell>
          <cell r="S30">
            <v>47.785692775750292</v>
          </cell>
          <cell r="T30">
            <v>2388.7645012247472</v>
          </cell>
          <cell r="U30">
            <v>3.0356091760336268</v>
          </cell>
          <cell r="V30">
            <v>1206.6831899278959</v>
          </cell>
          <cell r="W30">
            <v>14.396105248135953</v>
          </cell>
          <cell r="X30">
            <v>5.7632979951286494</v>
          </cell>
          <cell r="Y30">
            <v>4.5846983532555541</v>
          </cell>
          <cell r="Z30">
            <v>229.02365549837833</v>
          </cell>
          <cell r="AA30">
            <v>0.29124517365062519</v>
          </cell>
          <cell r="AB30">
            <v>115.76664411518556</v>
          </cell>
          <cell r="AC30">
            <v>1.3893339765591453</v>
          </cell>
        </row>
        <row r="31">
          <cell r="R31">
            <v>72.631246980451181</v>
          </cell>
          <cell r="S31">
            <v>57.778091417037487</v>
          </cell>
          <cell r="T31">
            <v>2874.5294266179349</v>
          </cell>
          <cell r="U31">
            <v>3.6703811180963855</v>
          </cell>
          <cell r="V31">
            <v>1461.9163776660598</v>
          </cell>
          <cell r="W31">
            <v>17.48454395920654</v>
          </cell>
          <cell r="X31">
            <v>6.9628098520957149</v>
          </cell>
          <cell r="Y31">
            <v>5.5389089528108286</v>
          </cell>
          <cell r="Z31">
            <v>275.41112034462139</v>
          </cell>
          <cell r="AA31">
            <v>0.35186186211157972</v>
          </cell>
          <cell r="AB31">
            <v>140.13979232924282</v>
          </cell>
          <cell r="AC31">
            <v>1.6842602560215867</v>
          </cell>
        </row>
        <row r="32">
          <cell r="R32">
            <v>92.460077620150486</v>
          </cell>
          <cell r="S32">
            <v>73.551908293702979</v>
          </cell>
          <cell r="T32">
            <v>3639.0911821742739</v>
          </cell>
          <cell r="U32">
            <v>4.6724204413847783</v>
          </cell>
          <cell r="V32">
            <v>1865.1745924653046</v>
          </cell>
          <cell r="W32">
            <v>22.32231358241107</v>
          </cell>
          <cell r="X32">
            <v>8.7356761801344067</v>
          </cell>
          <cell r="Y32">
            <v>6.9492225166021413</v>
          </cell>
          <cell r="Z32">
            <v>343.76945255096967</v>
          </cell>
          <cell r="AA32">
            <v>0.44145271131032038</v>
          </cell>
          <cell r="AB32">
            <v>176.19451101200912</v>
          </cell>
          <cell r="AC32">
            <v>2.1167980603748244</v>
          </cell>
        </row>
        <row r="33">
          <cell r="R33">
            <v>96.144089208007003</v>
          </cell>
          <cell r="S33">
            <v>76.48253618670735</v>
          </cell>
          <cell r="T33">
            <v>3780.7316320275654</v>
          </cell>
          <cell r="U33">
            <v>4.8585899914484898</v>
          </cell>
          <cell r="V33">
            <v>1940.1597721344892</v>
          </cell>
          <cell r="W33">
            <v>23.21433483512763</v>
          </cell>
          <cell r="X33">
            <v>9.8360160260315173</v>
          </cell>
          <cell r="Y33">
            <v>7.8245418708624861</v>
          </cell>
          <cell r="Z33">
            <v>386.07459384805458</v>
          </cell>
          <cell r="AA33">
            <v>0.49705779537223732</v>
          </cell>
          <cell r="AB33">
            <v>198.59106951191444</v>
          </cell>
          <cell r="AC33">
            <v>2.3832267901286768</v>
          </cell>
        </row>
        <row r="34">
          <cell r="R34">
            <v>103.08223178866122</v>
          </cell>
          <cell r="S34">
            <v>82.001822347350782</v>
          </cell>
          <cell r="T34">
            <v>4046.7371782416067</v>
          </cell>
          <cell r="U34">
            <v>5.2092053062254458</v>
          </cell>
          <cell r="V34">
            <v>2081.4967299943255</v>
          </cell>
          <cell r="W34">
            <v>24.88184494559469</v>
          </cell>
          <cell r="X34">
            <v>10.883987629132983</v>
          </cell>
          <cell r="Y34">
            <v>8.6582023352457149</v>
          </cell>
          <cell r="Z34">
            <v>426.25339609364414</v>
          </cell>
          <cell r="AA34">
            <v>0.55001647836662548</v>
          </cell>
          <cell r="AB34">
            <v>219.93930739893273</v>
          </cell>
          <cell r="AC34">
            <v>2.6350958203971917</v>
          </cell>
        </row>
        <row r="35">
          <cell r="R35">
            <v>120.12038250715445</v>
          </cell>
          <cell r="S35">
            <v>95.555655865524116</v>
          </cell>
          <cell r="T35">
            <v>4705.3190655604858</v>
          </cell>
          <cell r="U35">
            <v>6.0702191161806809</v>
          </cell>
          <cell r="V35">
            <v>2428.3789106172626</v>
          </cell>
          <cell r="W35">
            <v>29.101548831602269</v>
          </cell>
          <cell r="X35">
            <v>12.486762039787248</v>
          </cell>
          <cell r="Y35">
            <v>9.9332079322802151</v>
          </cell>
          <cell r="Z35">
            <v>488.20602309848596</v>
          </cell>
          <cell r="AA35">
            <v>0.63101182373109155</v>
          </cell>
          <cell r="AB35">
            <v>252.57042399135369</v>
          </cell>
          <cell r="AC35">
            <v>3.0320422684463031</v>
          </cell>
        </row>
        <row r="36">
          <cell r="R36">
            <v>141.76344696009943</v>
          </cell>
          <cell r="S36">
            <v>112.77269410312539</v>
          </cell>
          <cell r="T36">
            <v>5548.6476841110525</v>
          </cell>
          <cell r="U36">
            <v>7.1639397723496892</v>
          </cell>
          <cell r="V36">
            <v>2868.7579492331388</v>
          </cell>
          <cell r="W36">
            <v>34.619269191090183</v>
          </cell>
          <cell r="X36">
            <v>14.367414137572702</v>
          </cell>
          <cell r="Y36">
            <v>11.429264978619202</v>
          </cell>
          <cell r="Z36">
            <v>561.48620664401994</v>
          </cell>
          <cell r="AA36">
            <v>0.72604956900452677</v>
          </cell>
          <cell r="AB36">
            <v>290.83671315730379</v>
          </cell>
          <cell r="AC36">
            <v>3.5114989734626048</v>
          </cell>
        </row>
        <row r="37">
          <cell r="R37">
            <v>153.93707916160605</v>
          </cell>
          <cell r="S37">
            <v>122.45680753167983</v>
          </cell>
          <cell r="T37">
            <v>6026.7722405554332</v>
          </cell>
          <cell r="U37">
            <v>7.7791277476172249</v>
          </cell>
          <cell r="V37">
            <v>3116.31638988533</v>
          </cell>
          <cell r="W37">
            <v>37.810938495796094</v>
          </cell>
          <cell r="X37">
            <v>15.976801236858512</v>
          </cell>
          <cell r="Y37">
            <v>12.709530963491581</v>
          </cell>
          <cell r="Z37">
            <v>624.69556604113586</v>
          </cell>
          <cell r="AA37">
            <v>0.80737908304297434</v>
          </cell>
          <cell r="AB37">
            <v>323.56460850604276</v>
          </cell>
          <cell r="AC37">
            <v>3.9334462870626075</v>
          </cell>
        </row>
        <row r="38">
          <cell r="R38">
            <v>166.8333713436445</v>
          </cell>
          <cell r="S38">
            <v>132.71579632248492</v>
          </cell>
          <cell r="T38">
            <v>6537.2556607894267</v>
          </cell>
          <cell r="U38">
            <v>8.4308349574789538</v>
          </cell>
          <cell r="V38">
            <v>3378.4202493690718</v>
          </cell>
          <cell r="W38">
            <v>41.284863098188453</v>
          </cell>
          <cell r="X38">
            <v>17.623024766621835</v>
          </cell>
          <cell r="Y38">
            <v>14.019100295560795</v>
          </cell>
          <cell r="Z38">
            <v>689.85924301750742</v>
          </cell>
          <cell r="AA38">
            <v>0.89057010634229317</v>
          </cell>
          <cell r="AB38">
            <v>357.02240665711679</v>
          </cell>
          <cell r="AC38">
            <v>4.3768959499856477</v>
          </cell>
        </row>
        <row r="39">
          <cell r="R39">
            <v>186.73719944762337</v>
          </cell>
          <cell r="S39">
            <v>148.54927361429318</v>
          </cell>
          <cell r="T39">
            <v>7331.2245095549069</v>
          </cell>
          <cell r="U39">
            <v>9.4366642374077845</v>
          </cell>
          <cell r="V39">
            <v>3782.7143998554993</v>
          </cell>
          <cell r="W39">
            <v>46.788812293432741</v>
          </cell>
          <cell r="X39">
            <v>19.797650164805411</v>
          </cell>
          <cell r="Y39">
            <v>15.749012837030445</v>
          </cell>
          <cell r="Z39">
            <v>776.60561235270256</v>
          </cell>
          <cell r="AA39">
            <v>1.0004636347099682</v>
          </cell>
          <cell r="AB39">
            <v>401.1942274441484</v>
          </cell>
          <cell r="AC39">
            <v>4.9782389503252462</v>
          </cell>
        </row>
        <row r="40">
          <cell r="R40">
            <v>214.6155344255385</v>
          </cell>
          <cell r="S40">
            <v>170.72646392664336</v>
          </cell>
          <cell r="T40">
            <v>8451.79439145996</v>
          </cell>
          <cell r="U40">
            <v>10.845480945930584</v>
          </cell>
          <cell r="V40">
            <v>4348.6685704713964</v>
          </cell>
          <cell r="W40">
            <v>54.69619613127756</v>
          </cell>
          <cell r="X40">
            <v>22.240440414279007</v>
          </cell>
          <cell r="Y40">
            <v>17.692250275659596</v>
          </cell>
          <cell r="Z40">
            <v>874.79358460929211</v>
          </cell>
          <cell r="AA40">
            <v>1.1239087300358277</v>
          </cell>
          <cell r="AB40">
            <v>450.78496988714704</v>
          </cell>
          <cell r="AC40">
            <v>5.6711096025085403</v>
          </cell>
        </row>
        <row r="41">
          <cell r="R41">
            <v>246.66690014182558</v>
          </cell>
          <cell r="S41">
            <v>196.22329642485133</v>
          </cell>
          <cell r="T41">
            <v>9749.8105271360837</v>
          </cell>
          <cell r="U41">
            <v>12.465179525054872</v>
          </cell>
          <cell r="V41">
            <v>4998.9716977265434</v>
          </cell>
          <cell r="W41">
            <v>64.013843799232134</v>
          </cell>
          <cell r="X41">
            <v>25.387615701591034</v>
          </cell>
          <cell r="Y41">
            <v>20.195825376121487</v>
          </cell>
          <cell r="Z41">
            <v>1002.2478822168443</v>
          </cell>
          <cell r="AA41">
            <v>1.2829495455266962</v>
          </cell>
          <cell r="AB41">
            <v>514.63928266356413</v>
          </cell>
          <cell r="AC41">
            <v>6.5860244531280223</v>
          </cell>
        </row>
        <row r="42">
          <cell r="R42">
            <v>271.79192537359029</v>
          </cell>
          <cell r="S42">
            <v>216.21023131923633</v>
          </cell>
          <cell r="T42">
            <v>10774.892575621667</v>
          </cell>
          <cell r="U42">
            <v>13.734859202001424</v>
          </cell>
          <cell r="V42">
            <v>5508.457343876792</v>
          </cell>
          <cell r="W42">
            <v>71.494568359208316</v>
          </cell>
          <cell r="X42">
            <v>27.950580248446663</v>
          </cell>
          <cell r="Y42">
            <v>22.234661359850463</v>
          </cell>
          <cell r="Z42">
            <v>1106.8148995094341</v>
          </cell>
          <cell r="AA42">
            <v>1.4124675845280268</v>
          </cell>
          <cell r="AB42">
            <v>566.61111696699993</v>
          </cell>
          <cell r="AC42">
            <v>7.3491214711469963</v>
          </cell>
        </row>
        <row r="43">
          <cell r="R43">
            <v>291.78314412601964</v>
          </cell>
          <cell r="S43">
            <v>232.1132277930094</v>
          </cell>
          <cell r="T43">
            <v>11596.506935350437</v>
          </cell>
          <cell r="U43">
            <v>14.745104721486999</v>
          </cell>
          <cell r="V43">
            <v>5913.6132039825898</v>
          </cell>
          <cell r="W43">
            <v>77.586488032886507</v>
          </cell>
          <cell r="X43">
            <v>30.72997003810757</v>
          </cell>
          <cell r="Y43">
            <v>24.44566342888875</v>
          </cell>
          <cell r="Z43">
            <v>1221.0443815009421</v>
          </cell>
          <cell r="AA43">
            <v>1.5529225571178131</v>
          </cell>
          <cell r="AB43">
            <v>622.94015196705436</v>
          </cell>
          <cell r="AC43">
            <v>8.1960843076873147</v>
          </cell>
        </row>
        <row r="44">
          <cell r="R44">
            <v>314.17553882545963</v>
          </cell>
          <cell r="S44">
            <v>249.92635756536282</v>
          </cell>
          <cell r="T44">
            <v>12523.47521750419</v>
          </cell>
          <cell r="U44">
            <v>15.876692379838884</v>
          </cell>
          <cell r="V44">
            <v>6367.1808361127514</v>
          </cell>
          <cell r="W44">
            <v>84.565740337408613</v>
          </cell>
          <cell r="X44">
            <v>33.494044646941113</v>
          </cell>
          <cell r="Y44">
            <v>26.644482285402127</v>
          </cell>
          <cell r="Z44">
            <v>1335.46758305157</v>
          </cell>
          <cell r="AA44">
            <v>1.6926035852571604</v>
          </cell>
          <cell r="AB44">
            <v>678.92767774030654</v>
          </cell>
          <cell r="AC44">
            <v>9.0575899368308992</v>
          </cell>
        </row>
        <row r="45">
          <cell r="R45">
            <v>343.07826026590999</v>
          </cell>
          <cell r="S45">
            <v>272.91844638406337</v>
          </cell>
          <cell r="T45">
            <v>13728.506944338838</v>
          </cell>
          <cell r="U45">
            <v>17.337275908924944</v>
          </cell>
          <cell r="V45">
            <v>6952.2943858666795</v>
          </cell>
          <cell r="W45">
            <v>93.773850971929662</v>
          </cell>
          <cell r="X45">
            <v>36.344790331158151</v>
          </cell>
          <cell r="Y45">
            <v>28.91224790415502</v>
          </cell>
          <cell r="Z45">
            <v>1454.3227919527892</v>
          </cell>
          <cell r="AA45">
            <v>1.8366644897141802</v>
          </cell>
          <cell r="AB45">
            <v>736.63884968564048</v>
          </cell>
          <cell r="AC45">
            <v>9.9658082755516304</v>
          </cell>
        </row>
      </sheetData>
      <sheetData sheetId="4">
        <row r="2">
          <cell r="R2">
            <v>1.389404881047873E-3</v>
          </cell>
          <cell r="S2">
            <v>1.408426689508752E-5</v>
          </cell>
          <cell r="T2">
            <v>7.095752574544918E-4</v>
          </cell>
          <cell r="U2">
            <v>9.8619707814119218E-5</v>
          </cell>
          <cell r="V2">
            <v>2.1327604155418241E-4</v>
          </cell>
          <cell r="W2">
            <v>7.6457448859046546E-4</v>
          </cell>
          <cell r="X2">
            <v>1.139401854750237E-4</v>
          </cell>
          <cell r="Y2">
            <v>1.155000967821356E-6</v>
          </cell>
          <cell r="Z2">
            <v>5.8189759907764997E-5</v>
          </cell>
          <cell r="AA2">
            <v>8.087453810698266E-6</v>
          </cell>
          <cell r="AB2">
            <v>1.7490014655580521E-5</v>
          </cell>
          <cell r="AC2">
            <v>6.2700052538873594E-5</v>
          </cell>
        </row>
        <row r="3">
          <cell r="R3">
            <v>2.4866449561160853E-3</v>
          </cell>
          <cell r="S3">
            <v>2.5206886569196829E-5</v>
          </cell>
          <cell r="T3">
            <v>1.2699406479724242E-3</v>
          </cell>
          <cell r="U3">
            <v>1.765016104050753E-4</v>
          </cell>
          <cell r="V3">
            <v>3.817042823335519E-4</v>
          </cell>
          <cell r="W3">
            <v>1.3683738423278277E-3</v>
          </cell>
          <cell r="X3">
            <v>1.927756646949272E-4</v>
          </cell>
          <cell r="Y3">
            <v>1.9541488226193339E-6</v>
          </cell>
          <cell r="Z3">
            <v>9.8451390068314152E-5</v>
          </cell>
          <cell r="AA3">
            <v>1.3683181904145971E-5</v>
          </cell>
          <cell r="AB3">
            <v>2.9591396456807042E-5</v>
          </cell>
          <cell r="AC3">
            <v>1.060823646564781E-4</v>
          </cell>
        </row>
        <row r="4">
          <cell r="R4">
            <v>4.3150083727823601E-3</v>
          </cell>
          <cell r="S4">
            <v>4.3740834947239601E-5</v>
          </cell>
          <cell r="T4">
            <v>2.2036939835177057E-3</v>
          </cell>
          <cell r="U4">
            <v>3.0627851589115867E-4</v>
          </cell>
          <cell r="V4">
            <v>6.6236121491534245E-4</v>
          </cell>
          <cell r="W4">
            <v>2.3745024685644356E-3</v>
          </cell>
          <cell r="X4">
            <v>2.9950244593447348E-4</v>
          </cell>
          <cell r="Y4">
            <v>3.0360281886236606E-6</v>
          </cell>
          <cell r="Z4">
            <v>1.5295723232375884E-4</v>
          </cell>
          <cell r="AA4">
            <v>2.1258629583477114E-5</v>
          </cell>
          <cell r="AB4">
            <v>4.597414114201541E-5</v>
          </cell>
          <cell r="AC4">
            <v>1.6481295881099866E-4</v>
          </cell>
        </row>
        <row r="5">
          <cell r="R5">
            <v>7.3269525954967295E-3</v>
          </cell>
          <cell r="S5">
            <v>7.4272630886975104E-5</v>
          </cell>
          <cell r="T5">
            <v>3.7419073052236628E-3</v>
          </cell>
          <cell r="U5">
            <v>5.2006577347765411E-4</v>
          </cell>
          <cell r="V5">
            <v>1.1246998391456226E-3</v>
          </cell>
          <cell r="W5">
            <v>4.0319428195786482E-3</v>
          </cell>
          <cell r="X5">
            <v>4.5279107581729967E-4</v>
          </cell>
          <cell r="Y5">
            <v>4.5899006448825966E-6</v>
          </cell>
          <cell r="Z5">
            <v>2.3124241794360479E-4</v>
          </cell>
          <cell r="AA5">
            <v>3.2139028879951231E-5</v>
          </cell>
          <cell r="AB5">
            <v>6.9504209765365008E-5</v>
          </cell>
          <cell r="AC5">
            <v>2.4916603500791231E-4</v>
          </cell>
        </row>
        <row r="6">
          <cell r="R6">
            <v>1.2136407865761888E-2</v>
          </cell>
          <cell r="S6">
            <v>1.2302562763426799E-4</v>
          </cell>
          <cell r="T6">
            <v>6.1981175202334652E-3</v>
          </cell>
          <cell r="U6">
            <v>8.6144004095605028E-4</v>
          </cell>
          <cell r="V6">
            <v>1.8629595041760576E-3</v>
          </cell>
          <cell r="W6">
            <v>6.6785340715745474E-3</v>
          </cell>
          <cell r="X6">
            <v>6.5962919186304575E-4</v>
          </cell>
          <cell r="Y6">
            <v>6.6865992172010565E-6</v>
          </cell>
          <cell r="Z6">
            <v>3.3687556451343138E-4</v>
          </cell>
          <cell r="AA6">
            <v>4.6820361044172649E-5</v>
          </cell>
          <cell r="AB6">
            <v>1.0125421671761597E-4</v>
          </cell>
          <cell r="AC6">
            <v>3.6298681464805722E-4</v>
          </cell>
        </row>
        <row r="7">
          <cell r="R7">
            <v>2.5521312576031827E-2</v>
          </cell>
          <cell r="S7">
            <v>2.5870715062026686E-4</v>
          </cell>
          <cell r="T7">
            <v>1.3192174607194077E-2</v>
          </cell>
          <cell r="U7">
            <v>1.8114981627118266E-3</v>
          </cell>
          <cell r="V7">
            <v>3.8971918928652127E-3</v>
          </cell>
          <cell r="W7">
            <v>1.4146583133709756E-2</v>
          </cell>
          <cell r="X7">
            <v>1.4940643619276292E-3</v>
          </cell>
          <cell r="Y7">
            <v>1.5145190231343608E-5</v>
          </cell>
          <cell r="Z7">
            <v>7.7289564393330816E-4</v>
          </cell>
          <cell r="AA7">
            <v>1.0604841888684456E-4</v>
          </cell>
          <cell r="AB7">
            <v>2.2807133540089756E-4</v>
          </cell>
          <cell r="AC7">
            <v>8.2855626950058769E-4</v>
          </cell>
        </row>
        <row r="8">
          <cell r="R8">
            <v>5.345750841585438E-2</v>
          </cell>
          <cell r="S8">
            <v>5.4189374626886636E-4</v>
          </cell>
          <cell r="T8">
            <v>2.8119585213009675E-2</v>
          </cell>
          <cell r="U8">
            <v>3.7944043038529744E-3</v>
          </cell>
          <cell r="V8">
            <v>8.1004821498737965E-3</v>
          </cell>
          <cell r="W8">
            <v>2.9946945754571436E-2</v>
          </cell>
          <cell r="X8">
            <v>3.5054388381823131E-3</v>
          </cell>
          <cell r="Y8">
            <v>3.5534304546367937E-5</v>
          </cell>
          <cell r="Z8">
            <v>1.8476523094887321E-3</v>
          </cell>
          <cell r="AA8">
            <v>2.4881541636810606E-4</v>
          </cell>
          <cell r="AB8">
            <v>5.3070347571491537E-4</v>
          </cell>
          <cell r="AC8">
            <v>1.9661644919439347E-3</v>
          </cell>
        </row>
        <row r="9">
          <cell r="R9">
            <v>7.6511283028513746E-2</v>
          </cell>
          <cell r="S9">
            <v>7.7558769611234615E-4</v>
          </cell>
          <cell r="T9">
            <v>4.0709785641800889E-2</v>
          </cell>
          <cell r="U9">
            <v>5.4307570670578493E-3</v>
          </cell>
          <cell r="V9">
            <v>1.1534204226303765E-2</v>
          </cell>
          <cell r="W9">
            <v>4.316171035500431E-2</v>
          </cell>
          <cell r="X9">
            <v>4.8753772010544962E-3</v>
          </cell>
          <cell r="Y9">
            <v>4.9421241173479353E-5</v>
          </cell>
          <cell r="Z9">
            <v>2.5958073883615741E-3</v>
          </cell>
          <cell r="AA9">
            <v>3.4605339423379093E-4</v>
          </cell>
          <cell r="AB9">
            <v>7.3474761507938522E-4</v>
          </cell>
          <cell r="AC9">
            <v>2.7514334245428195E-3</v>
          </cell>
        </row>
        <row r="10">
          <cell r="R10">
            <v>0.12680416678933848</v>
          </cell>
          <cell r="S10">
            <v>1.285401939226886E-3</v>
          </cell>
          <cell r="T10">
            <v>6.8767406777996476E-2</v>
          </cell>
          <cell r="U10">
            <v>9.000536883781482E-3</v>
          </cell>
          <cell r="V10">
            <v>1.8948912983233417E-2</v>
          </cell>
          <cell r="W10">
            <v>7.2373205388494399E-2</v>
          </cell>
          <cell r="X10">
            <v>8.3969945903369335E-3</v>
          </cell>
          <cell r="Y10">
            <v>8.5119546174126768E-5</v>
          </cell>
          <cell r="Z10">
            <v>4.5604632025921113E-3</v>
          </cell>
          <cell r="AA10">
            <v>5.9601716124044277E-4</v>
          </cell>
          <cell r="AB10">
            <v>1.2539416907073929E-3</v>
          </cell>
          <cell r="AC10">
            <v>4.7968860051921603E-3</v>
          </cell>
        </row>
        <row r="11">
          <cell r="R11">
            <v>0.19196986405864935</v>
          </cell>
          <cell r="S11">
            <v>1.945980497187074E-3</v>
          </cell>
          <cell r="T11">
            <v>0.10588732102850407</v>
          </cell>
          <cell r="U11">
            <v>1.3625986320345933E-2</v>
          </cell>
          <cell r="V11">
            <v>2.8457891196552759E-2</v>
          </cell>
          <cell r="W11">
            <v>0.11071839284160277</v>
          </cell>
          <cell r="X11">
            <v>1.3168839831301807E-2</v>
          </cell>
          <cell r="Y11">
            <v>1.3349129358379116E-4</v>
          </cell>
          <cell r="Z11">
            <v>7.2786185141094605E-3</v>
          </cell>
          <cell r="AA11">
            <v>9.3472187562379213E-4</v>
          </cell>
          <cell r="AB11">
            <v>1.9502493239418441E-3</v>
          </cell>
          <cell r="AC11">
            <v>7.6047635838794453E-3</v>
          </cell>
        </row>
        <row r="12">
          <cell r="R12">
            <v>0.24635598908487066</v>
          </cell>
          <cell r="S12">
            <v>2.4972875428922827E-3</v>
          </cell>
          <cell r="T12">
            <v>0.13750416511072927</v>
          </cell>
          <cell r="U12">
            <v>1.7486303663684311E-2</v>
          </cell>
          <cell r="V12">
            <v>3.6311915591592532E-2</v>
          </cell>
          <cell r="W12">
            <v>0.14313306094460249</v>
          </cell>
          <cell r="X12">
            <v>1.682450408122324E-2</v>
          </cell>
          <cell r="Y12">
            <v>1.7054841903155283E-4</v>
          </cell>
          <cell r="Z12">
            <v>9.4038033209146079E-3</v>
          </cell>
          <cell r="AA12">
            <v>1.1942002646171232E-3</v>
          </cell>
          <cell r="AB12">
            <v>2.4781721385405101E-3</v>
          </cell>
          <cell r="AC12">
            <v>9.7835756117647422E-3</v>
          </cell>
        </row>
        <row r="13">
          <cell r="R13">
            <v>0.33679634960186222</v>
          </cell>
          <cell r="S13">
            <v>3.4140729903772305E-3</v>
          </cell>
          <cell r="T13">
            <v>0.19113844467697838</v>
          </cell>
          <cell r="U13">
            <v>2.3905744138128703E-2</v>
          </cell>
          <cell r="V13">
            <v>4.9236514742306656E-2</v>
          </cell>
          <cell r="W13">
            <v>0.19772100311380669</v>
          </cell>
          <cell r="X13">
            <v>2.3388564856930041E-2</v>
          </cell>
          <cell r="Y13">
            <v>2.3708768713237105E-4</v>
          </cell>
          <cell r="Z13">
            <v>1.3296519678098582E-2</v>
          </cell>
          <cell r="AA13">
            <v>1.660116114348488E-3</v>
          </cell>
          <cell r="AB13">
            <v>3.4162251697532398E-3</v>
          </cell>
          <cell r="AC13">
            <v>1.3745507739977623E-2</v>
          </cell>
        </row>
        <row r="14">
          <cell r="R14">
            <v>0.45626096595062504</v>
          </cell>
          <cell r="S14">
            <v>4.6250745955437782E-3</v>
          </cell>
          <cell r="T14">
            <v>0.26337955316369888</v>
          </cell>
          <cell r="U14">
            <v>3.2385321055661422E-2</v>
          </cell>
          <cell r="V14">
            <v>6.6129459128750456E-2</v>
          </cell>
          <cell r="W14">
            <v>0.27072997073759475</v>
          </cell>
          <cell r="X14">
            <v>2.9211270270696504E-2</v>
          </cell>
          <cell r="Y14">
            <v>2.9611190549923614E-4</v>
          </cell>
          <cell r="Z14">
            <v>1.6817551313558853E-2</v>
          </cell>
          <cell r="AA14">
            <v>2.0734106942266431E-3</v>
          </cell>
          <cell r="AB14">
            <v>4.2395872809765671E-3</v>
          </cell>
          <cell r="AC14">
            <v>1.7303964829861657E-2</v>
          </cell>
        </row>
        <row r="15">
          <cell r="R15">
            <v>0.61285504089700393</v>
          </cell>
          <cell r="S15">
            <v>6.212454038223415E-3</v>
          </cell>
          <cell r="T15">
            <v>0.35773461105082838</v>
          </cell>
          <cell r="U15">
            <v>4.3500340246458463E-2</v>
          </cell>
          <cell r="V15">
            <v>8.8233662189575485E-2</v>
          </cell>
          <cell r="W15">
            <v>0.37014375418793588</v>
          </cell>
          <cell r="X15">
            <v>4.0481935269929756E-2</v>
          </cell>
          <cell r="Y15">
            <v>4.1036157893827247E-4</v>
          </cell>
          <cell r="Z15">
            <v>2.3608639985293355E-2</v>
          </cell>
          <cell r="AA15">
            <v>2.8734004626927768E-3</v>
          </cell>
          <cell r="AB15">
            <v>5.8305099762247237E-3</v>
          </cell>
          <cell r="AC15">
            <v>2.4459149021592939E-2</v>
          </cell>
        </row>
        <row r="16">
          <cell r="R16">
            <v>1.0251954972024451</v>
          </cell>
          <cell r="S16">
            <v>1.0392310549068582E-2</v>
          </cell>
          <cell r="T16">
            <v>0.60531047660856097</v>
          </cell>
          <cell r="U16">
            <v>7.2768191450575587E-2</v>
          </cell>
          <cell r="V16">
            <v>0.14633673155102975</v>
          </cell>
          <cell r="W16">
            <v>0.64155111787291852</v>
          </cell>
          <cell r="X16">
            <v>6.9887608194812142E-2</v>
          </cell>
          <cell r="Y16">
            <v>7.0844412589991844E-4</v>
          </cell>
          <cell r="Z16">
            <v>4.1264280646690368E-2</v>
          </cell>
          <cell r="AA16">
            <v>4.9606098222441317E-3</v>
          </cell>
          <cell r="AB16">
            <v>9.9740758753444157E-3</v>
          </cell>
          <cell r="AC16">
            <v>4.381431062138838E-2</v>
          </cell>
        </row>
        <row r="17">
          <cell r="R17">
            <v>1.4149382194764724</v>
          </cell>
          <cell r="S17">
            <v>1.4343095950646739E-2</v>
          </cell>
          <cell r="T17">
            <v>0.83850068395738531</v>
          </cell>
          <cell r="U17">
            <v>0.10043205956967688</v>
          </cell>
          <cell r="V17">
            <v>0.20116122777282808</v>
          </cell>
          <cell r="W17">
            <v>0.9070545104264548</v>
          </cell>
          <cell r="X17">
            <v>0.10364957087105778</v>
          </cell>
          <cell r="Y17">
            <v>1.0506859732695643E-3</v>
          </cell>
          <cell r="Z17">
            <v>6.1464681134070165E-2</v>
          </cell>
          <cell r="AA17">
            <v>7.3570278424913349E-3</v>
          </cell>
          <cell r="AB17">
            <v>1.4723318104639732E-2</v>
          </cell>
          <cell r="AC17">
            <v>6.6813882178510572E-2</v>
          </cell>
        </row>
        <row r="18">
          <cell r="R18">
            <v>1.7866882329639848</v>
          </cell>
          <cell r="S18">
            <v>1.8111490951722101E-2</v>
          </cell>
          <cell r="T18">
            <v>1.0601571245215</v>
          </cell>
          <cell r="U18">
            <v>0.12681880846491858</v>
          </cell>
          <cell r="V18">
            <v>0.25336607828903723</v>
          </cell>
          <cell r="W18">
            <v>1.1687309677190774</v>
          </cell>
          <cell r="X18">
            <v>0.13903390607348104</v>
          </cell>
          <cell r="Y18">
            <v>1.4093736586909017E-3</v>
          </cell>
          <cell r="Z18">
            <v>8.2562638116283185E-2</v>
          </cell>
          <cell r="AA18">
            <v>9.8686015719776071E-3</v>
          </cell>
          <cell r="AB18">
            <v>1.9692339928010814E-2</v>
          </cell>
          <cell r="AC18">
            <v>9.1721070190585216E-2</v>
          </cell>
        </row>
        <row r="19">
          <cell r="R19">
            <v>2.1242249956384605</v>
          </cell>
          <cell r="S19">
            <v>2.1533069439934806E-2</v>
          </cell>
          <cell r="T19">
            <v>1.2607263722981732</v>
          </cell>
          <cell r="U19">
            <v>0.15077710698937405</v>
          </cell>
          <cell r="V19">
            <v>0.30068705539777579</v>
          </cell>
          <cell r="W19">
            <v>1.4138671607095814</v>
          </cell>
          <cell r="X19">
            <v>0.1720803834605015</v>
          </cell>
          <cell r="Y19">
            <v>1.7443626988260168E-3</v>
          </cell>
          <cell r="Z19">
            <v>0.10219933504572479</v>
          </cell>
          <cell r="AA19">
            <v>1.2214234575466072E-2</v>
          </cell>
          <cell r="AB19">
            <v>2.43252918694969E-2</v>
          </cell>
          <cell r="AC19">
            <v>0.11572108605319383</v>
          </cell>
        </row>
        <row r="20">
          <cell r="R20">
            <v>2.9101238484309042</v>
          </cell>
          <cell r="S20">
            <v>2.9499652360619466E-2</v>
          </cell>
          <cell r="T20">
            <v>1.7261413638523315</v>
          </cell>
          <cell r="U20">
            <v>0.20656006578781219</v>
          </cell>
          <cell r="V20">
            <v>0.41068419283203789</v>
          </cell>
          <cell r="W20">
            <v>2.001933648641951</v>
          </cell>
          <cell r="X20">
            <v>0.24564969591131963</v>
          </cell>
          <cell r="Y20">
            <v>2.4901279152717377E-3</v>
          </cell>
          <cell r="Z20">
            <v>0.14576761461666546</v>
          </cell>
          <cell r="AA20">
            <v>1.7436171101637914E-2</v>
          </cell>
          <cell r="AB20">
            <v>3.4622308774207938E-2</v>
          </cell>
          <cell r="AC20">
            <v>0.17077097833745916</v>
          </cell>
        </row>
        <row r="21">
          <cell r="R21">
            <v>3.4858810241992773</v>
          </cell>
          <cell r="S21">
            <v>3.5336048821360114E-2</v>
          </cell>
          <cell r="T21">
            <v>2.0659698523391588</v>
          </cell>
          <cell r="U21">
            <v>0.24742720625973558</v>
          </cell>
          <cell r="V21">
            <v>0.49113777017690369</v>
          </cell>
          <cell r="W21">
            <v>2.4452538650799638</v>
          </cell>
          <cell r="X21">
            <v>0.30595851179779759</v>
          </cell>
          <cell r="Y21">
            <v>3.1014727224320804E-3</v>
          </cell>
          <cell r="Z21">
            <v>0.18136361690318697</v>
          </cell>
          <cell r="AA21">
            <v>2.1716879973809382E-2</v>
          </cell>
          <cell r="AB21">
            <v>4.3049576705388726E-2</v>
          </cell>
          <cell r="AC21">
            <v>0.21720742487628553</v>
          </cell>
        </row>
        <row r="22">
          <cell r="R22">
            <v>4.3239626032839293</v>
          </cell>
          <cell r="S22">
            <v>4.3831603141553939E-2</v>
          </cell>
          <cell r="T22">
            <v>2.5589953911936845</v>
          </cell>
          <cell r="U22">
            <v>0.30691408555685551</v>
          </cell>
          <cell r="V22">
            <v>0.60805878013644343</v>
          </cell>
          <cell r="W22">
            <v>3.1084889525805592</v>
          </cell>
          <cell r="X22">
            <v>0.37808865061505154</v>
          </cell>
          <cell r="Y22">
            <v>3.8326491708088398E-3</v>
          </cell>
          <cell r="Z22">
            <v>0.22379624094065714</v>
          </cell>
          <cell r="AA22">
            <v>2.6836664215091566E-2</v>
          </cell>
          <cell r="AB22">
            <v>5.3112473790235988E-2</v>
          </cell>
          <cell r="AC22">
            <v>0.27428926526483249</v>
          </cell>
        </row>
        <row r="23">
          <cell r="R23">
            <v>5.1730850953386085</v>
          </cell>
          <cell r="S23">
            <v>5.2439078160427061E-2</v>
          </cell>
          <cell r="T23">
            <v>3.053676759726323</v>
          </cell>
          <cell r="U23">
            <v>0.3671846468648548</v>
          </cell>
          <cell r="V23">
            <v>0.72738619023247042</v>
          </cell>
          <cell r="W23">
            <v>3.7952043360972549</v>
          </cell>
          <cell r="X23">
            <v>0.46746200899798263</v>
          </cell>
          <cell r="Y23">
            <v>4.7386185177900947E-3</v>
          </cell>
          <cell r="Z23">
            <v>0.27586332860929863</v>
          </cell>
          <cell r="AA23">
            <v>3.3180369070542941E-2</v>
          </cell>
          <cell r="AB23">
            <v>6.5672135661414471E-2</v>
          </cell>
          <cell r="AC23">
            <v>0.34656866034904299</v>
          </cell>
        </row>
        <row r="24">
          <cell r="R24">
            <v>6.0013932691982346</v>
          </cell>
          <cell r="S24">
            <v>6.0835560389007608E-2</v>
          </cell>
          <cell r="T24">
            <v>3.5316532355615546</v>
          </cell>
          <cell r="U24">
            <v>0.42597781162218262</v>
          </cell>
          <cell r="V24">
            <v>0.84460803331645817</v>
          </cell>
          <cell r="W24">
            <v>4.4790359378118509</v>
          </cell>
          <cell r="X24">
            <v>0.55855762147275612</v>
          </cell>
          <cell r="Y24">
            <v>5.6620461928811308E-3</v>
          </cell>
          <cell r="Z24">
            <v>0.32843018861244916</v>
          </cell>
          <cell r="AA24">
            <v>3.9646319210746066E-2</v>
          </cell>
          <cell r="AB24">
            <v>7.8563950481253891E-2</v>
          </cell>
          <cell r="AC24">
            <v>0.42177503951288486</v>
          </cell>
        </row>
        <row r="25">
          <cell r="R25">
            <v>6.7819158426034916</v>
          </cell>
          <cell r="S25">
            <v>6.8747644470063471E-2</v>
          </cell>
          <cell r="T25">
            <v>3.9778678937499756</v>
          </cell>
          <cell r="U25">
            <v>0.48137916307957584</v>
          </cell>
          <cell r="V25">
            <v>0.95581662661249567</v>
          </cell>
          <cell r="W25">
            <v>5.1361726666304923</v>
          </cell>
          <cell r="X25">
            <v>0.64514372467481573</v>
          </cell>
          <cell r="Y25">
            <v>6.5397613956546139E-3</v>
          </cell>
          <cell r="Z25">
            <v>0.37793034371445172</v>
          </cell>
          <cell r="AA25">
            <v>4.5792185196268015E-2</v>
          </cell>
          <cell r="AB25">
            <v>9.090070929410507E-2</v>
          </cell>
          <cell r="AC25">
            <v>0.49467351876008547</v>
          </cell>
        </row>
        <row r="26">
          <cell r="R26">
            <v>7.922536534979562</v>
          </cell>
          <cell r="S26">
            <v>8.0310009390912318E-2</v>
          </cell>
          <cell r="T26">
            <v>4.6240056139467764</v>
          </cell>
          <cell r="U26">
            <v>0.56234021406136703</v>
          </cell>
          <cell r="V26">
            <v>1.1193950136371194</v>
          </cell>
          <cell r="W26">
            <v>6.1145800159659682</v>
          </cell>
          <cell r="X26">
            <v>0.75478836018367801</v>
          </cell>
          <cell r="Y26">
            <v>7.6512187765706372E-3</v>
          </cell>
          <cell r="Z26">
            <v>0.4400417320953906</v>
          </cell>
          <cell r="AA26">
            <v>5.3574741645266863E-2</v>
          </cell>
          <cell r="AB26">
            <v>0.10662503618237182</v>
          </cell>
          <cell r="AC26">
            <v>0.58872504519137203</v>
          </cell>
        </row>
        <row r="27">
          <cell r="R27">
            <v>8.8038931193584773</v>
          </cell>
          <cell r="S27">
            <v>8.9244238378774682E-2</v>
          </cell>
          <cell r="T27">
            <v>5.1216029534885736</v>
          </cell>
          <cell r="U27">
            <v>0.62489874542764912</v>
          </cell>
          <cell r="V27">
            <v>1.2459200894219267</v>
          </cell>
          <cell r="W27">
            <v>6.8641285757091213</v>
          </cell>
          <cell r="X27">
            <v>0.86277757121837162</v>
          </cell>
          <cell r="Y27">
            <v>8.7458952749398348E-3</v>
          </cell>
          <cell r="Z27">
            <v>0.50101040818232079</v>
          </cell>
          <cell r="AA27">
            <v>6.1239796363720671E-2</v>
          </cell>
          <cell r="AB27">
            <v>0.12212766400892242</v>
          </cell>
          <cell r="AC27">
            <v>0.68056432912421283</v>
          </cell>
        </row>
        <row r="28">
          <cell r="R28">
            <v>10.567379265638197</v>
          </cell>
          <cell r="S28">
            <v>0.10712053195510129</v>
          </cell>
          <cell r="T28">
            <v>6.1139856681273317</v>
          </cell>
          <cell r="U28">
            <v>0.75007067396527516</v>
          </cell>
          <cell r="V28">
            <v>1.499330177577016</v>
          </cell>
          <cell r="W28">
            <v>8.3513262692934678</v>
          </cell>
          <cell r="X28">
            <v>1.007688574239427</v>
          </cell>
          <cell r="Y28">
            <v>1.021484451387162E-2</v>
          </cell>
          <cell r="Z28">
            <v>0.58255750446228771</v>
          </cell>
          <cell r="AA28">
            <v>7.1525553216834112E-2</v>
          </cell>
          <cell r="AB28">
            <v>0.14295113921890759</v>
          </cell>
          <cell r="AC28">
            <v>0.80277187236040659</v>
          </cell>
        </row>
        <row r="29">
          <cell r="R29">
            <v>12.491758916220222</v>
          </cell>
          <cell r="S29">
            <v>0.12662778788602289</v>
          </cell>
          <cell r="T29">
            <v>7.1934675140606705</v>
          </cell>
          <cell r="U29">
            <v>0.88666279441378326</v>
          </cell>
          <cell r="V29">
            <v>1.7761242066487024</v>
          </cell>
          <cell r="W29">
            <v>9.9609049343861784</v>
          </cell>
          <cell r="X29">
            <v>1.1983981321952963</v>
          </cell>
          <cell r="Y29">
            <v>1.2148049406364061E-2</v>
          </cell>
          <cell r="Z29">
            <v>0.6895361381207078</v>
          </cell>
          <cell r="AA29">
            <v>8.5062083237358505E-2</v>
          </cell>
          <cell r="AB29">
            <v>0.17038193589830503</v>
          </cell>
          <cell r="AC29">
            <v>0.96228407444703168</v>
          </cell>
        </row>
        <row r="30">
          <cell r="R30">
            <v>14.757700806584644</v>
          </cell>
          <cell r="S30">
            <v>0.14959742818884261</v>
          </cell>
          <cell r="T30">
            <v>8.4606118808610038</v>
          </cell>
          <cell r="U30">
            <v>1.0474989410256883</v>
          </cell>
          <cell r="V30">
            <v>2.1023487473662068</v>
          </cell>
          <cell r="W30">
            <v>11.840952368596673</v>
          </cell>
          <cell r="X30">
            <v>1.4158967392876611</v>
          </cell>
          <cell r="Y30">
            <v>1.4352812376023654E-2</v>
          </cell>
          <cell r="Z30">
            <v>0.81116420631432118</v>
          </cell>
          <cell r="AA30">
            <v>0.10050009513296222</v>
          </cell>
          <cell r="AB30">
            <v>0.20169491153423033</v>
          </cell>
          <cell r="AC30">
            <v>1.1427422318018938</v>
          </cell>
        </row>
        <row r="31">
          <cell r="R31">
            <v>17.843662752982816</v>
          </cell>
          <cell r="S31">
            <v>0.18087953484761291</v>
          </cell>
          <cell r="T31">
            <v>10.181111535381149</v>
          </cell>
          <cell r="U31">
            <v>1.2665399632867811</v>
          </cell>
          <cell r="V31">
            <v>2.5470298177635464</v>
          </cell>
          <cell r="W31">
            <v>14.381226633113606</v>
          </cell>
          <cell r="X31">
            <v>1.7105865034560406</v>
          </cell>
          <cell r="Y31">
            <v>1.7340054861214586E-2</v>
          </cell>
          <cell r="Z31">
            <v>0.9754609948842804</v>
          </cell>
          <cell r="AA31">
            <v>0.12141712143286906</v>
          </cell>
          <cell r="AB31">
            <v>0.24415912918878807</v>
          </cell>
          <cell r="AC31">
            <v>1.3853222885026031</v>
          </cell>
        </row>
        <row r="32">
          <cell r="R32">
            <v>22.715105574500637</v>
          </cell>
          <cell r="S32">
            <v>0.23026089358493779</v>
          </cell>
          <cell r="T32">
            <v>12.889063813387354</v>
          </cell>
          <cell r="U32">
            <v>1.612314095970804</v>
          </cell>
          <cell r="V32">
            <v>3.2496080999711441</v>
          </cell>
          <cell r="W32">
            <v>18.360344505013433</v>
          </cell>
          <cell r="X32">
            <v>2.146134978510529</v>
          </cell>
          <cell r="Y32">
            <v>2.1755168880239269E-2</v>
          </cell>
          <cell r="Z32">
            <v>1.2175749903511193</v>
          </cell>
          <cell r="AA32">
            <v>0.15233227362116689</v>
          </cell>
          <cell r="AB32">
            <v>0.30697561100609427</v>
          </cell>
          <cell r="AC32">
            <v>1.7410893137282095</v>
          </cell>
        </row>
        <row r="33">
          <cell r="R33">
            <v>23.620174165288919</v>
          </cell>
          <cell r="S33">
            <v>0.23943548895659728</v>
          </cell>
          <cell r="T33">
            <v>13.390731044386827</v>
          </cell>
          <cell r="U33">
            <v>1.6765557012744789</v>
          </cell>
          <cell r="V33">
            <v>3.3802513374541823</v>
          </cell>
          <cell r="W33">
            <v>19.094041639282466</v>
          </cell>
          <cell r="X33">
            <v>2.416460684595978</v>
          </cell>
          <cell r="Y33">
            <v>2.4495435195007791E-2</v>
          </cell>
          <cell r="Z33">
            <v>1.3674128587957091</v>
          </cell>
          <cell r="AA33">
            <v>0.17151994347351851</v>
          </cell>
          <cell r="AB33">
            <v>0.34599610710698342</v>
          </cell>
          <cell r="AC33">
            <v>1.9602298273785643</v>
          </cell>
        </row>
        <row r="34">
          <cell r="R34">
            <v>25.32470054323511</v>
          </cell>
          <cell r="S34">
            <v>0.25671411289421087</v>
          </cell>
          <cell r="T34">
            <v>14.332879039101059</v>
          </cell>
          <cell r="U34">
            <v>1.7975426760918793</v>
          </cell>
          <cell r="V34">
            <v>3.6264962332092416</v>
          </cell>
          <cell r="W34">
            <v>20.465586751787839</v>
          </cell>
          <cell r="X34">
            <v>2.6739208362229818</v>
          </cell>
          <cell r="Y34">
            <v>2.7105284591556356E-2</v>
          </cell>
          <cell r="Z34">
            <v>1.5097195832398769</v>
          </cell>
          <cell r="AA34">
            <v>0.18979441859130033</v>
          </cell>
          <cell r="AB34">
            <v>0.38319016231125835</v>
          </cell>
          <cell r="AC34">
            <v>2.1673948306297239</v>
          </cell>
        </row>
        <row r="35">
          <cell r="R35">
            <v>29.510543799335522</v>
          </cell>
          <cell r="S35">
            <v>0.29914561317471772</v>
          </cell>
          <cell r="T35">
            <v>16.6654680144953</v>
          </cell>
          <cell r="U35">
            <v>2.0946530753017845</v>
          </cell>
          <cell r="V35">
            <v>4.2308531381561538</v>
          </cell>
          <cell r="W35">
            <v>23.936338865820044</v>
          </cell>
          <cell r="X35">
            <v>3.0676820236155518</v>
          </cell>
          <cell r="Y35">
            <v>3.1096804796941647E-2</v>
          </cell>
          <cell r="Z35">
            <v>1.7291456220222574</v>
          </cell>
          <cell r="AA35">
            <v>0.21774351663960201</v>
          </cell>
          <cell r="AB35">
            <v>0.44004185931495665</v>
          </cell>
          <cell r="AC35">
            <v>2.4938875801073479</v>
          </cell>
        </row>
        <row r="36">
          <cell r="R36">
            <v>34.82769804210055</v>
          </cell>
          <cell r="S36">
            <v>0.3530451067629149</v>
          </cell>
          <cell r="T36">
            <v>19.652399596039142</v>
          </cell>
          <cell r="U36">
            <v>2.4720637242615124</v>
          </cell>
          <cell r="V36">
            <v>4.9981053282324437</v>
          </cell>
          <cell r="W36">
            <v>28.474723577087158</v>
          </cell>
          <cell r="X36">
            <v>3.5297107396804899</v>
          </cell>
          <cell r="Y36">
            <v>3.5780346534138835E-2</v>
          </cell>
          <cell r="Z36">
            <v>1.9886920072850749</v>
          </cell>
          <cell r="AA36">
            <v>0.25053823155790012</v>
          </cell>
          <cell r="AB36">
            <v>0.50671145889659619</v>
          </cell>
          <cell r="AC36">
            <v>2.888245908908635</v>
          </cell>
        </row>
        <row r="37">
          <cell r="R37">
            <v>37.818451973958581</v>
          </cell>
          <cell r="S37">
            <v>0.38336209871277227</v>
          </cell>
          <cell r="T37">
            <v>21.345838317483089</v>
          </cell>
          <cell r="U37">
            <v>2.6843468988256625</v>
          </cell>
          <cell r="V37">
            <v>5.4294150389744695</v>
          </cell>
          <cell r="W37">
            <v>31.099906122083365</v>
          </cell>
          <cell r="X37">
            <v>3.9250964976365195</v>
          </cell>
          <cell r="Y37">
            <v>3.9788334858873474E-2</v>
          </cell>
          <cell r="Z37">
            <v>2.2125691859783529</v>
          </cell>
          <cell r="AA37">
            <v>0.27860264133173063</v>
          </cell>
          <cell r="AB37">
            <v>0.56373176908626998</v>
          </cell>
          <cell r="AC37">
            <v>3.2353021408740053</v>
          </cell>
        </row>
        <row r="38">
          <cell r="R38">
            <v>40.986745208992254</v>
          </cell>
          <cell r="S38">
            <v>0.41547878991833381</v>
          </cell>
          <cell r="T38">
            <v>23.153886824566932</v>
          </cell>
          <cell r="U38">
            <v>2.9092317811018931</v>
          </cell>
          <cell r="V38">
            <v>5.886066565460407</v>
          </cell>
          <cell r="W38">
            <v>33.957246704137681</v>
          </cell>
          <cell r="X38">
            <v>4.3295320360904848</v>
          </cell>
          <cell r="Y38">
            <v>4.3888059959269046E-2</v>
          </cell>
          <cell r="Z38">
            <v>2.4433682368451115</v>
          </cell>
          <cell r="AA38">
            <v>0.30730940289276321</v>
          </cell>
          <cell r="AB38">
            <v>0.62202375543336152</v>
          </cell>
          <cell r="AC38">
            <v>3.6000442878669823</v>
          </cell>
        </row>
        <row r="39">
          <cell r="R39">
            <v>45.876613013083947</v>
          </cell>
          <cell r="S39">
            <v>0.46504692097497863</v>
          </cell>
          <cell r="T39">
            <v>25.965994201185531</v>
          </cell>
          <cell r="U39">
            <v>3.2563137157252218</v>
          </cell>
          <cell r="V39">
            <v>6.5904497108769062</v>
          </cell>
          <cell r="W39">
            <v>38.484304483775837</v>
          </cell>
          <cell r="X39">
            <v>4.8637825664400829</v>
          </cell>
          <cell r="Y39">
            <v>4.9303707450453108E-2</v>
          </cell>
          <cell r="Z39">
            <v>2.7506096424514892</v>
          </cell>
          <cell r="AA39">
            <v>0.34523040916048209</v>
          </cell>
          <cell r="AB39">
            <v>0.69898229175477122</v>
          </cell>
          <cell r="AC39">
            <v>4.0946554136874314</v>
          </cell>
        </row>
        <row r="40">
          <cell r="R40">
            <v>52.72561572392123</v>
          </cell>
          <cell r="S40">
            <v>0.53447461873278324</v>
          </cell>
          <cell r="T40">
            <v>29.934868843838682</v>
          </cell>
          <cell r="U40">
            <v>3.7424546926098499</v>
          </cell>
          <cell r="V40">
            <v>7.5764856908196689</v>
          </cell>
          <cell r="W40">
            <v>44.988213268150361</v>
          </cell>
          <cell r="X40">
            <v>5.4639144270374018</v>
          </cell>
          <cell r="Y40">
            <v>5.5387187803943291E-2</v>
          </cell>
          <cell r="Z40">
            <v>3.0983753281043978</v>
          </cell>
          <cell r="AA40">
            <v>0.38782766036447586</v>
          </cell>
          <cell r="AB40">
            <v>0.78538196660416415</v>
          </cell>
          <cell r="AC40">
            <v>4.6645490237083234</v>
          </cell>
        </row>
        <row r="41">
          <cell r="R41">
            <v>60.599826678441588</v>
          </cell>
          <cell r="S41">
            <v>0.61429475624953445</v>
          </cell>
          <cell r="T41">
            <v>34.532228999442168</v>
          </cell>
          <cell r="U41">
            <v>4.301364765687949</v>
          </cell>
          <cell r="V41">
            <v>8.7094789871586027</v>
          </cell>
          <cell r="W41">
            <v>52.652079315385727</v>
          </cell>
          <cell r="X41">
            <v>6.2370958990067926</v>
          </cell>
          <cell r="Y41">
            <v>6.3224855828645093E-2</v>
          </cell>
          <cell r="Z41">
            <v>3.5497975357152241</v>
          </cell>
          <cell r="AA41">
            <v>0.44270794176625444</v>
          </cell>
          <cell r="AB41">
            <v>0.89663240549314216</v>
          </cell>
          <cell r="AC41">
            <v>5.4170763900187202</v>
          </cell>
        </row>
        <row r="42">
          <cell r="R42">
            <v>66.772410731920118</v>
          </cell>
          <cell r="S42">
            <v>0.67686566155395977</v>
          </cell>
          <cell r="T42">
            <v>38.162901405126284</v>
          </cell>
          <cell r="U42">
            <v>4.7394936682962667</v>
          </cell>
          <cell r="V42">
            <v>9.5971324482539213</v>
          </cell>
          <cell r="W42">
            <v>58.805056226188647</v>
          </cell>
          <cell r="X42">
            <v>6.8667515489263415</v>
          </cell>
          <cell r="Y42">
            <v>6.9607616063932592E-2</v>
          </cell>
          <cell r="Z42">
            <v>3.9201567521211471</v>
          </cell>
          <cell r="AA42">
            <v>0.48740078621037564</v>
          </cell>
          <cell r="AB42">
            <v>0.98718054742315542</v>
          </cell>
          <cell r="AC42">
            <v>6.0447319459650624</v>
          </cell>
        </row>
        <row r="43">
          <cell r="R43">
            <v>71.683748210890656</v>
          </cell>
          <cell r="S43">
            <v>0.72665142869010091</v>
          </cell>
          <cell r="T43">
            <v>41.072924645107953</v>
          </cell>
          <cell r="U43">
            <v>5.0880995165694589</v>
          </cell>
          <cell r="V43">
            <v>10.303016910796572</v>
          </cell>
          <cell r="W43">
            <v>63.815726087655563</v>
          </cell>
          <cell r="X43">
            <v>7.5495774142063565</v>
          </cell>
          <cell r="Y43">
            <v>7.6529357782746554E-2</v>
          </cell>
          <cell r="Z43">
            <v>4.3247388329359122</v>
          </cell>
          <cell r="AA43">
            <v>0.53586764294910472</v>
          </cell>
          <cell r="AB43">
            <v>1.0853200401758372</v>
          </cell>
          <cell r="AC43">
            <v>6.7413680452839397</v>
          </cell>
        </row>
        <row r="44">
          <cell r="R44">
            <v>77.184993967500475</v>
          </cell>
          <cell r="S44">
            <v>0.78241704067868501</v>
          </cell>
          <cell r="T44">
            <v>44.356094190347896</v>
          </cell>
          <cell r="U44">
            <v>5.4785769479725737</v>
          </cell>
          <cell r="V44">
            <v>11.093246982130939</v>
          </cell>
          <cell r="W44">
            <v>69.556236641158591</v>
          </cell>
          <cell r="X44">
            <v>8.2286407264111361</v>
          </cell>
          <cell r="Y44">
            <v>8.3412958854121172E-2</v>
          </cell>
          <cell r="Z44">
            <v>4.7300070366408171</v>
          </cell>
          <cell r="AA44">
            <v>0.58406743434930197</v>
          </cell>
          <cell r="AB44">
            <v>1.1828645370744499</v>
          </cell>
          <cell r="AC44">
            <v>7.4499657489085322</v>
          </cell>
        </row>
        <row r="45">
          <cell r="R45">
            <v>84.285662556676868</v>
          </cell>
          <cell r="S45">
            <v>0.85439585182846323</v>
          </cell>
          <cell r="T45">
            <v>48.624118828040068</v>
          </cell>
          <cell r="U45">
            <v>5.9825811235022703</v>
          </cell>
          <cell r="V45">
            <v>12.112663469125897</v>
          </cell>
          <cell r="W45">
            <v>77.13000729292915</v>
          </cell>
          <cell r="X45">
            <v>8.9289969325682623</v>
          </cell>
          <cell r="Y45">
            <v>9.0512403993329688E-2</v>
          </cell>
          <cell r="Z45">
            <v>5.1509726831146718</v>
          </cell>
          <cell r="AA45">
            <v>0.63377859152109051</v>
          </cell>
          <cell r="AB45">
            <v>1.2834120636009099</v>
          </cell>
          <cell r="AC45">
            <v>8.1969851617091329</v>
          </cell>
        </row>
      </sheetData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age"/>
      <sheetName val="Manu_gas"/>
      <sheetName val="Manu_solvent"/>
      <sheetName val="Manu_water"/>
      <sheetName val="Manu_solid"/>
      <sheetName val="Quarterly computing power"/>
    </sheetNames>
    <sheetDataSet>
      <sheetData sheetId="0" refreshError="1"/>
      <sheetData sheetId="1">
        <row r="2">
          <cell r="R2">
            <v>2.874993696323525E-3</v>
          </cell>
          <cell r="S2">
            <v>0</v>
          </cell>
          <cell r="T2">
            <v>0</v>
          </cell>
          <cell r="U2">
            <v>1.951140107130339E-4</v>
          </cell>
          <cell r="V2">
            <v>0</v>
          </cell>
          <cell r="W2">
            <v>0</v>
          </cell>
          <cell r="X2">
            <v>2.2720404939849319E-4</v>
          </cell>
          <cell r="Y2">
            <v>0</v>
          </cell>
          <cell r="Z2">
            <v>0</v>
          </cell>
          <cell r="AA2">
            <v>1.5419405400808829E-5</v>
          </cell>
          <cell r="AB2">
            <v>0</v>
          </cell>
          <cell r="AC2">
            <v>0</v>
          </cell>
        </row>
        <row r="3">
          <cell r="R3">
            <v>5.1466122935553121E-3</v>
          </cell>
          <cell r="S3">
            <v>0</v>
          </cell>
          <cell r="T3">
            <v>0</v>
          </cell>
          <cell r="U3">
            <v>3.4927943232178219E-4</v>
          </cell>
          <cell r="V3">
            <v>0</v>
          </cell>
          <cell r="W3">
            <v>0</v>
          </cell>
          <cell r="X3">
            <v>3.862864921949158E-4</v>
          </cell>
          <cell r="Y3">
            <v>0</v>
          </cell>
          <cell r="Z3">
            <v>0</v>
          </cell>
          <cell r="AA3">
            <v>2.6215677228371098E-5</v>
          </cell>
          <cell r="AB3">
            <v>0</v>
          </cell>
          <cell r="AC3">
            <v>0</v>
          </cell>
        </row>
        <row r="4">
          <cell r="R4">
            <v>8.9325141012385322E-3</v>
          </cell>
          <cell r="S4">
            <v>0</v>
          </cell>
          <cell r="T4">
            <v>0</v>
          </cell>
          <cell r="U4">
            <v>6.0621303423103443E-4</v>
          </cell>
          <cell r="V4">
            <v>0</v>
          </cell>
          <cell r="W4">
            <v>0</v>
          </cell>
          <cell r="X4">
            <v>5.9823289225271786E-4</v>
          </cell>
          <cell r="Y4">
            <v>0</v>
          </cell>
          <cell r="Z4">
            <v>0</v>
          </cell>
          <cell r="AA4">
            <v>4.0599608652064E-5</v>
          </cell>
          <cell r="AB4">
            <v>0</v>
          </cell>
          <cell r="AC4">
            <v>0</v>
          </cell>
        </row>
        <row r="5">
          <cell r="R5">
            <v>1.5181618746467928E-2</v>
          </cell>
          <cell r="S5">
            <v>0</v>
          </cell>
          <cell r="T5">
            <v>0</v>
          </cell>
          <cell r="U5">
            <v>1.030314093045652E-3</v>
          </cell>
          <cell r="V5">
            <v>0</v>
          </cell>
          <cell r="W5">
            <v>0</v>
          </cell>
          <cell r="X5">
            <v>9.1682537324089264E-4</v>
          </cell>
          <cell r="Y5">
            <v>0</v>
          </cell>
          <cell r="Z5">
            <v>0</v>
          </cell>
          <cell r="AA5">
            <v>6.2221171449961581E-5</v>
          </cell>
          <cell r="AB5">
            <v>0</v>
          </cell>
          <cell r="AC5">
            <v>0</v>
          </cell>
        </row>
        <row r="6">
          <cell r="R6">
            <v>2.512330674289473E-2</v>
          </cell>
          <cell r="S6">
            <v>0</v>
          </cell>
          <cell r="T6">
            <v>0</v>
          </cell>
          <cell r="U6">
            <v>1.7050156135119344E-3</v>
          </cell>
          <cell r="V6">
            <v>0</v>
          </cell>
          <cell r="W6">
            <v>0</v>
          </cell>
          <cell r="X6">
            <v>1.3397851937688721E-3</v>
          </cell>
          <cell r="Y6">
            <v>0</v>
          </cell>
          <cell r="Z6">
            <v>0</v>
          </cell>
          <cell r="AA6">
            <v>9.0925716805734222E-5</v>
          </cell>
          <cell r="AB6">
            <v>0</v>
          </cell>
          <cell r="AC6">
            <v>0</v>
          </cell>
        </row>
        <row r="7">
          <cell r="R7">
            <v>5.2849685608090481E-2</v>
          </cell>
          <cell r="S7">
            <v>0</v>
          </cell>
          <cell r="T7">
            <v>0</v>
          </cell>
          <cell r="U7">
            <v>3.5866910376547334E-3</v>
          </cell>
          <cell r="V7">
            <v>0</v>
          </cell>
          <cell r="W7">
            <v>0</v>
          </cell>
          <cell r="X7">
            <v>3.0125016171494764E-3</v>
          </cell>
          <cell r="Y7">
            <v>0</v>
          </cell>
          <cell r="Z7">
            <v>0</v>
          </cell>
          <cell r="AA7">
            <v>2.0444610836996822E-4</v>
          </cell>
          <cell r="AB7">
            <v>0</v>
          </cell>
          <cell r="AC7">
            <v>0</v>
          </cell>
        </row>
        <row r="8">
          <cell r="R8">
            <v>0.11061413036579471</v>
          </cell>
          <cell r="S8">
            <v>0</v>
          </cell>
          <cell r="T8">
            <v>0</v>
          </cell>
          <cell r="U8">
            <v>7.5069265872838697E-3</v>
          </cell>
          <cell r="V8">
            <v>0</v>
          </cell>
          <cell r="W8">
            <v>0</v>
          </cell>
          <cell r="X8">
            <v>7.0688749622809348E-3</v>
          </cell>
          <cell r="Y8">
            <v>0</v>
          </cell>
          <cell r="Z8">
            <v>0</v>
          </cell>
          <cell r="AA8">
            <v>4.7973550233634072E-4</v>
          </cell>
          <cell r="AB8">
            <v>0</v>
          </cell>
          <cell r="AC8">
            <v>0</v>
          </cell>
        </row>
        <row r="9">
          <cell r="R9">
            <v>0.15842250618499915</v>
          </cell>
          <cell r="S9">
            <v>0</v>
          </cell>
          <cell r="T9">
            <v>0</v>
          </cell>
          <cell r="U9">
            <v>1.0751484640990053E-2</v>
          </cell>
          <cell r="V9">
            <v>0</v>
          </cell>
          <cell r="W9">
            <v>0</v>
          </cell>
          <cell r="X9">
            <v>9.8195614708265575E-3</v>
          </cell>
          <cell r="Y9">
            <v>0</v>
          </cell>
          <cell r="Z9">
            <v>0</v>
          </cell>
          <cell r="AA9">
            <v>6.6641329491128954E-4</v>
          </cell>
          <cell r="AB9">
            <v>0</v>
          </cell>
          <cell r="AC9">
            <v>0</v>
          </cell>
        </row>
        <row r="10">
          <cell r="R10">
            <v>0.26249175299873073</v>
          </cell>
          <cell r="S10">
            <v>0</v>
          </cell>
          <cell r="T10">
            <v>0</v>
          </cell>
          <cell r="U10">
            <v>1.7814236870213315E-2</v>
          </cell>
          <cell r="V10">
            <v>0</v>
          </cell>
          <cell r="W10">
            <v>0</v>
          </cell>
          <cell r="X10">
            <v>1.6722654089873092E-2</v>
          </cell>
          <cell r="Y10">
            <v>0</v>
          </cell>
          <cell r="Z10">
            <v>0</v>
          </cell>
          <cell r="AA10">
            <v>1.1348978307028229E-3</v>
          </cell>
          <cell r="AB10">
            <v>0</v>
          </cell>
          <cell r="AC10">
            <v>0</v>
          </cell>
        </row>
        <row r="11">
          <cell r="R11">
            <v>0.39775209945361584</v>
          </cell>
          <cell r="S11">
            <v>0</v>
          </cell>
          <cell r="T11">
            <v>0</v>
          </cell>
          <cell r="U11">
            <v>2.6993800888386842E-2</v>
          </cell>
          <cell r="V11">
            <v>0</v>
          </cell>
          <cell r="W11">
            <v>0</v>
          </cell>
          <cell r="X11">
            <v>2.6036840921841366E-2</v>
          </cell>
          <cell r="Y11">
            <v>0</v>
          </cell>
          <cell r="Z11">
            <v>0</v>
          </cell>
          <cell r="AA11">
            <v>1.7670134251264954E-3</v>
          </cell>
          <cell r="AB11">
            <v>0</v>
          </cell>
          <cell r="AC11">
            <v>0</v>
          </cell>
        </row>
        <row r="12">
          <cell r="R12">
            <v>0.51031308263196451</v>
          </cell>
          <cell r="S12">
            <v>0</v>
          </cell>
          <cell r="T12">
            <v>0</v>
          </cell>
          <cell r="U12">
            <v>3.4632852377722186E-2</v>
          </cell>
          <cell r="V12">
            <v>0</v>
          </cell>
          <cell r="W12">
            <v>0</v>
          </cell>
          <cell r="X12">
            <v>3.3476067466243722E-2</v>
          </cell>
          <cell r="Y12">
            <v>0</v>
          </cell>
          <cell r="Z12">
            <v>0</v>
          </cell>
          <cell r="AA12">
            <v>2.2718831678105746E-3</v>
          </cell>
          <cell r="AB12">
            <v>0</v>
          </cell>
          <cell r="AC12">
            <v>0</v>
          </cell>
        </row>
        <row r="13">
          <cell r="R13">
            <v>0.69741183096046688</v>
          </cell>
          <cell r="S13">
            <v>0</v>
          </cell>
          <cell r="T13">
            <v>0</v>
          </cell>
          <cell r="U13">
            <v>4.7330475761190864E-2</v>
          </cell>
          <cell r="V13">
            <v>0</v>
          </cell>
          <cell r="W13">
            <v>0</v>
          </cell>
          <cell r="X13">
            <v>4.6110377332580429E-2</v>
          </cell>
          <cell r="Y13">
            <v>0</v>
          </cell>
          <cell r="Z13">
            <v>0</v>
          </cell>
          <cell r="AA13">
            <v>3.1293218723769749E-3</v>
          </cell>
          <cell r="AB13">
            <v>0</v>
          </cell>
          <cell r="AC13">
            <v>0</v>
          </cell>
        </row>
        <row r="14">
          <cell r="R14">
            <v>0.94419859817627527</v>
          </cell>
          <cell r="S14">
            <v>0</v>
          </cell>
          <cell r="T14">
            <v>0</v>
          </cell>
          <cell r="U14">
            <v>6.4078879767764968E-2</v>
          </cell>
          <cell r="V14">
            <v>0</v>
          </cell>
          <cell r="W14">
            <v>0</v>
          </cell>
          <cell r="X14">
            <v>5.8310588088077112E-2</v>
          </cell>
          <cell r="Y14">
            <v>0</v>
          </cell>
          <cell r="Z14">
            <v>0</v>
          </cell>
          <cell r="AA14">
            <v>3.9573000537181345E-3</v>
          </cell>
          <cell r="AB14">
            <v>0</v>
          </cell>
          <cell r="AC14">
            <v>0</v>
          </cell>
        </row>
        <row r="15">
          <cell r="R15">
            <v>1.2694142729030193</v>
          </cell>
          <cell r="S15">
            <v>0</v>
          </cell>
          <cell r="T15">
            <v>0</v>
          </cell>
          <cell r="U15">
            <v>8.614993151435632E-2</v>
          </cell>
          <cell r="V15">
            <v>0</v>
          </cell>
          <cell r="W15">
            <v>0</v>
          </cell>
          <cell r="X15">
            <v>8.1587190561385775E-2</v>
          </cell>
          <cell r="Y15">
            <v>0</v>
          </cell>
          <cell r="Z15">
            <v>0</v>
          </cell>
          <cell r="AA15">
            <v>5.5369874353453901E-3</v>
          </cell>
          <cell r="AB15">
            <v>0</v>
          </cell>
          <cell r="AC15">
            <v>0</v>
          </cell>
        </row>
        <row r="16">
          <cell r="R16">
            <v>2.1231073094084705</v>
          </cell>
          <cell r="S16">
            <v>0</v>
          </cell>
          <cell r="T16">
            <v>0</v>
          </cell>
          <cell r="U16">
            <v>0.14408657063929409</v>
          </cell>
          <cell r="V16">
            <v>0</v>
          </cell>
          <cell r="W16">
            <v>0</v>
          </cell>
          <cell r="X16">
            <v>0.1394215133056719</v>
          </cell>
          <cell r="Y16">
            <v>0</v>
          </cell>
          <cell r="Z16">
            <v>0</v>
          </cell>
          <cell r="AA16">
            <v>9.4619653168411949E-3</v>
          </cell>
          <cell r="AB16">
            <v>0</v>
          </cell>
          <cell r="AC16">
            <v>0</v>
          </cell>
        </row>
        <row r="17">
          <cell r="R17">
            <v>2.9318799751933922</v>
          </cell>
          <cell r="S17">
            <v>0</v>
          </cell>
          <cell r="T17">
            <v>0</v>
          </cell>
          <cell r="U17">
            <v>0.19897464875166102</v>
          </cell>
          <cell r="V17">
            <v>0</v>
          </cell>
          <cell r="W17">
            <v>0</v>
          </cell>
          <cell r="X17">
            <v>0.20978658599463329</v>
          </cell>
          <cell r="Y17">
            <v>0</v>
          </cell>
          <cell r="Z17">
            <v>0</v>
          </cell>
          <cell r="AA17">
            <v>1.4237353716479779E-2</v>
          </cell>
          <cell r="AB17">
            <v>0</v>
          </cell>
          <cell r="AC17">
            <v>0</v>
          </cell>
        </row>
        <row r="18">
          <cell r="R18">
            <v>3.6986648072098913</v>
          </cell>
          <cell r="S18">
            <v>0</v>
          </cell>
          <cell r="T18">
            <v>0</v>
          </cell>
          <cell r="U18">
            <v>0.25101318508653281</v>
          </cell>
          <cell r="V18">
            <v>0</v>
          </cell>
          <cell r="W18">
            <v>0</v>
          </cell>
          <cell r="X18">
            <v>0.2819657407567443</v>
          </cell>
          <cell r="Y18">
            <v>0</v>
          </cell>
          <cell r="Z18">
            <v>0</v>
          </cell>
          <cell r="AA18">
            <v>1.9135856413554031E-2</v>
          </cell>
          <cell r="AB18">
            <v>0</v>
          </cell>
          <cell r="AC18">
            <v>0</v>
          </cell>
        </row>
        <row r="19">
          <cell r="R19">
            <v>4.3392372669138526</v>
          </cell>
          <cell r="S19">
            <v>0</v>
          </cell>
          <cell r="T19">
            <v>0</v>
          </cell>
          <cell r="U19">
            <v>0.29448620623610289</v>
          </cell>
          <cell r="V19">
            <v>0</v>
          </cell>
          <cell r="W19">
            <v>0</v>
          </cell>
          <cell r="X19">
            <v>0.3478078041538829</v>
          </cell>
          <cell r="Y19">
            <v>0</v>
          </cell>
          <cell r="Z19">
            <v>0</v>
          </cell>
          <cell r="AA19">
            <v>2.3604286754624212E-2</v>
          </cell>
          <cell r="AB19">
            <v>0</v>
          </cell>
          <cell r="AC19">
            <v>0</v>
          </cell>
        </row>
        <row r="20">
          <cell r="R20">
            <v>5.6669127251410893</v>
          </cell>
          <cell r="S20">
            <v>0</v>
          </cell>
          <cell r="T20">
            <v>0</v>
          </cell>
          <cell r="U20">
            <v>0.38459008504155767</v>
          </cell>
          <cell r="V20">
            <v>0</v>
          </cell>
          <cell r="W20">
            <v>0</v>
          </cell>
          <cell r="X20">
            <v>0.46851697588066532</v>
          </cell>
          <cell r="Y20">
            <v>0</v>
          </cell>
          <cell r="Z20">
            <v>0</v>
          </cell>
          <cell r="AA20">
            <v>3.1796322325199092E-2</v>
          </cell>
          <cell r="AB20">
            <v>0</v>
          </cell>
          <cell r="AC20">
            <v>0</v>
          </cell>
        </row>
        <row r="21">
          <cell r="R21">
            <v>6.4253279930721137</v>
          </cell>
          <cell r="S21">
            <v>0</v>
          </cell>
          <cell r="T21">
            <v>0</v>
          </cell>
          <cell r="U21">
            <v>0.43606061344697727</v>
          </cell>
          <cell r="V21">
            <v>0</v>
          </cell>
          <cell r="W21">
            <v>0</v>
          </cell>
          <cell r="X21">
            <v>0.55831415330988099</v>
          </cell>
          <cell r="Y21">
            <v>0</v>
          </cell>
          <cell r="Z21">
            <v>0</v>
          </cell>
          <cell r="AA21">
            <v>3.7890487839832822E-2</v>
          </cell>
          <cell r="AB21">
            <v>0</v>
          </cell>
          <cell r="AC21">
            <v>0</v>
          </cell>
        </row>
        <row r="22">
          <cell r="R22">
            <v>7.267713129937281</v>
          </cell>
          <cell r="S22">
            <v>0</v>
          </cell>
          <cell r="T22">
            <v>0</v>
          </cell>
          <cell r="U22">
            <v>0.49322983188004443</v>
          </cell>
          <cell r="V22">
            <v>0</v>
          </cell>
          <cell r="W22">
            <v>0</v>
          </cell>
          <cell r="X22">
            <v>0.65618629384751526</v>
          </cell>
          <cell r="Y22">
            <v>0</v>
          </cell>
          <cell r="Z22">
            <v>0</v>
          </cell>
          <cell r="AA22">
            <v>4.4532667925927388E-2</v>
          </cell>
          <cell r="AB22">
            <v>0</v>
          </cell>
          <cell r="AC22">
            <v>0</v>
          </cell>
        </row>
        <row r="23">
          <cell r="R23">
            <v>8.2230381908170394</v>
          </cell>
          <cell r="S23">
            <v>0</v>
          </cell>
          <cell r="T23">
            <v>0</v>
          </cell>
          <cell r="U23">
            <v>0.5580638189601842</v>
          </cell>
          <cell r="V23">
            <v>0</v>
          </cell>
          <cell r="W23">
            <v>0</v>
          </cell>
          <cell r="X23">
            <v>0.76278490570720159</v>
          </cell>
          <cell r="Y23">
            <v>0</v>
          </cell>
          <cell r="Z23">
            <v>0</v>
          </cell>
          <cell r="AA23">
            <v>5.1767077769323738E-2</v>
          </cell>
          <cell r="AB23">
            <v>0</v>
          </cell>
          <cell r="AC23">
            <v>0</v>
          </cell>
        </row>
        <row r="24">
          <cell r="R24">
            <v>9.0587057753210534</v>
          </cell>
          <cell r="S24">
            <v>0</v>
          </cell>
          <cell r="T24">
            <v>0</v>
          </cell>
          <cell r="U24">
            <v>0.61477714471250022</v>
          </cell>
          <cell r="V24">
            <v>0</v>
          </cell>
          <cell r="W24">
            <v>0</v>
          </cell>
          <cell r="X24">
            <v>0.86919900258345828</v>
          </cell>
          <cell r="Y24">
            <v>0</v>
          </cell>
          <cell r="Z24">
            <v>0</v>
          </cell>
          <cell r="AA24">
            <v>5.8988965338845324E-2</v>
          </cell>
          <cell r="AB24">
            <v>0</v>
          </cell>
          <cell r="AC24">
            <v>0</v>
          </cell>
        </row>
        <row r="25">
          <cell r="R25">
            <v>9.9671367404072697</v>
          </cell>
          <cell r="S25">
            <v>0</v>
          </cell>
          <cell r="T25">
            <v>0</v>
          </cell>
          <cell r="U25">
            <v>0.67642862216810085</v>
          </cell>
          <cell r="V25">
            <v>0</v>
          </cell>
          <cell r="W25">
            <v>0</v>
          </cell>
          <cell r="X25">
            <v>0.98015396193891657</v>
          </cell>
          <cell r="Y25">
            <v>0</v>
          </cell>
          <cell r="Z25">
            <v>0</v>
          </cell>
          <cell r="AA25">
            <v>6.6519022589415708E-2</v>
          </cell>
          <cell r="AB25">
            <v>0</v>
          </cell>
          <cell r="AC25">
            <v>0</v>
          </cell>
        </row>
        <row r="26">
          <cell r="R26">
            <v>10.972365035468965</v>
          </cell>
          <cell r="S26">
            <v>0</v>
          </cell>
          <cell r="T26">
            <v>0</v>
          </cell>
          <cell r="U26">
            <v>0.74464933673263145</v>
          </cell>
          <cell r="V26">
            <v>0</v>
          </cell>
          <cell r="W26">
            <v>0</v>
          </cell>
          <cell r="X26">
            <v>1.0976681992213555</v>
          </cell>
          <cell r="Y26">
            <v>0</v>
          </cell>
          <cell r="Z26">
            <v>0</v>
          </cell>
          <cell r="AA26">
            <v>7.4494231085135351E-2</v>
          </cell>
          <cell r="AB26">
            <v>0</v>
          </cell>
          <cell r="AC26">
            <v>0</v>
          </cell>
        </row>
        <row r="27">
          <cell r="R27">
            <v>12.002662399517192</v>
          </cell>
          <cell r="S27">
            <v>0</v>
          </cell>
          <cell r="T27">
            <v>0</v>
          </cell>
          <cell r="U27">
            <v>0.81457138601697698</v>
          </cell>
          <cell r="V27">
            <v>0</v>
          </cell>
          <cell r="W27">
            <v>0</v>
          </cell>
          <cell r="X27">
            <v>1.2225158130078575</v>
          </cell>
          <cell r="Y27">
            <v>0</v>
          </cell>
          <cell r="Z27">
            <v>0</v>
          </cell>
          <cell r="AA27">
            <v>8.2967125716169376E-2</v>
          </cell>
          <cell r="AB27">
            <v>0</v>
          </cell>
          <cell r="AC27">
            <v>0</v>
          </cell>
        </row>
        <row r="28">
          <cell r="R28">
            <v>13.589689903942059</v>
          </cell>
          <cell r="S28">
            <v>0</v>
          </cell>
          <cell r="T28">
            <v>0</v>
          </cell>
          <cell r="U28">
            <v>0.92227642269104282</v>
          </cell>
          <cell r="V28">
            <v>0</v>
          </cell>
          <cell r="W28">
            <v>0</v>
          </cell>
          <cell r="X28">
            <v>1.3706528678029952</v>
          </cell>
          <cell r="Y28">
            <v>0</v>
          </cell>
          <cell r="Z28">
            <v>0</v>
          </cell>
          <cell r="AA28">
            <v>9.3020579027478234E-2</v>
          </cell>
          <cell r="AB28">
            <v>0</v>
          </cell>
          <cell r="AC28">
            <v>0</v>
          </cell>
        </row>
        <row r="29">
          <cell r="R29">
            <v>15.497858392830613</v>
          </cell>
          <cell r="S29">
            <v>0</v>
          </cell>
          <cell r="T29">
            <v>0</v>
          </cell>
          <cell r="U29">
            <v>1.0517759786237659</v>
          </cell>
          <cell r="V29">
            <v>0</v>
          </cell>
          <cell r="W29">
            <v>0</v>
          </cell>
          <cell r="X29">
            <v>1.5503154339914009</v>
          </cell>
          <cell r="Y29">
            <v>0</v>
          </cell>
          <cell r="Z29">
            <v>0</v>
          </cell>
          <cell r="AA29">
            <v>0.1052135392794756</v>
          </cell>
          <cell r="AB29">
            <v>0</v>
          </cell>
          <cell r="AC29">
            <v>0</v>
          </cell>
        </row>
        <row r="30">
          <cell r="R30">
            <v>17.649846738950604</v>
          </cell>
          <cell r="S30">
            <v>0</v>
          </cell>
          <cell r="T30">
            <v>0</v>
          </cell>
          <cell r="U30">
            <v>1.197822586571504</v>
          </cell>
          <cell r="V30">
            <v>0</v>
          </cell>
          <cell r="W30">
            <v>0</v>
          </cell>
          <cell r="X30">
            <v>1.7477304516172827</v>
          </cell>
          <cell r="Y30">
            <v>0</v>
          </cell>
          <cell r="Z30">
            <v>0</v>
          </cell>
          <cell r="AA30">
            <v>0.11861128547739823</v>
          </cell>
          <cell r="AB30">
            <v>0</v>
          </cell>
          <cell r="AC30">
            <v>0</v>
          </cell>
        </row>
        <row r="31">
          <cell r="R31">
            <v>20.254764960186002</v>
          </cell>
          <cell r="S31">
            <v>0</v>
          </cell>
          <cell r="T31">
            <v>0</v>
          </cell>
          <cell r="U31">
            <v>1.3746076843526387</v>
          </cell>
          <cell r="V31">
            <v>0</v>
          </cell>
          <cell r="W31">
            <v>0</v>
          </cell>
          <cell r="X31">
            <v>1.9794446487074109</v>
          </cell>
          <cell r="Y31">
            <v>0</v>
          </cell>
          <cell r="Z31">
            <v>0</v>
          </cell>
          <cell r="AA31">
            <v>0.13433677607281055</v>
          </cell>
          <cell r="AB31">
            <v>0</v>
          </cell>
          <cell r="AC31">
            <v>0</v>
          </cell>
        </row>
        <row r="32">
          <cell r="R32">
            <v>23.628105949934923</v>
          </cell>
          <cell r="S32">
            <v>0</v>
          </cell>
          <cell r="T32">
            <v>0</v>
          </cell>
          <cell r="U32">
            <v>1.6035424784894956</v>
          </cell>
          <cell r="V32">
            <v>0</v>
          </cell>
          <cell r="W32">
            <v>0</v>
          </cell>
          <cell r="X32">
            <v>2.2948288124950058</v>
          </cell>
          <cell r="Y32">
            <v>0</v>
          </cell>
          <cell r="Z32">
            <v>0</v>
          </cell>
          <cell r="AA32">
            <v>0.15574060356316807</v>
          </cell>
          <cell r="AB32">
            <v>0</v>
          </cell>
          <cell r="AC32">
            <v>0</v>
          </cell>
        </row>
        <row r="33">
          <cell r="R33">
            <v>25.616931192209769</v>
          </cell>
          <cell r="S33">
            <v>0</v>
          </cell>
          <cell r="T33">
            <v>0</v>
          </cell>
          <cell r="U33">
            <v>1.7385158769090443</v>
          </cell>
          <cell r="V33">
            <v>0</v>
          </cell>
          <cell r="W33">
            <v>0</v>
          </cell>
          <cell r="X33">
            <v>2.5445863002022522</v>
          </cell>
          <cell r="Y33">
            <v>0</v>
          </cell>
          <cell r="Z33">
            <v>0</v>
          </cell>
          <cell r="AA33">
            <v>0.17269061816476125</v>
          </cell>
          <cell r="AB33">
            <v>0</v>
          </cell>
          <cell r="AC33">
            <v>0</v>
          </cell>
        </row>
        <row r="34">
          <cell r="R34">
            <v>29.097252596500315</v>
          </cell>
          <cell r="S34">
            <v>0</v>
          </cell>
          <cell r="T34">
            <v>0</v>
          </cell>
          <cell r="U34">
            <v>1.9747109922687449</v>
          </cell>
          <cell r="V34">
            <v>0</v>
          </cell>
          <cell r="W34">
            <v>0</v>
          </cell>
          <cell r="X34">
            <v>2.8194385048412061</v>
          </cell>
          <cell r="Y34">
            <v>0</v>
          </cell>
          <cell r="Z34">
            <v>0</v>
          </cell>
          <cell r="AA34">
            <v>0.19134370810683779</v>
          </cell>
          <cell r="AB34">
            <v>0</v>
          </cell>
          <cell r="AC34">
            <v>0</v>
          </cell>
        </row>
        <row r="35">
          <cell r="R35">
            <v>32.991775953598413</v>
          </cell>
          <cell r="S35">
            <v>0</v>
          </cell>
          <cell r="T35">
            <v>0</v>
          </cell>
          <cell r="U35">
            <v>2.2390162924823453</v>
          </cell>
          <cell r="V35">
            <v>0</v>
          </cell>
          <cell r="W35">
            <v>0</v>
          </cell>
          <cell r="X35">
            <v>3.1824029586209615</v>
          </cell>
          <cell r="Y35">
            <v>0</v>
          </cell>
          <cell r="Z35">
            <v>0</v>
          </cell>
          <cell r="AA35">
            <v>0.21597661440287452</v>
          </cell>
          <cell r="AB35">
            <v>0</v>
          </cell>
          <cell r="AC35">
            <v>0</v>
          </cell>
        </row>
        <row r="36">
          <cell r="R36">
            <v>37.034892069727334</v>
          </cell>
          <cell r="S36">
            <v>0</v>
          </cell>
          <cell r="T36">
            <v>0</v>
          </cell>
          <cell r="U36">
            <v>2.5134059727815421</v>
          </cell>
          <cell r="V36">
            <v>0</v>
          </cell>
          <cell r="W36">
            <v>0</v>
          </cell>
          <cell r="X36">
            <v>3.5803858225424259</v>
          </cell>
          <cell r="Y36">
            <v>0</v>
          </cell>
          <cell r="Z36">
            <v>0</v>
          </cell>
          <cell r="AA36">
            <v>0.24298607632763497</v>
          </cell>
          <cell r="AB36">
            <v>0</v>
          </cell>
          <cell r="AC36">
            <v>0</v>
          </cell>
        </row>
        <row r="37">
          <cell r="R37">
            <v>39.963859609363233</v>
          </cell>
          <cell r="S37">
            <v>0</v>
          </cell>
          <cell r="T37">
            <v>0</v>
          </cell>
          <cell r="U37">
            <v>2.7121829664971964</v>
          </cell>
          <cell r="V37">
            <v>0</v>
          </cell>
          <cell r="W37">
            <v>0</v>
          </cell>
          <cell r="X37">
            <v>3.9627094625825752</v>
          </cell>
          <cell r="Y37">
            <v>0</v>
          </cell>
          <cell r="Z37">
            <v>0</v>
          </cell>
          <cell r="AA37">
            <v>0.26893281106101274</v>
          </cell>
          <cell r="AB37">
            <v>0</v>
          </cell>
          <cell r="AC37">
            <v>0</v>
          </cell>
        </row>
        <row r="38">
          <cell r="R38">
            <v>43.086846198259629</v>
          </cell>
          <cell r="S38">
            <v>0</v>
          </cell>
          <cell r="T38">
            <v>0</v>
          </cell>
          <cell r="U38">
            <v>2.9241272359896131</v>
          </cell>
          <cell r="V38">
            <v>0</v>
          </cell>
          <cell r="W38">
            <v>0</v>
          </cell>
          <cell r="X38">
            <v>4.3580567323248953</v>
          </cell>
          <cell r="Y38">
            <v>0</v>
          </cell>
          <cell r="Z38">
            <v>0</v>
          </cell>
          <cell r="AA38">
            <v>0.29576340603675605</v>
          </cell>
          <cell r="AB38">
            <v>0</v>
          </cell>
          <cell r="AC38">
            <v>0</v>
          </cell>
        </row>
        <row r="39">
          <cell r="R39">
            <v>47.005504589374112</v>
          </cell>
          <cell r="S39">
            <v>0</v>
          </cell>
          <cell r="T39">
            <v>0</v>
          </cell>
          <cell r="U39">
            <v>3.1900704818069396</v>
          </cell>
          <cell r="V39">
            <v>0</v>
          </cell>
          <cell r="W39">
            <v>0</v>
          </cell>
          <cell r="X39">
            <v>4.7771674391870134</v>
          </cell>
          <cell r="Y39">
            <v>0</v>
          </cell>
          <cell r="Z39">
            <v>0</v>
          </cell>
          <cell r="AA39">
            <v>0.32420672786150079</v>
          </cell>
          <cell r="AB39">
            <v>0</v>
          </cell>
          <cell r="AC39">
            <v>0</v>
          </cell>
        </row>
        <row r="40">
          <cell r="R40">
            <v>53.415939408813244</v>
          </cell>
          <cell r="S40">
            <v>0</v>
          </cell>
          <cell r="T40">
            <v>0</v>
          </cell>
          <cell r="U40">
            <v>3.6251203567456924</v>
          </cell>
          <cell r="V40">
            <v>0</v>
          </cell>
          <cell r="W40">
            <v>0</v>
          </cell>
          <cell r="X40">
            <v>5.2477228397946405</v>
          </cell>
          <cell r="Y40">
            <v>0</v>
          </cell>
          <cell r="Z40">
            <v>0</v>
          </cell>
          <cell r="AA40">
            <v>0.3561413896983735</v>
          </cell>
          <cell r="AB40">
            <v>0</v>
          </cell>
          <cell r="AC40">
            <v>0</v>
          </cell>
        </row>
        <row r="41">
          <cell r="R41">
            <v>58.778189387648631</v>
          </cell>
          <cell r="S41">
            <v>0</v>
          </cell>
          <cell r="T41">
            <v>0</v>
          </cell>
          <cell r="U41">
            <v>3.9890342328541424</v>
          </cell>
          <cell r="V41">
            <v>0</v>
          </cell>
          <cell r="W41">
            <v>0</v>
          </cell>
          <cell r="X41">
            <v>5.7916401445298824</v>
          </cell>
          <cell r="Y41">
            <v>0</v>
          </cell>
          <cell r="Z41">
            <v>0</v>
          </cell>
          <cell r="AA41">
            <v>0.3930548225726187</v>
          </cell>
          <cell r="AB41">
            <v>0</v>
          </cell>
          <cell r="AC41">
            <v>0</v>
          </cell>
        </row>
        <row r="42">
          <cell r="R42">
            <v>63.26540323048409</v>
          </cell>
          <cell r="S42">
            <v>0</v>
          </cell>
          <cell r="T42">
            <v>0</v>
          </cell>
          <cell r="U42">
            <v>4.2935630013597095</v>
          </cell>
          <cell r="V42">
            <v>0</v>
          </cell>
          <cell r="W42">
            <v>0</v>
          </cell>
          <cell r="X42">
            <v>6.3330431035474781</v>
          </cell>
          <cell r="Y42">
            <v>0</v>
          </cell>
          <cell r="Z42">
            <v>0</v>
          </cell>
          <cell r="AA42">
            <v>0.42979761713279857</v>
          </cell>
          <cell r="AB42">
            <v>0</v>
          </cell>
          <cell r="AC42">
            <v>0</v>
          </cell>
        </row>
        <row r="43">
          <cell r="R43">
            <v>67.562423889824686</v>
          </cell>
          <cell r="S43">
            <v>0</v>
          </cell>
          <cell r="T43">
            <v>0</v>
          </cell>
          <cell r="U43">
            <v>4.5851841398800639</v>
          </cell>
          <cell r="V43">
            <v>0</v>
          </cell>
          <cell r="W43">
            <v>0</v>
          </cell>
          <cell r="X43">
            <v>6.8785977003059617</v>
          </cell>
          <cell r="Y43">
            <v>0</v>
          </cell>
          <cell r="Z43">
            <v>0</v>
          </cell>
          <cell r="AA43">
            <v>0.46682216629010609</v>
          </cell>
          <cell r="AB43">
            <v>0</v>
          </cell>
          <cell r="AC43">
            <v>0</v>
          </cell>
        </row>
        <row r="44">
          <cell r="R44">
            <v>74.87928976346727</v>
          </cell>
          <cell r="S44">
            <v>0</v>
          </cell>
          <cell r="T44">
            <v>0</v>
          </cell>
          <cell r="U44">
            <v>5.0817497665391214</v>
          </cell>
          <cell r="V44">
            <v>0</v>
          </cell>
          <cell r="W44">
            <v>0</v>
          </cell>
          <cell r="X44">
            <v>7.4618054185269767</v>
          </cell>
          <cell r="Y44">
            <v>0</v>
          </cell>
          <cell r="Z44">
            <v>0</v>
          </cell>
          <cell r="AA44">
            <v>0.50640207810918714</v>
          </cell>
          <cell r="AB44">
            <v>0</v>
          </cell>
          <cell r="AC44">
            <v>0</v>
          </cell>
        </row>
        <row r="45">
          <cell r="R45">
            <v>80.114741151491671</v>
          </cell>
          <cell r="S45">
            <v>0</v>
          </cell>
          <cell r="T45">
            <v>0</v>
          </cell>
          <cell r="U45">
            <v>5.4370583432211657</v>
          </cell>
          <cell r="V45">
            <v>0</v>
          </cell>
          <cell r="W45">
            <v>0</v>
          </cell>
          <cell r="X45">
            <v>8.1068547074327988</v>
          </cell>
          <cell r="Y45">
            <v>0</v>
          </cell>
          <cell r="Z45">
            <v>0</v>
          </cell>
          <cell r="AA45">
            <v>0.55017892326434348</v>
          </cell>
          <cell r="AB45">
            <v>0</v>
          </cell>
          <cell r="AC45">
            <v>0</v>
          </cell>
        </row>
      </sheetData>
      <sheetData sheetId="2">
        <row r="2">
          <cell r="R2">
            <v>0.18560333454496769</v>
          </cell>
          <cell r="S2">
            <v>9.4511173310060073E-5</v>
          </cell>
          <cell r="T2">
            <v>2.2641244779249441E-2</v>
          </cell>
          <cell r="U2">
            <v>1.27125829660451E-2</v>
          </cell>
          <cell r="V2">
            <v>3.2556082891273867E-2</v>
          </cell>
          <cell r="W2">
            <v>7.9093786804353014E-2</v>
          </cell>
          <cell r="X2">
            <v>1.4667798835317689E-2</v>
          </cell>
          <cell r="Y2">
            <v>7.4689976944673041E-6</v>
          </cell>
          <cell r="Z2">
            <v>1.78928479177058E-3</v>
          </cell>
          <cell r="AA2">
            <v>1.004645795186719E-3</v>
          </cell>
          <cell r="AB2">
            <v>2.5728313334771411E-3</v>
          </cell>
          <cell r="AC2">
            <v>6.2505975812017518E-3</v>
          </cell>
        </row>
        <row r="3">
          <cell r="R3">
            <v>0.33225408616217633</v>
          </cell>
          <cell r="S3">
            <v>1.6918728102183482E-4</v>
          </cell>
          <cell r="T3">
            <v>4.0530770161788729E-2</v>
          </cell>
          <cell r="U3">
            <v>2.275717538426458E-2</v>
          </cell>
          <cell r="V3">
            <v>5.8279618717946909E-2</v>
          </cell>
          <cell r="W3">
            <v>0.14158815583897505</v>
          </cell>
          <cell r="X3">
            <v>2.493781504033844E-2</v>
          </cell>
          <cell r="Y3">
            <v>1.269859814226895E-5</v>
          </cell>
          <cell r="Z3">
            <v>3.0420960699450959E-3</v>
          </cell>
          <cell r="AA3">
            <v>1.7080729905495392E-3</v>
          </cell>
          <cell r="AB3">
            <v>4.3742617856028562E-3</v>
          </cell>
          <cell r="AC3">
            <v>1.0627105547443925E-2</v>
          </cell>
        </row>
        <row r="4">
          <cell r="R4">
            <v>0.57666366544730396</v>
          </cell>
          <cell r="S4">
            <v>2.9364321368644474E-4</v>
          </cell>
          <cell r="T4">
            <v>7.0345628416111972E-2</v>
          </cell>
          <cell r="U4">
            <v>3.9497591508661223E-2</v>
          </cell>
          <cell r="V4">
            <v>0.10115071552305399</v>
          </cell>
          <cell r="W4">
            <v>0.24574188348784953</v>
          </cell>
          <cell r="X4">
            <v>3.862061324815165E-2</v>
          </cell>
          <cell r="Y4">
            <v>1.9666023140077403E-5</v>
          </cell>
          <cell r="Z4">
            <v>4.711223320528612E-3</v>
          </cell>
          <cell r="AA4">
            <v>2.6452528523819015E-3</v>
          </cell>
          <cell r="AB4">
            <v>6.7743173327202786E-3</v>
          </cell>
          <cell r="AC4">
            <v>1.6457950812099241E-2</v>
          </cell>
        </row>
        <row r="5">
          <cell r="R5">
            <v>0.98009225785020848</v>
          </cell>
          <cell r="S5">
            <v>4.9907330312046173E-4</v>
          </cell>
          <cell r="T5">
            <v>0.11955878255440258</v>
          </cell>
          <cell r="U5">
            <v>6.7129742969572387E-2</v>
          </cell>
          <cell r="V5">
            <v>0.17191482505362279</v>
          </cell>
          <cell r="W5">
            <v>0.41766064322632163</v>
          </cell>
          <cell r="X5">
            <v>5.9188250286095721E-2</v>
          </cell>
          <cell r="Y5">
            <v>3.0139280603027695E-5</v>
          </cell>
          <cell r="Z5">
            <v>7.220213290178243E-3</v>
          </cell>
          <cell r="AA5">
            <v>4.0539979748840946E-3</v>
          </cell>
          <cell r="AB5">
            <v>1.0382020275808899E-2</v>
          </cell>
          <cell r="AC5">
            <v>2.5222730296997616E-2</v>
          </cell>
        </row>
        <row r="6">
          <cell r="R6">
            <v>1.6219059931297348</v>
          </cell>
          <cell r="S6">
            <v>8.2589161873151051E-4</v>
          </cell>
          <cell r="T6">
            <v>0.19785189037368855</v>
          </cell>
          <cell r="U6">
            <v>0.11108967708655079</v>
          </cell>
          <cell r="V6">
            <v>0.28449330440985421</v>
          </cell>
          <cell r="W6">
            <v>0.69116585190567015</v>
          </cell>
          <cell r="X6">
            <v>8.6493615570521043E-2</v>
          </cell>
          <cell r="Y6">
            <v>4.4043460272092756E-5</v>
          </cell>
          <cell r="Z6">
            <v>1.0551120359855436E-2</v>
          </cell>
          <cell r="AA6">
            <v>5.9242322702292806E-3</v>
          </cell>
          <cell r="AB6">
            <v>1.517156642138684E-2</v>
          </cell>
          <cell r="AC6">
            <v>3.6858753678345187E-2</v>
          </cell>
        </row>
        <row r="7">
          <cell r="R7">
            <v>3.4118606559236646</v>
          </cell>
          <cell r="S7">
            <v>1.7373553904746887E-3</v>
          </cell>
          <cell r="T7">
            <v>0.42126096124298962</v>
          </cell>
          <cell r="U7">
            <v>0.23368956039152489</v>
          </cell>
          <cell r="V7">
            <v>0.5953501472583399</v>
          </cell>
          <cell r="W7">
            <v>1.4645575778690143</v>
          </cell>
          <cell r="X7">
            <v>0.19448054657652064</v>
          </cell>
          <cell r="Y7">
            <v>9.9031543199325033E-5</v>
          </cell>
          <cell r="Z7">
            <v>2.4029260573988406E-2</v>
          </cell>
          <cell r="AA7">
            <v>1.332061242163092E-2</v>
          </cell>
          <cell r="AB7">
            <v>3.3925380212974969E-2</v>
          </cell>
          <cell r="AC7">
            <v>8.3517029828119066E-2</v>
          </cell>
        </row>
        <row r="8">
          <cell r="R8">
            <v>7.1410074637509648</v>
          </cell>
          <cell r="S8">
            <v>3.6362762321572664E-3</v>
          </cell>
          <cell r="T8">
            <v>0.89722218848067059</v>
          </cell>
          <cell r="U8">
            <v>0.48911109310962941</v>
          </cell>
          <cell r="V8">
            <v>1.2365076301018449</v>
          </cell>
          <cell r="W8">
            <v>3.0978911179835613</v>
          </cell>
          <cell r="X8">
            <v>0.45635117953772836</v>
          </cell>
          <cell r="Y8">
            <v>2.3237882835068914E-4</v>
          </cell>
          <cell r="Z8">
            <v>5.7452527145342158E-2</v>
          </cell>
          <cell r="AA8">
            <v>3.1256993554285295E-2</v>
          </cell>
          <cell r="AB8">
            <v>7.8949168364095407E-2</v>
          </cell>
          <cell r="AC8">
            <v>0.19821406645022216</v>
          </cell>
        </row>
        <row r="9">
          <cell r="R9">
            <v>10.227412133983959</v>
          </cell>
          <cell r="S9">
            <v>5.2079060059892482E-3</v>
          </cell>
          <cell r="T9">
            <v>1.2998357048199978</v>
          </cell>
          <cell r="U9">
            <v>0.70050910238203234</v>
          </cell>
          <cell r="V9">
            <v>1.7618096672297632</v>
          </cell>
          <cell r="W9">
            <v>4.4679393847310811</v>
          </cell>
          <cell r="X9">
            <v>0.63392951264043562</v>
          </cell>
          <cell r="Y9">
            <v>3.2280358638172191E-4</v>
          </cell>
          <cell r="Z9">
            <v>8.0617161972945661E-2</v>
          </cell>
          <cell r="AA9">
            <v>4.3419917771539696E-2</v>
          </cell>
          <cell r="AB9">
            <v>0.10917276834380585</v>
          </cell>
          <cell r="AC9">
            <v>0.27704069920700569</v>
          </cell>
        </row>
        <row r="10">
          <cell r="R10">
            <v>16.945896162979288</v>
          </cell>
          <cell r="S10">
            <v>8.6290288538193767E-3</v>
          </cell>
          <cell r="T10">
            <v>2.1951189965627114</v>
          </cell>
          <cell r="U10">
            <v>1.1606801754613212</v>
          </cell>
          <cell r="V10">
            <v>2.8936677261285384</v>
          </cell>
          <cell r="W10">
            <v>7.4898676232546961</v>
          </cell>
          <cell r="X10">
            <v>1.0795781449856847</v>
          </cell>
          <cell r="Y10">
            <v>5.497325649490148E-4</v>
          </cell>
          <cell r="Z10">
            <v>0.14000284672039545</v>
          </cell>
          <cell r="AA10">
            <v>7.3943858660225167E-2</v>
          </cell>
          <cell r="AB10">
            <v>0.18425086539371668</v>
          </cell>
          <cell r="AC10">
            <v>0.47749041088771099</v>
          </cell>
        </row>
        <row r="11">
          <cell r="R11">
            <v>25.67800968581507</v>
          </cell>
          <cell r="S11">
            <v>1.3075513053810424E-2</v>
          </cell>
          <cell r="T11">
            <v>3.3832167460067764</v>
          </cell>
          <cell r="U11">
            <v>1.7587713568515961</v>
          </cell>
          <cell r="V11">
            <v>4.3496875861258619</v>
          </cell>
          <cell r="W11">
            <v>11.468893867392294</v>
          </cell>
          <cell r="X11">
            <v>1.6808817710766977</v>
          </cell>
          <cell r="Y11">
            <v>8.5592270618102268E-4</v>
          </cell>
          <cell r="Z11">
            <v>0.22181665766353142</v>
          </cell>
          <cell r="AA11">
            <v>0.11512912213195312</v>
          </cell>
          <cell r="AB11">
            <v>0.2845141085578522</v>
          </cell>
          <cell r="AC11">
            <v>0.75149084648147957</v>
          </cell>
        </row>
        <row r="12">
          <cell r="R12">
            <v>32.944701729097581</v>
          </cell>
          <cell r="S12">
            <v>1.677578919797159E-2</v>
          </cell>
          <cell r="T12">
            <v>4.3922652401257807</v>
          </cell>
          <cell r="U12">
            <v>2.2564910002804557</v>
          </cell>
          <cell r="V12">
            <v>5.5488389464308625</v>
          </cell>
          <cell r="W12">
            <v>14.822838042923125</v>
          </cell>
          <cell r="X12">
            <v>2.1611420425486596</v>
          </cell>
          <cell r="Y12">
            <v>1.1004762960305954E-3</v>
          </cell>
          <cell r="Z12">
            <v>0.28850531060595896</v>
          </cell>
          <cell r="AA12">
            <v>0.1480237280470395</v>
          </cell>
          <cell r="AB12">
            <v>0.36376678011814367</v>
          </cell>
          <cell r="AC12">
            <v>0.97315513755753658</v>
          </cell>
        </row>
        <row r="13">
          <cell r="R13">
            <v>45.023389631393421</v>
          </cell>
          <cell r="S13">
            <v>2.2926384328661061E-2</v>
          </cell>
          <cell r="T13">
            <v>6.1032447500971356</v>
          </cell>
          <cell r="U13">
            <v>3.0838000702136732</v>
          </cell>
          <cell r="V13">
            <v>7.521296550520189</v>
          </cell>
          <cell r="W13">
            <v>20.468564205089656</v>
          </cell>
          <cell r="X13">
            <v>2.9767855842597846</v>
          </cell>
          <cell r="Y13">
            <v>1.5158105804004417E-3</v>
          </cell>
          <cell r="Z13">
            <v>0.40404347158807563</v>
          </cell>
          <cell r="AA13">
            <v>0.20388983745796374</v>
          </cell>
          <cell r="AB13">
            <v>0.49696190189694733</v>
          </cell>
          <cell r="AC13">
            <v>1.3543968849799033</v>
          </cell>
        </row>
        <row r="14">
          <cell r="R14">
            <v>60.955406099951389</v>
          </cell>
          <cell r="S14">
            <v>3.1039134960702115E-2</v>
          </cell>
          <cell r="T14">
            <v>8.4044785145453531</v>
          </cell>
          <cell r="U14">
            <v>4.175036290023451</v>
          </cell>
          <cell r="V14">
            <v>10.095660386993934</v>
          </cell>
          <cell r="W14">
            <v>28.008597664671054</v>
          </cell>
          <cell r="X14">
            <v>3.7644046323527336</v>
          </cell>
          <cell r="Y14">
            <v>1.9168744973775491E-3</v>
          </cell>
          <cell r="Z14">
            <v>0.51780782467991682</v>
          </cell>
          <cell r="AA14">
            <v>0.25783645710823311</v>
          </cell>
          <cell r="AB14">
            <v>0.62422877977959901</v>
          </cell>
          <cell r="AC14">
            <v>1.7271478162725322</v>
          </cell>
        </row>
        <row r="15">
          <cell r="R15">
            <v>81.950622107820777</v>
          </cell>
          <cell r="S15">
            <v>4.1730120139748784E-2</v>
          </cell>
          <cell r="T15">
            <v>11.426204569314674</v>
          </cell>
          <cell r="U15">
            <v>5.613067702791052</v>
          </cell>
          <cell r="V15">
            <v>13.482175382060957</v>
          </cell>
          <cell r="W15">
            <v>38.330440349113886</v>
          </cell>
          <cell r="X15">
            <v>5.2670914178744965</v>
          </cell>
          <cell r="Y15">
            <v>2.6820584396023361E-3</v>
          </cell>
          <cell r="Z15">
            <v>0.73408127527298195</v>
          </cell>
          <cell r="AA15">
            <v>0.36076041846786472</v>
          </cell>
          <cell r="AB15">
            <v>0.86661120300168504</v>
          </cell>
          <cell r="AC15">
            <v>2.4659111897159445</v>
          </cell>
        </row>
        <row r="16">
          <cell r="R16">
            <v>137.06318616521349</v>
          </cell>
          <cell r="S16">
            <v>6.9794018377137737E-2</v>
          </cell>
          <cell r="T16">
            <v>19.330221426159351</v>
          </cell>
          <cell r="U16">
            <v>9.3879085200034922</v>
          </cell>
          <cell r="V16">
            <v>22.356327404417534</v>
          </cell>
          <cell r="W16">
            <v>66.4223917067863</v>
          </cell>
          <cell r="X16">
            <v>9.0007493964001792</v>
          </cell>
          <cell r="Y16">
            <v>4.5832764169304093E-3</v>
          </cell>
          <cell r="Z16">
            <v>1.2695471187642733</v>
          </cell>
          <cell r="AA16">
            <v>0.61649093610759143</v>
          </cell>
          <cell r="AB16">
            <v>1.4677998623864597</v>
          </cell>
          <cell r="AC16">
            <v>4.3690296548576466</v>
          </cell>
        </row>
        <row r="17">
          <cell r="R17">
            <v>189.27578887472987</v>
          </cell>
          <cell r="S17">
            <v>9.6381225744647858E-2</v>
          </cell>
          <cell r="T17">
            <v>26.792174596877761</v>
          </cell>
          <cell r="U17">
            <v>12.964121444438121</v>
          </cell>
          <cell r="V17">
            <v>30.749093077853882</v>
          </cell>
          <cell r="W17">
            <v>93.966772572304549</v>
          </cell>
          <cell r="X17">
            <v>13.543365313531087</v>
          </cell>
          <cell r="Y17">
            <v>6.8964242990929448E-3</v>
          </cell>
          <cell r="Z17">
            <v>1.9187541202764353</v>
          </cell>
          <cell r="AA17">
            <v>0.92762964420775496</v>
          </cell>
          <cell r="AB17">
            <v>2.1979896816722375</v>
          </cell>
          <cell r="AC17">
            <v>6.7654538217075793</v>
          </cell>
        </row>
        <row r="18">
          <cell r="R18">
            <v>238.77774843824398</v>
          </cell>
          <cell r="S18">
            <v>0.12158814506516992</v>
          </cell>
          <cell r="T18">
            <v>33.842296644672309</v>
          </cell>
          <cell r="U18">
            <v>16.354673502545232</v>
          </cell>
          <cell r="V18">
            <v>38.692656629829628</v>
          </cell>
          <cell r="W18">
            <v>120.95048261069871</v>
          </cell>
          <cell r="X18">
            <v>18.203094420282333</v>
          </cell>
          <cell r="Y18">
            <v>9.2692074512156757E-3</v>
          </cell>
          <cell r="Z18">
            <v>2.5823977255382884</v>
          </cell>
          <cell r="AA18">
            <v>1.2467898199346545</v>
          </cell>
          <cell r="AB18">
            <v>2.9457349148074496</v>
          </cell>
          <cell r="AC18">
            <v>9.3054902199174911</v>
          </cell>
        </row>
        <row r="19">
          <cell r="R19">
            <v>280.13171199328201</v>
          </cell>
          <cell r="S19">
            <v>0.14264601897778104</v>
          </cell>
          <cell r="T19">
            <v>39.711853151006736</v>
          </cell>
          <cell r="U19">
            <v>19.187142509403817</v>
          </cell>
          <cell r="V19">
            <v>45.31761087669819</v>
          </cell>
          <cell r="W19">
            <v>144.2083081700371</v>
          </cell>
          <cell r="X19">
            <v>22.453714703539784</v>
          </cell>
          <cell r="Y19">
            <v>1.1433668080390797E-2</v>
          </cell>
          <cell r="Z19">
            <v>3.1857076333381986</v>
          </cell>
          <cell r="AA19">
            <v>1.537928786486856</v>
          </cell>
          <cell r="AB19">
            <v>3.6266893500434745</v>
          </cell>
          <cell r="AC19">
            <v>11.696075706007937</v>
          </cell>
        </row>
        <row r="20">
          <cell r="R20">
            <v>365.84354939856422</v>
          </cell>
          <cell r="S20">
            <v>0.18629138957198058</v>
          </cell>
          <cell r="T20">
            <v>51.836229283774706</v>
          </cell>
          <cell r="U20">
            <v>25.057828221264373</v>
          </cell>
          <cell r="V20">
            <v>59.026070378308603</v>
          </cell>
          <cell r="W20">
            <v>193.87510972371848</v>
          </cell>
          <cell r="X20">
            <v>30.246436061955869</v>
          </cell>
          <cell r="Y20">
            <v>1.5401803893617963E-2</v>
          </cell>
          <cell r="Z20">
            <v>4.2880277761271168</v>
          </cell>
          <cell r="AA20">
            <v>2.0716779081985388</v>
          </cell>
          <cell r="AB20">
            <v>4.8730306767853273</v>
          </cell>
          <cell r="AC20">
            <v>16.211666049048858</v>
          </cell>
        </row>
        <row r="21">
          <cell r="R21">
            <v>414.80518812417932</v>
          </cell>
          <cell r="S21">
            <v>0.21122317182948108</v>
          </cell>
          <cell r="T21">
            <v>58.738965092701235</v>
          </cell>
          <cell r="U21">
            <v>28.41137192767934</v>
          </cell>
          <cell r="V21">
            <v>66.844059559335989</v>
          </cell>
          <cell r="W21">
            <v>223.06952181999887</v>
          </cell>
          <cell r="X21">
            <v>36.043546359937203</v>
          </cell>
          <cell r="Y21">
            <v>1.8353753530801369E-2</v>
          </cell>
          <cell r="Z21">
            <v>5.1053190654653857</v>
          </cell>
          <cell r="AA21">
            <v>2.4687410633787983</v>
          </cell>
          <cell r="AB21">
            <v>5.798688942531439</v>
          </cell>
          <cell r="AC21">
            <v>19.668315610051305</v>
          </cell>
        </row>
        <row r="22">
          <cell r="R22">
            <v>469.18773879663132</v>
          </cell>
          <cell r="S22">
            <v>0.23891533956045458</v>
          </cell>
          <cell r="T22">
            <v>66.380622737442906</v>
          </cell>
          <cell r="U22">
            <v>32.136211726617326</v>
          </cell>
          <cell r="V22">
            <v>75.513657477229643</v>
          </cell>
          <cell r="W22">
            <v>256.39730166843555</v>
          </cell>
          <cell r="X22">
            <v>42.361958698047061</v>
          </cell>
          <cell r="Y22">
            <v>2.1571155658815632E-2</v>
          </cell>
          <cell r="Z22">
            <v>5.9931616427096639</v>
          </cell>
          <cell r="AA22">
            <v>2.9015099102253723</v>
          </cell>
          <cell r="AB22">
            <v>6.8059623008702408</v>
          </cell>
          <cell r="AC22">
            <v>23.540488812527482</v>
          </cell>
        </row>
        <row r="23">
          <cell r="R23">
            <v>530.86144510784834</v>
          </cell>
          <cell r="S23">
            <v>0.27032024055613668</v>
          </cell>
          <cell r="T23">
            <v>74.962852541836256</v>
          </cell>
          <cell r="U23">
            <v>36.360446761117153</v>
          </cell>
          <cell r="V23">
            <v>85.417484305707106</v>
          </cell>
          <cell r="W23">
            <v>295.02262177385512</v>
          </cell>
          <cell r="X23">
            <v>49.243733028308441</v>
          </cell>
          <cell r="Y23">
            <v>2.5075427648338949E-2</v>
          </cell>
          <cell r="Z23">
            <v>6.95079776184033</v>
          </cell>
          <cell r="AA23">
            <v>3.3728652732177942</v>
          </cell>
          <cell r="AB23">
            <v>7.9110669770128226</v>
          </cell>
          <cell r="AC23">
            <v>27.850441177937061</v>
          </cell>
        </row>
        <row r="24">
          <cell r="R24">
            <v>584.81032522310738</v>
          </cell>
          <cell r="S24">
            <v>0.29779157867060135</v>
          </cell>
          <cell r="T24">
            <v>82.398895533455303</v>
          </cell>
          <cell r="U24">
            <v>40.05558303693816</v>
          </cell>
          <cell r="V24">
            <v>94.141815664722614</v>
          </cell>
          <cell r="W24">
            <v>329.51358042962966</v>
          </cell>
          <cell r="X24">
            <v>56.113595472904876</v>
          </cell>
          <cell r="Y24">
            <v>2.8573633980188126E-2</v>
          </cell>
          <cell r="Z24">
            <v>7.8977051374037988</v>
          </cell>
          <cell r="AA24">
            <v>3.8434047519742522</v>
          </cell>
          <cell r="AB24">
            <v>9.0220252810493022</v>
          </cell>
          <cell r="AC24">
            <v>32.242527557509831</v>
          </cell>
        </row>
        <row r="25">
          <cell r="R25">
            <v>643.45665079227877</v>
          </cell>
          <cell r="S25">
            <v>0.32765490549851067</v>
          </cell>
          <cell r="T25">
            <v>90.407264136713138</v>
          </cell>
          <cell r="U25">
            <v>44.072462805179356</v>
          </cell>
          <cell r="V25">
            <v>103.6901321663769</v>
          </cell>
          <cell r="W25">
            <v>367.74995369451688</v>
          </cell>
          <cell r="X25">
            <v>63.276606114287866</v>
          </cell>
          <cell r="Y25">
            <v>3.2221114462202487E-2</v>
          </cell>
          <cell r="Z25">
            <v>8.8758402374041285</v>
          </cell>
          <cell r="AA25">
            <v>4.3340229151041996</v>
          </cell>
          <cell r="AB25">
            <v>10.18824826339068</v>
          </cell>
          <cell r="AC25">
            <v>36.912684569499234</v>
          </cell>
        </row>
        <row r="26">
          <cell r="R26">
            <v>708.35200126939083</v>
          </cell>
          <cell r="S26">
            <v>0.36070030164398487</v>
          </cell>
          <cell r="T26">
            <v>99.18823050034203</v>
          </cell>
          <cell r="U26">
            <v>48.517358846909602</v>
          </cell>
          <cell r="V26">
            <v>114.32498238114589</v>
          </cell>
          <cell r="W26">
            <v>410.85793186758326</v>
          </cell>
          <cell r="X26">
            <v>70.863069459936483</v>
          </cell>
          <cell r="Y26">
            <v>3.6084221522368475E-2</v>
          </cell>
          <cell r="Z26">
            <v>9.9023618443802555</v>
          </cell>
          <cell r="AA26">
            <v>4.8536447469902635</v>
          </cell>
          <cell r="AB26">
            <v>11.431494516745357</v>
          </cell>
          <cell r="AC26">
            <v>41.952137995832629</v>
          </cell>
        </row>
        <row r="27">
          <cell r="R27">
            <v>774.86575626815056</v>
          </cell>
          <cell r="S27">
            <v>0.39456980642202333</v>
          </cell>
          <cell r="T27">
            <v>108.15803019772699</v>
          </cell>
          <cell r="U27">
            <v>53.073104738425727</v>
          </cell>
          <cell r="V27">
            <v>125.23610757608084</v>
          </cell>
          <cell r="W27">
            <v>454.66308459226491</v>
          </cell>
          <cell r="X27">
            <v>78.922959628874608</v>
          </cell>
          <cell r="Y27">
            <v>4.0188402508578101E-2</v>
          </cell>
          <cell r="Z27">
            <v>10.98928890780714</v>
          </cell>
          <cell r="AA27">
            <v>5.4056931394452645</v>
          </cell>
          <cell r="AB27">
            <v>12.75366420468959</v>
          </cell>
          <cell r="AC27">
            <v>47.260283954530621</v>
          </cell>
        </row>
        <row r="28">
          <cell r="R28">
            <v>877.32079720006891</v>
          </cell>
          <cell r="S28">
            <v>0.44674099264421813</v>
          </cell>
          <cell r="T28">
            <v>121.92966039549697</v>
          </cell>
          <cell r="U28">
            <v>60.090587540282385</v>
          </cell>
          <cell r="V28">
            <v>142.05968296628436</v>
          </cell>
          <cell r="W28">
            <v>521.57378776089115</v>
          </cell>
          <cell r="X28">
            <v>88.486365411227382</v>
          </cell>
          <cell r="Y28">
            <v>4.5058189484907404E-2</v>
          </cell>
          <cell r="Z28">
            <v>12.274766778567008</v>
          </cell>
          <cell r="AA28">
            <v>6.060722262408893</v>
          </cell>
          <cell r="AB28">
            <v>14.324018154120271</v>
          </cell>
          <cell r="AC28">
            <v>53.505893733841944</v>
          </cell>
        </row>
        <row r="29">
          <cell r="R29">
            <v>1000.5080010065476</v>
          </cell>
          <cell r="S29">
            <v>0.50946921461867334</v>
          </cell>
          <cell r="T29">
            <v>138.43540294787104</v>
          </cell>
          <cell r="U29">
            <v>68.528084380435075</v>
          </cell>
          <cell r="V29">
            <v>162.30686925890313</v>
          </cell>
          <cell r="W29">
            <v>601.36455851559856</v>
          </cell>
          <cell r="X29">
            <v>100.08498958216595</v>
          </cell>
          <cell r="Y29">
            <v>5.0964331106044286E-2</v>
          </cell>
          <cell r="Z29">
            <v>13.828855990852437</v>
          </cell>
          <cell r="AA29">
            <v>6.8551501881060419</v>
          </cell>
          <cell r="AB29">
            <v>16.230380966738259</v>
          </cell>
          <cell r="AC29">
            <v>61.018550354794449</v>
          </cell>
        </row>
        <row r="30">
          <cell r="R30">
            <v>1139.4356840315729</v>
          </cell>
          <cell r="S30">
            <v>0.58021265443958925</v>
          </cell>
          <cell r="T30">
            <v>156.99254123282384</v>
          </cell>
          <cell r="U30">
            <v>78.043698424040272</v>
          </cell>
          <cell r="V30">
            <v>185.16231905694681</v>
          </cell>
          <cell r="W30">
            <v>690.62816779681509</v>
          </cell>
          <cell r="X30">
            <v>112.82967337311572</v>
          </cell>
          <cell r="Y30">
            <v>5.7454058359605771E-2</v>
          </cell>
          <cell r="Z30">
            <v>15.53121548002674</v>
          </cell>
          <cell r="AA30">
            <v>7.7280755073933722</v>
          </cell>
          <cell r="AB30">
            <v>18.32705078972468</v>
          </cell>
          <cell r="AC30">
            <v>69.207245721743519</v>
          </cell>
        </row>
        <row r="31">
          <cell r="R31">
            <v>1307.6035338242527</v>
          </cell>
          <cell r="S31">
            <v>0.66584549522826264</v>
          </cell>
          <cell r="T31">
            <v>179.38758301046315</v>
          </cell>
          <cell r="U31">
            <v>89.562067681532767</v>
          </cell>
          <cell r="V31">
            <v>212.85303388434664</v>
          </cell>
          <cell r="W31">
            <v>797.8291155907491</v>
          </cell>
          <cell r="X31">
            <v>127.78863752539678</v>
          </cell>
          <cell r="Y31">
            <v>6.5071320500942345E-2</v>
          </cell>
          <cell r="Z31">
            <v>17.523312230704978</v>
          </cell>
          <cell r="AA31">
            <v>8.7526641729913717</v>
          </cell>
          <cell r="AB31">
            <v>20.790211322280545</v>
          </cell>
          <cell r="AC31">
            <v>78.743046632066012</v>
          </cell>
        </row>
        <row r="32">
          <cell r="R32">
            <v>1525.3790847951184</v>
          </cell>
          <cell r="S32">
            <v>0.77673910008165326</v>
          </cell>
          <cell r="T32">
            <v>208.30352871696931</v>
          </cell>
          <cell r="U32">
            <v>104.47823158818159</v>
          </cell>
          <cell r="V32">
            <v>248.74352098086541</v>
          </cell>
          <cell r="W32">
            <v>935.58302341943602</v>
          </cell>
          <cell r="X32">
            <v>148.14915258896329</v>
          </cell>
          <cell r="Y32">
            <v>7.5439109272477628E-2</v>
          </cell>
          <cell r="Z32">
            <v>20.226754125398443</v>
          </cell>
          <cell r="AA32">
            <v>10.147222830095078</v>
          </cell>
          <cell r="AB32">
            <v>24.145724831072773</v>
          </cell>
          <cell r="AC32">
            <v>91.622088851944753</v>
          </cell>
        </row>
        <row r="33">
          <cell r="R33">
            <v>1653.773313020889</v>
          </cell>
          <cell r="S33">
            <v>0.84211879374721743</v>
          </cell>
          <cell r="T33">
            <v>225.30257763317201</v>
          </cell>
          <cell r="U33">
            <v>113.27237466046559</v>
          </cell>
          <cell r="V33">
            <v>269.92147794797222</v>
          </cell>
          <cell r="W33">
            <v>1016.1851392133855</v>
          </cell>
          <cell r="X33">
            <v>164.27295230557394</v>
          </cell>
          <cell r="Y33">
            <v>8.3649517954893213E-2</v>
          </cell>
          <cell r="Z33">
            <v>22.361501643922068</v>
          </cell>
          <cell r="AA33">
            <v>11.251594915477231</v>
          </cell>
          <cell r="AB33">
            <v>26.805261332543733</v>
          </cell>
          <cell r="AC33">
            <v>101.7441355339143</v>
          </cell>
        </row>
        <row r="34">
          <cell r="R34">
            <v>1878.4552866720269</v>
          </cell>
          <cell r="S34">
            <v>0.95652922178963107</v>
          </cell>
          <cell r="T34">
            <v>254.96649578182439</v>
          </cell>
          <cell r="U34">
            <v>128.66158217668524</v>
          </cell>
          <cell r="V34">
            <v>307.0121635037479</v>
          </cell>
          <cell r="W34">
            <v>1156.1890645748122</v>
          </cell>
          <cell r="X34">
            <v>182.0168123193404</v>
          </cell>
          <cell r="Y34">
            <v>9.268487840820569E-2</v>
          </cell>
          <cell r="Z34">
            <v>24.70415692033858</v>
          </cell>
          <cell r="AA34">
            <v>12.466930260156857</v>
          </cell>
          <cell r="AB34">
            <v>29.734432380943861</v>
          </cell>
          <cell r="AC34">
            <v>112.80069700443164</v>
          </cell>
        </row>
        <row r="35">
          <cell r="R35">
            <v>2129.8772367323054</v>
          </cell>
          <cell r="S35">
            <v>1.0845559275293557</v>
          </cell>
          <cell r="T35">
            <v>288.43245903495313</v>
          </cell>
          <cell r="U35">
            <v>145.88229864421055</v>
          </cell>
          <cell r="V35">
            <v>348.49293613468876</v>
          </cell>
          <cell r="W35">
            <v>1317.6284284093406</v>
          </cell>
          <cell r="X35">
            <v>205.44900732865929</v>
          </cell>
          <cell r="Y35">
            <v>0.10461679896874018</v>
          </cell>
          <cell r="Z35">
            <v>27.823140672290251</v>
          </cell>
          <cell r="AA35">
            <v>14.071878381713066</v>
          </cell>
          <cell r="AB35">
            <v>33.600385823721595</v>
          </cell>
          <cell r="AC35">
            <v>127.84663334628291</v>
          </cell>
        </row>
        <row r="36">
          <cell r="R36">
            <v>2390.8920118483834</v>
          </cell>
          <cell r="S36">
            <v>1.2174674008493853</v>
          </cell>
          <cell r="T36">
            <v>323.45567242781175</v>
          </cell>
          <cell r="U36">
            <v>163.76005925751906</v>
          </cell>
          <cell r="V36">
            <v>391.53143247273272</v>
          </cell>
          <cell r="W36">
            <v>1490.1537129985854</v>
          </cell>
          <cell r="X36">
            <v>231.14191466617424</v>
          </cell>
          <cell r="Y36">
            <v>0.11769989806374526</v>
          </cell>
          <cell r="Z36">
            <v>31.270639672929391</v>
          </cell>
          <cell r="AA36">
            <v>15.831670127738695</v>
          </cell>
          <cell r="AB36">
            <v>37.836866681433875</v>
          </cell>
          <cell r="AC36">
            <v>144.82910550081351</v>
          </cell>
        </row>
        <row r="37">
          <cell r="R37">
            <v>2579.9797802235171</v>
          </cell>
          <cell r="S37">
            <v>1.3137528845748139</v>
          </cell>
          <cell r="T37">
            <v>349.02958182210637</v>
          </cell>
          <cell r="U37">
            <v>176.711302559405</v>
          </cell>
          <cell r="V37">
            <v>422.69198213774894</v>
          </cell>
          <cell r="W37">
            <v>1618.6847092131027</v>
          </cell>
          <cell r="X37">
            <v>255.82389659801791</v>
          </cell>
          <cell r="Y37">
            <v>0.13026822329192739</v>
          </cell>
          <cell r="Z37">
            <v>34.608850150638929</v>
          </cell>
          <cell r="AA37">
            <v>17.522220267068054</v>
          </cell>
          <cell r="AB37">
            <v>41.904311817770832</v>
          </cell>
          <cell r="AC37">
            <v>161.60649810272315</v>
          </cell>
        </row>
        <row r="38">
          <cell r="R38">
            <v>2781.5929960645158</v>
          </cell>
          <cell r="S38">
            <v>1.4164164581073824</v>
          </cell>
          <cell r="T38">
            <v>376.51159774517328</v>
          </cell>
          <cell r="U38">
            <v>190.52045496344701</v>
          </cell>
          <cell r="V38">
            <v>455.89760724533494</v>
          </cell>
          <cell r="W38">
            <v>1759.4907373515575</v>
          </cell>
          <cell r="X38">
            <v>281.34665571267516</v>
          </cell>
          <cell r="Y38">
            <v>0.14326468111931553</v>
          </cell>
          <cell r="Z38">
            <v>38.087872443219098</v>
          </cell>
          <cell r="AA38">
            <v>19.270358001570091</v>
          </cell>
          <cell r="AB38">
            <v>46.107901187333333</v>
          </cell>
          <cell r="AC38">
            <v>179.43151182059191</v>
          </cell>
        </row>
        <row r="39">
          <cell r="R39">
            <v>3034.5730513820426</v>
          </cell>
          <cell r="S39">
            <v>1.5452365674589772</v>
          </cell>
          <cell r="T39">
            <v>411.26248895568438</v>
          </cell>
          <cell r="U39">
            <v>207.8478911857718</v>
          </cell>
          <cell r="V39">
            <v>497.53957468683353</v>
          </cell>
          <cell r="W39">
            <v>1940.8629763157708</v>
          </cell>
          <cell r="X39">
            <v>308.40353059785542</v>
          </cell>
          <cell r="Y39">
            <v>0.1570423268592003</v>
          </cell>
          <cell r="Z39">
            <v>41.804570640834548</v>
          </cell>
          <cell r="AA39">
            <v>21.123572372007068</v>
          </cell>
          <cell r="AB39">
            <v>50.561617910666335</v>
          </cell>
          <cell r="AC39">
            <v>198.82974450395611</v>
          </cell>
        </row>
        <row r="40">
          <cell r="R40">
            <v>3448.4167686369906</v>
          </cell>
          <cell r="S40">
            <v>1.7559701481926018</v>
          </cell>
          <cell r="T40">
            <v>468.54490040851067</v>
          </cell>
          <cell r="U40">
            <v>236.19340881064724</v>
          </cell>
          <cell r="V40">
            <v>565.62198309263022</v>
          </cell>
          <cell r="W40">
            <v>2245.1960006136642</v>
          </cell>
          <cell r="X40">
            <v>338.78156292279675</v>
          </cell>
          <cell r="Y40">
            <v>0.17251114095631739</v>
          </cell>
          <cell r="Z40">
            <v>46.009363112511828</v>
          </cell>
          <cell r="AA40">
            <v>23.204263741172383</v>
          </cell>
          <cell r="AB40">
            <v>55.559179833388555</v>
          </cell>
          <cell r="AC40">
            <v>221.16918827029258</v>
          </cell>
        </row>
        <row r="41">
          <cell r="R41">
            <v>3794.5919543454788</v>
          </cell>
          <cell r="S41">
            <v>1.9322461997643501</v>
          </cell>
          <cell r="T41">
            <v>516.82212534676034</v>
          </cell>
          <cell r="U41">
            <v>259.9040860993627</v>
          </cell>
          <cell r="V41">
            <v>622.53994599797807</v>
          </cell>
          <cell r="W41">
            <v>2506.113018015561</v>
          </cell>
          <cell r="X41">
            <v>373.89568007883378</v>
          </cell>
          <cell r="Y41">
            <v>0.19039161934481275</v>
          </cell>
          <cell r="Z41">
            <v>50.906340719328441</v>
          </cell>
          <cell r="AA41">
            <v>25.609345140813925</v>
          </cell>
          <cell r="AB41">
            <v>61.332626632155872</v>
          </cell>
          <cell r="AC41">
            <v>247.63518322109502</v>
          </cell>
        </row>
        <row r="42">
          <cell r="R42">
            <v>4084.2767119543805</v>
          </cell>
          <cell r="S42">
            <v>2.0797567302124138</v>
          </cell>
          <cell r="T42">
            <v>557.52176636672152</v>
          </cell>
          <cell r="U42">
            <v>279.74554812982853</v>
          </cell>
          <cell r="V42">
            <v>670.14304236089674</v>
          </cell>
          <cell r="W42">
            <v>2729.7324443957054</v>
          </cell>
          <cell r="X42">
            <v>408.84747654874525</v>
          </cell>
          <cell r="Y42">
            <v>0.2081894423298595</v>
          </cell>
          <cell r="Z42">
            <v>55.816939333732137</v>
          </cell>
          <cell r="AA42">
            <v>28.003308662673067</v>
          </cell>
          <cell r="AB42">
            <v>67.076158839882879</v>
          </cell>
          <cell r="AC42">
            <v>274.61589405334831</v>
          </cell>
        </row>
        <row r="43">
          <cell r="R43">
            <v>4361.6830116628316</v>
          </cell>
          <cell r="S43">
            <v>2.22101494054212</v>
          </cell>
          <cell r="T43">
            <v>596.78245217810456</v>
          </cell>
          <cell r="U43">
            <v>298.74601818600013</v>
          </cell>
          <cell r="V43">
            <v>715.70299714343071</v>
          </cell>
          <cell r="W43">
            <v>2948.9008473763433</v>
          </cell>
          <cell r="X43">
            <v>444.06729371362962</v>
          </cell>
          <cell r="Y43">
            <v>0.22612374427642584</v>
          </cell>
          <cell r="Z43">
            <v>60.801520352613579</v>
          </cell>
          <cell r="AA43">
            <v>30.41562980364403</v>
          </cell>
          <cell r="AB43">
            <v>72.860502162899223</v>
          </cell>
          <cell r="AC43">
            <v>302.44176206503505</v>
          </cell>
        </row>
        <row r="44">
          <cell r="R44">
            <v>4834.0439445939073</v>
          </cell>
          <cell r="S44">
            <v>2.4615461039859232</v>
          </cell>
          <cell r="T44">
            <v>664.11904195122452</v>
          </cell>
          <cell r="U44">
            <v>331.09957241780677</v>
          </cell>
          <cell r="V44">
            <v>793.2383195562478</v>
          </cell>
          <cell r="W44">
            <v>3330.6069088561444</v>
          </cell>
          <cell r="X44">
            <v>481.71791443415634</v>
          </cell>
          <cell r="Y44">
            <v>0.24529583700241572</v>
          </cell>
          <cell r="Z44">
            <v>66.168738988646226</v>
          </cell>
          <cell r="AA44">
            <v>32.994444676804775</v>
          </cell>
          <cell r="AB44">
            <v>79.040634373440639</v>
          </cell>
          <cell r="AC44">
            <v>332.86652657365931</v>
          </cell>
        </row>
        <row r="45">
          <cell r="R45">
            <v>5172.0332893037821</v>
          </cell>
          <cell r="S45">
            <v>2.6336538390820796</v>
          </cell>
          <cell r="T45">
            <v>712.64516174428707</v>
          </cell>
          <cell r="U45">
            <v>354.24957452739977</v>
          </cell>
          <cell r="V45">
            <v>848.68665827603945</v>
          </cell>
          <cell r="W45">
            <v>3609.7851246741552</v>
          </cell>
          <cell r="X45">
            <v>523.36089233698794</v>
          </cell>
          <cell r="Y45">
            <v>0.26650088006573408</v>
          </cell>
          <cell r="Z45">
            <v>72.147543249435188</v>
          </cell>
          <cell r="AA45">
            <v>35.846709227120115</v>
          </cell>
          <cell r="AB45">
            <v>85.872311111768141</v>
          </cell>
          <cell r="AC45">
            <v>367.26350521877259</v>
          </cell>
        </row>
      </sheetData>
      <sheetData sheetId="3">
        <row r="2">
          <cell r="R2">
            <v>5.6521984914115562E-3</v>
          </cell>
          <cell r="S2">
            <v>4.4963187983254101E-3</v>
          </cell>
          <cell r="T2">
            <v>0.20022537588546019</v>
          </cell>
          <cell r="U2">
            <v>2.8563081980670938E-4</v>
          </cell>
          <cell r="V2">
            <v>0.1223431517286646</v>
          </cell>
          <cell r="W2">
            <v>9.2902472487761147E-4</v>
          </cell>
          <cell r="X2">
            <v>4.4668006990588119E-4</v>
          </cell>
          <cell r="Y2">
            <v>3.5533359244316792E-4</v>
          </cell>
          <cell r="Z2">
            <v>1.582334467435046E-2</v>
          </cell>
          <cell r="AA2">
            <v>2.2572737803245911E-5</v>
          </cell>
          <cell r="AB2">
            <v>9.6684940646905877E-3</v>
          </cell>
          <cell r="AC2">
            <v>7.3418658188167943E-5</v>
          </cell>
        </row>
        <row r="3">
          <cell r="R3">
            <v>1.0118169747193777E-2</v>
          </cell>
          <cell r="S3">
            <v>8.0489949013792042E-3</v>
          </cell>
          <cell r="T3">
            <v>0.35842944015202527</v>
          </cell>
          <cell r="U3">
            <v>5.1131628236796977E-4</v>
          </cell>
          <cell r="V3">
            <v>0.21901013888282028</v>
          </cell>
          <cell r="W3">
            <v>1.6630749751508015E-3</v>
          </cell>
          <cell r="X3">
            <v>7.5943398805667121E-4</v>
          </cell>
          <cell r="Y3">
            <v>6.0412905204496525E-4</v>
          </cell>
          <cell r="Z3">
            <v>2.690244441165527E-2</v>
          </cell>
          <cell r="AA3">
            <v>3.8377589344625729E-5</v>
          </cell>
          <cell r="AB3">
            <v>1.643812540729065E-2</v>
          </cell>
          <cell r="AC3">
            <v>1.2482451790911178E-4</v>
          </cell>
        </row>
        <row r="4">
          <cell r="R4">
            <v>1.7561201192230855E-2</v>
          </cell>
          <cell r="S4">
            <v>1.3969919697933835E-2</v>
          </cell>
          <cell r="T4">
            <v>0.62209388347869132</v>
          </cell>
          <cell r="U4">
            <v>8.8744588516295763E-4</v>
          </cell>
          <cell r="V4">
            <v>0.38011628665612379</v>
          </cell>
          <cell r="W4">
            <v>2.8864503132582436E-3</v>
          </cell>
          <cell r="X4">
            <v>1.1761177269458195E-3</v>
          </cell>
          <cell r="Y4">
            <v>9.3560059023857587E-4</v>
          </cell>
          <cell r="Z4">
            <v>4.1663188991168984E-2</v>
          </cell>
          <cell r="AA4">
            <v>5.9434478645289555E-5</v>
          </cell>
          <cell r="AB4">
            <v>2.5457341906365012E-2</v>
          </cell>
          <cell r="AC4">
            <v>1.933128232067183E-4</v>
          </cell>
        </row>
        <row r="5">
          <cell r="R5">
            <v>2.9846855902919935E-2</v>
          </cell>
          <cell r="S5">
            <v>2.3743146931433024E-2</v>
          </cell>
          <cell r="T5">
            <v>1.0573050382505</v>
          </cell>
          <cell r="U5">
            <v>1.5082948578606452E-3</v>
          </cell>
          <cell r="V5">
            <v>0.64604214199183196</v>
          </cell>
          <cell r="W5">
            <v>4.905784383864964E-3</v>
          </cell>
          <cell r="X5">
            <v>1.8024662099769928E-3</v>
          </cell>
          <cell r="Y5">
            <v>1.4338602431568067E-3</v>
          </cell>
          <cell r="Z5">
            <v>6.3851167817596394E-2</v>
          </cell>
          <cell r="AA5">
            <v>9.1086663359737558E-5</v>
          </cell>
          <cell r="AB5">
            <v>3.9014800585662854E-2</v>
          </cell>
          <cell r="AC5">
            <v>2.962627157148679E-4</v>
          </cell>
        </row>
        <row r="6">
          <cell r="R6">
            <v>4.9392079242833856E-2</v>
          </cell>
          <cell r="S6">
            <v>3.9291354457099081E-2</v>
          </cell>
          <cell r="T6">
            <v>1.7496815880029501</v>
          </cell>
          <cell r="U6">
            <v>2.4960022383370586E-3</v>
          </cell>
          <cell r="V6">
            <v>1.0691030497570422</v>
          </cell>
          <cell r="W6">
            <v>8.1183388905097416E-3</v>
          </cell>
          <cell r="X6">
            <v>2.6339994625796184E-3</v>
          </cell>
          <cell r="Y6">
            <v>2.0953441950723271E-3</v>
          </cell>
          <cell r="Z6">
            <v>9.3307680768549159E-2</v>
          </cell>
          <cell r="AA6">
            <v>1.3310775037540473E-4</v>
          </cell>
          <cell r="AB6">
            <v>5.7013531353022513E-2</v>
          </cell>
          <cell r="AC6">
            <v>4.3293784352567758E-4</v>
          </cell>
        </row>
        <row r="7">
          <cell r="R7">
            <v>0.10390176286216427</v>
          </cell>
          <cell r="S7">
            <v>8.2653758576625588E-2</v>
          </cell>
          <cell r="T7">
            <v>3.7253753109922432</v>
          </cell>
          <cell r="U7">
            <v>5.2506198695564136E-3</v>
          </cell>
          <cell r="V7">
            <v>2.2372781652190925</v>
          </cell>
          <cell r="W7">
            <v>1.7202491571339198E-2</v>
          </cell>
          <cell r="X7">
            <v>5.9225371928993105E-3</v>
          </cell>
          <cell r="Y7">
            <v>4.7113729913551223E-3</v>
          </cell>
          <cell r="Z7">
            <v>0.21250014200129116</v>
          </cell>
          <cell r="AA7">
            <v>2.9929224111892251E-4</v>
          </cell>
          <cell r="AB7">
            <v>0.12748886138145066</v>
          </cell>
          <cell r="AC7">
            <v>9.8097952814662007E-4</v>
          </cell>
        </row>
        <row r="8">
          <cell r="R8">
            <v>0.21746587534499778</v>
          </cell>
          <cell r="S8">
            <v>0.17299390755539673</v>
          </cell>
          <cell r="T8">
            <v>7.9344864512909883</v>
          </cell>
          <cell r="U8">
            <v>1.098952139581762E-2</v>
          </cell>
          <cell r="V8">
            <v>4.6466966283511084</v>
          </cell>
          <cell r="W8">
            <v>3.6387402346843761E-2</v>
          </cell>
          <cell r="X8">
            <v>1.3897312000674761E-2</v>
          </cell>
          <cell r="Y8">
            <v>1.1055299153024271E-2</v>
          </cell>
          <cell r="Z8">
            <v>0.50807515025801853</v>
          </cell>
          <cell r="AA8">
            <v>7.0229320960577706E-4</v>
          </cell>
          <cell r="AB8">
            <v>0.29668465080021394</v>
          </cell>
          <cell r="AC8">
            <v>2.3281951211451611E-3</v>
          </cell>
        </row>
        <row r="9">
          <cell r="R9">
            <v>0.31145649175146095</v>
          </cell>
          <cell r="S9">
            <v>0.24776335807216932</v>
          </cell>
          <cell r="T9">
            <v>11.494955119492941</v>
          </cell>
          <cell r="U9">
            <v>1.5739286794026672E-2</v>
          </cell>
          <cell r="V9">
            <v>6.620739606627934</v>
          </cell>
          <cell r="W9">
            <v>5.2479800568117366E-2</v>
          </cell>
          <cell r="X9">
            <v>1.9305124252169216E-2</v>
          </cell>
          <cell r="Y9">
            <v>1.535720891807511E-2</v>
          </cell>
          <cell r="Z9">
            <v>0.71292906888431096</v>
          </cell>
          <cell r="AA9">
            <v>9.7557410182889796E-4</v>
          </cell>
          <cell r="AB9">
            <v>0.41026251858157636</v>
          </cell>
          <cell r="AC9">
            <v>3.2540818913796713E-3</v>
          </cell>
        </row>
        <row r="10">
          <cell r="R10">
            <v>0.51605521507913743</v>
          </cell>
          <cell r="S10">
            <v>0.41052145781149202</v>
          </cell>
          <cell r="T10">
            <v>19.412295149200418</v>
          </cell>
          <cell r="U10">
            <v>2.6078573562580313E-2</v>
          </cell>
          <cell r="V10">
            <v>10.874171528939463</v>
          </cell>
          <cell r="W10">
            <v>8.7974953396478039E-2</v>
          </cell>
          <cell r="X10">
            <v>3.2876510421587235E-2</v>
          </cell>
          <cell r="Y10">
            <v>2.6153234366510569E-2</v>
          </cell>
          <cell r="Z10">
            <v>1.2380998873046465</v>
          </cell>
          <cell r="AA10">
            <v>1.6613968243278435E-3</v>
          </cell>
          <cell r="AB10">
            <v>0.69239999345999959</v>
          </cell>
          <cell r="AC10">
            <v>5.6085365934488212E-3</v>
          </cell>
        </row>
        <row r="11">
          <cell r="R11">
            <v>0.78197521593261898</v>
          </cell>
          <cell r="S11">
            <v>0.62206057847489593</v>
          </cell>
          <cell r="T11">
            <v>29.919107861597276</v>
          </cell>
          <cell r="U11">
            <v>3.9516698207741549E-2</v>
          </cell>
          <cell r="V11">
            <v>16.345777534075527</v>
          </cell>
          <cell r="W11">
            <v>0.13471204756146851</v>
          </cell>
          <cell r="X11">
            <v>5.1188075009606496E-2</v>
          </cell>
          <cell r="Y11">
            <v>4.0720067468526938E-2</v>
          </cell>
          <cell r="Z11">
            <v>1.9616113906882702</v>
          </cell>
          <cell r="AA11">
            <v>2.5867619213191988E-3</v>
          </cell>
          <cell r="AB11">
            <v>1.069181230078784</v>
          </cell>
          <cell r="AC11">
            <v>8.8269079672143903E-3</v>
          </cell>
        </row>
        <row r="12">
          <cell r="R12">
            <v>1.0032685774193046</v>
          </cell>
          <cell r="S12">
            <v>0.79809924780137176</v>
          </cell>
          <cell r="T12">
            <v>38.842518035882428</v>
          </cell>
          <cell r="U12">
            <v>5.0699639563263385E-2</v>
          </cell>
          <cell r="V12">
            <v>20.852092292806898</v>
          </cell>
          <cell r="W12">
            <v>0.17410701385173988</v>
          </cell>
          <cell r="X12">
            <v>6.581349318193494E-2</v>
          </cell>
          <cell r="Y12">
            <v>5.2354574423923626E-2</v>
          </cell>
          <cell r="Z12">
            <v>2.5513652108903413</v>
          </cell>
          <cell r="AA12">
            <v>3.325849585867026E-3</v>
          </cell>
          <cell r="AB12">
            <v>1.3670064215793751</v>
          </cell>
          <cell r="AC12">
            <v>1.1430546196618156E-2</v>
          </cell>
        </row>
        <row r="13">
          <cell r="R13">
            <v>1.3711021710719387</v>
          </cell>
          <cell r="S13">
            <v>1.0907105395507688</v>
          </cell>
          <cell r="T13">
            <v>53.973378501218185</v>
          </cell>
          <cell r="U13">
            <v>6.9287912969990734E-2</v>
          </cell>
          <cell r="V13">
            <v>28.264429973030079</v>
          </cell>
          <cell r="W13">
            <v>0.24042093567110118</v>
          </cell>
          <cell r="X13">
            <v>9.0652374483780579E-2</v>
          </cell>
          <cell r="Y13">
            <v>7.2113882080327374E-2</v>
          </cell>
          <cell r="Z13">
            <v>3.5731143212997205</v>
          </cell>
          <cell r="AA13">
            <v>4.5810691327580451E-3</v>
          </cell>
          <cell r="AB13">
            <v>1.8675430201537044</v>
          </cell>
          <cell r="AC13">
            <v>1.5908559246960958E-2</v>
          </cell>
        </row>
        <row r="14">
          <cell r="R14">
            <v>1.8562815977751266</v>
          </cell>
          <cell r="S14">
            <v>1.4766703355772326</v>
          </cell>
          <cell r="T14">
            <v>74.324088012969298</v>
          </cell>
          <cell r="U14">
            <v>9.3806195123944586E-2</v>
          </cell>
          <cell r="V14">
            <v>37.938683061226797</v>
          </cell>
          <cell r="W14">
            <v>0.3289851300708827</v>
          </cell>
          <cell r="X14">
            <v>0.11463782283982507</v>
          </cell>
          <cell r="Y14">
            <v>9.1194284598642525E-2</v>
          </cell>
          <cell r="Z14">
            <v>4.5791769553231143</v>
          </cell>
          <cell r="AA14">
            <v>5.7931609033811862E-3</v>
          </cell>
          <cell r="AB14">
            <v>2.3458017530249133</v>
          </cell>
          <cell r="AC14">
            <v>2.0286840340627714E-2</v>
          </cell>
        </row>
        <row r="15">
          <cell r="R15">
            <v>2.4956511895848479</v>
          </cell>
          <cell r="S15">
            <v>1.9852882687761337</v>
          </cell>
          <cell r="T15">
            <v>101.0463924197296</v>
          </cell>
          <cell r="U15">
            <v>0.12611639458802676</v>
          </cell>
          <cell r="V15">
            <v>50.664935149248528</v>
          </cell>
          <cell r="W15">
            <v>0.4502240724402059</v>
          </cell>
          <cell r="X15">
            <v>0.16039930661388085</v>
          </cell>
          <cell r="Y15">
            <v>0.12759750363725153</v>
          </cell>
          <cell r="Z15">
            <v>6.4917675995764412</v>
          </cell>
          <cell r="AA15">
            <v>8.1056929465880972E-3</v>
          </cell>
          <cell r="AB15">
            <v>3.2566554844045346</v>
          </cell>
          <cell r="AC15">
            <v>2.8964253162707308E-2</v>
          </cell>
        </row>
        <row r="16">
          <cell r="R16">
            <v>4.1740000844833194</v>
          </cell>
          <cell r="S16">
            <v>3.3204132998144678</v>
          </cell>
          <cell r="T16">
            <v>170.94470241093507</v>
          </cell>
          <cell r="U16">
            <v>0.21093085598742017</v>
          </cell>
          <cell r="V16">
            <v>84.013287620282696</v>
          </cell>
          <cell r="W16">
            <v>0.78018826350736714</v>
          </cell>
          <cell r="X16">
            <v>0.27410079826761347</v>
          </cell>
          <cell r="Y16">
            <v>0.21804693762247646</v>
          </cell>
          <cell r="Z16">
            <v>11.227101316083477</v>
          </cell>
          <cell r="AA16">
            <v>1.3851536855581954E-2</v>
          </cell>
          <cell r="AB16">
            <v>5.5158743105237598</v>
          </cell>
          <cell r="AC16">
            <v>5.1318020505535633E-2</v>
          </cell>
        </row>
        <row r="17">
          <cell r="R17">
            <v>5.7640361417067361</v>
          </cell>
          <cell r="S17">
            <v>4.5852855481921839</v>
          </cell>
          <cell r="T17">
            <v>236.9336704652049</v>
          </cell>
          <cell r="U17">
            <v>0.29128247549212227</v>
          </cell>
          <cell r="V17">
            <v>115.55262875163137</v>
          </cell>
          <cell r="W17">
            <v>1.1037207669998401</v>
          </cell>
          <cell r="X17">
            <v>0.41243757382618385</v>
          </cell>
          <cell r="Y17">
            <v>0.32809371771854945</v>
          </cell>
          <cell r="Z17">
            <v>16.968292543536577</v>
          </cell>
          <cell r="AA17">
            <v>2.0842311626186893E-2</v>
          </cell>
          <cell r="AB17">
            <v>8.2598691624213298</v>
          </cell>
          <cell r="AC17">
            <v>7.9466088669282842E-2</v>
          </cell>
        </row>
        <row r="18">
          <cell r="R18">
            <v>7.2715246890044796</v>
          </cell>
          <cell r="S18">
            <v>5.7844913269302118</v>
          </cell>
          <cell r="T18">
            <v>299.28065495396277</v>
          </cell>
          <cell r="U18">
            <v>0.36746260084832633</v>
          </cell>
          <cell r="V18">
            <v>145.40390429209711</v>
          </cell>
          <cell r="W18">
            <v>1.4206677081875987</v>
          </cell>
          <cell r="X18">
            <v>0.55434081005917757</v>
          </cell>
          <cell r="Y18">
            <v>0.44097761406209046</v>
          </cell>
          <cell r="Z18">
            <v>22.837152299839314</v>
          </cell>
          <cell r="AA18">
            <v>2.8013315574481154E-2</v>
          </cell>
          <cell r="AB18">
            <v>11.069835853357819</v>
          </cell>
          <cell r="AC18">
            <v>0.10930100632044037</v>
          </cell>
        </row>
        <row r="19">
          <cell r="R19">
            <v>8.5308814295109077</v>
          </cell>
          <cell r="S19">
            <v>6.7863084773259237</v>
          </cell>
          <cell r="T19">
            <v>351.18743698914727</v>
          </cell>
          <cell r="U19">
            <v>0.43110351840749073</v>
          </cell>
          <cell r="V19">
            <v>170.29995168597284</v>
          </cell>
          <cell r="W19">
            <v>1.6938509235135166</v>
          </cell>
          <cell r="X19">
            <v>0.68378541088756561</v>
          </cell>
          <cell r="Y19">
            <v>0.54395067718625156</v>
          </cell>
          <cell r="Z19">
            <v>28.172457590799723</v>
          </cell>
          <cell r="AA19">
            <v>3.4554729063470492E-2</v>
          </cell>
          <cell r="AB19">
            <v>13.628808075802862</v>
          </cell>
          <cell r="AC19">
            <v>0.137380494144247</v>
          </cell>
        </row>
        <row r="20">
          <cell r="R20">
            <v>11.14107331677398</v>
          </cell>
          <cell r="S20">
            <v>8.86271376772231</v>
          </cell>
          <cell r="T20">
            <v>458.40803339315136</v>
          </cell>
          <cell r="U20">
            <v>0.56300816573093992</v>
          </cell>
          <cell r="V20">
            <v>221.8152444308904</v>
          </cell>
          <cell r="W20">
            <v>2.2772303331136179</v>
          </cell>
          <cell r="X20">
            <v>0.9210980002007636</v>
          </cell>
          <cell r="Y20">
            <v>0.73273262778999504</v>
          </cell>
          <cell r="Z20">
            <v>37.920705405262062</v>
          </cell>
          <cell r="AA20">
            <v>4.6547193506992476E-2</v>
          </cell>
          <cell r="AB20">
            <v>18.312458948437595</v>
          </cell>
          <cell r="AC20">
            <v>0.19041999630489853</v>
          </cell>
        </row>
        <row r="21">
          <cell r="R21">
            <v>12.6321074149513</v>
          </cell>
          <cell r="S21">
            <v>10.048830047036589</v>
          </cell>
          <cell r="T21">
            <v>519.45162377237955</v>
          </cell>
          <cell r="U21">
            <v>0.63835677432444082</v>
          </cell>
          <cell r="V21">
            <v>251.1946215439724</v>
          </cell>
          <cell r="W21">
            <v>2.6201438761558862</v>
          </cell>
          <cell r="X21">
            <v>1.0976380292962964</v>
          </cell>
          <cell r="Y21">
            <v>0.87317006159301835</v>
          </cell>
          <cell r="Z21">
            <v>45.148331678073909</v>
          </cell>
          <cell r="AA21">
            <v>5.546854920882742E-2</v>
          </cell>
          <cell r="AB21">
            <v>21.791008564903382</v>
          </cell>
          <cell r="AC21">
            <v>0.23102132590556795</v>
          </cell>
        </row>
        <row r="22">
          <cell r="R22">
            <v>14.288225133005948</v>
          </cell>
          <cell r="S22">
            <v>11.366270196961199</v>
          </cell>
          <cell r="T22">
            <v>587.02978871977177</v>
          </cell>
          <cell r="U22">
            <v>0.72204779512336392</v>
          </cell>
          <cell r="V22">
            <v>283.77427607543547</v>
          </cell>
          <cell r="W22">
            <v>3.0116073874562637</v>
          </cell>
          <cell r="X22">
            <v>1.2900533259995366</v>
          </cell>
          <cell r="Y22">
            <v>1.0262362564491863</v>
          </cell>
          <cell r="Z22">
            <v>52.999870561606279</v>
          </cell>
          <cell r="AA22">
            <v>6.5192153046202975E-2</v>
          </cell>
          <cell r="AB22">
            <v>25.576261161877085</v>
          </cell>
          <cell r="AC22">
            <v>0.27650333896188184</v>
          </cell>
        </row>
        <row r="23">
          <cell r="R23">
            <v>16.166381205075677</v>
          </cell>
          <cell r="S23">
            <v>12.860341657096203</v>
          </cell>
          <cell r="T23">
            <v>662.92580085488828</v>
          </cell>
          <cell r="U23">
            <v>0.8169594050757335</v>
          </cell>
          <cell r="V23">
            <v>320.99206398982869</v>
          </cell>
          <cell r="W23">
            <v>3.4652950768952553</v>
          </cell>
          <cell r="X23">
            <v>1.4996247465944299</v>
          </cell>
          <cell r="Y23">
            <v>1.1929501323762954</v>
          </cell>
          <cell r="Z23">
            <v>61.468621011677044</v>
          </cell>
          <cell r="AA23">
            <v>7.5782732404577016E-2</v>
          </cell>
          <cell r="AB23">
            <v>29.729156014765156</v>
          </cell>
          <cell r="AC23">
            <v>0.32712744576327574</v>
          </cell>
        </row>
        <row r="24">
          <cell r="R24">
            <v>17.809292306583568</v>
          </cell>
          <cell r="S24">
            <v>14.167275955477969</v>
          </cell>
          <cell r="T24">
            <v>728.68563506956536</v>
          </cell>
          <cell r="U24">
            <v>0.89998303658943324</v>
          </cell>
          <cell r="V24">
            <v>353.77740240882105</v>
          </cell>
          <cell r="W24">
            <v>3.8704211262423134</v>
          </cell>
          <cell r="X24">
            <v>1.7088334132423086</v>
          </cell>
          <cell r="Y24">
            <v>1.359375437865971</v>
          </cell>
          <cell r="Z24">
            <v>69.842492989540773</v>
          </cell>
          <cell r="AA24">
            <v>8.6354980186763255E-2</v>
          </cell>
          <cell r="AB24">
            <v>33.904048332396698</v>
          </cell>
          <cell r="AC24">
            <v>0.37871628738132218</v>
          </cell>
        </row>
        <row r="25">
          <cell r="R25">
            <v>19.595255224338104</v>
          </cell>
          <cell r="S25">
            <v>15.588007844567441</v>
          </cell>
          <cell r="T25">
            <v>799.50676833544469</v>
          </cell>
          <cell r="U25">
            <v>0.99023571492649809</v>
          </cell>
          <cell r="V25">
            <v>389.65921099176677</v>
          </cell>
          <cell r="W25">
            <v>4.3195402996686454</v>
          </cell>
          <cell r="X25">
            <v>1.9269693537438559</v>
          </cell>
          <cell r="Y25">
            <v>1.5329023816486118</v>
          </cell>
          <cell r="Z25">
            <v>78.492523938537943</v>
          </cell>
          <cell r="AA25">
            <v>9.7378362965948775E-2</v>
          </cell>
          <cell r="AB25">
            <v>38.286620884338745</v>
          </cell>
          <cell r="AC25">
            <v>0.43357130834435842</v>
          </cell>
        </row>
        <row r="26">
          <cell r="R26">
            <v>21.57152037585395</v>
          </cell>
          <cell r="S26">
            <v>17.160124988850001</v>
          </cell>
          <cell r="T26">
            <v>877.16028553104206</v>
          </cell>
          <cell r="U26">
            <v>1.0901052145982852</v>
          </cell>
          <cell r="V26">
            <v>429.62412623609555</v>
          </cell>
          <cell r="W26">
            <v>4.8258806732978288</v>
          </cell>
          <cell r="X26">
            <v>2.1580007454079708</v>
          </cell>
          <cell r="Y26">
            <v>1.7166876451918278</v>
          </cell>
          <cell r="Z26">
            <v>87.570455678391468</v>
          </cell>
          <cell r="AA26">
            <v>0.10905341045452806</v>
          </cell>
          <cell r="AB26">
            <v>42.95864071910313</v>
          </cell>
          <cell r="AC26">
            <v>0.49276403412083181</v>
          </cell>
        </row>
        <row r="27">
          <cell r="R27">
            <v>23.597070975921554</v>
          </cell>
          <cell r="S27">
            <v>18.771448662971149</v>
          </cell>
          <cell r="T27">
            <v>956.4837296939794</v>
          </cell>
          <cell r="U27">
            <v>1.1924653279836159</v>
          </cell>
          <cell r="V27">
            <v>470.62726072596934</v>
          </cell>
          <cell r="W27">
            <v>5.3404099631766311</v>
          </cell>
          <cell r="X27">
            <v>2.4034494555052435</v>
          </cell>
          <cell r="Y27">
            <v>1.911941872535758</v>
          </cell>
          <cell r="Z27">
            <v>97.18257647636915</v>
          </cell>
          <cell r="AA27">
            <v>0.12145702939892838</v>
          </cell>
          <cell r="AB27">
            <v>47.92724849920431</v>
          </cell>
          <cell r="AC27">
            <v>0.55511278537088837</v>
          </cell>
        </row>
        <row r="28">
          <cell r="R28">
            <v>26.717145457409899</v>
          </cell>
          <cell r="S28">
            <v>21.253465096861099</v>
          </cell>
          <cell r="T28">
            <v>1078.2716375492585</v>
          </cell>
          <cell r="U28">
            <v>1.3501366187848256</v>
          </cell>
          <cell r="V28">
            <v>533.84890945613563</v>
          </cell>
          <cell r="W28">
            <v>6.1263338658513655</v>
          </cell>
          <cell r="X28">
            <v>2.694684889762351</v>
          </cell>
          <cell r="Y28">
            <v>2.1436193976224032</v>
          </cell>
          <cell r="Z28">
            <v>108.55055965816081</v>
          </cell>
          <cell r="AA28">
            <v>0.13617445589589597</v>
          </cell>
          <cell r="AB28">
            <v>53.828512854149196</v>
          </cell>
          <cell r="AC28">
            <v>0.62847285752510573</v>
          </cell>
        </row>
        <row r="29">
          <cell r="R29">
            <v>30.468578745088756</v>
          </cell>
          <cell r="S29">
            <v>24.237726891220287</v>
          </cell>
          <cell r="T29">
            <v>1224.2383694599803</v>
          </cell>
          <cell r="U29">
            <v>1.5397132882945854</v>
          </cell>
          <cell r="V29">
            <v>609.93621372271696</v>
          </cell>
          <cell r="W29">
            <v>7.0635452682024411</v>
          </cell>
          <cell r="X29">
            <v>3.0478990505001011</v>
          </cell>
          <cell r="Y29">
            <v>2.4246009436832985</v>
          </cell>
          <cell r="Z29">
            <v>122.29397790761026</v>
          </cell>
          <cell r="AA29">
            <v>0.15402394409985087</v>
          </cell>
          <cell r="AB29">
            <v>60.992471602285939</v>
          </cell>
          <cell r="AC29">
            <v>0.7167154873494278</v>
          </cell>
        </row>
        <row r="30">
          <cell r="R30">
            <v>34.699358554807652</v>
          </cell>
          <cell r="S30">
            <v>27.603308411211096</v>
          </cell>
          <cell r="T30">
            <v>1388.3463955287798</v>
          </cell>
          <cell r="U30">
            <v>1.753513477249006</v>
          </cell>
          <cell r="V30">
            <v>695.82516331801401</v>
          </cell>
          <cell r="W30">
            <v>8.1120233270314657</v>
          </cell>
          <cell r="X30">
            <v>3.4360142892339773</v>
          </cell>
          <cell r="Y30">
            <v>2.7333462657889047</v>
          </cell>
          <cell r="Z30">
            <v>137.34860816029391</v>
          </cell>
          <cell r="AA30">
            <v>0.17363713956485102</v>
          </cell>
          <cell r="AB30">
            <v>68.871588851594041</v>
          </cell>
          <cell r="AC30">
            <v>0.81289877516196363</v>
          </cell>
        </row>
        <row r="31">
          <cell r="R31">
            <v>39.820592336692208</v>
          </cell>
          <cell r="S31">
            <v>31.677245262348833</v>
          </cell>
          <cell r="T31">
            <v>1586.3945020537367</v>
          </cell>
          <cell r="U31">
            <v>2.0123122801863373</v>
          </cell>
          <cell r="V31">
            <v>799.88465158377812</v>
          </cell>
          <cell r="W31">
            <v>9.3711908932175572</v>
          </cell>
          <cell r="X31">
            <v>3.8915612481390589</v>
          </cell>
          <cell r="Y31">
            <v>3.0957334604278111</v>
          </cell>
          <cell r="Z31">
            <v>154.96549824711079</v>
          </cell>
          <cell r="AA31">
            <v>0.19665796084885667</v>
          </cell>
          <cell r="AB31">
            <v>78.127948831169846</v>
          </cell>
          <cell r="AC31">
            <v>0.92490497912731062</v>
          </cell>
        </row>
        <row r="32">
          <cell r="R32">
            <v>46.452534826742806</v>
          </cell>
          <cell r="S32">
            <v>36.952949527288858</v>
          </cell>
          <cell r="T32">
            <v>1842.1095104208998</v>
          </cell>
          <cell r="U32">
            <v>2.3474539375825607</v>
          </cell>
          <cell r="V32">
            <v>934.75822722644239</v>
          </cell>
          <cell r="W32">
            <v>10.989229319395408</v>
          </cell>
          <cell r="X32">
            <v>4.5116022232044672</v>
          </cell>
          <cell r="Y32">
            <v>3.5889754964523406</v>
          </cell>
          <cell r="Z32">
            <v>178.87309143940715</v>
          </cell>
          <cell r="AA32">
            <v>0.22799139903061716</v>
          </cell>
          <cell r="AB32">
            <v>90.737699817022801</v>
          </cell>
          <cell r="AC32">
            <v>1.0761804349934785</v>
          </cell>
        </row>
        <row r="33">
          <cell r="R33">
            <v>50.362538194208312</v>
          </cell>
          <cell r="S33">
            <v>40.06335367699527</v>
          </cell>
          <cell r="T33">
            <v>1992.4387432933531</v>
          </cell>
          <cell r="U33">
            <v>2.5450438610421062</v>
          </cell>
          <cell r="V33">
            <v>1014.3432931320323</v>
          </cell>
          <cell r="W33">
            <v>11.935970668817131</v>
          </cell>
          <cell r="X33">
            <v>5.0026220459758557</v>
          </cell>
          <cell r="Y33">
            <v>3.9795813222796008</v>
          </cell>
          <cell r="Z33">
            <v>197.75149801485674</v>
          </cell>
          <cell r="AA33">
            <v>0.25280482246800096</v>
          </cell>
          <cell r="AB33">
            <v>100.73202495785831</v>
          </cell>
          <cell r="AC33">
            <v>1.1950726010390365</v>
          </cell>
        </row>
        <row r="34">
          <cell r="R34">
            <v>57.204802723731902</v>
          </cell>
          <cell r="S34">
            <v>45.506368934502433</v>
          </cell>
          <cell r="T34">
            <v>2254.7683642774846</v>
          </cell>
          <cell r="U34">
            <v>2.8908140299191936</v>
          </cell>
          <cell r="V34">
            <v>1153.7271184474155</v>
          </cell>
          <cell r="W34">
            <v>13.580437491001534</v>
          </cell>
          <cell r="X34">
            <v>5.5429777408102616</v>
          </cell>
          <cell r="Y34">
            <v>4.4094337898031473</v>
          </cell>
          <cell r="Z34">
            <v>218.46851414466082</v>
          </cell>
          <cell r="AA34">
            <v>0.28011140774403054</v>
          </cell>
          <cell r="AB34">
            <v>111.73961512804067</v>
          </cell>
          <cell r="AC34">
            <v>1.3249414490643336</v>
          </cell>
        </row>
        <row r="35">
          <cell r="R35">
            <v>64.861382657074415</v>
          </cell>
          <cell r="S35">
            <v>51.597171360758267</v>
          </cell>
          <cell r="T35">
            <v>2550.7209559772077</v>
          </cell>
          <cell r="U35">
            <v>3.2777351910566295</v>
          </cell>
          <cell r="V35">
            <v>1309.608539340642</v>
          </cell>
          <cell r="W35">
            <v>15.476682020825148</v>
          </cell>
          <cell r="X35">
            <v>6.256560918649372</v>
          </cell>
          <cell r="Y35">
            <v>4.9770885637043198</v>
          </cell>
          <cell r="Z35">
            <v>246.05090637635985</v>
          </cell>
          <cell r="AA35">
            <v>0.31617195098152762</v>
          </cell>
          <cell r="AB35">
            <v>126.26755849903147</v>
          </cell>
          <cell r="AC35">
            <v>1.5016689448041776</v>
          </cell>
        </row>
        <row r="36">
          <cell r="R36">
            <v>72.81009393300134</v>
          </cell>
          <cell r="S36">
            <v>57.920364006366484</v>
          </cell>
          <cell r="T36">
            <v>2860.4449192430766</v>
          </cell>
          <cell r="U36">
            <v>3.679419052937928</v>
          </cell>
          <cell r="V36">
            <v>1471.3437611498423</v>
          </cell>
          <cell r="W36">
            <v>17.503140248782106</v>
          </cell>
          <cell r="X36">
            <v>7.0389898143861291</v>
          </cell>
          <cell r="Y36">
            <v>5.5995100440539227</v>
          </cell>
          <cell r="Z36">
            <v>276.53848733747179</v>
          </cell>
          <cell r="AA36">
            <v>0.35571157565488826</v>
          </cell>
          <cell r="AB36">
            <v>142.18791421570768</v>
          </cell>
          <cell r="AC36">
            <v>1.70114272344789</v>
          </cell>
        </row>
        <row r="37">
          <cell r="R37">
            <v>78.568404266027017</v>
          </cell>
          <cell r="S37">
            <v>62.501094678920914</v>
          </cell>
          <cell r="T37">
            <v>3086.6049944181959</v>
          </cell>
          <cell r="U37">
            <v>3.9704121777587829</v>
          </cell>
          <cell r="V37">
            <v>1588.4426107979211</v>
          </cell>
          <cell r="W37">
            <v>19.01284762556768</v>
          </cell>
          <cell r="X37">
            <v>7.7906328890228851</v>
          </cell>
          <cell r="Y37">
            <v>6.197441431505311</v>
          </cell>
          <cell r="Z37">
            <v>306.05958717985999</v>
          </cell>
          <cell r="AA37">
            <v>0.39369545536766815</v>
          </cell>
          <cell r="AB37">
            <v>157.47304723139587</v>
          </cell>
          <cell r="AC37">
            <v>1.8982076659155955</v>
          </cell>
        </row>
        <row r="38">
          <cell r="R38">
            <v>84.708153410183883</v>
          </cell>
          <cell r="S38">
            <v>67.385259581449063</v>
          </cell>
          <cell r="T38">
            <v>3329.6392013240534</v>
          </cell>
          <cell r="U38">
            <v>4.2806811083559291</v>
          </cell>
          <cell r="V38">
            <v>1713.2266901464668</v>
          </cell>
          <cell r="W38">
            <v>20.666735836483863</v>
          </cell>
          <cell r="X38">
            <v>8.5678802424618681</v>
          </cell>
          <cell r="Y38">
            <v>6.8157409996338192</v>
          </cell>
          <cell r="Z38">
            <v>336.82594093105388</v>
          </cell>
          <cell r="AA38">
            <v>0.43297323357958106</v>
          </cell>
          <cell r="AB38">
            <v>173.26979937024828</v>
          </cell>
          <cell r="AC38">
            <v>2.1075778217047638</v>
          </cell>
        </row>
        <row r="39">
          <cell r="R39">
            <v>92.412182492034802</v>
          </cell>
          <cell r="S39">
            <v>73.513807762516421</v>
          </cell>
          <cell r="T39">
            <v>3636.9549131066619</v>
          </cell>
          <cell r="U39">
            <v>4.6700000867689226</v>
          </cell>
          <cell r="V39">
            <v>1869.7138682258942</v>
          </cell>
          <cell r="W39">
            <v>22.797109171888398</v>
          </cell>
          <cell r="X39">
            <v>9.3918461899663033</v>
          </cell>
          <cell r="Y39">
            <v>7.4712051671738688</v>
          </cell>
          <cell r="Z39">
            <v>369.6941555953112</v>
          </cell>
          <cell r="AA39">
            <v>0.47461191089003213</v>
          </cell>
          <cell r="AB39">
            <v>190.00651006910411</v>
          </cell>
          <cell r="AC39">
            <v>2.3354267907565589</v>
          </cell>
        </row>
        <row r="40">
          <cell r="R40">
            <v>105.01501013025187</v>
          </cell>
          <cell r="S40">
            <v>83.539345773588437</v>
          </cell>
          <cell r="T40">
            <v>4143.525663813768</v>
          </cell>
          <cell r="U40">
            <v>5.3068772232771995</v>
          </cell>
          <cell r="V40">
            <v>2125.5621055418105</v>
          </cell>
          <cell r="W40">
            <v>26.371762954351638</v>
          </cell>
          <cell r="X40">
            <v>10.316951705446604</v>
          </cell>
          <cell r="Y40">
            <v>8.2071257697516096</v>
          </cell>
          <cell r="Z40">
            <v>406.87877867458371</v>
          </cell>
          <cell r="AA40">
            <v>0.52136162203267045</v>
          </cell>
          <cell r="AB40">
            <v>208.78694746468778</v>
          </cell>
          <cell r="AC40">
            <v>2.5978228200461491</v>
          </cell>
        </row>
        <row r="41">
          <cell r="R41">
            <v>115.5571206328602</v>
          </cell>
          <cell r="S41">
            <v>91.925585163257139</v>
          </cell>
          <cell r="T41">
            <v>4570.4600309041798</v>
          </cell>
          <cell r="U41">
            <v>5.8396171243844144</v>
          </cell>
          <cell r="V41">
            <v>2339.4552509509572</v>
          </cell>
          <cell r="W41">
            <v>29.436458300236168</v>
          </cell>
          <cell r="X41">
            <v>11.386285726320651</v>
          </cell>
          <cell r="Y41">
            <v>9.0577800181915151</v>
          </cell>
          <cell r="Z41">
            <v>450.18466541302661</v>
          </cell>
          <cell r="AA41">
            <v>0.5753998433537304</v>
          </cell>
          <cell r="AB41">
            <v>230.48309807524805</v>
          </cell>
          <cell r="AC41">
            <v>2.9086887511287189</v>
          </cell>
        </row>
        <row r="42">
          <cell r="R42">
            <v>124.37892199734625</v>
          </cell>
          <cell r="S42">
            <v>98.94332018627567</v>
          </cell>
          <cell r="T42">
            <v>4930.3828620505319</v>
          </cell>
          <cell r="U42">
            <v>6.2854221257018432</v>
          </cell>
          <cell r="V42">
            <v>2518.3438740243369</v>
          </cell>
          <cell r="W42">
            <v>32.063061279607858</v>
          </cell>
          <cell r="X42">
            <v>12.450676577722591</v>
          </cell>
          <cell r="Y42">
            <v>9.9045019797779936</v>
          </cell>
          <cell r="Z42">
            <v>493.61100804471442</v>
          </cell>
          <cell r="AA42">
            <v>0.62918826425626173</v>
          </cell>
          <cell r="AB42">
            <v>252.06683204886929</v>
          </cell>
          <cell r="AC42">
            <v>3.2256004640542781</v>
          </cell>
        </row>
        <row r="43">
          <cell r="R43">
            <v>132.82680615074375</v>
          </cell>
          <cell r="S43">
            <v>105.66360440536552</v>
          </cell>
          <cell r="T43">
            <v>5277.5804499371161</v>
          </cell>
          <cell r="U43">
            <v>6.7123314212677236</v>
          </cell>
          <cell r="V43">
            <v>2689.5545346964368</v>
          </cell>
          <cell r="W43">
            <v>34.637383151243753</v>
          </cell>
          <cell r="X43">
            <v>13.523229492438249</v>
          </cell>
          <cell r="Y43">
            <v>10.757716855363576</v>
          </cell>
          <cell r="Z43">
            <v>537.69160599186284</v>
          </cell>
          <cell r="AA43">
            <v>0.68338915065149541</v>
          </cell>
          <cell r="AB43">
            <v>273.80393092473429</v>
          </cell>
          <cell r="AC43">
            <v>3.5524392767916559</v>
          </cell>
        </row>
        <row r="44">
          <cell r="R44">
            <v>147.21166490912952</v>
          </cell>
          <cell r="S44">
            <v>117.10674656409626</v>
          </cell>
          <cell r="T44">
            <v>5873.0642287496921</v>
          </cell>
          <cell r="U44">
            <v>7.4392625448304681</v>
          </cell>
          <cell r="V44">
            <v>2980.9260656623064</v>
          </cell>
          <cell r="W44">
            <v>39.12084997054734</v>
          </cell>
          <cell r="X44">
            <v>14.669807931661875</v>
          </cell>
          <cell r="Y44">
            <v>11.669818968880881</v>
          </cell>
          <cell r="Z44">
            <v>585.15601792401935</v>
          </cell>
          <cell r="AA44">
            <v>0.74133087723200586</v>
          </cell>
          <cell r="AB44">
            <v>297.0283727368091</v>
          </cell>
          <cell r="AC44">
            <v>3.9098043697920479</v>
          </cell>
        </row>
        <row r="45">
          <cell r="R45">
            <v>157.50449110735437</v>
          </cell>
          <cell r="S45">
            <v>125.29468051462828</v>
          </cell>
          <cell r="T45">
            <v>6302.1996703104678</v>
          </cell>
          <cell r="U45">
            <v>7.9594049972928422</v>
          </cell>
          <cell r="V45">
            <v>3189.2964811005877</v>
          </cell>
          <cell r="W45">
            <v>42.400038837603525</v>
          </cell>
          <cell r="X45">
            <v>15.93796605746992</v>
          </cell>
          <cell r="Y45">
            <v>12.678637613340026</v>
          </cell>
          <cell r="Z45">
            <v>638.02892054636993</v>
          </cell>
          <cell r="AA45">
            <v>0.80541656807769857</v>
          </cell>
          <cell r="AB45">
            <v>322.7012666948969</v>
          </cell>
          <cell r="AC45">
            <v>4.3138265428793368</v>
          </cell>
        </row>
      </sheetData>
      <sheetData sheetId="4">
        <row r="2">
          <cell r="R2">
            <v>1.388602397544016E-3</v>
          </cell>
          <cell r="S2">
            <v>1.407613219511533E-5</v>
          </cell>
          <cell r="T2">
            <v>7.0916542555695089E-4</v>
          </cell>
          <cell r="U2">
            <v>9.8562747679780023E-5</v>
          </cell>
          <cell r="V2">
            <v>2.131528589546035E-4</v>
          </cell>
          <cell r="W2">
            <v>7.6413289059197467E-4</v>
          </cell>
          <cell r="X2">
            <v>1.09738010253694E-4</v>
          </cell>
          <cell r="Y2">
            <v>1.112403911941939E-6</v>
          </cell>
          <cell r="Z2">
            <v>5.6043690316952058E-5</v>
          </cell>
          <cell r="AA2">
            <v>7.7891841715426044E-6</v>
          </cell>
          <cell r="AB2">
            <v>1.6844973523692209E-5</v>
          </cell>
          <cell r="AC2">
            <v>6.0387640933990942E-5</v>
          </cell>
        </row>
        <row r="3">
          <cell r="R3">
            <v>2.485778726819233E-3</v>
          </cell>
          <cell r="S3">
            <v>2.5198105684103062E-5</v>
          </cell>
          <cell r="T3">
            <v>1.269498260814647E-3</v>
          </cell>
          <cell r="U3">
            <v>1.7644012560584879E-4</v>
          </cell>
          <cell r="V3">
            <v>3.8157131464498903E-4</v>
          </cell>
          <cell r="W3">
            <v>1.3678971657084512E-3</v>
          </cell>
          <cell r="X3">
            <v>1.865737479308777E-4</v>
          </cell>
          <cell r="Y3">
            <v>1.8912805743804817E-6</v>
          </cell>
          <cell r="Z3">
            <v>9.5284043570119387E-5</v>
          </cell>
          <cell r="AA3">
            <v>1.3242970971032824E-5</v>
          </cell>
          <cell r="AB3">
            <v>2.8639391554904427E-5</v>
          </cell>
          <cell r="AC3">
            <v>1.026695168949404E-4</v>
          </cell>
        </row>
        <row r="4">
          <cell r="R4">
            <v>4.3143435454961621E-3</v>
          </cell>
          <cell r="S4">
            <v>4.3734095655427933E-5</v>
          </cell>
          <cell r="T4">
            <v>2.2033544532632774E-3</v>
          </cell>
          <cell r="U4">
            <v>3.0623132657031638E-4</v>
          </cell>
          <cell r="V4">
            <v>6.622591627821943E-4</v>
          </cell>
          <cell r="W4">
            <v>2.3741366212946579E-3</v>
          </cell>
          <cell r="X4">
            <v>2.889424173465508E-4</v>
          </cell>
          <cell r="Y4">
            <v>2.9289821697987625E-6</v>
          </cell>
          <cell r="Z4">
            <v>1.4756417871770653E-4</v>
          </cell>
          <cell r="AA4">
            <v>2.0509080659290061E-5</v>
          </cell>
          <cell r="AB4">
            <v>4.4353158571238375E-5</v>
          </cell>
          <cell r="AC4">
            <v>1.5900188921764703E-4</v>
          </cell>
        </row>
        <row r="5">
          <cell r="R5">
            <v>7.3326185782260061E-3</v>
          </cell>
          <cell r="S5">
            <v>7.4330066422196426E-5</v>
          </cell>
          <cell r="T5">
            <v>3.7448009478246785E-3</v>
          </cell>
          <cell r="U5">
            <v>5.2046794390965925E-4</v>
          </cell>
          <cell r="V5">
            <v>1.1255695772504027E-3</v>
          </cell>
          <cell r="W5">
            <v>4.0350607486335181E-3</v>
          </cell>
          <cell r="X5">
            <v>4.4282041836805018E-4</v>
          </cell>
          <cell r="Y5">
            <v>4.4888290259828478E-6</v>
          </cell>
          <cell r="Z5">
            <v>2.2615035880155988E-4</v>
          </cell>
          <cell r="AA5">
            <v>3.143131341286719E-5</v>
          </cell>
          <cell r="AB5">
            <v>6.7973696679168803E-5</v>
          </cell>
          <cell r="AC5">
            <v>2.4367928998192596E-4</v>
          </cell>
        </row>
        <row r="6">
          <cell r="R6">
            <v>1.2134386249969566E-2</v>
          </cell>
          <cell r="S6">
            <v>1.2300513470469304E-4</v>
          </cell>
          <cell r="T6">
            <v>6.1970850720494408E-3</v>
          </cell>
          <cell r="U6">
            <v>8.6129654703180191E-4</v>
          </cell>
          <cell r="V6">
            <v>1.8626491826710658E-3</v>
          </cell>
          <cell r="W6">
            <v>6.6774215982547628E-3</v>
          </cell>
          <cell r="X6">
            <v>6.4710713440537351E-4</v>
          </cell>
          <cell r="Y6">
            <v>6.5596642958436006E-6</v>
          </cell>
          <cell r="Z6">
            <v>3.3048049402995472E-4</v>
          </cell>
          <cell r="AA6">
            <v>4.5931547664752339E-5</v>
          </cell>
          <cell r="AB6">
            <v>9.9332059337060185E-5</v>
          </cell>
          <cell r="AC6">
            <v>3.5609606177436685E-4</v>
          </cell>
        </row>
        <row r="7">
          <cell r="R7">
            <v>2.5526038627036906E-2</v>
          </cell>
          <cell r="S7">
            <v>2.5875505815580466E-4</v>
          </cell>
          <cell r="T7">
            <v>1.3194668038932721E-2</v>
          </cell>
          <cell r="U7">
            <v>1.8118336169596076E-3</v>
          </cell>
          <cell r="V7">
            <v>3.897907079023104E-3</v>
          </cell>
          <cell r="W7">
            <v>1.4149235491577691E-2</v>
          </cell>
          <cell r="X7">
            <v>1.4550177878749171E-3</v>
          </cell>
          <cell r="Y7">
            <v>1.4749378774367557E-5</v>
          </cell>
          <cell r="Z7">
            <v>7.5264063292090119E-4</v>
          </cell>
          <cell r="AA7">
            <v>1.0327690010441694E-4</v>
          </cell>
          <cell r="AB7">
            <v>2.2211799274708747E-4</v>
          </cell>
          <cell r="AC7">
            <v>8.0686627856215506E-4</v>
          </cell>
        </row>
        <row r="8">
          <cell r="R8">
            <v>5.3425872489601539E-2</v>
          </cell>
          <cell r="S8">
            <v>5.4157305585320992E-4</v>
          </cell>
          <cell r="T8">
            <v>2.8102649007009511E-2</v>
          </cell>
          <cell r="U8">
            <v>3.7921587915145326E-3</v>
          </cell>
          <cell r="V8">
            <v>8.0957262996167768E-3</v>
          </cell>
          <cell r="W8">
            <v>2.9929032233334683E-2</v>
          </cell>
          <cell r="X8">
            <v>3.4142185191969139E-3</v>
          </cell>
          <cell r="Y8">
            <v>3.4609612733081362E-5</v>
          </cell>
          <cell r="Z8">
            <v>1.7995188100121532E-3</v>
          </cell>
          <cell r="AA8">
            <v>2.4234061458227525E-4</v>
          </cell>
          <cell r="AB8">
            <v>5.1690005229117425E-4</v>
          </cell>
          <cell r="AC8">
            <v>1.9149656840587912E-3</v>
          </cell>
        </row>
        <row r="9">
          <cell r="R9">
            <v>7.6516992783230903E-2</v>
          </cell>
          <cell r="S9">
            <v>7.7564557536010086E-4</v>
          </cell>
          <cell r="T9">
            <v>4.0713244777407974E-2</v>
          </cell>
          <cell r="U9">
            <v>5.4311623444176565E-3</v>
          </cell>
          <cell r="V9">
            <v>1.1535010792239342E-2</v>
          </cell>
          <cell r="W9">
            <v>4.3165203930486125E-2</v>
          </cell>
          <cell r="X9">
            <v>4.7427813906713301E-3</v>
          </cell>
          <cell r="Y9">
            <v>4.8077129886639442E-5</v>
          </cell>
          <cell r="Z9">
            <v>2.5250777744399637E-3</v>
          </cell>
          <cell r="AA9">
            <v>3.3664176753250711E-4</v>
          </cell>
          <cell r="AB9">
            <v>7.1478155926148353E-4</v>
          </cell>
          <cell r="AC9">
            <v>2.676517572996267E-3</v>
          </cell>
        </row>
        <row r="10">
          <cell r="R10">
            <v>0.12678173104020335</v>
          </cell>
          <cell r="S10">
            <v>1.2851745101433115E-3</v>
          </cell>
          <cell r="T10">
            <v>6.8755163972797559E-2</v>
          </cell>
          <cell r="U10">
            <v>8.9989443983551805E-3</v>
          </cell>
          <cell r="V10">
            <v>1.894557004136041E-2</v>
          </cell>
          <cell r="W10">
            <v>7.2360351278488402E-2</v>
          </cell>
          <cell r="X10">
            <v>8.0769281658570717E-3</v>
          </cell>
          <cell r="Y10">
            <v>8.1875062864746894E-5</v>
          </cell>
          <cell r="Z10">
            <v>4.3851466357825008E-3</v>
          </cell>
          <cell r="AA10">
            <v>5.7329890416946724E-4</v>
          </cell>
          <cell r="AB10">
            <v>1.2063367345110541E-3</v>
          </cell>
          <cell r="AC10">
            <v>4.6130820465596356E-3</v>
          </cell>
        </row>
        <row r="11">
          <cell r="R11">
            <v>0.1921115582395016</v>
          </cell>
          <cell r="S11">
            <v>1.9474168378015525E-3</v>
          </cell>
          <cell r="T11">
            <v>0.10596857049274096</v>
          </cell>
          <cell r="U11">
            <v>1.3636043747741806E-2</v>
          </cell>
          <cell r="V11">
            <v>2.8478498093226771E-2</v>
          </cell>
          <cell r="W11">
            <v>0.11080211704190047</v>
          </cell>
          <cell r="X11">
            <v>1.2575617043882565E-2</v>
          </cell>
          <cell r="Y11">
            <v>1.2747784985674807E-4</v>
          </cell>
          <cell r="Z11">
            <v>6.9477056567025649E-3</v>
          </cell>
          <cell r="AA11">
            <v>8.9261502918761113E-4</v>
          </cell>
          <cell r="AB11">
            <v>1.8627853926579574E-3</v>
          </cell>
          <cell r="AC11">
            <v>7.2602273323408382E-3</v>
          </cell>
        </row>
        <row r="12">
          <cell r="R12">
            <v>0.24647774739367004</v>
          </cell>
          <cell r="S12">
            <v>2.4985217954425773E-3</v>
          </cell>
          <cell r="T12">
            <v>0.13757382504991664</v>
          </cell>
          <cell r="U12">
            <v>1.7494946046478218E-2</v>
          </cell>
          <cell r="V12">
            <v>3.6329643503500403E-2</v>
          </cell>
          <cell r="W12">
            <v>0.1432049031680977</v>
          </cell>
          <cell r="X12">
            <v>1.6168712857845609E-2</v>
          </cell>
          <cell r="Y12">
            <v>1.63900724940727E-4</v>
          </cell>
          <cell r="Z12">
            <v>9.036516912657909E-3</v>
          </cell>
          <cell r="AA12">
            <v>1.1476523218836923E-3</v>
          </cell>
          <cell r="AB12">
            <v>2.3816725566722192E-3</v>
          </cell>
          <cell r="AC12">
            <v>9.4017479539283515E-3</v>
          </cell>
        </row>
        <row r="13">
          <cell r="R13">
            <v>0.33684517005573583</v>
          </cell>
          <cell r="S13">
            <v>3.4145678787367542E-3</v>
          </cell>
          <cell r="T13">
            <v>0.19116484993120333</v>
          </cell>
          <cell r="U13">
            <v>2.3909209405137657E-2</v>
          </cell>
          <cell r="V13">
            <v>4.9243819293090803E-2</v>
          </cell>
          <cell r="W13">
            <v>0.19774882154765894</v>
          </cell>
          <cell r="X13">
            <v>2.2270998575600075E-2</v>
          </cell>
          <cell r="Y13">
            <v>2.2575902261283176E-4</v>
          </cell>
          <cell r="Z13">
            <v>1.2655384598592022E-2</v>
          </cell>
          <cell r="AA13">
            <v>1.5807914613038326E-3</v>
          </cell>
          <cell r="AB13">
            <v>3.2537345028459804E-3</v>
          </cell>
          <cell r="AC13">
            <v>1.3084962151180008E-2</v>
          </cell>
        </row>
        <row r="14">
          <cell r="R14">
            <v>0.45604149979942565</v>
          </cell>
          <cell r="S14">
            <v>4.6228498877641452E-3</v>
          </cell>
          <cell r="T14">
            <v>0.26324372358777104</v>
          </cell>
          <cell r="U14">
            <v>3.2369743387840044E-2</v>
          </cell>
          <cell r="V14">
            <v>6.6098826499157326E-2</v>
          </cell>
          <cell r="W14">
            <v>0.27059382992843162</v>
          </cell>
          <cell r="X14">
            <v>2.816361737587398E-2</v>
          </cell>
          <cell r="Y14">
            <v>2.8549194641793287E-4</v>
          </cell>
          <cell r="Z14">
            <v>1.6218693359227276E-2</v>
          </cell>
          <cell r="AA14">
            <v>1.999048480744212E-3</v>
          </cell>
          <cell r="AB14">
            <v>4.0869827459319025E-3</v>
          </cell>
          <cell r="AC14">
            <v>1.6686145734715434E-2</v>
          </cell>
        </row>
        <row r="15">
          <cell r="R15">
            <v>0.61311845834091427</v>
          </cell>
          <cell r="S15">
            <v>6.2151242761327979E-3</v>
          </cell>
          <cell r="T15">
            <v>0.35788974082048824</v>
          </cell>
          <cell r="U15">
            <v>4.3519037569107841E-2</v>
          </cell>
          <cell r="V15">
            <v>8.8271191507008115E-2</v>
          </cell>
          <cell r="W15">
            <v>0.37031417213696582</v>
          </cell>
          <cell r="X15">
            <v>3.9406058026247553E-2</v>
          </cell>
          <cell r="Y15">
            <v>3.9945551228119896E-4</v>
          </cell>
          <cell r="Z15">
            <v>2.2992775576079025E-2</v>
          </cell>
          <cell r="AA15">
            <v>2.7970348900198364E-3</v>
          </cell>
          <cell r="AB15">
            <v>5.673921403222891E-3</v>
          </cell>
          <cell r="AC15">
            <v>2.3823411692270077E-2</v>
          </cell>
        </row>
        <row r="16">
          <cell r="R16">
            <v>1.0254463875374249</v>
          </cell>
          <cell r="S16">
            <v>1.0394853800850302E-2</v>
          </cell>
          <cell r="T16">
            <v>0.60545808489981867</v>
          </cell>
          <cell r="U16">
            <v>7.2785999601292894E-2</v>
          </cell>
          <cell r="V16">
            <v>0.1463724956682062</v>
          </cell>
          <cell r="W16">
            <v>0.64171329033073476</v>
          </cell>
          <cell r="X16">
            <v>6.7339642480970782E-2</v>
          </cell>
          <cell r="Y16">
            <v>6.8261563656410364E-4</v>
          </cell>
          <cell r="Z16">
            <v>3.9764550558995901E-2</v>
          </cell>
          <cell r="AA16">
            <v>4.7797556755177174E-3</v>
          </cell>
          <cell r="AB16">
            <v>9.6100546888798453E-3</v>
          </cell>
          <cell r="AC16">
            <v>4.220962725563536E-2</v>
          </cell>
        </row>
        <row r="17">
          <cell r="R17">
            <v>1.4160780832566728</v>
          </cell>
          <cell r="S17">
            <v>1.4354650642819895E-2</v>
          </cell>
          <cell r="T17">
            <v>0.83918018133898731</v>
          </cell>
          <cell r="U17">
            <v>0.10051296689516898</v>
          </cell>
          <cell r="V17">
            <v>0.2013220423874312</v>
          </cell>
          <cell r="W17">
            <v>0.90782227588731423</v>
          </cell>
          <cell r="X17">
            <v>0.10132549391577528</v>
          </cell>
          <cell r="Y17">
            <v>1.0271270232691623E-3</v>
          </cell>
          <cell r="Z17">
            <v>6.0098907790267636E-2</v>
          </cell>
          <cell r="AA17">
            <v>7.1920652794588598E-3</v>
          </cell>
          <cell r="AB17">
            <v>1.4390790997977587E-2</v>
          </cell>
          <cell r="AC17">
            <v>6.536171795308976E-2</v>
          </cell>
        </row>
        <row r="18">
          <cell r="R18">
            <v>1.7864299408972948</v>
          </cell>
          <cell r="S18">
            <v>1.8108872669280629E-2</v>
          </cell>
          <cell r="T18">
            <v>1.0600029696176099</v>
          </cell>
          <cell r="U18">
            <v>0.12680047494061966</v>
          </cell>
          <cell r="V18">
            <v>0.25333054989264608</v>
          </cell>
          <cell r="W18">
            <v>1.1685145651759468</v>
          </cell>
          <cell r="X18">
            <v>0.13618753465121664</v>
          </cell>
          <cell r="Y18">
            <v>1.3805202586916966E-3</v>
          </cell>
          <cell r="Z18">
            <v>8.0885446001055558E-2</v>
          </cell>
          <cell r="AA18">
            <v>9.6665666418984299E-3</v>
          </cell>
          <cell r="AB18">
            <v>1.9286467014798615E-2</v>
          </cell>
          <cell r="AC18">
            <v>8.9901260609886E-2</v>
          </cell>
        </row>
        <row r="19">
          <cell r="R19">
            <v>2.095822081298528</v>
          </cell>
          <cell r="S19">
            <v>2.1245151762648243E-2</v>
          </cell>
          <cell r="T19">
            <v>1.2438482739826824</v>
          </cell>
          <cell r="U19">
            <v>0.14876107325328908</v>
          </cell>
          <cell r="V19">
            <v>0.29670579079246495</v>
          </cell>
          <cell r="W19">
            <v>1.3932107163098186</v>
          </cell>
          <cell r="X19">
            <v>0.16798880336684141</v>
          </cell>
          <cell r="Y19">
            <v>1.702886735377353E-3</v>
          </cell>
          <cell r="Z19">
            <v>9.9782221848811359E-2</v>
          </cell>
          <cell r="AA19">
            <v>1.1923814958521512E-2</v>
          </cell>
          <cell r="AB19">
            <v>2.3744846887251897E-2</v>
          </cell>
          <cell r="AC19">
            <v>0.11299694323552781</v>
          </cell>
        </row>
        <row r="20">
          <cell r="R20">
            <v>2.7370802958164453</v>
          </cell>
          <cell r="S20">
            <v>2.7745526106465197E-2</v>
          </cell>
          <cell r="T20">
            <v>1.6236060321642078</v>
          </cell>
          <cell r="U20">
            <v>0.19427746563954973</v>
          </cell>
          <cell r="V20">
            <v>0.38645852131567082</v>
          </cell>
          <cell r="W20">
            <v>1.8730465943358761</v>
          </cell>
          <cell r="X20">
            <v>0.22629051216004922</v>
          </cell>
          <cell r="Y20">
            <v>2.2938856862835268E-3</v>
          </cell>
          <cell r="Z20">
            <v>0.13430891597639527</v>
          </cell>
          <cell r="AA20">
            <v>1.6062059731286139E-2</v>
          </cell>
          <cell r="AB20">
            <v>3.1904956870861312E-2</v>
          </cell>
          <cell r="AC20">
            <v>0.15662250778324985</v>
          </cell>
        </row>
        <row r="21">
          <cell r="R21">
            <v>3.1033897109395934</v>
          </cell>
          <cell r="S21">
            <v>3.1458770272475914E-2</v>
          </cell>
          <cell r="T21">
            <v>1.839812412386332</v>
          </cell>
          <cell r="U21">
            <v>0.22027804184434935</v>
          </cell>
          <cell r="V21">
            <v>0.43764486184617751</v>
          </cell>
          <cell r="W21">
            <v>2.1550966946736727</v>
          </cell>
          <cell r="X21">
            <v>0.26966193799320781</v>
          </cell>
          <cell r="Y21">
            <v>2.7335377599065872E-3</v>
          </cell>
          <cell r="Z21">
            <v>0.15990798222291003</v>
          </cell>
          <cell r="AA21">
            <v>1.9140555712905238E-2</v>
          </cell>
          <cell r="AB21">
            <v>3.7965474237698117E-2</v>
          </cell>
          <cell r="AC21">
            <v>0.19001754078812946</v>
          </cell>
        </row>
        <row r="22">
          <cell r="R22">
            <v>3.510256001534334</v>
          </cell>
          <cell r="S22">
            <v>3.5583135679216643E-2</v>
          </cell>
          <cell r="T22">
            <v>2.0791631834428959</v>
          </cell>
          <cell r="U22">
            <v>0.24915733775383689</v>
          </cell>
          <cell r="V22">
            <v>0.49440689886265232</v>
          </cell>
          <cell r="W22">
            <v>2.4770796693363208</v>
          </cell>
          <cell r="X22">
            <v>0.31693351607601072</v>
          </cell>
          <cell r="Y22">
            <v>3.2127253108874352E-3</v>
          </cell>
          <cell r="Z22">
            <v>0.18771684455613596</v>
          </cell>
          <cell r="AA22">
            <v>2.2495883797633422E-2</v>
          </cell>
          <cell r="AB22">
            <v>4.4560346132936718E-2</v>
          </cell>
          <cell r="AC22">
            <v>0.22742698875652614</v>
          </cell>
        </row>
        <row r="23">
          <cell r="R23">
            <v>3.9716715071293192</v>
          </cell>
          <cell r="S23">
            <v>4.0260461359424619E-2</v>
          </cell>
          <cell r="T23">
            <v>2.3479744043276303</v>
          </cell>
          <cell r="U23">
            <v>0.28190852710359821</v>
          </cell>
          <cell r="V23">
            <v>0.55924974282921258</v>
          </cell>
          <cell r="W23">
            <v>2.8502427039398204</v>
          </cell>
          <cell r="X23">
            <v>0.36841992044361432</v>
          </cell>
          <cell r="Y23">
            <v>3.7346381603909082E-3</v>
          </cell>
          <cell r="Z23">
            <v>0.2177117689771827</v>
          </cell>
          <cell r="AA23">
            <v>2.6150379491720239E-2</v>
          </cell>
          <cell r="AB23">
            <v>5.179574425962688E-2</v>
          </cell>
          <cell r="AC23">
            <v>0.26906586448061637</v>
          </cell>
        </row>
        <row r="24">
          <cell r="R24">
            <v>4.3752932656312575</v>
          </cell>
          <cell r="S24">
            <v>4.4351937248812971E-2</v>
          </cell>
          <cell r="T24">
            <v>2.5808849463065027</v>
          </cell>
          <cell r="U24">
            <v>0.31055752671043824</v>
          </cell>
          <cell r="V24">
            <v>0.61637013344413805</v>
          </cell>
          <cell r="W24">
            <v>3.1834632640088292</v>
          </cell>
          <cell r="X24">
            <v>0.4198172053294254</v>
          </cell>
          <cell r="Y24">
            <v>4.2556476140705726E-3</v>
          </cell>
          <cell r="Z24">
            <v>0.24737064941868214</v>
          </cell>
          <cell r="AA24">
            <v>2.9798549501066193E-2</v>
          </cell>
          <cell r="AB24">
            <v>5.9069467559680421E-2</v>
          </cell>
          <cell r="AC24">
            <v>0.31149824503225632</v>
          </cell>
        </row>
        <row r="25">
          <cell r="R25">
            <v>4.8140592419654169</v>
          </cell>
          <cell r="S25">
            <v>4.8799666776373936E-2</v>
          </cell>
          <cell r="T25">
            <v>2.8317217789947513</v>
          </cell>
          <cell r="U25">
            <v>0.34170105655914373</v>
          </cell>
          <cell r="V25">
            <v>0.67888536192933602</v>
          </cell>
          <cell r="W25">
            <v>3.5528686447491022</v>
          </cell>
          <cell r="X25">
            <v>0.47340769590246989</v>
          </cell>
          <cell r="Y25">
            <v>4.7988893879876053E-3</v>
          </cell>
          <cell r="Z25">
            <v>0.27800763961984187</v>
          </cell>
          <cell r="AA25">
            <v>3.3602392854447112E-2</v>
          </cell>
          <cell r="AB25">
            <v>6.6705022601569616E-2</v>
          </cell>
          <cell r="AC25">
            <v>0.35661709344341169</v>
          </cell>
        </row>
        <row r="26">
          <cell r="R26">
            <v>5.2995776701924937</v>
          </cell>
          <cell r="S26">
            <v>5.3721321521444557E-2</v>
          </cell>
          <cell r="T26">
            <v>3.1067577944072653</v>
          </cell>
          <cell r="U26">
            <v>0.37616306700926749</v>
          </cell>
          <cell r="V26">
            <v>0.74851439977773082</v>
          </cell>
          <cell r="W26">
            <v>3.969339081933279</v>
          </cell>
          <cell r="X26">
            <v>0.53016627309330777</v>
          </cell>
          <cell r="Y26">
            <v>5.3742457586506247E-3</v>
          </cell>
          <cell r="Z26">
            <v>0.31016018420616304</v>
          </cell>
          <cell r="AA26">
            <v>3.763110642444982E-2</v>
          </cell>
          <cell r="AB26">
            <v>7.4844868361643474E-2</v>
          </cell>
          <cell r="AC26">
            <v>0.40530375100847638</v>
          </cell>
        </row>
        <row r="27">
          <cell r="R27">
            <v>5.7972042882021819</v>
          </cell>
          <cell r="S27">
            <v>5.8765715850088579E-2</v>
          </cell>
          <cell r="T27">
            <v>3.3877084171127132</v>
          </cell>
          <cell r="U27">
            <v>0.41148451458589569</v>
          </cell>
          <cell r="V27">
            <v>0.81995227937396953</v>
          </cell>
          <cell r="W27">
            <v>4.3925449913574024</v>
          </cell>
          <cell r="X27">
            <v>0.5904668212486931</v>
          </cell>
          <cell r="Y27">
            <v>5.9855067565967391E-3</v>
          </cell>
          <cell r="Z27">
            <v>0.34420473877901658</v>
          </cell>
          <cell r="AA27">
            <v>4.1911228454559794E-2</v>
          </cell>
          <cell r="AB27">
            <v>8.3501445688517389E-2</v>
          </cell>
          <cell r="AC27">
            <v>0.45658627368168303</v>
          </cell>
        </row>
        <row r="28">
          <cell r="R28">
            <v>6.5637277767339208</v>
          </cell>
          <cell r="S28">
            <v>6.653589252147929E-2</v>
          </cell>
          <cell r="T28">
            <v>3.8190612020428647</v>
          </cell>
          <cell r="U28">
            <v>0.46589221352434129</v>
          </cell>
          <cell r="V28">
            <v>0.93010045672798869</v>
          </cell>
          <cell r="W28">
            <v>5.0389759069773143</v>
          </cell>
          <cell r="X28">
            <v>0.66201601097967799</v>
          </cell>
          <cell r="Y28">
            <v>6.7107941786032303E-3</v>
          </cell>
          <cell r="Z28">
            <v>0.38446826978844922</v>
          </cell>
          <cell r="AA28">
            <v>4.6989777034499317E-2</v>
          </cell>
          <cell r="AB28">
            <v>9.378294776632172E-2</v>
          </cell>
          <cell r="AC28">
            <v>0.51692572696870154</v>
          </cell>
        </row>
        <row r="29">
          <cell r="R29">
            <v>7.4853601761290722</v>
          </cell>
          <cell r="S29">
            <v>7.5878393666610922E-2</v>
          </cell>
          <cell r="T29">
            <v>4.3360514141718225</v>
          </cell>
          <cell r="U29">
            <v>0.53130951497489221</v>
          </cell>
          <cell r="V29">
            <v>1.0626638753207984</v>
          </cell>
          <cell r="W29">
            <v>5.8098424283916188</v>
          </cell>
          <cell r="X29">
            <v>0.7487918082543501</v>
          </cell>
          <cell r="Y29">
            <v>7.5904322923895746E-3</v>
          </cell>
          <cell r="Z29">
            <v>0.43314520201233192</v>
          </cell>
          <cell r="AA29">
            <v>5.3149107471075312E-2</v>
          </cell>
          <cell r="AB29">
            <v>0.10626438434059637</v>
          </cell>
          <cell r="AC29">
            <v>0.58950624500602267</v>
          </cell>
        </row>
        <row r="30">
          <cell r="R30">
            <v>8.5247559079285242</v>
          </cell>
          <cell r="S30">
            <v>8.6414650661215425E-2</v>
          </cell>
          <cell r="T30">
            <v>4.9172951133269533</v>
          </cell>
          <cell r="U30">
            <v>0.60508563651550218</v>
          </cell>
          <cell r="V30">
            <v>1.2123042507743271</v>
          </cell>
          <cell r="W30">
            <v>6.6722269789436304</v>
          </cell>
          <cell r="X30">
            <v>0.84414191880834732</v>
          </cell>
          <cell r="Y30">
            <v>8.556987415260434E-3</v>
          </cell>
          <cell r="Z30">
            <v>0.48646623198934308</v>
          </cell>
          <cell r="AA30">
            <v>5.9917041117448604E-2</v>
          </cell>
          <cell r="AB30">
            <v>0.11999180875298432</v>
          </cell>
          <cell r="AC30">
            <v>0.66861804017650672</v>
          </cell>
        </row>
        <row r="31">
          <cell r="R31">
            <v>9.7829136882531049</v>
          </cell>
          <cell r="S31">
            <v>9.9168478012719968E-2</v>
          </cell>
          <cell r="T31">
            <v>5.6187490080863451</v>
          </cell>
          <cell r="U31">
            <v>0.69438944879669395</v>
          </cell>
          <cell r="V31">
            <v>1.3936023219111018</v>
          </cell>
          <cell r="W31">
            <v>7.7079059294863024</v>
          </cell>
          <cell r="X31">
            <v>0.95605829971582412</v>
          </cell>
          <cell r="Y31">
            <v>9.6914732660977974E-3</v>
          </cell>
          <cell r="Z31">
            <v>0.5488623658467936</v>
          </cell>
          <cell r="AA31">
            <v>6.786084564502802E-2</v>
          </cell>
          <cell r="AB31">
            <v>0.13611873997293006</v>
          </cell>
          <cell r="AC31">
            <v>0.7607443551263593</v>
          </cell>
        </row>
        <row r="32">
          <cell r="R32">
            <v>11.412214438403945</v>
          </cell>
          <cell r="S32">
            <v>0.11568454682067175</v>
          </cell>
          <cell r="T32">
            <v>6.5244496063648434</v>
          </cell>
          <cell r="U32">
            <v>0.81003692212355971</v>
          </cell>
          <cell r="V32">
            <v>1.6285863634324724</v>
          </cell>
          <cell r="W32">
            <v>9.0387600462559625</v>
          </cell>
          <cell r="X32">
            <v>1.1083867053547307</v>
          </cell>
          <cell r="Y32">
            <v>1.123561201930518E-2</v>
          </cell>
          <cell r="Z32">
            <v>0.63353913783575555</v>
          </cell>
          <cell r="AA32">
            <v>7.8673088397889043E-2</v>
          </cell>
          <cell r="AB32">
            <v>0.15808813045668399</v>
          </cell>
          <cell r="AC32">
            <v>0.88517005475654065</v>
          </cell>
        </row>
        <row r="33">
          <cell r="R33">
            <v>12.372803500999277</v>
          </cell>
          <cell r="S33">
            <v>0.12542194800490469</v>
          </cell>
          <cell r="T33">
            <v>7.0568910810390078</v>
          </cell>
          <cell r="U33">
            <v>0.87821936050044513</v>
          </cell>
          <cell r="V33">
            <v>1.7672437716173595</v>
          </cell>
          <cell r="W33">
            <v>9.81746505227383</v>
          </cell>
          <cell r="X33">
            <v>1.229017872886802</v>
          </cell>
          <cell r="Y33">
            <v>1.2458438844345797E-2</v>
          </cell>
          <cell r="Z33">
            <v>0.70040335608836335</v>
          </cell>
          <cell r="AA33">
            <v>8.7235466907972195E-2</v>
          </cell>
          <cell r="AB33">
            <v>0.17550078451202195</v>
          </cell>
          <cell r="AC33">
            <v>0.98296014804076581</v>
          </cell>
        </row>
        <row r="34">
          <cell r="R34">
            <v>14.053775063615799</v>
          </cell>
          <cell r="S34">
            <v>0.14246179898994502</v>
          </cell>
          <cell r="T34">
            <v>7.9860195517870274</v>
          </cell>
          <cell r="U34">
            <v>0.9975344187749331</v>
          </cell>
          <cell r="V34">
            <v>2.0100858141690718</v>
          </cell>
          <cell r="W34">
            <v>11.170056810780482</v>
          </cell>
          <cell r="X34">
            <v>1.3617696179845278</v>
          </cell>
          <cell r="Y34">
            <v>1.3804130826754038E-2</v>
          </cell>
          <cell r="Z34">
            <v>0.77377962767727138</v>
          </cell>
          <cell r="AA34">
            <v>9.6658161827165495E-2</v>
          </cell>
          <cell r="AB34">
            <v>0.19467880372946564</v>
          </cell>
          <cell r="AC34">
            <v>1.0897786810485859</v>
          </cell>
        </row>
        <row r="35">
          <cell r="R35">
            <v>15.934803351738008</v>
          </cell>
          <cell r="S35">
            <v>0.16152960622777635</v>
          </cell>
          <cell r="T35">
            <v>9.0342350674741034</v>
          </cell>
          <cell r="U35">
            <v>1.1310494673364426</v>
          </cell>
          <cell r="V35">
            <v>2.2816708604247684</v>
          </cell>
          <cell r="W35">
            <v>12.729738458687349</v>
          </cell>
          <cell r="X35">
            <v>1.5370789800142055</v>
          </cell>
          <cell r="Y35">
            <v>1.5581225378323005E-2</v>
          </cell>
          <cell r="Z35">
            <v>0.87147193485047025</v>
          </cell>
          <cell r="AA35">
            <v>0.10910158871897786</v>
          </cell>
          <cell r="AB35">
            <v>0.2199901727803884</v>
          </cell>
          <cell r="AC35">
            <v>1.2351389589298429</v>
          </cell>
        </row>
        <row r="36">
          <cell r="R36">
            <v>17.88760093163701</v>
          </cell>
          <cell r="S36">
            <v>0.18132493204139777</v>
          </cell>
          <cell r="T36">
            <v>10.131226521445825</v>
          </cell>
          <cell r="U36">
            <v>1.2696586872813977</v>
          </cell>
          <cell r="V36">
            <v>2.5634547153866376</v>
          </cell>
          <cell r="W36">
            <v>14.396522282548052</v>
          </cell>
          <cell r="X36">
            <v>1.7293019959218516</v>
          </cell>
          <cell r="Y36">
            <v>1.7529772052047164E-2</v>
          </cell>
          <cell r="Z36">
            <v>0.97945394377853534</v>
          </cell>
          <cell r="AA36">
            <v>0.12274554371189809</v>
          </cell>
          <cell r="AB36">
            <v>0.24772747796368069</v>
          </cell>
          <cell r="AC36">
            <v>1.3992083006714244</v>
          </cell>
        </row>
        <row r="37">
          <cell r="R37">
            <v>19.302272328331899</v>
          </cell>
          <cell r="S37">
            <v>0.19566532323454672</v>
          </cell>
          <cell r="T37">
            <v>10.932248396152179</v>
          </cell>
          <cell r="U37">
            <v>1.3700718078181717</v>
          </cell>
          <cell r="V37">
            <v>2.767470667486188</v>
          </cell>
          <cell r="W37">
            <v>15.638272938778609</v>
          </cell>
          <cell r="X37">
            <v>1.913961713220155</v>
          </cell>
          <cell r="Y37">
            <v>1.9401650277521099E-2</v>
          </cell>
          <cell r="Z37">
            <v>1.0840128351780582</v>
          </cell>
          <cell r="AA37">
            <v>0.13585265713391367</v>
          </cell>
          <cell r="AB37">
            <v>0.27435806378528155</v>
          </cell>
          <cell r="AC37">
            <v>1.5612963485885849</v>
          </cell>
        </row>
        <row r="38">
          <cell r="R38">
            <v>20.810653605962131</v>
          </cell>
          <cell r="S38">
            <v>0.21095564269684414</v>
          </cell>
          <cell r="T38">
            <v>11.793035676501114</v>
          </cell>
          <cell r="U38">
            <v>1.477136438798877</v>
          </cell>
          <cell r="V38">
            <v>2.9848762426192401</v>
          </cell>
          <cell r="W38">
            <v>16.998613891480229</v>
          </cell>
          <cell r="X38">
            <v>2.1049117550684864</v>
          </cell>
          <cell r="Y38">
            <v>2.1337292932664013E-2</v>
          </cell>
          <cell r="Z38">
            <v>1.1929822115835866</v>
          </cell>
          <cell r="AA38">
            <v>0.14940625665774276</v>
          </cell>
          <cell r="AB38">
            <v>0.30188002012707432</v>
          </cell>
          <cell r="AC38">
            <v>1.7335055676359528</v>
          </cell>
        </row>
        <row r="39">
          <cell r="R39">
            <v>22.703338951330348</v>
          </cell>
          <cell r="S39">
            <v>0.23014161643006037</v>
          </cell>
          <cell r="T39">
            <v>12.881497498899307</v>
          </cell>
          <cell r="U39">
            <v>1.6114789031808254</v>
          </cell>
          <cell r="V39">
            <v>3.2575166718223807</v>
          </cell>
          <cell r="W39">
            <v>18.750869015838937</v>
          </cell>
          <cell r="X39">
            <v>2.3073393753896454</v>
          </cell>
          <cell r="Y39">
            <v>2.3389282723710679E-2</v>
          </cell>
          <cell r="Z39">
            <v>1.3093960344399327</v>
          </cell>
          <cell r="AA39">
            <v>0.16377453263106742</v>
          </cell>
          <cell r="AB39">
            <v>0.3310396231334547</v>
          </cell>
          <cell r="AC39">
            <v>1.9209138105789878</v>
          </cell>
        </row>
        <row r="40">
          <cell r="R40">
            <v>25.799535360719318</v>
          </cell>
          <cell r="S40">
            <v>0.26152746887974915</v>
          </cell>
          <cell r="T40">
            <v>14.675687972565417</v>
          </cell>
          <cell r="U40">
            <v>1.8312463657787521</v>
          </cell>
          <cell r="V40">
            <v>3.703269314874539</v>
          </cell>
          <cell r="W40">
            <v>21.6910604386442</v>
          </cell>
          <cell r="X40">
            <v>2.5346144328259821</v>
          </cell>
          <cell r="Y40">
            <v>2.5693148653068546E-2</v>
          </cell>
          <cell r="Z40">
            <v>1.4410978676045372</v>
          </cell>
          <cell r="AA40">
            <v>0.17990647520845671</v>
          </cell>
          <cell r="AB40">
            <v>0.36375991737734326</v>
          </cell>
          <cell r="AC40">
            <v>2.1367373844535424</v>
          </cell>
        </row>
        <row r="41">
          <cell r="R41">
            <v>28.389465622605798</v>
          </cell>
          <cell r="S41">
            <v>0.28778134890107337</v>
          </cell>
          <cell r="T41">
            <v>16.18781944333243</v>
          </cell>
          <cell r="U41">
            <v>2.0150791485551856</v>
          </cell>
          <cell r="V41">
            <v>4.075925526608132</v>
          </cell>
          <cell r="W41">
            <v>24.211805528332775</v>
          </cell>
          <cell r="X41">
            <v>2.7973227908953846</v>
          </cell>
          <cell r="Y41">
            <v>2.8356198625823174E-2</v>
          </cell>
          <cell r="Z41">
            <v>1.5944802121858621</v>
          </cell>
          <cell r="AA41">
            <v>0.19855346707276614</v>
          </cell>
          <cell r="AB41">
            <v>0.40156012495420157</v>
          </cell>
          <cell r="AC41">
            <v>2.3924279771188597</v>
          </cell>
        </row>
        <row r="42">
          <cell r="R42">
            <v>30.556759383431089</v>
          </cell>
          <cell r="S42">
            <v>0.3097510023720616</v>
          </cell>
          <cell r="T42">
            <v>17.46260704999213</v>
          </cell>
          <cell r="U42">
            <v>2.168913268728101</v>
          </cell>
          <cell r="V42">
            <v>4.3875949654264996</v>
          </cell>
          <cell r="W42">
            <v>26.372214905305164</v>
          </cell>
          <cell r="X42">
            <v>3.0588167370875565</v>
          </cell>
          <cell r="Y42">
            <v>3.1006938219340776E-2</v>
          </cell>
          <cell r="Z42">
            <v>1.7482891917749432</v>
          </cell>
          <cell r="AA42">
            <v>0.21711426020110441</v>
          </cell>
          <cell r="AB42">
            <v>0.4391644741832974</v>
          </cell>
          <cell r="AC42">
            <v>2.653091290780575</v>
          </cell>
        </row>
        <row r="43">
          <cell r="R43">
            <v>32.632191130459539</v>
          </cell>
          <cell r="S43">
            <v>0.3307894592296774</v>
          </cell>
          <cell r="T43">
            <v>18.692323933164758</v>
          </cell>
          <cell r="U43">
            <v>2.3162270397332287</v>
          </cell>
          <cell r="V43">
            <v>4.6858874426932449</v>
          </cell>
          <cell r="W43">
            <v>28.489622505352003</v>
          </cell>
          <cell r="X43">
            <v>3.3223158960661436</v>
          </cell>
          <cell r="Y43">
            <v>3.3678004466701716E-2</v>
          </cell>
          <cell r="Z43">
            <v>1.9044154363318619</v>
          </cell>
          <cell r="AA43">
            <v>0.23581738297129068</v>
          </cell>
          <cell r="AB43">
            <v>0.47703602404368856</v>
          </cell>
          <cell r="AC43">
            <v>2.9219197514736561</v>
          </cell>
        </row>
        <row r="44">
          <cell r="R44">
            <v>36.166187572831127</v>
          </cell>
          <cell r="S44">
            <v>0.36661324952981833</v>
          </cell>
          <cell r="T44">
            <v>20.801429762265354</v>
          </cell>
          <cell r="U44">
            <v>2.5670694696950207</v>
          </cell>
          <cell r="V44">
            <v>5.1935306901150247</v>
          </cell>
          <cell r="W44">
            <v>32.177322486597376</v>
          </cell>
          <cell r="X44">
            <v>3.6040012565674502</v>
          </cell>
          <cell r="Y44">
            <v>3.6533422532274679E-2</v>
          </cell>
          <cell r="Z44">
            <v>2.0725265947593212</v>
          </cell>
          <cell r="AA44">
            <v>0.25581135904484709</v>
          </cell>
          <cell r="AB44">
            <v>0.51749890324797454</v>
          </cell>
          <cell r="AC44">
            <v>3.2158564080540648</v>
          </cell>
        </row>
        <row r="45">
          <cell r="R45">
            <v>38.694874977931349</v>
          </cell>
          <cell r="S45">
            <v>0.39224631645903307</v>
          </cell>
          <cell r="T45">
            <v>22.321357077622771</v>
          </cell>
          <cell r="U45">
            <v>2.7465552455447133</v>
          </cell>
          <cell r="V45">
            <v>5.5565649028573292</v>
          </cell>
          <cell r="W45">
            <v>34.874490818808091</v>
          </cell>
          <cell r="X45">
            <v>3.9155556750185614</v>
          </cell>
          <cell r="Y45">
            <v>3.9691620435322095E-2</v>
          </cell>
          <cell r="Z45">
            <v>2.2597937397093202</v>
          </cell>
          <cell r="AA45">
            <v>0.27792543546343118</v>
          </cell>
          <cell r="AB45">
            <v>0.5622276082672899</v>
          </cell>
          <cell r="AC45">
            <v>3.5481690179527008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37DD2-3621-3A4F-99A3-38FBE1ADED93}">
  <dimension ref="A2:D23"/>
  <sheetViews>
    <sheetView workbookViewId="0">
      <selection activeCell="E14" sqref="E14"/>
    </sheetView>
  </sheetViews>
  <sheetFormatPr baseColWidth="10" defaultRowHeight="16" x14ac:dyDescent="0.2"/>
  <cols>
    <col min="2" max="2" width="11.1640625" bestFit="1" customWidth="1"/>
  </cols>
  <sheetData>
    <row r="2" spans="1:4" x14ac:dyDescent="0.2">
      <c r="A2" t="s">
        <v>31</v>
      </c>
    </row>
    <row r="4" spans="1:4" x14ac:dyDescent="0.2">
      <c r="A4" t="s">
        <v>32</v>
      </c>
      <c r="B4" cm="1">
        <f t="array" ref="B4">[1]!Annualized_Cost</f>
        <v>854004.86420241778</v>
      </c>
      <c r="C4" t="s">
        <v>33</v>
      </c>
    </row>
    <row r="5" spans="1:4" x14ac:dyDescent="0.2">
      <c r="A5" t="s">
        <v>34</v>
      </c>
      <c r="B5">
        <f>[1]OUTPUT!$C$426</f>
        <v>26.010713669632079</v>
      </c>
      <c r="C5" t="s">
        <v>35</v>
      </c>
      <c r="D5" t="s">
        <v>36</v>
      </c>
    </row>
    <row r="6" spans="1:4" x14ac:dyDescent="0.2">
      <c r="A6" t="s">
        <v>37</v>
      </c>
      <c r="B6">
        <f>[2]IER!$A$37</f>
        <v>1.05</v>
      </c>
      <c r="C6" t="str">
        <f>[2]IER!$B$1</f>
        <v>g/gPFAS convert via GAC weight</v>
      </c>
    </row>
    <row r="8" spans="1:4" x14ac:dyDescent="0.2">
      <c r="A8" t="s">
        <v>38</v>
      </c>
      <c r="B8">
        <f>B4/B5/B6/1000</f>
        <v>31.269344480026685</v>
      </c>
      <c r="C8" t="s">
        <v>39</v>
      </c>
    </row>
    <row r="11" spans="1:4" x14ac:dyDescent="0.2">
      <c r="A11" t="s">
        <v>5</v>
      </c>
    </row>
    <row r="13" spans="1:4" x14ac:dyDescent="0.2">
      <c r="A13" t="s">
        <v>32</v>
      </c>
      <c r="B13" cm="1">
        <f t="array" ref="B13">[3]!Annualized_Cost</f>
        <v>3463621180.6888614</v>
      </c>
      <c r="C13" t="s">
        <v>33</v>
      </c>
    </row>
    <row r="14" spans="1:4" x14ac:dyDescent="0.2">
      <c r="A14" t="s">
        <v>40</v>
      </c>
      <c r="B14">
        <f>[3]OUTPUT!$C$425*3.785</f>
        <v>2971225000</v>
      </c>
      <c r="C14" t="s">
        <v>41</v>
      </c>
    </row>
    <row r="15" spans="1:4" x14ac:dyDescent="0.2">
      <c r="A15" t="s">
        <v>42</v>
      </c>
      <c r="B15">
        <f>B13/B14</f>
        <v>1.1657216066399756</v>
      </c>
      <c r="C15" t="s">
        <v>39</v>
      </c>
    </row>
    <row r="19" spans="1:3" x14ac:dyDescent="0.2">
      <c r="A19" t="s">
        <v>43</v>
      </c>
      <c r="B19">
        <f>B15</f>
        <v>1.1657216066399756</v>
      </c>
      <c r="C19" t="s">
        <v>39</v>
      </c>
    </row>
    <row r="23" spans="1:3" x14ac:dyDescent="0.2">
      <c r="A23" t="s">
        <v>3</v>
      </c>
      <c r="B23">
        <f>B15</f>
        <v>1.1657216066399756</v>
      </c>
      <c r="C23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78C8-E78A-F941-B747-23E97B7F4717}">
  <dimension ref="A1:AB98"/>
  <sheetViews>
    <sheetView topLeftCell="A67" workbookViewId="0">
      <selection activeCell="AD8" sqref="AD8"/>
    </sheetView>
  </sheetViews>
  <sheetFormatPr baseColWidth="10" defaultRowHeight="16" x14ac:dyDescent="0.2"/>
  <cols>
    <col min="2" max="2" width="12.83203125" customWidth="1"/>
    <col min="7" max="7" width="12.1640625" bestFit="1" customWidth="1"/>
  </cols>
  <sheetData>
    <row r="1" spans="1:28" x14ac:dyDescent="0.2">
      <c r="A1">
        <v>2030</v>
      </c>
      <c r="B1" t="s">
        <v>62</v>
      </c>
      <c r="J1" t="s">
        <v>61</v>
      </c>
      <c r="R1" t="s">
        <v>62</v>
      </c>
    </row>
    <row r="2" spans="1:28" x14ac:dyDescent="0.2">
      <c r="B2" t="s">
        <v>47</v>
      </c>
      <c r="C2" t="s">
        <v>51</v>
      </c>
      <c r="D2" t="s">
        <v>48</v>
      </c>
      <c r="E2" t="s">
        <v>51</v>
      </c>
      <c r="F2" t="s">
        <v>49</v>
      </c>
      <c r="G2" t="s">
        <v>51</v>
      </c>
      <c r="S2" t="s">
        <v>47</v>
      </c>
      <c r="T2" t="s">
        <v>51</v>
      </c>
      <c r="U2" t="s">
        <v>48</v>
      </c>
      <c r="V2" t="s">
        <v>51</v>
      </c>
      <c r="W2" t="s">
        <v>49</v>
      </c>
      <c r="X2" t="s">
        <v>51</v>
      </c>
    </row>
    <row r="3" spans="1:28" x14ac:dyDescent="0.2">
      <c r="A3" t="s">
        <v>45</v>
      </c>
      <c r="B3">
        <f>SUM(aggressive!B94:'aggressive'!G94)-SUM(aggressive!B90:'aggressive'!G90)</f>
        <v>335.41916494795487</v>
      </c>
      <c r="C3">
        <f>SUM(aggressive!H94:'aggressive'!H94)-SUM(aggressive!H90:'aggressive'!H90)</f>
        <v>36.377279445320738</v>
      </c>
      <c r="D3">
        <f>SUM(moderate!B94:'moderate'!G94)-SUM(moderate!B90:'moderate'!G90)</f>
        <v>191.98619913877457</v>
      </c>
      <c r="E3">
        <f>SUM(moderate!H94:'moderate'!H94)-SUM(moderate!H90:'moderate'!H90)</f>
        <v>21.816045433567545</v>
      </c>
      <c r="F3">
        <f>SUM(conservative!B94:'conservative'!G94)-SUM(conservative!B90:'conservative'!G90)</f>
        <v>83.551085070858022</v>
      </c>
      <c r="G3">
        <f>SUM(conservative!H94:'conservative'!H94)-SUM(conservative!H90:'conservative'!H90)</f>
        <v>9.0640485177907273</v>
      </c>
      <c r="J3" t="str">
        <f>aggressive!B2</f>
        <v>photoacid generators</v>
      </c>
      <c r="K3" t="str">
        <f>aggressive!C2</f>
        <v>surfactant</v>
      </c>
      <c r="L3" t="str">
        <f>aggressive!D2</f>
        <v>Top antireflective coatings</v>
      </c>
      <c r="M3" t="str">
        <f>aggressive!E2</f>
        <v>polymer</v>
      </c>
      <c r="N3" t="str">
        <f>aggressive!F2</f>
        <v>immersion topcoat</v>
      </c>
      <c r="O3" t="str">
        <f>aggressive!G2</f>
        <v>PBO/PI</v>
      </c>
      <c r="P3" t="str">
        <f>aggressive!H2</f>
        <v>Dev_total</v>
      </c>
      <c r="R3" t="s">
        <v>45</v>
      </c>
      <c r="S3">
        <v>335.41916494795487</v>
      </c>
      <c r="T3">
        <v>36.377279445320738</v>
      </c>
      <c r="U3">
        <v>191.98619913877457</v>
      </c>
      <c r="V3">
        <v>21.816045433567545</v>
      </c>
      <c r="W3">
        <v>83.551085070858022</v>
      </c>
      <c r="X3">
        <v>9.0640485177907273</v>
      </c>
    </row>
    <row r="4" spans="1:28" x14ac:dyDescent="0.2">
      <c r="A4" t="s">
        <v>46</v>
      </c>
      <c r="B4">
        <f>SUM(aggressive!Z94:'aggressive'!AE94)-SUM(aggressive!Z90:'aggressive'!AE90)</f>
        <v>14.027609757063626</v>
      </c>
      <c r="C4">
        <f>SUM(aggressive!AF94:'aggressive'!AF94)-SUM(aggressive!AF90:'aggressive'!AF90)</f>
        <v>1.5213524923500299</v>
      </c>
      <c r="D4">
        <f>SUM(moderate!Z94:'moderate'!AE94)-SUM(moderate!Z90:'moderate'!AE90)</f>
        <v>8.0291447972175547</v>
      </c>
      <c r="E4">
        <f>SUM(moderate!AF94:'moderate'!AF94)-SUM(moderate!AF90:'moderate'!AF90)</f>
        <v>0.91225869033386475</v>
      </c>
      <c r="F4">
        <f>SUM(conservative!Z94:'conservative'!AE94)-SUM(conservative!Z90:'conservative'!AE90)</f>
        <v>3.494985021187043</v>
      </c>
      <c r="G4">
        <f>SUM(conservative!AF94:'conservative'!AF94)-SUM(conservative!AF90:'conservative'!AF90)</f>
        <v>0.37907855496764531</v>
      </c>
      <c r="I4" t="s">
        <v>47</v>
      </c>
      <c r="J4">
        <f>aggressive!B94+aggressive!J94+aggressive!R94+aggressive!Z94-(aggressive!B90+aggressive!J90+aggressive!R90+aggressive!Z90)</f>
        <v>11.86300674216448</v>
      </c>
      <c r="K4">
        <f>aggressive!C94+aggressive!K94+aggressive!S94+aggressive!AA94-(aggressive!C90+aggressive!K90+aggressive!S90+aggressive!AA90)</f>
        <v>4.1937185015111762</v>
      </c>
      <c r="L4">
        <f>aggressive!D94+aggressive!L94+aggressive!T94+aggressive!AB94-(aggressive!D90+aggressive!L90+aggressive!T90+aggressive!AB90)</f>
        <v>218.30279023792514</v>
      </c>
      <c r="M4">
        <f>aggressive!E94+aggressive!M94+aggressive!U94+aggressive!AC94-(aggressive!E90+aggressive!M90+aggressive!U90+aggressive!AC90)</f>
        <v>0.71800332442222503</v>
      </c>
      <c r="N4">
        <f>aggressive!F94+aggressive!N94+aggressive!V94+aggressive!AD94-(aggressive!F90+aggressive!N90+aggressive!V90+aggressive!AD90)</f>
        <v>107.77798991626705</v>
      </c>
      <c r="O4">
        <f>aggressive!G94+aggressive!O94+aggressive!W94+aggressive!AE94-(aggressive!G90+aggressive!O90+aggressive!W90+aggressive!AE90)</f>
        <v>6.8355555409439646</v>
      </c>
      <c r="P4">
        <f>aggressive!H94+aggressive!P94+aggressive!X94+aggressive!AF94-(aggressive!H90+aggressive!P90+aggressive!X90+aggressive!AF90)</f>
        <v>37.925125966890093</v>
      </c>
      <c r="R4" t="s">
        <v>46</v>
      </c>
      <c r="S4">
        <v>14.024109096316021</v>
      </c>
      <c r="T4">
        <v>1.5209728311643067</v>
      </c>
      <c r="U4">
        <v>8.0271410836473045</v>
      </c>
      <c r="V4">
        <v>0.91203103157772514</v>
      </c>
      <c r="W4">
        <v>3.4941128300519182</v>
      </c>
      <c r="X4">
        <v>0.37898395400279017</v>
      </c>
      <c r="Z4">
        <v>151.83802696586389</v>
      </c>
      <c r="AA4">
        <f>Z4/SUM($Z$4:$Z$6)</f>
        <v>0.98253847340259304</v>
      </c>
    </row>
    <row r="5" spans="1:28" x14ac:dyDescent="0.2">
      <c r="A5" t="s">
        <v>43</v>
      </c>
      <c r="B5">
        <f>SUM(aggressive!R94:'aggressive'!W94)-SUM(aggressive!R90:'aggressive'!W90)</f>
        <v>0.10665495371614014</v>
      </c>
      <c r="C5">
        <f>SUM(aggressive!X94:'aggressive'!X94)-SUM(aggressive!X90:'aggressive'!X90)</f>
        <v>1.1566955641237692E-2</v>
      </c>
      <c r="D5">
        <f>SUM(moderate!R94:'moderate'!W94)-SUM(moderate!R90:'moderate'!W90)</f>
        <v>6.1046288245117597E-2</v>
      </c>
      <c r="E5">
        <f>SUM(moderate!X94:'moderate'!X94)-SUM(moderate!X90:'moderate'!X90)</f>
        <v>6.9379255715068602E-3</v>
      </c>
      <c r="F5">
        <f>SUM(conservative!R94:'conservative'!W94)-SUM(conservative!R90:'conservative'!W90)</f>
        <v>2.6560472394694584E-2</v>
      </c>
      <c r="G5">
        <f>SUM(conservative!X94:'conservative'!X94)-SUM(conservative!X90:'conservative'!X90)</f>
        <v>2.8820585990836749E-3</v>
      </c>
      <c r="I5" t="s">
        <v>50</v>
      </c>
      <c r="J5">
        <f>moderate!B94+moderate!J94+moderate!R94+moderate!Z94-(moderate!B90+moderate!J90+moderate!R90+moderate!Z90)</f>
        <v>6.7900505677717469</v>
      </c>
      <c r="K5">
        <f>moderate!C94+moderate!K94+moderate!S94+moderate!AA94-(moderate!C90+moderate!K90+moderate!S90+moderate!AA90)</f>
        <v>2.4003662234339469</v>
      </c>
      <c r="L5">
        <f>moderate!D94+moderate!L94+moderate!T94+moderate!AB94-(moderate!D90+moderate!L90+moderate!T90+moderate!AB90)</f>
        <v>124.95212145830715</v>
      </c>
      <c r="M5">
        <f>moderate!E94+moderate!M94+moderate!U94+moderate!AC94-(moderate!E90+moderate!M90+moderate!U90+moderate!AC90)</f>
        <v>0.41096485795013526</v>
      </c>
      <c r="N5">
        <f>moderate!F94+moderate!N94+moderate!V94+moderate!AD94-(moderate!F90+moderate!N90+moderate!V90+moderate!AD90)</f>
        <v>61.689015600577846</v>
      </c>
      <c r="O5">
        <f>moderate!G94+moderate!O94+moderate!W94+moderate!AE94-(moderate!G90+moderate!O90+moderate!W90+moderate!AE90)</f>
        <v>3.9126511637824635</v>
      </c>
      <c r="P5">
        <f>moderate!H94+moderate!P94+moderate!X94+moderate!AF94-(moderate!H90+moderate!P90+moderate!X90+moderate!AF90)</f>
        <v>22.74419260312942</v>
      </c>
      <c r="R5" t="s">
        <v>43</v>
      </c>
      <c r="S5">
        <v>0.10662833743464398</v>
      </c>
      <c r="T5">
        <v>1.1564069049132288E-2</v>
      </c>
      <c r="U5">
        <v>6.1031053836066634E-2</v>
      </c>
      <c r="V5">
        <v>6.9361941771967431E-3</v>
      </c>
      <c r="W5">
        <v>2.6553844094880139E-2</v>
      </c>
      <c r="X5">
        <v>2.8813393668278009E-3</v>
      </c>
      <c r="Z5">
        <v>1.2154610163224235</v>
      </c>
      <c r="AA5">
        <f t="shared" ref="AA5:AA6" si="0">Z5/SUM($Z$4:$Z$6)</f>
        <v>7.8652050169638055E-3</v>
      </c>
    </row>
    <row r="6" spans="1:28" x14ac:dyDescent="0.2">
      <c r="A6" t="s">
        <v>3</v>
      </c>
      <c r="B6">
        <f>SUM(aggressive!J94:'aggressive'!O94)-SUM(aggressive!J90:'aggressive'!O90)</f>
        <v>0.13763460449924836</v>
      </c>
      <c r="C6">
        <f>SUM(aggressive!P94:'aggressive'!P94)-SUM(aggressive!P90:'aggressive'!P90)</f>
        <v>1.4927073578070008E-2</v>
      </c>
      <c r="D6">
        <f>SUM(moderate!J94:'moderate'!O94)-SUM(moderate!J90:'moderate'!O90)</f>
        <v>7.8779647586019547E-2</v>
      </c>
      <c r="E6">
        <f>SUM(moderate!P94:'moderate'!P94)-SUM(moderate!P90:'moderate'!P90)</f>
        <v>8.950553656511883E-3</v>
      </c>
      <c r="F6">
        <f>SUM(conservative!J94:'conservative'!O94)-SUM(conservative!J90:'conservative'!O90)</f>
        <v>3.4293446197470018E-2</v>
      </c>
      <c r="G6">
        <f>SUM(conservative!P94:'conservative'!P94)-SUM(conservative!P90:'conservative'!P90)</f>
        <v>3.7194240129030491E-3</v>
      </c>
      <c r="I6" t="s">
        <v>49</v>
      </c>
      <c r="J6">
        <f>conservative!B94+conservative!J94+conservative!R94+conservative!Z94-(conservative!B90+conservative!J90+conservative!R90+conservative!Z90)</f>
        <v>2.9542656211912419</v>
      </c>
      <c r="K6">
        <f>conservative!C94+conservative!K94+conservative!S94+conservative!AA94-(conservative!C90+conservative!K90+conservative!S90+conservative!AA90)</f>
        <v>1.044369160638916</v>
      </c>
      <c r="L6">
        <f>conservative!D94+conservative!L94+conservative!T94+conservative!AB94-(conservative!D90+conservative!L90+conservative!T90+conservative!AB90)</f>
        <v>54.38578847626431</v>
      </c>
      <c r="M6">
        <f>conservative!E94+conservative!M94+conservative!U94+conservative!AC94-(conservative!E90+conservative!M90+conservative!U90+conservative!AC90)</f>
        <v>0.17880564205551303</v>
      </c>
      <c r="N6">
        <f>conservative!F94+conservative!N94+conservative!V94+conservative!AD94-(conservative!F90+conservative!N90+conservative!V90+conservative!AD90)</f>
        <v>26.839328300964084</v>
      </c>
      <c r="O6">
        <f>conservative!G94+conservative!O94+conservative!W94+conservative!AE94-(conservative!G90+conservative!O90+conservative!W90+conservative!AE90)</f>
        <v>1.704366809523203</v>
      </c>
      <c r="P6">
        <f>conservative!H94+conservative!P94+conservative!X94+conservative!AF94-(conservative!H90+conservative!P90+conservative!X90+conservative!AF90)</f>
        <v>9.4497285553703527</v>
      </c>
      <c r="R6" t="s">
        <v>3</v>
      </c>
      <c r="S6">
        <v>0.13760025708968782</v>
      </c>
      <c r="T6">
        <v>1.4923348451590424E-2</v>
      </c>
      <c r="U6">
        <v>7.8759987727726494E-2</v>
      </c>
      <c r="V6">
        <v>8.9483200007146879E-3</v>
      </c>
      <c r="W6">
        <v>3.4284888095050384E-2</v>
      </c>
      <c r="X6">
        <v>3.7184958118858316E-3</v>
      </c>
      <c r="Z6">
        <v>1.482981658579166</v>
      </c>
      <c r="AA6">
        <f t="shared" si="0"/>
        <v>9.5963215804430874E-3</v>
      </c>
    </row>
    <row r="7" spans="1:28" x14ac:dyDescent="0.2">
      <c r="S7">
        <f>SUM(S4:S6)</f>
        <v>14.268337690840353</v>
      </c>
      <c r="T7">
        <f t="shared" ref="T7:X7" si="1">SUM(T4:T6)</f>
        <v>1.5474602486650295</v>
      </c>
      <c r="U7">
        <f t="shared" si="1"/>
        <v>8.1669321252110976</v>
      </c>
      <c r="V7">
        <f t="shared" si="1"/>
        <v>0.92791554575563651</v>
      </c>
      <c r="W7">
        <f t="shared" si="1"/>
        <v>3.5549515622418486</v>
      </c>
      <c r="X7">
        <f t="shared" si="1"/>
        <v>0.38558378918150377</v>
      </c>
    </row>
    <row r="9" spans="1:28" x14ac:dyDescent="0.2">
      <c r="R9" t="s">
        <v>45</v>
      </c>
      <c r="S9">
        <v>335.41916494795487</v>
      </c>
      <c r="T9">
        <v>36.377279445320738</v>
      </c>
      <c r="U9">
        <v>191.98619913877457</v>
      </c>
      <c r="V9">
        <v>21.816045433567545</v>
      </c>
      <c r="W9">
        <v>83.551085070858022</v>
      </c>
      <c r="X9">
        <v>9.0640485177907273</v>
      </c>
    </row>
    <row r="10" spans="1:28" x14ac:dyDescent="0.2">
      <c r="R10" t="s">
        <v>65</v>
      </c>
      <c r="S10">
        <v>14.268337690840353</v>
      </c>
      <c r="T10">
        <v>1.5474602486650295</v>
      </c>
      <c r="U10">
        <v>8.1669321252110976</v>
      </c>
      <c r="V10">
        <v>0.92791554575563651</v>
      </c>
      <c r="W10">
        <v>3.5549515622418486</v>
      </c>
      <c r="X10">
        <v>0.38558378918150377</v>
      </c>
    </row>
    <row r="13" spans="1:28" x14ac:dyDescent="0.2">
      <c r="A13" t="s">
        <v>63</v>
      </c>
    </row>
    <row r="15" spans="1:28" x14ac:dyDescent="0.2">
      <c r="B15" t="s">
        <v>58</v>
      </c>
      <c r="K15" t="s">
        <v>59</v>
      </c>
      <c r="U15" t="s">
        <v>60</v>
      </c>
    </row>
    <row r="16" spans="1:28" x14ac:dyDescent="0.2"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 t="s">
        <v>57</v>
      </c>
      <c r="H16" t="s">
        <v>2</v>
      </c>
      <c r="L16" t="s">
        <v>52</v>
      </c>
      <c r="M16" t="s">
        <v>53</v>
      </c>
      <c r="N16" t="s">
        <v>54</v>
      </c>
      <c r="O16" t="s">
        <v>55</v>
      </c>
      <c r="P16" t="s">
        <v>56</v>
      </c>
      <c r="Q16" t="s">
        <v>57</v>
      </c>
      <c r="R16" t="s">
        <v>2</v>
      </c>
      <c r="V16" t="s">
        <v>52</v>
      </c>
      <c r="W16" t="s">
        <v>53</v>
      </c>
      <c r="X16" t="s">
        <v>54</v>
      </c>
      <c r="Y16" t="s">
        <v>55</v>
      </c>
      <c r="Z16" t="s">
        <v>56</v>
      </c>
      <c r="AA16" t="s">
        <v>57</v>
      </c>
      <c r="AB16" t="s">
        <v>2</v>
      </c>
    </row>
    <row r="17" spans="1:21" x14ac:dyDescent="0.2">
      <c r="A17">
        <v>2020</v>
      </c>
      <c r="K17">
        <v>2020</v>
      </c>
      <c r="U17">
        <v>2020</v>
      </c>
    </row>
    <row r="18" spans="1:21" x14ac:dyDescent="0.2">
      <c r="A18">
        <v>2020.25</v>
      </c>
      <c r="K18">
        <v>2020.25</v>
      </c>
      <c r="U18">
        <v>2020.25</v>
      </c>
    </row>
    <row r="19" spans="1:21" x14ac:dyDescent="0.2">
      <c r="A19">
        <v>2020.5</v>
      </c>
      <c r="K19">
        <v>2020.5</v>
      </c>
      <c r="U19">
        <v>2020.5</v>
      </c>
    </row>
    <row r="20" spans="1:21" x14ac:dyDescent="0.2">
      <c r="A20">
        <v>2020.75</v>
      </c>
      <c r="K20">
        <v>2020.75</v>
      </c>
      <c r="U20">
        <v>2020.75</v>
      </c>
    </row>
    <row r="21" spans="1:21" x14ac:dyDescent="0.2">
      <c r="A21">
        <v>2021</v>
      </c>
      <c r="K21">
        <v>2021</v>
      </c>
      <c r="U21">
        <v>2021</v>
      </c>
    </row>
    <row r="22" spans="1:21" x14ac:dyDescent="0.2">
      <c r="A22">
        <v>2021.25</v>
      </c>
      <c r="K22">
        <v>2021.25</v>
      </c>
      <c r="U22">
        <v>2021.25</v>
      </c>
    </row>
    <row r="23" spans="1:21" x14ac:dyDescent="0.2">
      <c r="A23">
        <v>2021.5</v>
      </c>
      <c r="K23">
        <v>2021.5</v>
      </c>
      <c r="U23">
        <v>2021.5</v>
      </c>
    </row>
    <row r="24" spans="1:21" x14ac:dyDescent="0.2">
      <c r="A24">
        <v>2021.75</v>
      </c>
      <c r="K24">
        <v>2021.75</v>
      </c>
      <c r="U24">
        <v>2021.75</v>
      </c>
    </row>
    <row r="25" spans="1:21" x14ac:dyDescent="0.2">
      <c r="A25">
        <v>2022</v>
      </c>
      <c r="K25">
        <v>2022</v>
      </c>
      <c r="U25">
        <v>2022</v>
      </c>
    </row>
    <row r="26" spans="1:21" x14ac:dyDescent="0.2">
      <c r="A26">
        <v>2022.25</v>
      </c>
      <c r="K26">
        <v>2022.25</v>
      </c>
      <c r="U26">
        <v>2022.25</v>
      </c>
    </row>
    <row r="27" spans="1:21" x14ac:dyDescent="0.2">
      <c r="A27">
        <v>2022.5</v>
      </c>
      <c r="K27">
        <v>2022.5</v>
      </c>
      <c r="U27">
        <v>2022.5</v>
      </c>
    </row>
    <row r="28" spans="1:21" x14ac:dyDescent="0.2">
      <c r="A28">
        <v>2022.75</v>
      </c>
      <c r="K28">
        <v>2022.75</v>
      </c>
      <c r="U28">
        <v>2022.75</v>
      </c>
    </row>
    <row r="29" spans="1:21" x14ac:dyDescent="0.2">
      <c r="A29">
        <v>2023</v>
      </c>
      <c r="K29">
        <v>2023</v>
      </c>
      <c r="U29">
        <v>2023</v>
      </c>
    </row>
    <row r="30" spans="1:21" x14ac:dyDescent="0.2">
      <c r="A30">
        <v>2023.25</v>
      </c>
      <c r="K30">
        <v>2023.25</v>
      </c>
      <c r="U30">
        <v>2023.25</v>
      </c>
    </row>
    <row r="31" spans="1:21" x14ac:dyDescent="0.2">
      <c r="A31">
        <v>2023.5</v>
      </c>
      <c r="K31">
        <v>2023.5</v>
      </c>
      <c r="U31">
        <v>2023.5</v>
      </c>
    </row>
    <row r="32" spans="1:21" x14ac:dyDescent="0.2">
      <c r="A32">
        <v>2023.75</v>
      </c>
      <c r="K32">
        <v>2023.75</v>
      </c>
      <c r="U32">
        <v>2023.75</v>
      </c>
    </row>
    <row r="33" spans="1:28" x14ac:dyDescent="0.2">
      <c r="A33">
        <v>2024</v>
      </c>
      <c r="K33">
        <v>2024</v>
      </c>
      <c r="U33">
        <v>2024</v>
      </c>
    </row>
    <row r="34" spans="1:28" x14ac:dyDescent="0.2">
      <c r="A34">
        <v>2024.25</v>
      </c>
      <c r="K34">
        <v>2024.25</v>
      </c>
      <c r="U34">
        <v>2024.25</v>
      </c>
    </row>
    <row r="35" spans="1:28" x14ac:dyDescent="0.2">
      <c r="A35">
        <v>2024.5</v>
      </c>
      <c r="K35">
        <v>2024.5</v>
      </c>
      <c r="U35">
        <v>2024.5</v>
      </c>
    </row>
    <row r="36" spans="1:28" x14ac:dyDescent="0.2">
      <c r="A36">
        <v>2024.75</v>
      </c>
      <c r="K36">
        <v>2024.75</v>
      </c>
      <c r="U36">
        <v>2024.75</v>
      </c>
    </row>
    <row r="37" spans="1:28" x14ac:dyDescent="0.2">
      <c r="A37">
        <v>2025</v>
      </c>
      <c r="B37">
        <f>aggressive!B71+aggressive!J71+aggressive!R71+aggressive!Z71</f>
        <v>1.6311477148137623</v>
      </c>
      <c r="C37">
        <f>aggressive!C71+aggressive!K71+aggressive!S71+aggressive!AA71</f>
        <v>0.57663073949025201</v>
      </c>
      <c r="D37">
        <f>aggressive!D71+aggressive!L71+aggressive!T71+aggressive!AB71</f>
        <v>29.863516242457781</v>
      </c>
      <c r="E37">
        <f>aggressive!E71+aggressive!M71+aggressive!U71+aggressive!AC71</f>
        <v>9.8724506131934398E-2</v>
      </c>
      <c r="F37">
        <f>aggressive!F71+aggressive!N71+aggressive!V71+aggressive!AD71</f>
        <v>14.487901370283598</v>
      </c>
      <c r="G37">
        <f>aggressive!G71+aggressive!O71+aggressive!W71+aggressive!AE71</f>
        <v>0.66022624900486893</v>
      </c>
      <c r="H37">
        <f>aggressive!H71+aggressive!P71+aggressive!X71+aggressive!AF71</f>
        <v>4.0380976378252917</v>
      </c>
      <c r="K37">
        <v>2025</v>
      </c>
      <c r="L37">
        <f>moderate!B71+moderate!J71+moderate!R71+moderate!Z71</f>
        <v>1.2395562006080785</v>
      </c>
      <c r="M37">
        <f>moderate!C71+moderate!K71+moderate!S71+moderate!AA71</f>
        <v>0.43819833244101536</v>
      </c>
      <c r="N37">
        <f>moderate!D71+moderate!L71+moderate!T71+moderate!AB71</f>
        <v>22.690491255671141</v>
      </c>
      <c r="O37">
        <f>moderate!E71+moderate!M71+moderate!U71+moderate!AC71</f>
        <v>7.5023600018825867E-2</v>
      </c>
      <c r="P37">
        <f>moderate!F71+moderate!N71+moderate!V71+moderate!AD71</f>
        <v>11.022190472677966</v>
      </c>
      <c r="Q37">
        <f>moderate!G71+moderate!O71+moderate!W71+moderate!AE71</f>
        <v>0.49687346613150146</v>
      </c>
      <c r="R37">
        <f>moderate!H71+moderate!P71+moderate!X71+moderate!AF71</f>
        <v>3.144259536529606</v>
      </c>
      <c r="U37">
        <v>2025</v>
      </c>
      <c r="V37">
        <f>conservative!B71+conservative!J71+conservative!R71+conservative!Z71</f>
        <v>1.0062898298701797</v>
      </c>
      <c r="W37">
        <f>conservative!C71+conservative!K71+conservative!S71+conservative!AA71</f>
        <v>0.35573580704541713</v>
      </c>
      <c r="X37">
        <f>conservative!D71+conservative!L71+conservative!T71+conservative!AB71</f>
        <v>18.435841735149751</v>
      </c>
      <c r="Y37">
        <f>conservative!E71+conservative!M71+conservative!U71+conservative!AC71</f>
        <v>6.0905254366165493E-2</v>
      </c>
      <c r="Z37">
        <f>conservative!F71+conservative!N71+conservative!V71+conservative!AD71</f>
        <v>8.9620398360950801</v>
      </c>
      <c r="AA37">
        <f>conservative!G71+conservative!O71+conservative!W71+conservative!AE71</f>
        <v>0.39594644856796019</v>
      </c>
      <c r="AB37">
        <f>conservative!H71+conservative!P71+conservative!X71+conservative!AF71</f>
        <v>2.63704135841984</v>
      </c>
    </row>
    <row r="38" spans="1:28" x14ac:dyDescent="0.2">
      <c r="A38">
        <v>2025.25</v>
      </c>
      <c r="B38">
        <f>aggressive!B72+aggressive!J72+aggressive!R72+aggressive!Z72</f>
        <v>1.9856255545994426</v>
      </c>
      <c r="C38">
        <f>aggressive!C72+aggressive!K72+aggressive!S72+aggressive!AA72</f>
        <v>0.70194300706245161</v>
      </c>
      <c r="D38">
        <f>aggressive!D72+aggressive!L72+aggressive!T72+aggressive!AB72</f>
        <v>36.251067541886428</v>
      </c>
      <c r="E38">
        <f>aggressive!E72+aggressive!M72+aggressive!U72+aggressive!AC72</f>
        <v>0.12017912323971236</v>
      </c>
      <c r="F38">
        <f>aggressive!F72+aggressive!N72+aggressive!V72+aggressive!AD72</f>
        <v>17.637803173930134</v>
      </c>
      <c r="G38">
        <f>aggressive!G72+aggressive!O72+aggressive!W72+aggressive!AE72</f>
        <v>0.82007443275869307</v>
      </c>
      <c r="H38">
        <f>aggressive!H72+aggressive!P72+aggressive!X72+aggressive!AF72</f>
        <v>5.0576158059048577</v>
      </c>
      <c r="K38">
        <v>2025.25</v>
      </c>
      <c r="L38">
        <f>moderate!B72+moderate!J72+moderate!R72+moderate!Z72</f>
        <v>1.4829752924621085</v>
      </c>
      <c r="M38">
        <f>moderate!C72+moderate!K72+moderate!S72+moderate!AA72</f>
        <v>0.5242499693756022</v>
      </c>
      <c r="N38">
        <f>moderate!D72+moderate!L72+moderate!T72+moderate!AB72</f>
        <v>27.076807583422472</v>
      </c>
      <c r="O38">
        <f>moderate!E72+moderate!M72+moderate!U72+moderate!AC72</f>
        <v>8.9756434702113197E-2</v>
      </c>
      <c r="P38">
        <f>moderate!F72+moderate!N72+moderate!V72+moderate!AD72</f>
        <v>13.185220570515932</v>
      </c>
      <c r="Q38">
        <f>moderate!G72+moderate!O72+moderate!W72+moderate!AE72</f>
        <v>0.60664083479803721</v>
      </c>
      <c r="R38">
        <f>moderate!H72+moderate!P72+moderate!X72+moderate!AF72</f>
        <v>3.8813852138474294</v>
      </c>
      <c r="U38">
        <v>2025.25</v>
      </c>
      <c r="V38">
        <f>conservative!B72+conservative!J72+conservative!R72+conservative!Z72</f>
        <v>1.1385644361728786</v>
      </c>
      <c r="W38">
        <f>conservative!C72+conservative!K72+conservative!S72+conservative!AA72</f>
        <v>0.4024965040414068</v>
      </c>
      <c r="X38">
        <f>conservative!D72+conservative!L72+conservative!T72+conservative!AB72</f>
        <v>20.819378133027417</v>
      </c>
      <c r="Y38">
        <f>conservative!E72+conservative!M72+conservative!U72+conservative!AC72</f>
        <v>6.8911117392814178E-2</v>
      </c>
      <c r="Z38">
        <f>conservative!F72+conservative!N72+conservative!V72+conservative!AD72</f>
        <v>10.13743636080144</v>
      </c>
      <c r="AA38">
        <f>conservative!G72+conservative!O72+conservative!W72+conservative!AE72</f>
        <v>0.45559433963788509</v>
      </c>
      <c r="AB38">
        <f>conservative!H72+conservative!P72+conservative!X72+conservative!AF72</f>
        <v>3.0616863687317419</v>
      </c>
    </row>
    <row r="39" spans="1:28" x14ac:dyDescent="0.2">
      <c r="A39">
        <v>2025.5</v>
      </c>
      <c r="B39">
        <f>aggressive!B73+aggressive!J73+aggressive!R73+aggressive!Z73</f>
        <v>2.4527159546041197</v>
      </c>
      <c r="C39">
        <f>aggressive!C73+aggressive!K73+aggressive!S73+aggressive!AA73</f>
        <v>0.86706519698885365</v>
      </c>
      <c r="D39">
        <f>aggressive!D73+aggressive!L73+aggressive!T73+aggressive!AB73</f>
        <v>44.587987254839227</v>
      </c>
      <c r="E39">
        <f>aggressive!E73+aggressive!M73+aggressive!U73+aggressive!AC73</f>
        <v>0.14844956658499481</v>
      </c>
      <c r="F39">
        <f>aggressive!F73+aggressive!N73+aggressive!V73+aggressive!AD73</f>
        <v>21.81760407034292</v>
      </c>
      <c r="G39">
        <f>aggressive!G73+aggressive!O73+aggressive!W73+aggressive!AE73</f>
        <v>1.0350902184062711</v>
      </c>
      <c r="H39">
        <f>aggressive!H73+aggressive!P73+aggressive!X73+aggressive!AF73</f>
        <v>6.2968815069215829</v>
      </c>
      <c r="K39">
        <v>2025.5</v>
      </c>
      <c r="L39">
        <f>moderate!B73+moderate!J73+moderate!R73+moderate!Z73</f>
        <v>1.7204275156016604</v>
      </c>
      <c r="M39">
        <f>moderate!C73+moderate!K73+moderate!S73+moderate!AA73</f>
        <v>0.60819224497643443</v>
      </c>
      <c r="N39">
        <f>moderate!D73+moderate!L73+moderate!T73+moderate!AB73</f>
        <v>31.315002416706939</v>
      </c>
      <c r="O39">
        <f>moderate!E73+moderate!M73+moderate!U73+moderate!AC73</f>
        <v>0.10412812725115911</v>
      </c>
      <c r="P39">
        <f>moderate!F73+moderate!N73+moderate!V73+moderate!AD73</f>
        <v>15.310083370359328</v>
      </c>
      <c r="Q39">
        <f>moderate!G73+moderate!O73+moderate!W73+moderate!AE73</f>
        <v>0.71594724809962418</v>
      </c>
      <c r="R39">
        <f>moderate!H73+moderate!P73+moderate!X73+moderate!AF73</f>
        <v>4.6301292361636106</v>
      </c>
      <c r="U39">
        <v>2025.5</v>
      </c>
      <c r="V39">
        <f>conservative!B73+conservative!J73+conservative!R73+conservative!Z73</f>
        <v>1.2542712309243969</v>
      </c>
      <c r="W39">
        <f>conservative!C73+conservative!K73+conservative!S73+conservative!AA73</f>
        <v>0.44340027628451884</v>
      </c>
      <c r="X39">
        <f>conservative!D73+conservative!L73+conservative!T73+conservative!AB73</f>
        <v>22.884584906870032</v>
      </c>
      <c r="Y39">
        <f>conservative!E73+conservative!M73+conservative!U73+conservative!AC73</f>
        <v>7.5914220829866763E-2</v>
      </c>
      <c r="Z39">
        <f>conservative!F73+conservative!N73+conservative!V73+conservative!AD73</f>
        <v>11.172849129761374</v>
      </c>
      <c r="AA39">
        <f>conservative!G73+conservative!O73+conservative!W73+conservative!AE73</f>
        <v>0.50885766377816211</v>
      </c>
      <c r="AB39">
        <f>conservative!H73+conservative!P73+conservative!X73+conservative!AF73</f>
        <v>3.484137118839929</v>
      </c>
    </row>
    <row r="40" spans="1:28" x14ac:dyDescent="0.2">
      <c r="A40">
        <v>2025.75</v>
      </c>
      <c r="B40">
        <f>aggressive!B74+aggressive!J74+aggressive!R74+aggressive!Z74</f>
        <v>2.9168503257799401</v>
      </c>
      <c r="C40">
        <f>aggressive!C74+aggressive!K74+aggressive!S74+aggressive!AA74</f>
        <v>1.0311423944390639</v>
      </c>
      <c r="D40">
        <f>aggressive!D74+aggressive!L74+aggressive!T74+aggressive!AB74</f>
        <v>52.795133985177969</v>
      </c>
      <c r="E40">
        <f>aggressive!E74+aggressive!M74+aggressive!U74+aggressive!AC74</f>
        <v>0.17654109757084457</v>
      </c>
      <c r="F40">
        <f>aggressive!F74+aggressive!N74+aggressive!V74+aggressive!AD74</f>
        <v>25.999128760106231</v>
      </c>
      <c r="G40">
        <f>aggressive!G74+aggressive!O74+aggressive!W74+aggressive!AE74</f>
        <v>1.2529746444949663</v>
      </c>
      <c r="H40">
        <f>aggressive!H74+aggressive!P74+aggressive!X74+aggressive!AF74</f>
        <v>7.7094027806226482</v>
      </c>
      <c r="K40">
        <v>2025.75</v>
      </c>
      <c r="L40">
        <f>moderate!B74+moderate!J74+moderate!R74+moderate!Z74</f>
        <v>1.9441809761066775</v>
      </c>
      <c r="M40">
        <f>moderate!C74+moderate!K74+moderate!S74+moderate!AA74</f>
        <v>0.6872918398339376</v>
      </c>
      <c r="N40">
        <f>moderate!D74+moderate!L74+moderate!T74+moderate!AB74</f>
        <v>35.271566713234947</v>
      </c>
      <c r="O40">
        <f>moderate!E74+moderate!M74+moderate!U74+moderate!AC74</f>
        <v>0.11767070814867836</v>
      </c>
      <c r="P40">
        <f>moderate!F74+moderate!N74+moderate!V74+moderate!AD74</f>
        <v>17.325944891563665</v>
      </c>
      <c r="Q40">
        <f>moderate!G74+moderate!O74+moderate!W74+moderate!AE74</f>
        <v>0.82098664478120931</v>
      </c>
      <c r="R40">
        <f>moderate!H74+moderate!P74+moderate!X74+moderate!AF74</f>
        <v>5.3394226177255781</v>
      </c>
      <c r="U40">
        <v>2025.75</v>
      </c>
      <c r="V40">
        <f>conservative!B74+conservative!J74+conservative!R74+conservative!Z74</f>
        <v>1.3800528660772555</v>
      </c>
      <c r="W40">
        <f>conservative!C74+conservative!K74+conservative!S74+conservative!AA74</f>
        <v>0.48786562827795682</v>
      </c>
      <c r="X40">
        <f>conservative!D74+conservative!L74+conservative!T74+conservative!AB74</f>
        <v>25.108743253657053</v>
      </c>
      <c r="Y40">
        <f>conservative!E74+conservative!M74+conservative!U74+conservative!AC74</f>
        <v>8.3527099601150179E-2</v>
      </c>
      <c r="Z40">
        <f>conservative!F74+conservative!N74+conservative!V74+conservative!AD74</f>
        <v>12.30605331711349</v>
      </c>
      <c r="AA40">
        <f>conservative!G74+conservative!O74+conservative!W74+conservative!AE74</f>
        <v>0.567904916232983</v>
      </c>
      <c r="AB40">
        <f>conservative!H74+conservative!P74+conservative!X74+conservative!AF74</f>
        <v>3.9231380540063396</v>
      </c>
    </row>
    <row r="41" spans="1:28" x14ac:dyDescent="0.2">
      <c r="A41">
        <v>2026</v>
      </c>
      <c r="B41">
        <f>aggressive!B75+aggressive!J75+aggressive!R75+aggressive!Z75</f>
        <v>3.5373816719229594</v>
      </c>
      <c r="C41">
        <f>aggressive!C75+aggressive!K75+aggressive!S75+aggressive!AA75</f>
        <v>1.2505078423097276</v>
      </c>
      <c r="D41">
        <f>aggressive!D75+aggressive!L75+aggressive!T75+aggressive!AB75</f>
        <v>63.667840759190618</v>
      </c>
      <c r="E41">
        <f>aggressive!E75+aggressive!M75+aggressive!U75+aggressive!AC75</f>
        <v>0.21409848745711163</v>
      </c>
      <c r="F41">
        <f>aggressive!F75+aggressive!N75+aggressive!V75+aggressive!AD75</f>
        <v>31.626252367666716</v>
      </c>
      <c r="G41">
        <f>aggressive!G75+aggressive!O75+aggressive!W75+aggressive!AE75</f>
        <v>1.5497681334376023</v>
      </c>
      <c r="H41">
        <f>aggressive!H75+aggressive!P75+aggressive!X75+aggressive!AF75</f>
        <v>9.3783998959364681</v>
      </c>
      <c r="K41">
        <v>2026</v>
      </c>
      <c r="L41">
        <f>moderate!B75+moderate!J75+moderate!R75+moderate!Z75</f>
        <v>2.271164250823912</v>
      </c>
      <c r="M41">
        <f>moderate!C75+moderate!K75+moderate!S75+moderate!AA75</f>
        <v>0.80288444115923874</v>
      </c>
      <c r="N41">
        <f>moderate!D75+moderate!L75+moderate!T75+moderate!AB75</f>
        <v>41.000839356921034</v>
      </c>
      <c r="O41">
        <f>moderate!E75+moderate!M75+moderate!U75+moderate!AC75</f>
        <v>0.13746122866174382</v>
      </c>
      <c r="P41">
        <f>moderate!F75+moderate!N75+moderate!V75+moderate!AD75</f>
        <v>20.291105823199679</v>
      </c>
      <c r="Q41">
        <f>moderate!G75+moderate!O75+moderate!W75+moderate!AE75</f>
        <v>0.977379238857914</v>
      </c>
      <c r="R41">
        <f>moderate!H75+moderate!P75+moderate!X75+moderate!AF75</f>
        <v>6.2346734326049233</v>
      </c>
      <c r="U41">
        <v>2026</v>
      </c>
      <c r="V41">
        <f>conservative!B75+conservative!J75+conservative!R75+conservative!Z75</f>
        <v>1.5192370897708856</v>
      </c>
      <c r="W41">
        <f>conservative!C75+conservative!K75+conservative!S75+conservative!AA75</f>
        <v>0.53706895983704761</v>
      </c>
      <c r="X41">
        <f>conservative!D75+conservative!L75+conservative!T75+conservative!AB75</f>
        <v>27.547474610574895</v>
      </c>
      <c r="Y41">
        <f>conservative!E75+conservative!M75+conservative!U75+conservative!AC75</f>
        <v>9.1951164215726897E-2</v>
      </c>
      <c r="Z41">
        <f>conservative!F75+conservative!N75+conservative!V75+conservative!AD75</f>
        <v>13.568208461756081</v>
      </c>
      <c r="AA41">
        <f>conservative!G75+conservative!O75+conservative!W75+conservative!AE75</f>
        <v>0.63447523796219973</v>
      </c>
      <c r="AB41">
        <f>conservative!H75+conservative!P75+conservative!X75+conservative!AF75</f>
        <v>4.3865730615255423</v>
      </c>
    </row>
    <row r="42" spans="1:28" x14ac:dyDescent="0.2">
      <c r="A42">
        <v>2026.25</v>
      </c>
      <c r="B42">
        <f>aggressive!B76+aggressive!J76+aggressive!R76+aggressive!Z76</f>
        <v>4.1562268168808272</v>
      </c>
      <c r="C42">
        <f>aggressive!C76+aggressive!K76+aggressive!S76+aggressive!AA76</f>
        <v>1.4692771973633565</v>
      </c>
      <c r="D42">
        <f>aggressive!D76+aggressive!L76+aggressive!T76+aggressive!AB76</f>
        <v>74.474674905757198</v>
      </c>
      <c r="E42">
        <f>aggressive!E76+aggressive!M76+aggressive!U76+aggressive!AC76</f>
        <v>0.25155382074989463</v>
      </c>
      <c r="F42">
        <f>aggressive!F76+aggressive!N76+aggressive!V76+aggressive!AD76</f>
        <v>37.243777133243441</v>
      </c>
      <c r="G42">
        <f>aggressive!G76+aggressive!O76+aggressive!W76+aggressive!AE76</f>
        <v>1.8432236600074812</v>
      </c>
      <c r="H42">
        <f>aggressive!H76+aggressive!P76+aggressive!X76+aggressive!AF76</f>
        <v>11.305267643113785</v>
      </c>
      <c r="K42">
        <v>2026.25</v>
      </c>
      <c r="L42">
        <f>moderate!B76+moderate!J76+moderate!R76+moderate!Z76</f>
        <v>2.5238239334686989</v>
      </c>
      <c r="M42">
        <f>moderate!C76+moderate!K76+moderate!S76+moderate!AA76</f>
        <v>0.89220274036641378</v>
      </c>
      <c r="N42">
        <f>moderate!D76+moderate!L76+moderate!T76+moderate!AB76</f>
        <v>45.413011461870255</v>
      </c>
      <c r="O42">
        <f>moderate!E76+moderate!M76+moderate!U76+moderate!AC76</f>
        <v>0.15275334608435615</v>
      </c>
      <c r="P42">
        <f>moderate!F76+moderate!N76+moderate!V76+moderate!AD76</f>
        <v>22.584606929387515</v>
      </c>
      <c r="Q42">
        <f>moderate!G76+moderate!O76+moderate!W76+moderate!AE76</f>
        <v>1.0971901169388145</v>
      </c>
      <c r="R42">
        <f>moderate!H76+moderate!P76+moderate!X76+moderate!AF76</f>
        <v>7.1147485028082631</v>
      </c>
      <c r="U42">
        <v>2026.25</v>
      </c>
      <c r="V42">
        <f>conservative!B76+conservative!J76+conservative!R76+conservative!Z76</f>
        <v>1.6618923845861242</v>
      </c>
      <c r="W42">
        <f>conservative!C76+conservative!K76+conservative!S76+conservative!AA76</f>
        <v>0.5874993576449512</v>
      </c>
      <c r="X42">
        <f>conservative!D76+conservative!L76+conservative!T76+conservative!AB76</f>
        <v>30.038650510973699</v>
      </c>
      <c r="Y42">
        <f>conservative!E76+conservative!M76+conservative!U76+conservative!AC76</f>
        <v>0.10058531390053824</v>
      </c>
      <c r="Z42">
        <f>conservative!F76+conservative!N76+conservative!V76+conservative!AD76</f>
        <v>14.863152209953075</v>
      </c>
      <c r="AA42">
        <f>conservative!G76+conservative!O76+conservative!W76+conservative!AE76</f>
        <v>0.70212218485848243</v>
      </c>
      <c r="AB42">
        <f>conservative!H76+conservative!P76+conservative!X76+conservative!AF76</f>
        <v>4.8780018685579511</v>
      </c>
    </row>
    <row r="43" spans="1:28" x14ac:dyDescent="0.2">
      <c r="A43">
        <v>2026.5</v>
      </c>
      <c r="B43">
        <f>aggressive!B77+aggressive!J77+aggressive!R77+aggressive!Z77</f>
        <v>4.9679385391660595</v>
      </c>
      <c r="C43">
        <f>aggressive!C77+aggressive!K77+aggressive!S77+aggressive!AA77</f>
        <v>1.756227254935353</v>
      </c>
      <c r="D43">
        <f>aggressive!D77+aggressive!L77+aggressive!T77+aggressive!AB77</f>
        <v>88.603272589293354</v>
      </c>
      <c r="E43">
        <f>aggressive!E77+aggressive!M77+aggressive!U77+aggressive!AC77</f>
        <v>0.3006823197670796</v>
      </c>
      <c r="F43">
        <f>aggressive!F77+aggressive!N77+aggressive!V77+aggressive!AD77</f>
        <v>44.619281431679184</v>
      </c>
      <c r="G43">
        <f>aggressive!G77+aggressive!O77+aggressive!W77+aggressive!AE77</f>
        <v>2.2249135466851802</v>
      </c>
      <c r="H43">
        <f>aggressive!H77+aggressive!P77+aggressive!X77+aggressive!AF77</f>
        <v>13.413119080554615</v>
      </c>
      <c r="K43">
        <v>2026.5</v>
      </c>
      <c r="L43">
        <f>moderate!B77+moderate!J77+moderate!R77+moderate!Z77</f>
        <v>3.029364889268666</v>
      </c>
      <c r="M43">
        <f>moderate!C77+moderate!K77+moderate!S77+moderate!AA77</f>
        <v>1.0709176737462072</v>
      </c>
      <c r="N43">
        <f>moderate!D77+moderate!L77+moderate!T77+moderate!AB77</f>
        <v>54.212422115863745</v>
      </c>
      <c r="O43">
        <f>moderate!E77+moderate!M77+moderate!U77+moderate!AC77</f>
        <v>0.18335099259886342</v>
      </c>
      <c r="P43">
        <f>moderate!F77+moderate!N77+moderate!V77+moderate!AD77</f>
        <v>27.178133658360579</v>
      </c>
      <c r="Q43">
        <f>moderate!G77+moderate!O77+moderate!W77+moderate!AE77</f>
        <v>1.3349098206619301</v>
      </c>
      <c r="R43">
        <f>moderate!H77+moderate!P77+moderate!X77+moderate!AF77</f>
        <v>8.2935626020992483</v>
      </c>
      <c r="U43">
        <v>2026.5</v>
      </c>
      <c r="V43">
        <f>conservative!B77+conservative!J77+conservative!R77+conservative!Z77</f>
        <v>1.8816327085194628</v>
      </c>
      <c r="W43">
        <f>conservative!C77+conservative!K77+conservative!S77+conservative!AA77</f>
        <v>0.66518025946319992</v>
      </c>
      <c r="X43">
        <f>conservative!D77+conservative!L77+conservative!T77+conservative!AB77</f>
        <v>33.863435279343847</v>
      </c>
      <c r="Y43">
        <f>conservative!E77+conservative!M77+conservative!U77+conservative!AC77</f>
        <v>0.11388500145217548</v>
      </c>
      <c r="Z43">
        <f>conservative!F77+conservative!N77+conservative!V77+conservative!AD77</f>
        <v>16.859791730135456</v>
      </c>
      <c r="AA43">
        <f>conservative!G77+conservative!O77+conservative!W77+conservative!AE77</f>
        <v>0.80545032099098535</v>
      </c>
      <c r="AB43">
        <f>conservative!H77+conservative!P77+conservative!X77+conservative!AF77</f>
        <v>5.4600363027235614</v>
      </c>
    </row>
    <row r="44" spans="1:28" x14ac:dyDescent="0.2">
      <c r="A44">
        <v>2026.75</v>
      </c>
      <c r="B44">
        <f>aggressive!B78+aggressive!J78+aggressive!R78+aggressive!Z78</f>
        <v>5.8719693066134013</v>
      </c>
      <c r="C44">
        <f>aggressive!C78+aggressive!K78+aggressive!S78+aggressive!AA78</f>
        <v>2.0758132281864747</v>
      </c>
      <c r="D44">
        <f>aggressive!D78+aggressive!L78+aggressive!T78+aggressive!AB78</f>
        <v>104.28875573822138</v>
      </c>
      <c r="E44">
        <f>aggressive!E78+aggressive!M78+aggressive!U78+aggressive!AC78</f>
        <v>0.35539838884761821</v>
      </c>
      <c r="F44">
        <f>aggressive!F78+aggressive!N78+aggressive!V78+aggressive!AD78</f>
        <v>52.841466121205983</v>
      </c>
      <c r="G44">
        <f>aggressive!G78+aggressive!O78+aggressive!W78+aggressive!AE78</f>
        <v>2.6465293164832495</v>
      </c>
      <c r="H44">
        <f>aggressive!H78+aggressive!P78+aggressive!X78+aggressive!AF78</f>
        <v>16.157890520731577</v>
      </c>
      <c r="K44">
        <v>2026.75</v>
      </c>
      <c r="L44">
        <f>moderate!B78+moderate!J78+moderate!R78+moderate!Z78</f>
        <v>3.5810294032936785</v>
      </c>
      <c r="M44">
        <f>moderate!C78+moderate!K78+moderate!S78+moderate!AA78</f>
        <v>1.2659378511242529</v>
      </c>
      <c r="N44">
        <f>moderate!D78+moderate!L78+moderate!T78+moderate!AB78</f>
        <v>63.784136652786202</v>
      </c>
      <c r="O44">
        <f>moderate!E78+moderate!M78+moderate!U78+moderate!AC78</f>
        <v>0.21674024741803921</v>
      </c>
      <c r="P44">
        <f>moderate!F78+moderate!N78+moderate!V78+moderate!AD78</f>
        <v>32.195537583427658</v>
      </c>
      <c r="Q44">
        <f>moderate!G78+moderate!O78+moderate!W78+moderate!AE78</f>
        <v>1.5921913946150879</v>
      </c>
      <c r="R44">
        <f>moderate!H78+moderate!P78+moderate!X78+moderate!AF78</f>
        <v>9.8421748754862772</v>
      </c>
      <c r="U44">
        <v>2026.75</v>
      </c>
      <c r="V44">
        <f>conservative!B78+conservative!J78+conservative!R78+conservative!Z78</f>
        <v>2.1458383134624679</v>
      </c>
      <c r="W44">
        <f>conservative!C78+conservative!K78+conservative!S78+conservative!AA78</f>
        <v>0.75858018392874671</v>
      </c>
      <c r="X44">
        <f>conservative!D78+conservative!L78+conservative!T78+conservative!AB78</f>
        <v>38.447563069471542</v>
      </c>
      <c r="Y44">
        <f>conservative!E78+conservative!M78+conservative!U78+conservative!AC78</f>
        <v>0.12987593080112489</v>
      </c>
      <c r="Z44">
        <f>conservative!F78+conservative!N78+conservative!V78+conservative!AD78</f>
        <v>19.262748972380063</v>
      </c>
      <c r="AA44">
        <f>conservative!G78+conservative!O78+conservative!W78+conservative!AE78</f>
        <v>0.92866874842077751</v>
      </c>
      <c r="AB44">
        <f>conservative!H78+conservative!P78+conservative!X78+conservative!AF78</f>
        <v>6.1646788289444983</v>
      </c>
    </row>
    <row r="45" spans="1:28" x14ac:dyDescent="0.2">
      <c r="A45">
        <v>2027</v>
      </c>
      <c r="B45">
        <f>aggressive!B79+aggressive!J79+aggressive!R79+aggressive!Z79</f>
        <v>7.0529278999975267</v>
      </c>
      <c r="C45">
        <f>aggressive!C79+aggressive!K79+aggressive!S79+aggressive!AA79</f>
        <v>2.4932965871894384</v>
      </c>
      <c r="D45">
        <f>aggressive!D79+aggressive!L79+aggressive!T79+aggressive!AB79</f>
        <v>124.71563874804613</v>
      </c>
      <c r="E45">
        <f>aggressive!E79+aggressive!M79+aggressive!U79+aggressive!AC79</f>
        <v>0.42687539417047671</v>
      </c>
      <c r="F45">
        <f>aggressive!F79+aggressive!N79+aggressive!V79+aggressive!AD79</f>
        <v>63.592261245472592</v>
      </c>
      <c r="G45">
        <f>aggressive!G79+aggressive!O79+aggressive!W79+aggressive!AE79</f>
        <v>3.1928742164237547</v>
      </c>
      <c r="H45">
        <f>aggressive!H79+aggressive!P79+aggressive!X79+aggressive!AF79</f>
        <v>19.362820314099533</v>
      </c>
      <c r="K45">
        <v>2027</v>
      </c>
      <c r="L45">
        <f>moderate!B79+moderate!J79+moderate!R79+moderate!Z79</f>
        <v>4.2306100260043449</v>
      </c>
      <c r="M45">
        <f>moderate!C79+moderate!K79+moderate!S79+moderate!AA79</f>
        <v>1.4955725748408335</v>
      </c>
      <c r="N45">
        <f>moderate!D79+moderate!L79+moderate!T79+moderate!AB79</f>
        <v>75.019845897711434</v>
      </c>
      <c r="O45">
        <f>moderate!E79+moderate!M79+moderate!U79+moderate!AC79</f>
        <v>0.25605583213643912</v>
      </c>
      <c r="P45">
        <f>moderate!F79+moderate!N79+moderate!V79+moderate!AD79</f>
        <v>38.108960992663491</v>
      </c>
      <c r="Q45">
        <f>moderate!G79+moderate!O79+moderate!W79+moderate!AE79</f>
        <v>1.8927057922462291</v>
      </c>
      <c r="R45">
        <f>moderate!H79+moderate!P79+moderate!X79+moderate!AF79</f>
        <v>11.605262068102284</v>
      </c>
      <c r="U45">
        <v>2027</v>
      </c>
      <c r="V45">
        <f>conservative!B79+conservative!J79+conservative!R79+conservative!Z79</f>
        <v>2.4438032919891288</v>
      </c>
      <c r="W45">
        <f>conservative!C79+conservative!K79+conservative!S79+conservative!AA79</f>
        <v>0.86391446135171002</v>
      </c>
      <c r="X45">
        <f>conservative!D79+conservative!L79+conservative!T79+conservative!AB79</f>
        <v>43.601423493949049</v>
      </c>
      <c r="Y45">
        <f>conservative!E79+conservative!M79+conservative!U79+conservative!AC79</f>
        <v>0.14791013155590796</v>
      </c>
      <c r="Z45">
        <f>conservative!F79+conservative!N79+conservative!V79+conservative!AD79</f>
        <v>21.975257654981007</v>
      </c>
      <c r="AA45">
        <f>conservative!G79+conservative!O79+conservative!W79+conservative!AE79</f>
        <v>1.0665157883516456</v>
      </c>
      <c r="AB45">
        <f>conservative!H79+conservative!P79+conservative!X79+conservative!AF79</f>
        <v>6.9376058880170266</v>
      </c>
    </row>
    <row r="46" spans="1:28" x14ac:dyDescent="0.2">
      <c r="A46">
        <v>2027.25</v>
      </c>
      <c r="B46">
        <f>aggressive!B80+aggressive!J80+aggressive!R80+aggressive!Z80</f>
        <v>8.4280072899386731</v>
      </c>
      <c r="C46">
        <f>aggressive!C80+aggressive!K80+aggressive!S80+aggressive!AA80</f>
        <v>2.9794040306039666</v>
      </c>
      <c r="D46">
        <f>aggressive!D80+aggressive!L80+aggressive!T80+aggressive!AB80</f>
        <v>148.42838740810879</v>
      </c>
      <c r="E46">
        <f>aggressive!E80+aggressive!M80+aggressive!U80+aggressive!AC80</f>
        <v>0.51010147629121283</v>
      </c>
      <c r="F46">
        <f>aggressive!F80+aggressive!N80+aggressive!V80+aggressive!AD80</f>
        <v>76.121477454862898</v>
      </c>
      <c r="G46">
        <f>aggressive!G80+aggressive!O80+aggressive!W80+aggressive!AE80</f>
        <v>3.8240204559174735</v>
      </c>
      <c r="H46">
        <f>aggressive!H80+aggressive!P80+aggressive!X80+aggressive!AF80</f>
        <v>23.19212564064372</v>
      </c>
      <c r="K46">
        <v>2027.25</v>
      </c>
      <c r="L46">
        <f>moderate!B80+moderate!J80+moderate!R80+moderate!Z80</f>
        <v>5.1152669059212243</v>
      </c>
      <c r="M46">
        <f>moderate!C80+moderate!K80+moderate!S80+moderate!AA80</f>
        <v>1.8083096410358794</v>
      </c>
      <c r="N46">
        <f>moderate!D80+moderate!L80+moderate!T80+moderate!AB80</f>
        <v>90.275435063920952</v>
      </c>
      <c r="O46">
        <f>moderate!E80+moderate!M80+moderate!U80+moderate!AC80</f>
        <v>0.30959930509896211</v>
      </c>
      <c r="P46">
        <f>moderate!F80+moderate!N80+moderate!V80+moderate!AD80</f>
        <v>46.16962818081587</v>
      </c>
      <c r="Q46">
        <f>moderate!G80+moderate!O80+moderate!W80+moderate!AE80</f>
        <v>2.2987535208982321</v>
      </c>
      <c r="R46">
        <f>moderate!H80+moderate!P80+moderate!X80+moderate!AF80</f>
        <v>13.9900480040922</v>
      </c>
      <c r="U46">
        <v>2027.25</v>
      </c>
      <c r="V46">
        <f>conservative!B80+conservative!J80+conservative!R80+conservative!Z80</f>
        <v>2.8044810824862507</v>
      </c>
      <c r="W46">
        <f>conservative!C80+conservative!K80+conservative!S80+conservative!AA80</f>
        <v>0.99141848760466755</v>
      </c>
      <c r="X46">
        <f>conservative!D80+conservative!L80+conservative!T80+conservative!AB80</f>
        <v>49.821182044537927</v>
      </c>
      <c r="Y46">
        <f>conservative!E80+conservative!M80+conservative!U80+conservative!AC80</f>
        <v>0.16973999798443751</v>
      </c>
      <c r="Z46">
        <f>conservative!F80+conservative!N80+conservative!V80+conservative!AD80</f>
        <v>25.261620647634853</v>
      </c>
      <c r="AA46">
        <f>conservative!G80+conservative!O80+conservative!W80+conservative!AE80</f>
        <v>1.2320629071626581</v>
      </c>
      <c r="AB46">
        <f>conservative!H80+conservative!P80+conservative!X80+conservative!AF80</f>
        <v>7.8432926258928024</v>
      </c>
    </row>
    <row r="47" spans="1:28" x14ac:dyDescent="0.2">
      <c r="A47">
        <v>2027.5</v>
      </c>
      <c r="B47">
        <f>aggressive!B81+aggressive!J81+aggressive!R81+aggressive!Z81</f>
        <v>10.136011746146135</v>
      </c>
      <c r="C47">
        <f>aggressive!C81+aggressive!K81+aggressive!S81+aggressive!AA81</f>
        <v>3.5832045715917618</v>
      </c>
      <c r="D47">
        <f>aggressive!D81+aggressive!L81+aggressive!T81+aggressive!AB81</f>
        <v>177.79558454073123</v>
      </c>
      <c r="E47">
        <f>aggressive!E81+aggressive!M81+aggressive!U81+aggressive!AC81</f>
        <v>0.61347770327472506</v>
      </c>
      <c r="F47">
        <f>aggressive!F81+aggressive!N81+aggressive!V81+aggressive!AD81</f>
        <v>91.697772532086418</v>
      </c>
      <c r="G47">
        <f>aggressive!G81+aggressive!O81+aggressive!W81+aggressive!AE81</f>
        <v>4.6019322902619972</v>
      </c>
      <c r="H47">
        <f>aggressive!H81+aggressive!P81+aggressive!X81+aggressive!AF81</f>
        <v>27.944237534200305</v>
      </c>
      <c r="K47">
        <v>2027.5</v>
      </c>
      <c r="L47">
        <f>moderate!B81+moderate!J81+moderate!R81+moderate!Z81</f>
        <v>6.5117700002667007</v>
      </c>
      <c r="M47">
        <f>moderate!C81+moderate!K81+moderate!S81+moderate!AA81</f>
        <v>2.3019906269328549</v>
      </c>
      <c r="N47">
        <f>moderate!D81+moderate!L81+moderate!T81+moderate!AB81</f>
        <v>114.2867199987534</v>
      </c>
      <c r="O47">
        <f>moderate!E81+moderate!M81+moderate!U81+moderate!AC81</f>
        <v>0.39412204761263858</v>
      </c>
      <c r="P47">
        <f>moderate!F81+moderate!N81+moderate!V81+moderate!AD81</f>
        <v>58.905159516653747</v>
      </c>
      <c r="Q47">
        <f>moderate!G81+moderate!O81+moderate!W81+moderate!AE81</f>
        <v>2.9347918402608717</v>
      </c>
      <c r="R47">
        <f>moderate!H81+moderate!P81+moderate!X81+moderate!AF81</f>
        <v>17.508949176345428</v>
      </c>
      <c r="U47">
        <v>2027.5</v>
      </c>
      <c r="V47">
        <f>conservative!B81+conservative!J81+conservative!R81+conservative!Z81</f>
        <v>3.2715549295105122</v>
      </c>
      <c r="W47">
        <f>conservative!C81+conservative!K81+conservative!S81+conservative!AA81</f>
        <v>1.1565348258493051</v>
      </c>
      <c r="X47">
        <f>conservative!D81+conservative!L81+conservative!T81+conservative!AB81</f>
        <v>57.851986467326718</v>
      </c>
      <c r="Y47">
        <f>conservative!E81+conservative!M81+conservative!U81+conservative!AC81</f>
        <v>0.19800943946777844</v>
      </c>
      <c r="Z47">
        <f>conservative!F81+conservative!N81+conservative!V81+conservative!AD81</f>
        <v>29.521141187913919</v>
      </c>
      <c r="AA47">
        <f>conservative!G81+conservative!O81+conservative!W81+conservative!AE81</f>
        <v>1.4447920202469298</v>
      </c>
      <c r="AB47">
        <f>conservative!H81+conservative!P81+conservative!X81+conservative!AF81</f>
        <v>9.0739905524626412</v>
      </c>
    </row>
    <row r="48" spans="1:28" x14ac:dyDescent="0.2">
      <c r="A48">
        <v>2027.75</v>
      </c>
      <c r="B48">
        <f>aggressive!B82+aggressive!J82+aggressive!R82+aggressive!Z82</f>
        <v>10.907694740680867</v>
      </c>
      <c r="C48">
        <f>aggressive!C82+aggressive!K82+aggressive!S82+aggressive!AA82</f>
        <v>3.8560039825521724</v>
      </c>
      <c r="D48">
        <f>aggressive!D82+aggressive!L82+aggressive!T82+aggressive!AB82</f>
        <v>191.02568896364713</v>
      </c>
      <c r="E48">
        <f>aggressive!E82+aggressive!M82+aggressive!U82+aggressive!AC82</f>
        <v>0.6601834809513667</v>
      </c>
      <c r="F48">
        <f>aggressive!F82+aggressive!N82+aggressive!V82+aggressive!AD82</f>
        <v>98.741173705630686</v>
      </c>
      <c r="G48">
        <f>aggressive!G82+aggressive!O82+aggressive!W82+aggressive!AE82</f>
        <v>4.95074029524549</v>
      </c>
      <c r="H48">
        <f>aggressive!H82+aggressive!P82+aggressive!X82+aggressive!AF82</f>
        <v>31.557085284169375</v>
      </c>
      <c r="K48">
        <v>2027.75</v>
      </c>
      <c r="L48">
        <f>moderate!B82+moderate!J82+moderate!R82+moderate!Z82</f>
        <v>6.7712272358207706</v>
      </c>
      <c r="M48">
        <f>moderate!C82+moderate!K82+moderate!S82+moderate!AA82</f>
        <v>2.3937119445332797</v>
      </c>
      <c r="N48">
        <f>moderate!D82+moderate!L82+moderate!T82+moderate!AB82</f>
        <v>118.73497963901029</v>
      </c>
      <c r="O48">
        <f>moderate!E82+moderate!M82+moderate!U82+moderate!AC82</f>
        <v>0.40982558396915869</v>
      </c>
      <c r="P48">
        <f>moderate!F82+moderate!N82+moderate!V82+moderate!AD82</f>
        <v>61.273309923399346</v>
      </c>
      <c r="Q48">
        <f>moderate!G82+moderate!O82+moderate!W82+moderate!AE82</f>
        <v>3.0520689622826063</v>
      </c>
      <c r="R48">
        <f>moderate!H82+moderate!P82+moderate!X82+moderate!AF82</f>
        <v>19.689481745617766</v>
      </c>
      <c r="U48">
        <v>2027.75</v>
      </c>
      <c r="V48">
        <f>conservative!B82+conservative!J82+conservative!R82+conservative!Z82</f>
        <v>3.5469282937186208</v>
      </c>
      <c r="W48">
        <f>conservative!C82+conservative!K82+conservative!S82+conservative!AA82</f>
        <v>1.2538826902990736</v>
      </c>
      <c r="X48">
        <f>conservative!D82+conservative!L82+conservative!T82+conservative!AB82</f>
        <v>62.573119872578857</v>
      </c>
      <c r="Y48">
        <f>conservative!E82+conservative!M82+conservative!U82+conservative!AC82</f>
        <v>0.21467629258993043</v>
      </c>
      <c r="Z48">
        <f>conservative!F82+conservative!N82+conservative!V82+conservative!AD82</f>
        <v>32.03456326713912</v>
      </c>
      <c r="AA48">
        <f>conservative!G82+conservative!O82+conservative!W82+conservative!AE82</f>
        <v>1.5692633828081008</v>
      </c>
      <c r="AB48">
        <f>conservative!H82+conservative!P82+conservative!X82+conservative!AF82</f>
        <v>10.047039669700062</v>
      </c>
    </row>
    <row r="49" spans="1:28" x14ac:dyDescent="0.2">
      <c r="A49">
        <v>2028</v>
      </c>
      <c r="B49">
        <f>aggressive!B83+aggressive!J83+aggressive!R83+aggressive!Z83</f>
        <v>11.920499860618147</v>
      </c>
      <c r="C49">
        <f>aggressive!C83+aggressive!K83+aggressive!S83+aggressive!AA83</f>
        <v>4.2140430246113567</v>
      </c>
      <c r="D49">
        <f>aggressive!D83+aggressive!L83+aggressive!T83+aggressive!AB83</f>
        <v>208.34104363783277</v>
      </c>
      <c r="E49">
        <f>aggressive!E83+aggressive!M83+aggressive!U83+aggressive!AC83</f>
        <v>0.7214830704156594</v>
      </c>
      <c r="F49">
        <f>aggressive!F83+aggressive!N83+aggressive!V83+aggressive!AD83</f>
        <v>107.99299964776654</v>
      </c>
      <c r="G49">
        <f>aggressive!G83+aggressive!O83+aggressive!W83+aggressive!AE83</f>
        <v>5.4051466986121017</v>
      </c>
      <c r="H49">
        <f>aggressive!H83+aggressive!P83+aggressive!X83+aggressive!AF83</f>
        <v>35.340222952522822</v>
      </c>
      <c r="K49">
        <v>2028</v>
      </c>
      <c r="L49">
        <f>moderate!B83+moderate!J83+moderate!R83+moderate!Z83</f>
        <v>7.2598661151854014</v>
      </c>
      <c r="M49">
        <f>moderate!C83+moderate!K83+moderate!S83+moderate!AA83</f>
        <v>2.5664517864205525</v>
      </c>
      <c r="N49">
        <f>moderate!D83+moderate!L83+moderate!T83+moderate!AB83</f>
        <v>127.08896140434651</v>
      </c>
      <c r="O49">
        <f>moderate!E83+moderate!M83+moderate!U83+moderate!AC83</f>
        <v>0.4394002396573119</v>
      </c>
      <c r="P49">
        <f>moderate!F83+moderate!N83+moderate!V83+moderate!AD83</f>
        <v>65.736954282466002</v>
      </c>
      <c r="Q49">
        <f>moderate!G83+moderate!O83+moderate!W83+moderate!AE83</f>
        <v>3.2713022889574588</v>
      </c>
      <c r="R49">
        <f>moderate!H83+moderate!P83+moderate!X83+moderate!AF83</f>
        <v>21.762998951298798</v>
      </c>
      <c r="U49">
        <v>2028</v>
      </c>
      <c r="V49">
        <f>conservative!B83+conservative!J83+conservative!R83+conservative!Z83</f>
        <v>4.0288146823531292</v>
      </c>
      <c r="W49">
        <f>conservative!C83+conservative!K83+conservative!S83+conservative!AA83</f>
        <v>1.4242354438265674</v>
      </c>
      <c r="X49">
        <f>conservative!D83+conservative!L83+conservative!T83+conservative!AB83</f>
        <v>70.811658133903677</v>
      </c>
      <c r="Y49">
        <f>conservative!E83+conservative!M83+conservative!U83+conservative!AC83</f>
        <v>0.2438422567129743</v>
      </c>
      <c r="Z49">
        <f>conservative!F83+conservative!N83+conservative!V83+conservative!AD83</f>
        <v>36.436524615643172</v>
      </c>
      <c r="AA49">
        <f>conservative!G83+conservative!O83+conservative!W83+conservative!AE83</f>
        <v>1.7854671286030395</v>
      </c>
      <c r="AB49">
        <f>conservative!H83+conservative!P83+conservative!X83+conservative!AF83</f>
        <v>11.11618775263565</v>
      </c>
    </row>
    <row r="50" spans="1:28" x14ac:dyDescent="0.2">
      <c r="A50">
        <v>2028.25</v>
      </c>
      <c r="B50">
        <f>aggressive!B84+aggressive!J84+aggressive!R84+aggressive!Z84</f>
        <v>13.617199819069564</v>
      </c>
      <c r="C50">
        <f>aggressive!C84+aggressive!K84+aggressive!S84+aggressive!AA84</f>
        <v>4.8138472868799189</v>
      </c>
      <c r="D50">
        <f>aggressive!D84+aggressive!L84+aggressive!T84+aggressive!AB84</f>
        <v>237.58596165070983</v>
      </c>
      <c r="E50">
        <f>aggressive!E84+aggressive!M84+aggressive!U84+aggressive!AC84</f>
        <v>0.82417509758826557</v>
      </c>
      <c r="F50">
        <f>aggressive!F84+aggressive!N84+aggressive!V84+aggressive!AD84</f>
        <v>123.48307858268133</v>
      </c>
      <c r="G50">
        <f>aggressive!G84+aggressive!O84+aggressive!W84+aggressive!AE84</f>
        <v>6.1895833345796971</v>
      </c>
      <c r="H50">
        <f>aggressive!H84+aggressive!P84+aggressive!X84+aggressive!AF84</f>
        <v>40.352785716407141</v>
      </c>
      <c r="K50">
        <v>2028.25</v>
      </c>
      <c r="L50">
        <f>moderate!B84+moderate!J84+moderate!R84+moderate!Z84</f>
        <v>8.4598274559546738</v>
      </c>
      <c r="M50">
        <f>moderate!C84+moderate!K84+moderate!S84+moderate!AA84</f>
        <v>2.9906528498824847</v>
      </c>
      <c r="N50">
        <f>moderate!D84+moderate!L84+moderate!T84+moderate!AB84</f>
        <v>147.77191766577576</v>
      </c>
      <c r="O50">
        <f>moderate!E84+moderate!M84+moderate!U84+moderate!AC84</f>
        <v>0.51202737800228149</v>
      </c>
      <c r="P50">
        <f>moderate!F84+moderate!N84+moderate!V84+moderate!AD84</f>
        <v>76.692041417805527</v>
      </c>
      <c r="Q50">
        <f>moderate!G84+moderate!O84+moderate!W84+moderate!AE84</f>
        <v>3.8260813662807922</v>
      </c>
      <c r="R50">
        <f>moderate!H84+moderate!P84+moderate!X84+moderate!AF84</f>
        <v>24.950985947350013</v>
      </c>
      <c r="U50">
        <v>2028.25</v>
      </c>
      <c r="V50">
        <f>conservative!B84+conservative!J84+conservative!R84+conservative!Z84</f>
        <v>4.5680516027395983</v>
      </c>
      <c r="W50">
        <f>conservative!C84+conservative!K84+conservative!S84+conservative!AA84</f>
        <v>1.6148623143049394</v>
      </c>
      <c r="X50">
        <f>conservative!D84+conservative!L84+conservative!T84+conservative!AB84</f>
        <v>80.10613559744526</v>
      </c>
      <c r="Y50">
        <f>conservative!E84+conservative!M84+conservative!U84+conservative!AC84</f>
        <v>0.27647933683133602</v>
      </c>
      <c r="Z50">
        <f>conservative!F84+conservative!N84+conservative!V84+conservative!AD84</f>
        <v>41.359506089061966</v>
      </c>
      <c r="AA50">
        <f>conservative!G84+conservative!O84+conservative!W84+conservative!AE84</f>
        <v>2.0347729612050269</v>
      </c>
      <c r="AB50">
        <f>conservative!H84+conservative!P84+conservative!X84+conservative!AF84</f>
        <v>12.535535276797431</v>
      </c>
    </row>
    <row r="51" spans="1:28" x14ac:dyDescent="0.2">
      <c r="A51">
        <v>2028.5</v>
      </c>
      <c r="B51">
        <f>aggressive!B85+aggressive!J85+aggressive!R85+aggressive!Z85</f>
        <v>15.745483150961668</v>
      </c>
      <c r="C51">
        <f>aggressive!C85+aggressive!K85+aggressive!S85+aggressive!AA85</f>
        <v>5.5662215693365162</v>
      </c>
      <c r="D51">
        <f>aggressive!D85+aggressive!L85+aggressive!T85+aggressive!AB85</f>
        <v>274.56584711950933</v>
      </c>
      <c r="E51">
        <f>aggressive!E85+aggressive!M85+aggressive!U85+aggressive!AC85</f>
        <v>0.9529885207636557</v>
      </c>
      <c r="F51">
        <f>aggressive!F85+aggressive!N85+aggressive!V85+aggressive!AD85</f>
        <v>142.9020568942874</v>
      </c>
      <c r="G51">
        <f>aggressive!G85+aggressive!O85+aggressive!W85+aggressive!AE85</f>
        <v>7.2024765839235361</v>
      </c>
      <c r="H51">
        <f>aggressive!H85+aggressive!P85+aggressive!X85+aggressive!AF85</f>
        <v>46.000045559478416</v>
      </c>
      <c r="K51">
        <v>2028.5</v>
      </c>
      <c r="L51">
        <f>moderate!B85+moderate!J85+moderate!R85+moderate!Z85</f>
        <v>9.9841032455286474</v>
      </c>
      <c r="M51">
        <f>moderate!C85+moderate!K85+moderate!S85+moderate!AA85</f>
        <v>3.5295030519498578</v>
      </c>
      <c r="N51">
        <f>moderate!D85+moderate!L85+moderate!T85+moderate!AB85</f>
        <v>174.25689890706423</v>
      </c>
      <c r="O51">
        <f>moderate!E85+moderate!M85+moderate!U85+moderate!AC85</f>
        <v>0.6042835073325038</v>
      </c>
      <c r="P51">
        <f>moderate!F85+moderate!N85+moderate!V85+moderate!AD85</f>
        <v>90.599906998995806</v>
      </c>
      <c r="Q51">
        <f>moderate!G85+moderate!O85+moderate!W85+moderate!AE85</f>
        <v>4.5515151627411212</v>
      </c>
      <c r="R51">
        <f>moderate!H85+moderate!P85+moderate!X85+moderate!AF85</f>
        <v>28.711206908092905</v>
      </c>
      <c r="U51">
        <v>2028.5</v>
      </c>
      <c r="V51">
        <f>conservative!B85+conservative!J85+conservative!R85+conservative!Z85</f>
        <v>5.1278627229509244</v>
      </c>
      <c r="W51">
        <f>conservative!C85+conservative!K85+conservative!S85+conservative!AA85</f>
        <v>1.8127624169692653</v>
      </c>
      <c r="X51">
        <f>conservative!D85+conservative!L85+conservative!T85+conservative!AB85</f>
        <v>89.83310700175106</v>
      </c>
      <c r="Y51">
        <f>conservative!E85+conservative!M85+conservative!U85+conservative!AC85</f>
        <v>0.31036166144737382</v>
      </c>
      <c r="Z51">
        <f>conservative!F85+conservative!N85+conservative!V85+conservative!AD85</f>
        <v>46.467359840994057</v>
      </c>
      <c r="AA51">
        <f>conservative!G85+conservative!O85+conservative!W85+conservative!AE85</f>
        <v>2.3011984394638638</v>
      </c>
      <c r="AB51">
        <f>conservative!H85+conservative!P85+conservative!X85+conservative!AF85</f>
        <v>14.099942397872468</v>
      </c>
    </row>
    <row r="52" spans="1:28" x14ac:dyDescent="0.2">
      <c r="A52">
        <v>2028.75</v>
      </c>
      <c r="B52">
        <f>aggressive!B86+aggressive!J86+aggressive!R86+aggressive!Z86</f>
        <v>17.307684856308356</v>
      </c>
      <c r="C52">
        <f>aggressive!C86+aggressive!K86+aggressive!S86+aggressive!AA86</f>
        <v>6.1184790481693536</v>
      </c>
      <c r="D52">
        <f>aggressive!D86+aggressive!L86+aggressive!T86+aggressive!AB86</f>
        <v>301.92584208051915</v>
      </c>
      <c r="E52">
        <f>aggressive!E86+aggressive!M86+aggressive!U86+aggressive!AC86</f>
        <v>1.0475400996538768</v>
      </c>
      <c r="F52">
        <f>aggressive!F86+aggressive!N86+aggressive!V86+aggressive!AD86</f>
        <v>157.1477543346837</v>
      </c>
      <c r="G52">
        <f>aggressive!G86+aggressive!O86+aggressive!W86+aggressive!AE86</f>
        <v>7.9670657100665565</v>
      </c>
      <c r="H52">
        <f>aggressive!H86+aggressive!P86+aggressive!X86+aggressive!AF86</f>
        <v>51.478092028677636</v>
      </c>
      <c r="K52">
        <v>2028.75</v>
      </c>
      <c r="L52">
        <f>moderate!B86+moderate!J86+moderate!R86+moderate!Z86</f>
        <v>10.841466715303362</v>
      </c>
      <c r="M52">
        <f>moderate!C86+moderate!K86+moderate!S86+moderate!AA86</f>
        <v>3.8325915626336178</v>
      </c>
      <c r="N52">
        <f>moderate!D86+moderate!L86+moderate!T86+moderate!AB86</f>
        <v>189.27254005795155</v>
      </c>
      <c r="O52">
        <f>moderate!E86+moderate!M86+moderate!U86+moderate!AC86</f>
        <v>0.65617505851475477</v>
      </c>
      <c r="P52">
        <f>moderate!F86+moderate!N86+moderate!V86+moderate!AD86</f>
        <v>98.418193552554825</v>
      </c>
      <c r="Q52">
        <f>moderate!G86+moderate!O86+moderate!W86+moderate!AE86</f>
        <v>4.9711349748936868</v>
      </c>
      <c r="R52">
        <f>moderate!H86+moderate!P86+moderate!X86+moderate!AF86</f>
        <v>31.945663869976133</v>
      </c>
      <c r="U52">
        <v>2028.75</v>
      </c>
      <c r="V52">
        <f>conservative!B86+conservative!J86+conservative!R86+conservative!Z86</f>
        <v>5.5334084832829538</v>
      </c>
      <c r="W52">
        <f>conservative!C86+conservative!K86+conservative!S86+conservative!AA86</f>
        <v>1.9561278213122399</v>
      </c>
      <c r="X52">
        <f>conservative!D86+conservative!L86+conservative!T86+conservative!AB86</f>
        <v>96.935730127284501</v>
      </c>
      <c r="Y52">
        <f>conservative!E86+conservative!M86+conservative!U86+conservative!AC86</f>
        <v>0.33490714223925339</v>
      </c>
      <c r="Z52">
        <f>conservative!F86+conservative!N86+conservative!V86+conservative!AD86</f>
        <v>50.165526460677441</v>
      </c>
      <c r="AA52">
        <f>conservative!G86+conservative!O86+conservative!W86+conservative!AE86</f>
        <v>2.4996848944728605</v>
      </c>
      <c r="AB52">
        <f>conservative!H86+conservative!P86+conservative!X86+conservative!AF86</f>
        <v>15.610552975457583</v>
      </c>
    </row>
    <row r="53" spans="1:28" x14ac:dyDescent="0.2">
      <c r="A53">
        <v>2029</v>
      </c>
      <c r="B53">
        <f>aggressive!B87+aggressive!J87+aggressive!R87+aggressive!Z87</f>
        <v>19.215406150736342</v>
      </c>
      <c r="C53">
        <f>aggressive!C87+aggressive!K87+aggressive!S87+aggressive!AA87</f>
        <v>6.792881942988056</v>
      </c>
      <c r="D53">
        <f>aggressive!D87+aggressive!L87+aggressive!T87+aggressive!AB87</f>
        <v>335.59945668289078</v>
      </c>
      <c r="E53">
        <f>aggressive!E87+aggressive!M87+aggressive!U87+aggressive!AC87</f>
        <v>1.1630041014235029</v>
      </c>
      <c r="F53">
        <f>aggressive!F87+aggressive!N87+aggressive!V87+aggressive!AD87</f>
        <v>174.53426879174421</v>
      </c>
      <c r="G53">
        <f>aggressive!G87+aggressive!O87+aggressive!W87+aggressive!AE87</f>
        <v>8.9263862670239327</v>
      </c>
      <c r="H53">
        <f>aggressive!H87+aggressive!P87+aggressive!X87+aggressive!AF87</f>
        <v>57.227933733671577</v>
      </c>
      <c r="K53">
        <v>2029</v>
      </c>
      <c r="L53">
        <f>moderate!B87+moderate!J87+moderate!R87+moderate!Z87</f>
        <v>11.7497256169525</v>
      </c>
      <c r="M53">
        <f>moderate!C87+moderate!K87+moderate!S87+moderate!AA87</f>
        <v>4.1536722332253326</v>
      </c>
      <c r="N53">
        <f>moderate!D87+moderate!L87+moderate!T87+moderate!AB87</f>
        <v>205.30442076434005</v>
      </c>
      <c r="O53">
        <f>moderate!E87+moderate!M87+moderate!U87+moderate!AC87</f>
        <v>0.71114703357924636</v>
      </c>
      <c r="P53">
        <f>moderate!F87+moderate!N87+moderate!V87+moderate!AD87</f>
        <v>106.69584740608147</v>
      </c>
      <c r="Q53">
        <f>moderate!G87+moderate!O87+moderate!W87+moderate!AE87</f>
        <v>5.42786386812167</v>
      </c>
      <c r="R53">
        <f>moderate!H87+moderate!P87+moderate!X87+moderate!AF87</f>
        <v>35.271043670949595</v>
      </c>
      <c r="U53">
        <v>2029</v>
      </c>
      <c r="V53">
        <f>conservative!B87+conservative!J87+conservative!R87+conservative!Z87</f>
        <v>5.9658181817728728</v>
      </c>
      <c r="W53">
        <f>conservative!C87+conservative!K87+conservative!S87+conservative!AA87</f>
        <v>2.1089899575483</v>
      </c>
      <c r="X53">
        <f>conservative!D87+conservative!L87+conservative!T87+conservative!AB87</f>
        <v>104.56829028154083</v>
      </c>
      <c r="Y53">
        <f>conservative!E87+conservative!M87+conservative!U87+conservative!AC87</f>
        <v>0.36107855120631316</v>
      </c>
      <c r="Z53">
        <f>conservative!F87+conservative!N87+conservative!V87+conservative!AD87</f>
        <v>54.106404772476324</v>
      </c>
      <c r="AA53">
        <f>conservative!G87+conservative!O87+conservative!W87+conservative!AE87</f>
        <v>2.7171273028585685</v>
      </c>
      <c r="AB53">
        <f>conservative!H87+conservative!P87+conservative!X87+conservative!AF87</f>
        <v>17.180596534401037</v>
      </c>
    </row>
    <row r="54" spans="1:28" x14ac:dyDescent="0.2">
      <c r="A54">
        <v>2029.25</v>
      </c>
      <c r="B54">
        <f>aggressive!B88+aggressive!J88+aggressive!R88+aggressive!Z88</f>
        <v>21.428850928652864</v>
      </c>
      <c r="C54">
        <f>aggressive!C88+aggressive!K88+aggressive!S88+aggressive!AA88</f>
        <v>7.5753618419692268</v>
      </c>
      <c r="D54">
        <f>aggressive!D88+aggressive!L88+aggressive!T88+aggressive!AB88</f>
        <v>374.97200954287297</v>
      </c>
      <c r="E54">
        <f>aggressive!E88+aggressive!M88+aggressive!U88+aggressive!AC88</f>
        <v>1.2969718840869309</v>
      </c>
      <c r="F54">
        <f>aggressive!F88+aggressive!N88+aggressive!V88+aggressive!AD88</f>
        <v>194.6955711892725</v>
      </c>
      <c r="G54">
        <f>aggressive!G88+aggressive!O88+aggressive!W88+aggressive!AE88</f>
        <v>10.069000934813069</v>
      </c>
      <c r="H54">
        <f>aggressive!H88+aggressive!P88+aggressive!X88+aggressive!AF88</f>
        <v>64.122466504654867</v>
      </c>
      <c r="K54">
        <v>2029.25</v>
      </c>
      <c r="L54">
        <f>moderate!B88+moderate!J88+moderate!R88+moderate!Z88</f>
        <v>13.15151062594224</v>
      </c>
      <c r="M54">
        <f>moderate!C88+moderate!K88+moderate!S88+moderate!AA88</f>
        <v>4.6492204407844477</v>
      </c>
      <c r="N54">
        <f>moderate!D88+moderate!L88+moderate!T88+moderate!AB88</f>
        <v>230.2392440386439</v>
      </c>
      <c r="O54">
        <f>moderate!E88+moderate!M88+moderate!U88+moderate!AC88</f>
        <v>0.79598946167991791</v>
      </c>
      <c r="P54">
        <f>moderate!F88+moderate!N88+moderate!V88+moderate!AD88</f>
        <v>119.46409522709396</v>
      </c>
      <c r="Q54">
        <f>moderate!G88+moderate!O88+moderate!W88+moderate!AE88</f>
        <v>6.1514871219469853</v>
      </c>
      <c r="R54">
        <f>moderate!H88+moderate!P88+moderate!X88+moderate!AF88</f>
        <v>39.685981065974119</v>
      </c>
      <c r="U54">
        <v>2029.25</v>
      </c>
      <c r="V54">
        <f>conservative!B88+conservative!J88+conservative!R88+conservative!Z88</f>
        <v>6.5083968465072592</v>
      </c>
      <c r="W54">
        <f>conservative!C88+conservative!K88+conservative!S88+conservative!AA88</f>
        <v>2.3007981756735019</v>
      </c>
      <c r="X54">
        <f>conservative!D88+conservative!L88+conservative!T88+conservative!AB88</f>
        <v>114.21962984559426</v>
      </c>
      <c r="Y54">
        <f>conservative!E88+conservative!M88+conservative!U88+conservative!AC88</f>
        <v>0.39391788894816976</v>
      </c>
      <c r="Z54">
        <f>conservative!F88+conservative!N88+conservative!V88+conservative!AD88</f>
        <v>59.048517014577939</v>
      </c>
      <c r="AA54">
        <f>conservative!G88+conservative!O88+conservative!W88+conservative!AE88</f>
        <v>2.9972148600184587</v>
      </c>
      <c r="AB54">
        <f>conservative!H88+conservative!P88+conservative!X88+conservative!AF88</f>
        <v>18.853417093244282</v>
      </c>
    </row>
    <row r="55" spans="1:28" x14ac:dyDescent="0.2">
      <c r="A55">
        <v>2029.5</v>
      </c>
      <c r="B55">
        <f>aggressive!B89+aggressive!J89+aggressive!R89+aggressive!Z89</f>
        <v>24.127721598247991</v>
      </c>
      <c r="C55">
        <f>aggressive!C89+aggressive!K89+aggressive!S89+aggressive!AA89</f>
        <v>8.5294457522513039</v>
      </c>
      <c r="D55">
        <f>aggressive!D89+aggressive!L89+aggressive!T89+aggressive!AB89</f>
        <v>423.34603393784255</v>
      </c>
      <c r="E55">
        <f>aggressive!E89+aggressive!M89+aggressive!U89+aggressive!AC89</f>
        <v>1.460319857755989</v>
      </c>
      <c r="F55">
        <f>aggressive!F89+aggressive!N89+aggressive!V89+aggressive!AD89</f>
        <v>219.26446214346674</v>
      </c>
      <c r="G55">
        <f>aggressive!G89+aggressive!O89+aggressive!W89+aggressive!AE89</f>
        <v>11.498030984885791</v>
      </c>
      <c r="H55">
        <f>aggressive!H89+aggressive!P89+aggressive!X89+aggressive!AF89</f>
        <v>71.796075721706188</v>
      </c>
      <c r="K55">
        <v>2029.5</v>
      </c>
      <c r="L55">
        <f>moderate!B89+moderate!J89+moderate!R89+moderate!Z89</f>
        <v>15.114923485191344</v>
      </c>
      <c r="M55">
        <f>moderate!C89+moderate!K89+moderate!S89+moderate!AA89</f>
        <v>5.3433109873801898</v>
      </c>
      <c r="N55">
        <f>moderate!D89+moderate!L89+moderate!T89+moderate!AB89</f>
        <v>265.43106801921328</v>
      </c>
      <c r="O55">
        <f>moderate!E89+moderate!M89+moderate!U89+moderate!AC89</f>
        <v>0.91482417119277681</v>
      </c>
      <c r="P55">
        <f>moderate!F89+moderate!N89+moderate!V89+moderate!AD89</f>
        <v>137.33782181221795</v>
      </c>
      <c r="Q55">
        <f>moderate!G89+moderate!O89+moderate!W89+moderate!AE89</f>
        <v>7.1910982482508157</v>
      </c>
      <c r="R55">
        <f>moderate!H89+moderate!P89+moderate!X89+moderate!AF89</f>
        <v>44.670122809550804</v>
      </c>
      <c r="U55">
        <v>2029.5</v>
      </c>
      <c r="V55">
        <f>conservative!B89+conservative!J89+conservative!R89+conservative!Z89</f>
        <v>7.3959876537551716</v>
      </c>
      <c r="W55">
        <f>conservative!C89+conservative!K89+conservative!S89+conservative!AA89</f>
        <v>2.614572421193964</v>
      </c>
      <c r="X55">
        <f>conservative!D89+conservative!L89+conservative!T89+conservative!AB89</f>
        <v>130.12863202427306</v>
      </c>
      <c r="Y55">
        <f>conservative!E89+conservative!M89+conservative!U89+conservative!AC89</f>
        <v>0.44763893658658055</v>
      </c>
      <c r="Z55">
        <f>conservative!F89+conservative!N89+conservative!V89+conservative!AD89</f>
        <v>67.128608439814883</v>
      </c>
      <c r="AA55">
        <f>conservative!G89+conservative!O89+conservative!W89+conservative!AE89</f>
        <v>3.467186967246497</v>
      </c>
      <c r="AB55">
        <f>conservative!H89+conservative!P89+conservative!X89+conservative!AF89</f>
        <v>20.740954108717467</v>
      </c>
    </row>
    <row r="56" spans="1:28" x14ac:dyDescent="0.2">
      <c r="A56">
        <v>2029.75</v>
      </c>
      <c r="B56">
        <f>aggressive!B90+aggressive!J90+aggressive!R90+aggressive!Z90</f>
        <v>26.597162224111244</v>
      </c>
      <c r="C56">
        <f>aggressive!C90+aggressive!K90+aggressive!S90+aggressive!AA90</f>
        <v>9.4024233258252465</v>
      </c>
      <c r="D56">
        <f>aggressive!D90+aggressive!L90+aggressive!T90+aggressive!AB90</f>
        <v>467.94144511261914</v>
      </c>
      <c r="E56">
        <f>aggressive!E90+aggressive!M90+aggressive!U90+aggressive!AC90</f>
        <v>1.6097816777961929</v>
      </c>
      <c r="F56">
        <f>aggressive!F90+aggressive!N90+aggressive!V90+aggressive!AD90</f>
        <v>241.73207532590683</v>
      </c>
      <c r="G56">
        <f>aggressive!G90+aggressive!O90+aggressive!W90+aggressive!AE90</f>
        <v>12.838175497680272</v>
      </c>
      <c r="H56">
        <f>aggressive!H90+aggressive!P90+aggressive!X90+aggressive!AF90</f>
        <v>80.104002480659759</v>
      </c>
      <c r="K56">
        <v>2029.75</v>
      </c>
      <c r="L56">
        <f>moderate!B90+moderate!J90+moderate!R90+moderate!Z90</f>
        <v>17.372234176583287</v>
      </c>
      <c r="M56">
        <f>moderate!C90+moderate!K90+moderate!S90+moderate!AA90</f>
        <v>6.14129802522808</v>
      </c>
      <c r="N56">
        <f>moderate!D90+moderate!L90+moderate!T90+moderate!AB90</f>
        <v>306.19564335564314</v>
      </c>
      <c r="O56">
        <f>moderate!E90+moderate!M90+moderate!U90+moderate!AC90</f>
        <v>1.0514469191941433</v>
      </c>
      <c r="P56">
        <f>moderate!F90+moderate!N90+moderate!V90+moderate!AD90</f>
        <v>157.87542167010136</v>
      </c>
      <c r="Q56">
        <f>moderate!G90+moderate!O90+moderate!W90+moderate!AE90</f>
        <v>8.4161216422365399</v>
      </c>
      <c r="R56">
        <f>moderate!H90+moderate!P90+moderate!X90+moderate!AF90</f>
        <v>51.123189092523049</v>
      </c>
      <c r="U56">
        <v>2029.75</v>
      </c>
      <c r="V56">
        <f>conservative!B90+conservative!J90+conservative!R90+conservative!Z90</f>
        <v>8.1384464605972333</v>
      </c>
      <c r="W56">
        <f>conservative!C90+conservative!K90+conservative!S90+conservative!AA90</f>
        <v>2.8770407230787329</v>
      </c>
      <c r="X56">
        <f>conservative!D90+conservative!L90+conservative!T90+conservative!AB90</f>
        <v>143.53663034773197</v>
      </c>
      <c r="Y56">
        <f>conservative!E90+conservative!M90+conservative!U90+conservative!AC90</f>
        <v>0.49257593301130781</v>
      </c>
      <c r="Z56">
        <f>conservative!F90+conservative!N90+conservative!V90+conservative!AD90</f>
        <v>73.883691798092514</v>
      </c>
      <c r="AA56">
        <f>conservative!G90+conservative!O90+conservative!W90+conservative!AE90</f>
        <v>3.8701130734846259</v>
      </c>
      <c r="AB56">
        <f>conservative!H90+conservative!P90+conservative!X90+conservative!AF90</f>
        <v>22.933549908245073</v>
      </c>
    </row>
    <row r="57" spans="1:28" x14ac:dyDescent="0.2">
      <c r="A57" s="5">
        <v>2030</v>
      </c>
      <c r="B57">
        <f>aggressive!B91+aggressive!J91+aggressive!R91+aggressive!Z91</f>
        <v>29.502378407660725</v>
      </c>
      <c r="C57">
        <f>aggressive!C91+aggressive!K91+aggressive!S91+aggressive!AA91</f>
        <v>10.429452908176993</v>
      </c>
      <c r="D57">
        <f>aggressive!D91+aggressive!L91+aggressive!T91+aggressive!AB91</f>
        <v>520.79675319414787</v>
      </c>
      <c r="E57">
        <f>aggressive!E91+aggressive!M91+aggressive!U91+aggressive!AC91</f>
        <v>1.7856186239676641</v>
      </c>
      <c r="F57">
        <f>aggressive!F91+aggressive!N91+aggressive!V91+aggressive!AD91</f>
        <v>268.14965025348101</v>
      </c>
      <c r="G57">
        <f>aggressive!G91+aggressive!O91+aggressive!W91+aggressive!AE91</f>
        <v>14.452938951709966</v>
      </c>
      <c r="H57">
        <f>aggressive!H91+aggressive!P91+aggressive!X91+aggressive!AF91</f>
        <v>88.795917888205878</v>
      </c>
      <c r="K57" s="5">
        <v>2030</v>
      </c>
      <c r="L57">
        <f>moderate!B91+moderate!J91+moderate!R91+moderate!Z91</f>
        <v>19.141737185571603</v>
      </c>
      <c r="M57">
        <f>moderate!C91+moderate!K91+moderate!S91+moderate!AA91</f>
        <v>6.7668390595173369</v>
      </c>
      <c r="N57">
        <f>moderate!D91+moderate!L91+moderate!T91+moderate!AB91</f>
        <v>338.38864407650556</v>
      </c>
      <c r="O57">
        <f>moderate!E91+moderate!M91+moderate!U91+moderate!AC91</f>
        <v>1.1585453193419732</v>
      </c>
      <c r="P57">
        <f>moderate!F91+moderate!N91+moderate!V91+moderate!AD91</f>
        <v>173.96578306530895</v>
      </c>
      <c r="Q57">
        <f>moderate!G91+moderate!O91+moderate!W91+moderate!AE91</f>
        <v>9.3996383963043701</v>
      </c>
      <c r="R57">
        <f>moderate!H91+moderate!P91+moderate!X91+moderate!AF91</f>
        <v>56.404066028094455</v>
      </c>
      <c r="U57" s="5">
        <v>2030</v>
      </c>
      <c r="V57">
        <f>conservative!B91+conservative!J91+conservative!R91+conservative!Z91</f>
        <v>8.7597474907518169</v>
      </c>
      <c r="W57">
        <f>conservative!C91+conservative!K91+conservative!S91+conservative!AA91</f>
        <v>3.0966782636953392</v>
      </c>
      <c r="X57">
        <f>conservative!D91+conservative!L91+conservative!T91+conservative!AB91</f>
        <v>154.8401118394502</v>
      </c>
      <c r="Y57">
        <f>conservative!E91+conservative!M91+conservative!U91+conservative!AC91</f>
        <v>0.53017990768767631</v>
      </c>
      <c r="Z57">
        <f>conservative!F91+conservative!N91+conservative!V91+conservative!AD91</f>
        <v>79.533277054303838</v>
      </c>
      <c r="AA57">
        <f>conservative!G91+conservative!O91+conservative!W91+conservative!AE91</f>
        <v>4.2154416597445605</v>
      </c>
      <c r="AB57">
        <f>conservative!H91+conservative!P91+conservative!X91+conservative!AF91</f>
        <v>25.12668094647881</v>
      </c>
    </row>
    <row r="58" spans="1:28" x14ac:dyDescent="0.2">
      <c r="A58" s="5">
        <v>2030.25</v>
      </c>
      <c r="B58">
        <f>aggressive!B92+aggressive!J92+aggressive!R92+aggressive!Z92</f>
        <v>32.09609468642654</v>
      </c>
      <c r="C58">
        <f>aggressive!C92+aggressive!K92+aggressive!S92+aggressive!AA92</f>
        <v>11.346363450532992</v>
      </c>
      <c r="D58">
        <f>aggressive!D92+aggressive!L92+aggressive!T92+aggressive!AB92</f>
        <v>568.33128817543377</v>
      </c>
      <c r="E58">
        <f>aggressive!E92+aggressive!M92+aggressive!U92+aggressive!AC92</f>
        <v>1.9426021738583312</v>
      </c>
      <c r="F58">
        <f>aggressive!F92+aggressive!N92+aggressive!V92+aggressive!AD92</f>
        <v>291.72153819674486</v>
      </c>
      <c r="G58">
        <f>aggressive!G92+aggressive!O92+aggressive!W92+aggressive!AE92</f>
        <v>15.928409903529799</v>
      </c>
      <c r="H58">
        <f>aggressive!H92+aggressive!P92+aggressive!X92+aggressive!AF92</f>
        <v>97.943052746460467</v>
      </c>
      <c r="K58" s="5">
        <v>2030.25</v>
      </c>
      <c r="L58">
        <f>moderate!B92+moderate!J92+moderate!R92+moderate!Z92</f>
        <v>20.549676935261665</v>
      </c>
      <c r="M58">
        <f>moderate!C92+moderate!K92+moderate!S92+moderate!AA92</f>
        <v>7.2645630434633262</v>
      </c>
      <c r="N58">
        <f>moderate!D92+moderate!L92+moderate!T92+moderate!AB92</f>
        <v>364.19168268604494</v>
      </c>
      <c r="O58">
        <f>moderate!E92+moderate!M92+moderate!U92+moderate!AC92</f>
        <v>1.2437602604471332</v>
      </c>
      <c r="P58">
        <f>moderate!F92+moderate!N92+moderate!V92+moderate!AD92</f>
        <v>186.76124503709917</v>
      </c>
      <c r="Q58">
        <f>moderate!G92+moderate!O92+moderate!W92+moderate!AE92</f>
        <v>10.200564164318079</v>
      </c>
      <c r="R58">
        <f>moderate!H92+moderate!P92+moderate!X92+moderate!AF92</f>
        <v>62.158582178387263</v>
      </c>
      <c r="U58" s="5">
        <v>2030.25</v>
      </c>
      <c r="V58">
        <f>conservative!B92+conservative!J92+conservative!R92+conservative!Z92</f>
        <v>9.3547143133173378</v>
      </c>
      <c r="W58">
        <f>conservative!C92+conservative!K92+conservative!S92+conservative!AA92</f>
        <v>3.3070063386773723</v>
      </c>
      <c r="X58">
        <f>conservative!D92+conservative!L92+conservative!T92+conservative!AB92</f>
        <v>165.74395335499273</v>
      </c>
      <c r="Y58">
        <f>conservative!E92+conservative!M92+conservative!U92+conservative!AC92</f>
        <v>0.56619001590118889</v>
      </c>
      <c r="Z58">
        <f>conservative!F92+conservative!N92+conservative!V92+conservative!AD92</f>
        <v>84.940380131186089</v>
      </c>
      <c r="AA58">
        <f>conservative!G92+conservative!O92+conservative!W92+conservative!AE92</f>
        <v>4.5538966677879555</v>
      </c>
      <c r="AB58">
        <f>conservative!H92+conservative!P92+conservative!X92+conservative!AF92</f>
        <v>27.347320560517204</v>
      </c>
    </row>
    <row r="59" spans="1:28" x14ac:dyDescent="0.2">
      <c r="A59" s="5">
        <v>2030.5</v>
      </c>
      <c r="B59">
        <f>aggressive!B93+aggressive!J93+aggressive!R93+aggressive!Z93</f>
        <v>35.168283336545677</v>
      </c>
      <c r="C59">
        <f>aggressive!C93+aggressive!K93+aggressive!S93+aggressive!AA93</f>
        <v>12.432419849400601</v>
      </c>
      <c r="D59">
        <f>aggressive!D93+aggressive!L93+aggressive!T93+aggressive!AB93</f>
        <v>625.04267220760141</v>
      </c>
      <c r="E59">
        <f>aggressive!E93+aggressive!M93+aggressive!U93+aggressive!AC93</f>
        <v>2.1285450559606893</v>
      </c>
      <c r="F59">
        <f>aggressive!F93+aggressive!N93+aggressive!V93+aggressive!AD93</f>
        <v>319.62630778861018</v>
      </c>
      <c r="G59">
        <f>aggressive!G93+aggressive!O93+aggressive!W93+aggressive!AE93</f>
        <v>17.715924256201752</v>
      </c>
      <c r="H59">
        <f>aggressive!H93+aggressive!P93+aggressive!X93+aggressive!AF93</f>
        <v>107.53630990571543</v>
      </c>
      <c r="K59" s="5">
        <v>2030.5</v>
      </c>
      <c r="L59">
        <f>moderate!B93+moderate!J93+moderate!R93+moderate!Z93</f>
        <v>22.126726487793796</v>
      </c>
      <c r="M59">
        <f>moderate!C93+moderate!K93+moderate!S93+moderate!AA93</f>
        <v>7.8220694185332267</v>
      </c>
      <c r="N59">
        <f>moderate!D93+moderate!L93+moderate!T93+moderate!AB93</f>
        <v>393.30339195817555</v>
      </c>
      <c r="O59">
        <f>moderate!E93+moderate!M93+moderate!U93+moderate!AC93</f>
        <v>1.3392104988316436</v>
      </c>
      <c r="P59">
        <f>moderate!F93+moderate!N93+moderate!V93+moderate!AD93</f>
        <v>201.08562723174623</v>
      </c>
      <c r="Q59">
        <f>moderate!G93+moderate!O93+moderate!W93+moderate!AE93</f>
        <v>11.118150625005235</v>
      </c>
      <c r="R59">
        <f>moderate!H93+moderate!P93+moderate!X93+moderate!AF93</f>
        <v>67.908783535451221</v>
      </c>
      <c r="U59" s="5">
        <v>2030.5</v>
      </c>
      <c r="V59">
        <f>conservative!B93+conservative!J93+conservative!R93+conservative!Z93</f>
        <v>10.367809847432655</v>
      </c>
      <c r="W59">
        <f>conservative!C93+conservative!K93+conservative!S93+conservative!AA93</f>
        <v>3.6651480457133214</v>
      </c>
      <c r="X59">
        <f>conservative!D93+conservative!L93+conservative!T93+conservative!AB93</f>
        <v>184.44529511480283</v>
      </c>
      <c r="Y59">
        <f>conservative!E93+conservative!M93+conservative!U93+conservative!AC93</f>
        <v>0.62750718255732019</v>
      </c>
      <c r="Z59">
        <f>conservative!F93+conservative!N93+conservative!V93+conservative!AD93</f>
        <v>94.142353275947045</v>
      </c>
      <c r="AA59">
        <f>conservative!G93+conservative!O93+conservative!W93+conservative!AE93</f>
        <v>5.1433535710249227</v>
      </c>
      <c r="AB59">
        <f>conservative!H93+conservative!P93+conservative!X93+conservative!AF93</f>
        <v>29.732587903205292</v>
      </c>
    </row>
    <row r="60" spans="1:28" x14ac:dyDescent="0.2">
      <c r="A60" s="5">
        <v>2030.75</v>
      </c>
      <c r="B60">
        <f>aggressive!B94+aggressive!J94+aggressive!R94+aggressive!Z94</f>
        <v>38.460168966275724</v>
      </c>
      <c r="C60">
        <f>aggressive!C94+aggressive!K94+aggressive!S94+aggressive!AA94</f>
        <v>13.596141827336423</v>
      </c>
      <c r="D60">
        <f>aggressive!D94+aggressive!L94+aggressive!T94+aggressive!AB94</f>
        <v>686.24423535054427</v>
      </c>
      <c r="E60">
        <f>aggressive!E94+aggressive!M94+aggressive!U94+aggressive!AC94</f>
        <v>2.3277850022184179</v>
      </c>
      <c r="F60">
        <f>aggressive!F94+aggressive!N94+aggressive!V94+aggressive!AD94</f>
        <v>349.51006524217388</v>
      </c>
      <c r="G60">
        <f>aggressive!G94+aggressive!O94+aggressive!W94+aggressive!AE94</f>
        <v>19.673731038624236</v>
      </c>
      <c r="H60">
        <f>aggressive!H94+aggressive!P94+aggressive!X94+aggressive!AF94</f>
        <v>118.02912844754985</v>
      </c>
      <c r="K60" s="5">
        <v>2030.75</v>
      </c>
      <c r="L60">
        <f>moderate!B94+moderate!J94+moderate!R94+moderate!Z94</f>
        <v>24.162284744355034</v>
      </c>
      <c r="M60">
        <f>moderate!C94+moderate!K94+moderate!S94+moderate!AA94</f>
        <v>8.5416642486620269</v>
      </c>
      <c r="N60">
        <f>moderate!D94+moderate!L94+moderate!T94+moderate!AB94</f>
        <v>431.14776481395029</v>
      </c>
      <c r="O60">
        <f>moderate!E94+moderate!M94+moderate!U94+moderate!AC94</f>
        <v>1.4624117771442786</v>
      </c>
      <c r="P60">
        <f>moderate!F94+moderate!N94+moderate!V94+moderate!AD94</f>
        <v>219.56443727067921</v>
      </c>
      <c r="Q60">
        <f>moderate!G94+moderate!O94+moderate!W94+moderate!AE94</f>
        <v>12.328772806019003</v>
      </c>
      <c r="R60">
        <f>moderate!H94+moderate!P94+moderate!X94+moderate!AF94</f>
        <v>73.867381695652469</v>
      </c>
      <c r="U60" s="5">
        <v>2030.75</v>
      </c>
      <c r="V60">
        <f>conservative!B94+conservative!J94+conservative!R94+conservative!Z94</f>
        <v>11.092712081788475</v>
      </c>
      <c r="W60">
        <f>conservative!C94+conservative!K94+conservative!S94+conservative!AA94</f>
        <v>3.921409883717649</v>
      </c>
      <c r="X60">
        <f>conservative!D94+conservative!L94+conservative!T94+conservative!AB94</f>
        <v>197.92241882399628</v>
      </c>
      <c r="Y60">
        <f>conservative!E94+conservative!M94+conservative!U94+conservative!AC94</f>
        <v>0.67138157506682083</v>
      </c>
      <c r="Z60">
        <f>conservative!F94+conservative!N94+conservative!V94+conservative!AD94</f>
        <v>100.7230200990566</v>
      </c>
      <c r="AA60">
        <f>conservative!G94+conservative!O94+conservative!W94+conservative!AE94</f>
        <v>5.5744798830078288</v>
      </c>
      <c r="AB60">
        <f>conservative!H94+conservative!P94+conservative!X94+conservative!AF94</f>
        <v>32.383278463615426</v>
      </c>
    </row>
    <row r="61" spans="1:28" x14ac:dyDescent="0.2">
      <c r="G61">
        <f>SUM(B60:G60)</f>
        <v>1109.812127427173</v>
      </c>
    </row>
    <row r="66" spans="2:22" x14ac:dyDescent="0.2">
      <c r="B66" t="s">
        <v>64</v>
      </c>
    </row>
    <row r="68" spans="2:22" x14ac:dyDescent="0.2">
      <c r="B68" s="3" t="s">
        <v>8</v>
      </c>
      <c r="C68" s="3">
        <f>aggressive!R94</f>
        <v>0.32380289489240388</v>
      </c>
      <c r="F68" t="s">
        <v>8</v>
      </c>
      <c r="G68">
        <v>1.1382150378779337</v>
      </c>
      <c r="H68">
        <v>0</v>
      </c>
      <c r="I68">
        <v>0</v>
      </c>
      <c r="J68">
        <v>7.724597844448991E-2</v>
      </c>
      <c r="K68">
        <v>0</v>
      </c>
      <c r="L68">
        <v>0</v>
      </c>
      <c r="M68">
        <f>SUM(G68:L68)</f>
        <v>1.2154610163224235</v>
      </c>
      <c r="O68" t="s">
        <v>8</v>
      </c>
      <c r="P68">
        <v>0.32372208824724186</v>
      </c>
      <c r="Q68">
        <v>0</v>
      </c>
      <c r="R68">
        <v>0</v>
      </c>
      <c r="S68">
        <v>2.1969688168391135E-2</v>
      </c>
      <c r="T68">
        <v>0</v>
      </c>
      <c r="U68">
        <v>0</v>
      </c>
      <c r="V68">
        <f>SUM(P68:U68)</f>
        <v>0.34569177641563298</v>
      </c>
    </row>
    <row r="69" spans="2:22" x14ac:dyDescent="0.2">
      <c r="B69" s="3" t="s">
        <v>7</v>
      </c>
      <c r="C69" s="3">
        <f>aggressive!Z94</f>
        <v>20.904010017203476</v>
      </c>
      <c r="F69" t="s">
        <v>7</v>
      </c>
      <c r="G69">
        <v>73.480685098378146</v>
      </c>
      <c r="H69">
        <v>3.7417138982447549E-2</v>
      </c>
      <c r="I69">
        <v>10.072821227376544</v>
      </c>
      <c r="J69">
        <v>5.0329338532904782</v>
      </c>
      <c r="K69">
        <v>12.068676406404736</v>
      </c>
      <c r="L69">
        <v>51.145493241431538</v>
      </c>
      <c r="M69">
        <f t="shared" ref="M69:M71" si="2">SUM(G69:L69)</f>
        <v>151.83802696586389</v>
      </c>
      <c r="O69" t="s">
        <v>7</v>
      </c>
      <c r="P69">
        <v>20.898793316097443</v>
      </c>
      <c r="Q69">
        <v>1.0641885728568466E-2</v>
      </c>
      <c r="R69">
        <v>2.8796752428539678</v>
      </c>
      <c r="S69">
        <v>1.4314271054044534</v>
      </c>
      <c r="T69">
        <v>3.4321382637436124</v>
      </c>
      <c r="U69">
        <v>14.847392192118219</v>
      </c>
      <c r="V69">
        <f t="shared" ref="V69:V71" si="3">SUM(P69:U69)</f>
        <v>43.500068005946261</v>
      </c>
    </row>
    <row r="70" spans="2:22" x14ac:dyDescent="0.2">
      <c r="B70" s="3" t="s">
        <v>6</v>
      </c>
      <c r="C70" s="3">
        <f>SUM(aggressive!B94:'aggressive'!B94)</f>
        <v>17.075961458687598</v>
      </c>
      <c r="F70" s="6" t="s">
        <v>6</v>
      </c>
      <c r="G70" s="6">
        <v>38.6757590976814</v>
      </c>
      <c r="H70" s="6">
        <v>30.766531454025618</v>
      </c>
      <c r="I70" s="6">
        <v>1539.5860350155749</v>
      </c>
      <c r="J70" s="6">
        <v>1.9544587463627283</v>
      </c>
      <c r="K70" s="6">
        <v>783.86483309725554</v>
      </c>
      <c r="L70" s="6">
        <v>10.383082242973531</v>
      </c>
      <c r="M70" s="6">
        <f t="shared" si="2"/>
        <v>2405.2306996538737</v>
      </c>
      <c r="O70" t="s">
        <v>6</v>
      </c>
      <c r="P70">
        <v>17.075961458687598</v>
      </c>
      <c r="Q70">
        <v>13.58391192787052</v>
      </c>
      <c r="R70">
        <v>683.27362205160193</v>
      </c>
      <c r="S70">
        <v>0.86292455543517965</v>
      </c>
      <c r="T70">
        <v>346.05459357603502</v>
      </c>
      <c r="U70">
        <v>4.6791547511549432</v>
      </c>
      <c r="V70">
        <f t="shared" si="3"/>
        <v>1065.5301683207852</v>
      </c>
    </row>
    <row r="71" spans="2:22" x14ac:dyDescent="0.2">
      <c r="B71" s="3" t="s">
        <v>9</v>
      </c>
      <c r="C71" s="3">
        <f>SUM(aggressive!J94:'aggressive'!J94)</f>
        <v>0.15639459549224941</v>
      </c>
      <c r="D71" s="3">
        <f>SUM(C68:C71)</f>
        <v>38.460168966275724</v>
      </c>
      <c r="F71" t="s">
        <v>9</v>
      </c>
      <c r="G71">
        <v>0.54975012033560056</v>
      </c>
      <c r="H71">
        <v>5.5727653803645284E-3</v>
      </c>
      <c r="I71">
        <v>0.31549928557012746</v>
      </c>
      <c r="J71">
        <v>3.9021164368866039E-2</v>
      </c>
      <c r="K71">
        <v>7.9016658374237325E-2</v>
      </c>
      <c r="L71">
        <v>0.49412166454997031</v>
      </c>
      <c r="M71">
        <f t="shared" si="2"/>
        <v>1.4829816585791664</v>
      </c>
      <c r="O71" t="s">
        <v>9</v>
      </c>
      <c r="P71">
        <v>0.15635556643234128</v>
      </c>
      <c r="Q71">
        <v>1.5849617042548779E-3</v>
      </c>
      <c r="R71">
        <v>9.0196724560655903E-2</v>
      </c>
      <c r="S71">
        <v>1.1098089899496554E-2</v>
      </c>
      <c r="T71">
        <v>2.2471072017098387E-2</v>
      </c>
      <c r="U71">
        <v>0.14344212322998304</v>
      </c>
      <c r="V71">
        <f t="shared" si="3"/>
        <v>0.42514853784383011</v>
      </c>
    </row>
    <row r="72" spans="2:22" x14ac:dyDescent="0.2">
      <c r="B72" s="3"/>
      <c r="C72" s="3"/>
    </row>
    <row r="73" spans="2:22" x14ac:dyDescent="0.2">
      <c r="B73" s="3" t="s">
        <v>10</v>
      </c>
      <c r="C73" s="3">
        <f>SUM(aggressive!S91:'aggressive'!S94)</f>
        <v>0</v>
      </c>
      <c r="F73" t="s">
        <v>10</v>
      </c>
      <c r="O73" t="s">
        <v>10</v>
      </c>
    </row>
    <row r="74" spans="2:22" x14ac:dyDescent="0.2">
      <c r="B74" s="3" t="s">
        <v>11</v>
      </c>
      <c r="C74" s="3">
        <f>SUM(aggressive!AA94:'aggressive'!AA94)</f>
        <v>1.0644542127730411E-2</v>
      </c>
      <c r="F74" t="s">
        <v>11</v>
      </c>
      <c r="O74" t="s">
        <v>11</v>
      </c>
    </row>
    <row r="75" spans="2:22" x14ac:dyDescent="0.2">
      <c r="B75" s="3" t="s">
        <v>12</v>
      </c>
      <c r="C75" s="3">
        <f>SUM(aggressive!C94:'aggressive'!C94)</f>
        <v>13.58391192787052</v>
      </c>
      <c r="F75" t="s">
        <v>12</v>
      </c>
      <c r="O75" t="s">
        <v>12</v>
      </c>
    </row>
    <row r="76" spans="2:22" x14ac:dyDescent="0.2">
      <c r="B76" s="3" t="s">
        <v>13</v>
      </c>
      <c r="C76" s="3">
        <f>SUM(aggressive!K94:'aggressive'!K94)</f>
        <v>1.5853573381726142E-3</v>
      </c>
      <c r="D76" s="3">
        <f>SUM(C73:C76)</f>
        <v>13.596141827336423</v>
      </c>
      <c r="F76" t="s">
        <v>13</v>
      </c>
      <c r="O76" t="s">
        <v>13</v>
      </c>
    </row>
    <row r="77" spans="2:22" x14ac:dyDescent="0.2">
      <c r="B77" s="3"/>
      <c r="C77" s="3"/>
    </row>
    <row r="78" spans="2:22" x14ac:dyDescent="0.2">
      <c r="B78" s="4" t="s">
        <v>14</v>
      </c>
      <c r="C78" s="3">
        <f>SUM(aggressive!T94:'aggressive'!T94)</f>
        <v>0</v>
      </c>
      <c r="F78" t="s">
        <v>14</v>
      </c>
      <c r="O78" t="s">
        <v>14</v>
      </c>
    </row>
    <row r="79" spans="2:22" x14ac:dyDescent="0.2">
      <c r="B79" s="4" t="s">
        <v>15</v>
      </c>
      <c r="C79" s="3">
        <f>SUM(aggressive!AB94:'aggressive'!AB94)</f>
        <v>2.8803940597156501</v>
      </c>
      <c r="F79" t="s">
        <v>15</v>
      </c>
      <c r="O79" t="s">
        <v>15</v>
      </c>
    </row>
    <row r="80" spans="2:22" x14ac:dyDescent="0.2">
      <c r="B80" s="4" t="s">
        <v>16</v>
      </c>
      <c r="C80" s="3">
        <f>SUM(aggressive!D94:'aggressive'!D94)</f>
        <v>683.27362205160193</v>
      </c>
      <c r="F80" t="s">
        <v>16</v>
      </c>
      <c r="O80" t="s">
        <v>16</v>
      </c>
    </row>
    <row r="81" spans="2:15" x14ac:dyDescent="0.2">
      <c r="B81" s="4" t="s">
        <v>17</v>
      </c>
      <c r="C81" s="3">
        <f>SUM(aggressive!L94:'aggressive'!L94)</f>
        <v>9.0219239226725811E-2</v>
      </c>
      <c r="D81" s="3">
        <f>SUM(C78:C81)</f>
        <v>686.24423535054427</v>
      </c>
      <c r="F81" t="s">
        <v>17</v>
      </c>
      <c r="O81" t="s">
        <v>17</v>
      </c>
    </row>
    <row r="82" spans="2:15" x14ac:dyDescent="0.2">
      <c r="B82" s="3"/>
      <c r="C82" s="3"/>
    </row>
    <row r="83" spans="2:15" x14ac:dyDescent="0.2">
      <c r="B83" s="4" t="s">
        <v>18</v>
      </c>
      <c r="C83" s="3">
        <f>SUM(aggressive!U94:'aggressive'!U94)</f>
        <v>2.197517218341697E-2</v>
      </c>
      <c r="F83" t="s">
        <v>18</v>
      </c>
      <c r="J83" s="3">
        <f>C68+C73+C78+C83+C88+C93</f>
        <v>0.34577806707582087</v>
      </c>
      <c r="O83" t="s">
        <v>18</v>
      </c>
    </row>
    <row r="84" spans="2:15" x14ac:dyDescent="0.2">
      <c r="B84" s="4" t="s">
        <v>19</v>
      </c>
      <c r="C84" s="3">
        <f>SUM(aggressive!AC94:'aggressive'!AC94)</f>
        <v>1.4317844144246932</v>
      </c>
      <c r="F84" t="s">
        <v>19</v>
      </c>
      <c r="J84" s="3">
        <f t="shared" ref="J84:J86" si="4">C69+C74+C79+C84+C89+C94</f>
        <v>43.510926377022855</v>
      </c>
      <c r="O84" t="s">
        <v>19</v>
      </c>
    </row>
    <row r="85" spans="2:15" x14ac:dyDescent="0.2">
      <c r="B85" s="4" t="s">
        <v>20</v>
      </c>
      <c r="C85" s="3">
        <f>SUM(aggressive!E94:'aggressive'!E94)</f>
        <v>0.86292455543517965</v>
      </c>
      <c r="F85" t="s">
        <v>20</v>
      </c>
      <c r="J85" s="3">
        <f t="shared" si="4"/>
        <v>1065.5301683207852</v>
      </c>
      <c r="O85" t="s">
        <v>20</v>
      </c>
    </row>
    <row r="86" spans="2:15" x14ac:dyDescent="0.2">
      <c r="B86" s="4" t="s">
        <v>21</v>
      </c>
      <c r="C86" s="3">
        <f>SUM(aggressive!M94:'aggressive'!M94)</f>
        <v>1.1100860175128161E-2</v>
      </c>
      <c r="D86" s="3">
        <f>SUM(C83:C86)</f>
        <v>2.3277850022184179</v>
      </c>
      <c r="F86" t="s">
        <v>21</v>
      </c>
      <c r="J86" s="3">
        <f t="shared" si="4"/>
        <v>0.42525466228910552</v>
      </c>
      <c r="O86" t="s">
        <v>21</v>
      </c>
    </row>
    <row r="87" spans="2:15" x14ac:dyDescent="0.2">
      <c r="B87" s="3"/>
      <c r="C87" s="3"/>
    </row>
    <row r="88" spans="2:15" x14ac:dyDescent="0.2">
      <c r="B88" s="4" t="s">
        <v>22</v>
      </c>
      <c r="C88" s="3">
        <f>SUM(aggressive!V91:'aggressive'!V94)</f>
        <v>0</v>
      </c>
      <c r="F88" t="s">
        <v>22</v>
      </c>
      <c r="O88" t="s">
        <v>22</v>
      </c>
    </row>
    <row r="89" spans="2:15" x14ac:dyDescent="0.2">
      <c r="B89" s="4" t="s">
        <v>23</v>
      </c>
      <c r="C89" s="3">
        <f>SUM(aggressive!AD94:'aggressive'!AD94)</f>
        <v>3.4329949849526185</v>
      </c>
      <c r="F89" t="s">
        <v>23</v>
      </c>
      <c r="O89" t="s">
        <v>23</v>
      </c>
    </row>
    <row r="90" spans="2:15" x14ac:dyDescent="0.2">
      <c r="B90" s="4" t="s">
        <v>24</v>
      </c>
      <c r="C90" s="3">
        <f>SUM(aggressive!F94:'aggressive'!F94)</f>
        <v>346.05459357603502</v>
      </c>
      <c r="F90" t="s">
        <v>24</v>
      </c>
      <c r="O90" t="s">
        <v>24</v>
      </c>
    </row>
    <row r="91" spans="2:15" x14ac:dyDescent="0.2">
      <c r="B91" s="4" t="s">
        <v>25</v>
      </c>
      <c r="C91" s="3">
        <f>SUM(aggressive!N94:'aggressive'!N94)</f>
        <v>2.247668118622468E-2</v>
      </c>
      <c r="D91" s="3">
        <f>SUM(C88:C91)</f>
        <v>349.51006524217388</v>
      </c>
      <c r="F91" t="s">
        <v>25</v>
      </c>
      <c r="O91" t="s">
        <v>25</v>
      </c>
    </row>
    <row r="92" spans="2:15" x14ac:dyDescent="0.2">
      <c r="B92" s="3"/>
      <c r="C92" s="3"/>
    </row>
    <row r="93" spans="2:15" x14ac:dyDescent="0.2">
      <c r="B93" s="4" t="s">
        <v>26</v>
      </c>
      <c r="C93" s="3">
        <f>SUM(aggressive!W91:'aggressive'!W94)</f>
        <v>0</v>
      </c>
      <c r="F93" t="s">
        <v>26</v>
      </c>
      <c r="O93" t="s">
        <v>26</v>
      </c>
    </row>
    <row r="94" spans="2:15" x14ac:dyDescent="0.2">
      <c r="B94" s="4" t="s">
        <v>27</v>
      </c>
      <c r="C94" s="3">
        <f>SUM(aggressive!AE94:'aggressive'!AE94)</f>
        <v>14.851098358598687</v>
      </c>
      <c r="F94" t="s">
        <v>27</v>
      </c>
      <c r="O94" t="s">
        <v>27</v>
      </c>
    </row>
    <row r="95" spans="2:15" x14ac:dyDescent="0.2">
      <c r="B95" s="4" t="s">
        <v>28</v>
      </c>
      <c r="C95" s="3">
        <f>SUM(aggressive!G94:'aggressive'!G94)</f>
        <v>4.6791547511549432</v>
      </c>
      <c r="F95" t="s">
        <v>28</v>
      </c>
      <c r="O95" t="s">
        <v>28</v>
      </c>
    </row>
    <row r="96" spans="2:15" x14ac:dyDescent="0.2">
      <c r="B96" s="4" t="s">
        <v>29</v>
      </c>
      <c r="C96" s="3">
        <f>SUM(aggressive!O94:'aggressive'!O94)</f>
        <v>0.14347792887060484</v>
      </c>
      <c r="D96" s="3">
        <f>SUM(C93:C96)</f>
        <v>19.673731038624236</v>
      </c>
      <c r="F96" t="s">
        <v>29</v>
      </c>
      <c r="O96" t="s">
        <v>29</v>
      </c>
    </row>
    <row r="98" spans="4:6" x14ac:dyDescent="0.2">
      <c r="D98" s="3">
        <f>SUM(D71:D96)</f>
        <v>1109.812127427173</v>
      </c>
      <c r="F98" s="3">
        <f>SUM(J83:J86)</f>
        <v>1109.8121274271728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D30E1-FAF4-F243-8493-91681046BA68}">
  <dimension ref="A1:AF100"/>
  <sheetViews>
    <sheetView topLeftCell="J64" workbookViewId="0">
      <selection activeCell="G99" sqref="G99"/>
    </sheetView>
  </sheetViews>
  <sheetFormatPr baseColWidth="10" defaultRowHeight="16" x14ac:dyDescent="0.2"/>
  <cols>
    <col min="2" max="2" width="17.5" customWidth="1"/>
    <col min="4" max="4" width="18.83203125" customWidth="1"/>
    <col min="10" max="10" width="12.1640625" bestFit="1" customWidth="1"/>
    <col min="27" max="27" width="12.1640625" bestFit="1" customWidth="1"/>
  </cols>
  <sheetData>
    <row r="1" spans="1:32" x14ac:dyDescent="0.2">
      <c r="A1" t="s">
        <v>30</v>
      </c>
      <c r="B1" t="s">
        <v>0</v>
      </c>
      <c r="C1" s="1" t="s">
        <v>1</v>
      </c>
      <c r="J1" s="2" t="s">
        <v>3</v>
      </c>
      <c r="R1" s="2" t="s">
        <v>4</v>
      </c>
      <c r="Z1" s="2" t="s">
        <v>5</v>
      </c>
    </row>
    <row r="2" spans="1:32" x14ac:dyDescent="0.2">
      <c r="A2" t="s">
        <v>66</v>
      </c>
      <c r="B2" t="str">
        <f>[4]Manu_water!R1</f>
        <v>photoacid generators</v>
      </c>
      <c r="C2" t="str">
        <f>[4]Manu_water!S1</f>
        <v>surfactant</v>
      </c>
      <c r="D2" t="str">
        <f>[4]Manu_water!T1</f>
        <v>Top antireflective coatings</v>
      </c>
      <c r="E2" t="str">
        <f>[4]Manu_water!U1</f>
        <v>polymer</v>
      </c>
      <c r="F2" t="str">
        <f>[4]Manu_water!V1</f>
        <v>immersion topcoat</v>
      </c>
      <c r="G2" t="str">
        <f>[4]Manu_water!W1</f>
        <v>PBO/PI</v>
      </c>
      <c r="H2" t="s">
        <v>2</v>
      </c>
      <c r="J2" t="str">
        <f>[4]Manu_solid!R1</f>
        <v>photoacid generators</v>
      </c>
      <c r="K2" t="str">
        <f>[4]Manu_solid!S1</f>
        <v>surfactant</v>
      </c>
      <c r="L2" t="str">
        <f>[4]Manu_solid!T1</f>
        <v>Top antireflective coatings</v>
      </c>
      <c r="M2" t="str">
        <f>[4]Manu_solid!U1</f>
        <v>polymer</v>
      </c>
      <c r="N2" t="str">
        <f>[4]Manu_solid!V1</f>
        <v>immersion topcoat</v>
      </c>
      <c r="O2" t="str">
        <f>[4]Manu_solid!W1</f>
        <v>PBO/PI</v>
      </c>
      <c r="P2" t="s">
        <v>2</v>
      </c>
      <c r="R2" t="str">
        <f>[4]Manu_gas!R1</f>
        <v>photoacid generators</v>
      </c>
      <c r="S2" t="str">
        <f>[4]Manu_gas!S1</f>
        <v>surfactant</v>
      </c>
      <c r="T2" t="str">
        <f>[4]Manu_gas!T1</f>
        <v>Top antireflective coatings</v>
      </c>
      <c r="U2" t="str">
        <f>[4]Manu_gas!U1</f>
        <v>polymer</v>
      </c>
      <c r="V2" t="str">
        <f>[4]Manu_gas!V1</f>
        <v>immersion topcoat</v>
      </c>
      <c r="W2" t="str">
        <f>[4]Manu_gas!W1</f>
        <v>PBO/PI</v>
      </c>
      <c r="X2" t="s">
        <v>2</v>
      </c>
      <c r="Z2" t="str">
        <f>[4]Manu_solvent!R1</f>
        <v>photoacid generators</v>
      </c>
      <c r="AA2" t="str">
        <f>[4]Manu_solvent!S1</f>
        <v>surfactant</v>
      </c>
      <c r="AB2" t="str">
        <f>[4]Manu_solvent!T1</f>
        <v>Top antireflective coatings</v>
      </c>
      <c r="AC2" t="str">
        <f>[4]Manu_solvent!U1</f>
        <v>polymer</v>
      </c>
      <c r="AD2" t="str">
        <f>[4]Manu_solvent!V1</f>
        <v>immersion topcoat</v>
      </c>
      <c r="AE2" t="str">
        <f>[4]Manu_solvent!W1</f>
        <v>PBO/PI</v>
      </c>
      <c r="AF2" t="s">
        <v>2</v>
      </c>
    </row>
    <row r="3" spans="1:32" x14ac:dyDescent="0.2">
      <c r="A3">
        <v>2020</v>
      </c>
      <c r="B3">
        <f>[4]Manu_water!R2</f>
        <v>5.6519089160315698E-3</v>
      </c>
      <c r="C3">
        <f>[4]Manu_water!S2</f>
        <v>4.4960884413719976E-3</v>
      </c>
      <c r="D3">
        <f>[4]Manu_water!T2</f>
        <v>0.20021511787003621</v>
      </c>
      <c r="E3">
        <f>[4]Manu_water!U2</f>
        <v>2.856161862701648E-4</v>
      </c>
      <c r="F3">
        <f>[4]Manu_water!V2</f>
        <v>0.1223368838021747</v>
      </c>
      <c r="G3">
        <f>[4]Manu_water!W2</f>
        <v>9.2897712876290842E-4</v>
      </c>
      <c r="H3">
        <f>SUM([4]Manu_water!$X2:$AC2)</f>
        <v>2.7283459985757069E-2</v>
      </c>
      <c r="J3">
        <f>[4]Manu_solid!R2</f>
        <v>1.3885312561876871E-3</v>
      </c>
      <c r="K3">
        <f>[4]Manu_solid!S2</f>
        <v>1.407541104186225E-5</v>
      </c>
      <c r="L3">
        <f>[4]Manu_solid!T2</f>
        <v>7.0912909334960015E-4</v>
      </c>
      <c r="M3">
        <f>[4]Manu_solid!U2</f>
        <v>9.8557698079141393E-5</v>
      </c>
      <c r="N3">
        <f>[4]Manu_solid!V2</f>
        <v>2.13141938633914E-4</v>
      </c>
      <c r="O3">
        <f>[4]Manu_solid!W2</f>
        <v>7.6409374227252196E-4</v>
      </c>
      <c r="P3">
        <f>SUM([4]Manu_solid!$X2:$AC2)</f>
        <v>2.6044631090271943E-4</v>
      </c>
      <c r="R3">
        <f>[4]Manu_gas!R2</f>
        <v>2.8748464036561961E-3</v>
      </c>
      <c r="S3">
        <f>[4]Manu_gas!S2</f>
        <v>0</v>
      </c>
      <c r="T3">
        <f>[4]Manu_gas!T2</f>
        <v>0</v>
      </c>
      <c r="U3">
        <f>[4]Manu_gas!U2</f>
        <v>1.951040145648309E-4</v>
      </c>
      <c r="V3">
        <f>[4]Manu_gas!V2</f>
        <v>0</v>
      </c>
      <c r="W3">
        <f>[4]Manu_gas!W2</f>
        <v>0</v>
      </c>
      <c r="X3">
        <f>SUM([4]Manu_gas!$X2:$AC2)</f>
        <v>2.5083920054425312E-4</v>
      </c>
      <c r="Z3">
        <f>[4]Manu_solvent!R2</f>
        <v>0.1855938256510021</v>
      </c>
      <c r="AA3">
        <f>[4]Manu_solvent!S2</f>
        <v>9.4506331281075088E-5</v>
      </c>
      <c r="AB3">
        <f>[4]Manu_solvent!T2</f>
        <v>2.264008481519824E-2</v>
      </c>
      <c r="AC3">
        <f>[4]Manu_solvent!U2</f>
        <v>1.271193167061579E-2</v>
      </c>
      <c r="AD3">
        <f>[4]Manu_solvent!V2</f>
        <v>3.2554414966821391E-2</v>
      </c>
      <c r="AE3">
        <f>[4]Manu_solvent!W2</f>
        <v>7.9089734644223975E-2</v>
      </c>
      <c r="AF3">
        <f>SUM([4]Manu_solvent!$X2:$AC2)</f>
        <v>2.7182951567014547E-2</v>
      </c>
    </row>
    <row r="4" spans="1:32" x14ac:dyDescent="0.2">
      <c r="A4">
        <v>2020.25</v>
      </c>
      <c r="B4">
        <f>[4]Manu_water!R3</f>
        <v>1.0113684246193353E-2</v>
      </c>
      <c r="C4">
        <f>[4]Manu_water!S3</f>
        <v>8.0454266893819158E-3</v>
      </c>
      <c r="D4">
        <f>[4]Manu_water!T3</f>
        <v>0.3582705442595317</v>
      </c>
      <c r="E4">
        <f>[4]Manu_water!U3</f>
        <v>5.1108960998023575E-4</v>
      </c>
      <c r="F4">
        <f>[4]Manu_water!V3</f>
        <v>0.21891304916979842</v>
      </c>
      <c r="G4">
        <f>[4]Manu_water!W3</f>
        <v>1.6623377148901812E-3</v>
      </c>
      <c r="H4">
        <f>SUM([4]Manu_water!$X3:$AC3)</f>
        <v>4.5252542970455403E-2</v>
      </c>
      <c r="J4">
        <f>[4]Manu_solid!R3</f>
        <v>2.484676752525011E-3</v>
      </c>
      <c r="K4">
        <f>[4]Manu_solid!S3</f>
        <v>2.5186935074093662E-5</v>
      </c>
      <c r="L4">
        <f>[4]Manu_solid!T3</f>
        <v>1.2689354776373339E-3</v>
      </c>
      <c r="M4">
        <f>[4]Manu_solid!U3</f>
        <v>1.7636190766923631E-4</v>
      </c>
      <c r="N4">
        <f>[4]Manu_solid!V3</f>
        <v>3.8140215969341808E-4</v>
      </c>
      <c r="O4">
        <f>[4]Manu_solid!W3</f>
        <v>1.367290761165084E-3</v>
      </c>
      <c r="P4">
        <f>SUM([4]Manu_solid!$X3:$AC3)</f>
        <v>4.3197812454045528E-4</v>
      </c>
      <c r="R4">
        <f>[4]Manu_gas!R3</f>
        <v>5.1443307411433315E-3</v>
      </c>
      <c r="S4">
        <f>[4]Manu_gas!S3</f>
        <v>0</v>
      </c>
      <c r="T4">
        <f>[4]Manu_gas!T3</f>
        <v>0</v>
      </c>
      <c r="U4">
        <f>[4]Manu_gas!U3</f>
        <v>3.4912459273297802E-4</v>
      </c>
      <c r="V4">
        <f>[4]Manu_gas!V3</f>
        <v>0</v>
      </c>
      <c r="W4">
        <f>[4]Manu_gas!W3</f>
        <v>0</v>
      </c>
      <c r="X4">
        <f>SUM([4]Manu_gas!$X3:$AC3)</f>
        <v>4.1604370220013067E-4</v>
      </c>
      <c r="Z4">
        <f>[4]Manu_solvent!R3</f>
        <v>0.33210679410510358</v>
      </c>
      <c r="AA4">
        <f>[4]Manu_solvent!S3</f>
        <v>1.6911227835462881E-4</v>
      </c>
      <c r="AB4">
        <f>[4]Manu_solvent!T3</f>
        <v>4.0512802405302042E-2</v>
      </c>
      <c r="AC4">
        <f>[4]Manu_solvent!U3</f>
        <v>2.2747086866725989E-2</v>
      </c>
      <c r="AD4">
        <f>[4]Manu_solvent!V3</f>
        <v>5.8253782692796588E-2</v>
      </c>
      <c r="AE4">
        <f>[4]Manu_solvent!W3</f>
        <v>0.14152538818133226</v>
      </c>
      <c r="AF4">
        <f>SUM([4]Manu_solvent!$X3:$AC3)</f>
        <v>4.508583898421565E-2</v>
      </c>
    </row>
    <row r="5" spans="1:32" x14ac:dyDescent="0.2">
      <c r="A5">
        <v>2020.5</v>
      </c>
      <c r="B5">
        <f>[4]Manu_water!R4</f>
        <v>1.7561453095145878E-2</v>
      </c>
      <c r="C5">
        <f>[4]Manu_water!S4</f>
        <v>1.3970120086475375E-2</v>
      </c>
      <c r="D5">
        <f>[4]Manu_water!T4</f>
        <v>0.62210280697207621</v>
      </c>
      <c r="E5">
        <f>[4]Manu_water!U4</f>
        <v>8.8745861494168702E-4</v>
      </c>
      <c r="F5">
        <f>[4]Manu_water!V4</f>
        <v>0.38012173915334246</v>
      </c>
      <c r="G5">
        <f>[4]Manu_water!W4</f>
        <v>2.8864917173307791E-3</v>
      </c>
      <c r="H5">
        <f>SUM([4]Manu_water!$X4:$AC4)</f>
        <v>7.1406100792420074E-2</v>
      </c>
      <c r="J5">
        <f>[4]Manu_solid!R4</f>
        <v>4.3144054316794382E-3</v>
      </c>
      <c r="K5">
        <f>[4]Manu_solid!S4</f>
        <v>4.37347229898603E-5</v>
      </c>
      <c r="L5">
        <f>[4]Manu_solid!T4</f>
        <v>2.2033860588125524E-3</v>
      </c>
      <c r="M5">
        <f>[4]Manu_solid!U4</f>
        <v>3.0623571924044132E-4</v>
      </c>
      <c r="N5">
        <f>[4]Manu_solid!V4</f>
        <v>6.6226866241788414E-4</v>
      </c>
      <c r="O5">
        <f>[4]Manu_solid!W4</f>
        <v>2.3741706765924159E-3</v>
      </c>
      <c r="P5">
        <f>SUM([4]Manu_solid!$X4:$AC4)</f>
        <v>6.8163845557132744E-4</v>
      </c>
      <c r="R5">
        <f>[4]Manu_gas!R4</f>
        <v>8.9326422317870038E-3</v>
      </c>
      <c r="S5">
        <f>[4]Manu_gas!S4</f>
        <v>0</v>
      </c>
      <c r="T5">
        <f>[4]Manu_gas!T4</f>
        <v>0</v>
      </c>
      <c r="U5">
        <f>[4]Manu_gas!U4</f>
        <v>6.0622172992495522E-4</v>
      </c>
      <c r="V5">
        <f>[4]Manu_gas!V4</f>
        <v>0</v>
      </c>
      <c r="W5">
        <f>[4]Manu_gas!W4</f>
        <v>0</v>
      </c>
      <c r="X5">
        <f>SUM([4]Manu_gas!$X4:$AC4)</f>
        <v>6.5649478644216777E-4</v>
      </c>
      <c r="Z5">
        <f>[4]Manu_solvent!R4</f>
        <v>0.57667193727658961</v>
      </c>
      <c r="AA5">
        <f>[4]Manu_solvent!S4</f>
        <v>2.9364742578906201E-4</v>
      </c>
      <c r="AB5">
        <f>[4]Manu_solvent!T4</f>
        <v>7.0346637474015442E-2</v>
      </c>
      <c r="AC5">
        <f>[4]Manu_solvent!U4</f>
        <v>3.9498158073461E-2</v>
      </c>
      <c r="AD5">
        <f>[4]Manu_solvent!V4</f>
        <v>0.10115216645797684</v>
      </c>
      <c r="AE5">
        <f>[4]Manu_solvent!W4</f>
        <v>0.24574540848002496</v>
      </c>
      <c r="AF5">
        <f>SUM([4]Manu_solvent!$X4:$AC4)</f>
        <v>7.1143050787656675E-2</v>
      </c>
    </row>
    <row r="6" spans="1:32" x14ac:dyDescent="0.2">
      <c r="A6">
        <v>2020.75</v>
      </c>
      <c r="B6">
        <f>[4]Manu_water!R5</f>
        <v>2.983103050511729E-2</v>
      </c>
      <c r="C6">
        <f>[4]Manu_water!S5</f>
        <v>2.3730557841764796E-2</v>
      </c>
      <c r="D6">
        <f>[4]Manu_water!T5</f>
        <v>1.0567444340487215</v>
      </c>
      <c r="E6">
        <f>[4]Manu_water!U5</f>
        <v>1.5074951298689608E-3</v>
      </c>
      <c r="F6">
        <f>[4]Manu_water!V5</f>
        <v>0.64569959757350037</v>
      </c>
      <c r="G6">
        <f>[4]Manu_water!W5</f>
        <v>4.903183239219738E-3</v>
      </c>
      <c r="H6">
        <f>SUM([4]Manu_water!$X5:$AC5)</f>
        <v>0.10848662407137627</v>
      </c>
      <c r="J6">
        <f>[4]Manu_solid!R5</f>
        <v>7.3287306777277787E-3</v>
      </c>
      <c r="K6">
        <f>[4]Manu_solid!S5</f>
        <v>7.429065513969302E-5</v>
      </c>
      <c r="L6">
        <f>[4]Manu_solid!T5</f>
        <v>3.7428153797338954E-3</v>
      </c>
      <c r="M6">
        <f>[4]Manu_solid!U5</f>
        <v>5.2019198143365562E-4</v>
      </c>
      <c r="N6">
        <f>[4]Manu_solid!V5</f>
        <v>1.1249727778296368E-3</v>
      </c>
      <c r="O6">
        <f>[4]Manu_solid!W5</f>
        <v>4.0329212790119057E-3</v>
      </c>
      <c r="P6">
        <f>SUM([4]Manu_solid!$X5:$AC5)</f>
        <v>1.0356069588105827E-3</v>
      </c>
      <c r="R6">
        <f>[4]Manu_gas!R5</f>
        <v>1.5173569149661736E-2</v>
      </c>
      <c r="S6">
        <f>[4]Manu_gas!S5</f>
        <v>0</v>
      </c>
      <c r="T6">
        <f>[4]Manu_gas!T5</f>
        <v>0</v>
      </c>
      <c r="U6">
        <f>[4]Manu_gas!U5</f>
        <v>1.0297677999809101E-3</v>
      </c>
      <c r="V6">
        <f>[4]Manu_gas!V5</f>
        <v>0</v>
      </c>
      <c r="W6">
        <f>[4]Manu_gas!W5</f>
        <v>0</v>
      </c>
      <c r="X6">
        <f>SUM([4]Manu_gas!$X5:$AC5)</f>
        <v>9.9740641641547453E-4</v>
      </c>
      <c r="Z6">
        <f>[4]Manu_solvent!R5</f>
        <v>0.97957259340333258</v>
      </c>
      <c r="AA6">
        <f>[4]Manu_solvent!S5</f>
        <v>4.9880868450936737E-4</v>
      </c>
      <c r="AB6">
        <f>[4]Manu_solvent!T5</f>
        <v>0.11949539010526566</v>
      </c>
      <c r="AC6">
        <f>[4]Manu_solvent!U5</f>
        <v>6.7094149442055162E-2</v>
      </c>
      <c r="AD6">
        <f>[4]Manu_solvent!V5</f>
        <v>0.17182367238737564</v>
      </c>
      <c r="AE6">
        <f>[4]Manu_solvent!W5</f>
        <v>0.417439191229935</v>
      </c>
      <c r="AF6">
        <f>SUM([4]Manu_solvent!$X5:$AC5)</f>
        <v>0.10808697464839909</v>
      </c>
    </row>
    <row r="7" spans="1:32" x14ac:dyDescent="0.2">
      <c r="A7">
        <v>2021</v>
      </c>
      <c r="B7">
        <f>[4]Manu_water!R6</f>
        <v>4.9386900087826105E-2</v>
      </c>
      <c r="C7">
        <f>[4]Manu_water!S6</f>
        <v>3.9287234443965056E-2</v>
      </c>
      <c r="D7">
        <f>[4]Manu_water!T6</f>
        <v>1.7494981198781536</v>
      </c>
      <c r="E7">
        <f>[4]Manu_water!U6</f>
        <v>2.495740512516032E-3</v>
      </c>
      <c r="F7">
        <f>[4]Manu_water!V6</f>
        <v>1.0689909457416045</v>
      </c>
      <c r="G7">
        <f>[4]Manu_water!W6</f>
        <v>8.1174876176707753E-3</v>
      </c>
      <c r="H7">
        <f>SUM([4]Manu_water!$X6:$AC6)</f>
        <v>0.15989820183310821</v>
      </c>
      <c r="J7">
        <f>[4]Manu_solid!R6</f>
        <v>1.2133113862407108E-2</v>
      </c>
      <c r="K7">
        <f>[4]Manu_solid!S6</f>
        <v>1.229922366313754E-4</v>
      </c>
      <c r="L7">
        <f>[4]Manu_solid!T6</f>
        <v>6.1964352580574722E-3</v>
      </c>
      <c r="M7">
        <f>[4]Manu_solid!U6</f>
        <v>8.61206233192152E-4</v>
      </c>
      <c r="N7">
        <f>[4]Manu_solid!V6</f>
        <v>1.8624538689893983E-3</v>
      </c>
      <c r="O7">
        <f>[4]Manu_solid!W6</f>
        <v>6.6767214171318057E-3</v>
      </c>
      <c r="P7">
        <f>SUM([4]Manu_solid!$X6:$AC6)</f>
        <v>1.5263788687047604E-3</v>
      </c>
      <c r="R7">
        <f>[4]Manu_gas!R6</f>
        <v>2.5120672363011895E-2</v>
      </c>
      <c r="S7">
        <f>[4]Manu_gas!S6</f>
        <v>0</v>
      </c>
      <c r="T7">
        <f>[4]Manu_gas!T6</f>
        <v>0</v>
      </c>
      <c r="U7">
        <f>[4]Manu_gas!U6</f>
        <v>1.7048368289722191E-3</v>
      </c>
      <c r="V7">
        <f>[4]Manu_gas!V6</f>
        <v>0</v>
      </c>
      <c r="W7">
        <f>[4]Manu_gas!W6</f>
        <v>0</v>
      </c>
      <c r="X7">
        <f>SUM([4]Manu_gas!$X6:$AC6)</f>
        <v>1.4700751714488806E-3</v>
      </c>
      <c r="Z7">
        <f>[4]Manu_solvent!R6</f>
        <v>1.6217359232992035</v>
      </c>
      <c r="AA7">
        <f>[4]Manu_solvent!S6</f>
        <v>8.2580501738209195E-4</v>
      </c>
      <c r="AB7">
        <f>[4]Manu_solvent!T6</f>
        <v>0.19783114401871565</v>
      </c>
      <c r="AC7">
        <f>[4]Manu_solvent!U6</f>
        <v>0.1110780284443755</v>
      </c>
      <c r="AD7">
        <f>[4]Manu_solvent!V6</f>
        <v>0.28446347300885244</v>
      </c>
      <c r="AE7">
        <f>[4]Manu_solvent!W6</f>
        <v>0.69109337763169831</v>
      </c>
      <c r="AF7">
        <f>SUM([4]Manu_solvent!$X6:$AC6)</f>
        <v>0.15930915940834212</v>
      </c>
    </row>
    <row r="8" spans="1:32" x14ac:dyDescent="0.2">
      <c r="A8">
        <v>2021.25</v>
      </c>
      <c r="B8">
        <f>[4]Manu_water!R7</f>
        <v>0.10396678976446169</v>
      </c>
      <c r="C8">
        <f>[4]Manu_water!S7</f>
        <v>8.2705487418710866E-2</v>
      </c>
      <c r="D8">
        <f>[4]Manu_water!T7</f>
        <v>3.7277364488442917</v>
      </c>
      <c r="E8">
        <f>[4]Manu_water!U7</f>
        <v>5.2539059691937336E-3</v>
      </c>
      <c r="F8">
        <f>[4]Manu_water!V7</f>
        <v>2.2386706189932646</v>
      </c>
      <c r="G8">
        <f>[4]Manu_water!W7</f>
        <v>1.7213340284655591E-2</v>
      </c>
      <c r="H8">
        <f>SUM([4]Manu_water!$X7:$AC7)</f>
        <v>0.36041802628753344</v>
      </c>
      <c r="J8">
        <f>[4]Manu_solid!R7</f>
        <v>2.5542014094383329E-2</v>
      </c>
      <c r="K8">
        <f>[4]Manu_solid!S7</f>
        <v>2.589169999691306E-4</v>
      </c>
      <c r="L8">
        <f>[4]Manu_solid!T7</f>
        <v>1.3203030801755571E-2</v>
      </c>
      <c r="M8">
        <f>[4]Manu_solid!U7</f>
        <v>1.8129675527499508E-3</v>
      </c>
      <c r="N8">
        <f>[4]Manu_solid!V7</f>
        <v>3.9003330873344224E-3</v>
      </c>
      <c r="O8">
        <f>[4]Manu_solid!W7</f>
        <v>1.4158158675690743E-2</v>
      </c>
      <c r="P8">
        <f>SUM([4]Manu_solid!$X7:$AC7)</f>
        <v>3.435852407087272E-3</v>
      </c>
      <c r="R8">
        <f>[4]Manu_gas!R7</f>
        <v>5.2882761575695048E-2</v>
      </c>
      <c r="S8">
        <f>[4]Manu_gas!S7</f>
        <v>0</v>
      </c>
      <c r="T8">
        <f>[4]Manu_gas!T7</f>
        <v>0</v>
      </c>
      <c r="U8">
        <f>[4]Manu_gas!U7</f>
        <v>3.5889357676886779E-3</v>
      </c>
      <c r="V8">
        <f>[4]Manu_gas!V7</f>
        <v>0</v>
      </c>
      <c r="W8">
        <f>[4]Manu_gas!W7</f>
        <v>0</v>
      </c>
      <c r="X8">
        <f>SUM([4]Manu_gas!$X7:$AC7)</f>
        <v>3.2948350981590862E-3</v>
      </c>
      <c r="Z8">
        <f>[4]Manu_solvent!R7</f>
        <v>3.4139959683901093</v>
      </c>
      <c r="AA8">
        <f>[4]Manu_solvent!S7</f>
        <v>1.7384427140784485E-3</v>
      </c>
      <c r="AB8">
        <f>[4]Manu_solvent!T7</f>
        <v>0.42152795587256325</v>
      </c>
      <c r="AC8">
        <f>[4]Manu_solvent!U7</f>
        <v>0.2338358149669324</v>
      </c>
      <c r="AD8">
        <f>[4]Manu_solvent!V7</f>
        <v>0.59572068569758774</v>
      </c>
      <c r="AE8">
        <f>[4]Manu_solvent!W7</f>
        <v>1.4654811978709055</v>
      </c>
      <c r="AF8">
        <f>SUM([4]Manu_solvent!$X7:$AC7)</f>
        <v>0.3578287006534796</v>
      </c>
    </row>
    <row r="9" spans="1:32" x14ac:dyDescent="0.2">
      <c r="A9">
        <v>2021.5</v>
      </c>
      <c r="B9">
        <f>[4]Manu_water!R8</f>
        <v>0.2176238841125655</v>
      </c>
      <c r="C9">
        <f>[4]Manu_water!S8</f>
        <v>0.17311960338738047</v>
      </c>
      <c r="D9">
        <f>[4]Manu_water!T8</f>
        <v>7.940293845151194</v>
      </c>
      <c r="E9">
        <f>[4]Manu_water!U8</f>
        <v>1.0997506284155424E-2</v>
      </c>
      <c r="F9">
        <f>[4]Manu_water!V8</f>
        <v>4.6500618199737156</v>
      </c>
      <c r="G9">
        <f>[4]Manu_water!W8</f>
        <v>3.6413958916717573E-2</v>
      </c>
      <c r="H9">
        <f>SUM([4]Manu_water!$X8:$AC8)</f>
        <v>0.84654995114941145</v>
      </c>
      <c r="J9">
        <f>[4]Manu_solid!R8</f>
        <v>5.3464691252568003E-2</v>
      </c>
      <c r="K9">
        <f>[4]Manu_solid!S8</f>
        <v>5.419665580105829E-4</v>
      </c>
      <c r="L9">
        <f>[4]Manu_solid!T8</f>
        <v>2.8123217843102521E-2</v>
      </c>
      <c r="M9">
        <f>[4]Manu_solid!U8</f>
        <v>3.7949141403071538E-3</v>
      </c>
      <c r="N9">
        <f>[4]Manu_solid!V8</f>
        <v>8.1015893185528848E-3</v>
      </c>
      <c r="O9">
        <f>[4]Manu_solid!W8</f>
        <v>2.9950875299464663E-2</v>
      </c>
      <c r="P9">
        <f>SUM([4]Manu_solid!$X8:$AC8)</f>
        <v>8.0540116974315845E-3</v>
      </c>
      <c r="R9">
        <f>[4]Manu_gas!R8</f>
        <v>0.11069450160742951</v>
      </c>
      <c r="S9">
        <f>[4]Manu_gas!S8</f>
        <v>0</v>
      </c>
      <c r="T9">
        <f>[4]Manu_gas!T8</f>
        <v>0</v>
      </c>
      <c r="U9">
        <f>[4]Manu_gas!U8</f>
        <v>7.5123810532611007E-3</v>
      </c>
      <c r="V9">
        <f>[4]Manu_gas!V8</f>
        <v>0</v>
      </c>
      <c r="W9">
        <f>[4]Manu_gas!W8</f>
        <v>0</v>
      </c>
      <c r="X9">
        <f>SUM([4]Manu_gas!$X8:$AC8)</f>
        <v>7.6741729078616764E-3</v>
      </c>
      <c r="Z9">
        <f>[4]Manu_solvent!R8</f>
        <v>7.1461960561531033</v>
      </c>
      <c r="AA9">
        <f>[4]Manu_solvent!S8</f>
        <v>3.6389183180710566E-3</v>
      </c>
      <c r="AB9">
        <f>[4]Manu_solvent!T8</f>
        <v>0.8978788815963008</v>
      </c>
      <c r="AC9">
        <f>[4]Manu_solvent!U8</f>
        <v>0.48946647687226957</v>
      </c>
      <c r="AD9">
        <f>[4]Manu_solvent!V8</f>
        <v>1.2374031232770868</v>
      </c>
      <c r="AE9">
        <f>[4]Manu_solvent!W8</f>
        <v>3.1001520477732738</v>
      </c>
      <c r="AF9">
        <f>SUM([4]Manu_solvent!$X8:$AC8)</f>
        <v>0.83612000719836033</v>
      </c>
    </row>
    <row r="10" spans="1:32" x14ac:dyDescent="0.2">
      <c r="A10">
        <v>2021.75</v>
      </c>
      <c r="B10">
        <f>[4]Manu_water!R9</f>
        <v>0.31144041347031215</v>
      </c>
      <c r="C10">
        <f>[4]Manu_water!S9</f>
        <v>0.24775056781402754</v>
      </c>
      <c r="D10">
        <f>[4]Manu_water!T9</f>
        <v>11.494167903101689</v>
      </c>
      <c r="E10">
        <f>[4]Manu_water!U9</f>
        <v>1.5738474286710699E-2</v>
      </c>
      <c r="F10">
        <f>[4]Manu_water!V9</f>
        <v>6.6204485256430559</v>
      </c>
      <c r="G10">
        <f>[4]Manu_water!W9</f>
        <v>5.2476551203949874E-2</v>
      </c>
      <c r="H10">
        <f>SUM([4]Manu_water!$X9:$AC9)</f>
        <v>1.1947560464017564</v>
      </c>
      <c r="J10">
        <f>[4]Manu_solid!R9</f>
        <v>7.6513042755682228E-2</v>
      </c>
      <c r="K10">
        <f>[4]Manu_solid!S9</f>
        <v>7.7560553430151738E-4</v>
      </c>
      <c r="L10">
        <f>[4]Manu_solid!T9</f>
        <v>4.0710456586127833E-2</v>
      </c>
      <c r="M10">
        <f>[4]Manu_solid!U9</f>
        <v>5.4308819721748201E-3</v>
      </c>
      <c r="N10">
        <f>[4]Manu_solid!V9</f>
        <v>1.153450365519703E-2</v>
      </c>
      <c r="O10">
        <f>[4]Manu_solid!W9</f>
        <v>4.3162531293292089E-2</v>
      </c>
      <c r="P10">
        <f>SUM([4]Manu_solid!$X9:$AC9)</f>
        <v>1.1354132474548218E-2</v>
      </c>
      <c r="R10">
        <f>[4]Manu_gas!R9</f>
        <v>0.15841432795894769</v>
      </c>
      <c r="S10">
        <f>[4]Manu_gas!S9</f>
        <v>0</v>
      </c>
      <c r="T10">
        <f>[4]Manu_gas!T9</f>
        <v>0</v>
      </c>
      <c r="U10">
        <f>[4]Manu_gas!U9</f>
        <v>1.075092961838689E-2</v>
      </c>
      <c r="V10">
        <f>[4]Manu_gas!V9</f>
        <v>0</v>
      </c>
      <c r="W10">
        <f>[4]Manu_gas!W9</f>
        <v>0</v>
      </c>
      <c r="X10">
        <f>SUM([4]Manu_gas!$X9:$AC9)</f>
        <v>1.0779796439640972E-2</v>
      </c>
      <c r="Z10">
        <f>[4]Manu_solvent!R9</f>
        <v>10.22688416551302</v>
      </c>
      <c r="AA10">
        <f>[4]Manu_solvent!S9</f>
        <v>5.2076371588816164E-3</v>
      </c>
      <c r="AB10">
        <f>[4]Manu_solvent!T9</f>
        <v>1.2997466873369254</v>
      </c>
      <c r="AC10">
        <f>[4]Manu_solvent!U9</f>
        <v>0.70047294008458894</v>
      </c>
      <c r="AD10">
        <f>[4]Manu_solvent!V9</f>
        <v>1.7617322092230179</v>
      </c>
      <c r="AE10">
        <f>[4]Manu_solvent!W9</f>
        <v>4.467662745681733</v>
      </c>
      <c r="AF10">
        <f>SUM([4]Manu_solvent!$X9:$AC9)</f>
        <v>1.1766141510521739</v>
      </c>
    </row>
    <row r="11" spans="1:32" x14ac:dyDescent="0.2">
      <c r="A11">
        <v>2022</v>
      </c>
      <c r="B11">
        <f>[4]Manu_water!R10</f>
        <v>0.51620344731144574</v>
      </c>
      <c r="C11">
        <f>[4]Manu_water!S10</f>
        <v>0.41063937641850112</v>
      </c>
      <c r="D11">
        <f>[4]Manu_water!T10</f>
        <v>19.417866243283136</v>
      </c>
      <c r="E11">
        <f>[4]Manu_water!U10</f>
        <v>2.6086064398951388E-2</v>
      </c>
      <c r="F11">
        <f>[4]Manu_water!V10</f>
        <v>10.877296322558998</v>
      </c>
      <c r="G11">
        <f>[4]Manu_water!W10</f>
        <v>8.8000209717446848E-2</v>
      </c>
      <c r="H11">
        <f>SUM([4]Manu_water!$X10:$AC10)</f>
        <v>2.0716216735138069</v>
      </c>
      <c r="J11">
        <f>[4]Manu_solid!R10</f>
        <v>0.12681814795540711</v>
      </c>
      <c r="K11">
        <f>[4]Manu_solid!S10</f>
        <v>1.2855436649953076E-3</v>
      </c>
      <c r="L11">
        <f>[4]Manu_solid!T10</f>
        <v>6.8774895873854158E-2</v>
      </c>
      <c r="M11">
        <f>[4]Manu_solid!U10</f>
        <v>9.0015292644268895E-3</v>
      </c>
      <c r="N11">
        <f>[4]Manu_solid!V10</f>
        <v>1.8951014225887575E-2</v>
      </c>
      <c r="O11">
        <f>[4]Manu_solid!W10</f>
        <v>7.2381124875822059E-2</v>
      </c>
      <c r="P11">
        <f>SUM([4]Manu_solid!$X10:$AC10)</f>
        <v>1.9645475530962637E-2</v>
      </c>
      <c r="R11">
        <f>[4]Manu_gas!R10</f>
        <v>0.26256715140063158</v>
      </c>
      <c r="S11">
        <f>[4]Manu_gas!S10</f>
        <v>0</v>
      </c>
      <c r="T11">
        <f>[4]Manu_gas!T10</f>
        <v>0</v>
      </c>
      <c r="U11">
        <f>[4]Manu_gas!U10</f>
        <v>1.7819353849987927E-2</v>
      </c>
      <c r="V11">
        <f>[4]Manu_gas!V10</f>
        <v>0</v>
      </c>
      <c r="W11">
        <f>[4]Manu_gas!W10</f>
        <v>0</v>
      </c>
      <c r="X11">
        <f>SUM([4]Manu_gas!$X10:$AC10)</f>
        <v>1.8523607222504249E-2</v>
      </c>
      <c r="Z11">
        <f>[4]Manu_solvent!R10</f>
        <v>16.950763719673429</v>
      </c>
      <c r="AA11">
        <f>[4]Manu_solvent!S10</f>
        <v>8.6315074649684943E-3</v>
      </c>
      <c r="AB11">
        <f>[4]Manu_solvent!T10</f>
        <v>2.195748969183601</v>
      </c>
      <c r="AC11">
        <f>[4]Manu_solvent!U10</f>
        <v>1.1610135704322029</v>
      </c>
      <c r="AD11">
        <f>[4]Manu_solvent!V10</f>
        <v>2.8944992482747152</v>
      </c>
      <c r="AE11">
        <f>[4]Manu_solvent!W10</f>
        <v>7.4920178545808156</v>
      </c>
      <c r="AF11">
        <f>SUM([4]Manu_solvent!$X10:$AC10)</f>
        <v>2.0288950391633884</v>
      </c>
    </row>
    <row r="12" spans="1:32" x14ac:dyDescent="0.2">
      <c r="A12">
        <v>2022.25</v>
      </c>
      <c r="B12">
        <f>[4]Manu_water!R11</f>
        <v>0.78196941005883325</v>
      </c>
      <c r="C12">
        <f>[4]Manu_water!S11</f>
        <v>0.6220559599075397</v>
      </c>
      <c r="D12">
        <f>[4]Manu_water!T11</f>
        <v>29.918592728521048</v>
      </c>
      <c r="E12">
        <f>[4]Manu_water!U11</f>
        <v>3.9516404811023149E-2</v>
      </c>
      <c r="F12">
        <f>[4]Manu_water!V11</f>
        <v>16.345732818731392</v>
      </c>
      <c r="G12">
        <f>[4]Manu_water!W11</f>
        <v>0.13471023072717855</v>
      </c>
      <c r="H12">
        <f>SUM([4]Manu_water!$X11:$AC11)</f>
        <v>3.2431747780804128</v>
      </c>
      <c r="J12">
        <f>[4]Manu_solid!R11</f>
        <v>0.192110131882966</v>
      </c>
      <c r="K12">
        <f>[4]Manu_solid!S11</f>
        <v>1.947402378959203E-3</v>
      </c>
      <c r="L12">
        <f>[4]Manu_solid!T11</f>
        <v>0.10596674597591532</v>
      </c>
      <c r="M12">
        <f>[4]Manu_solid!U11</f>
        <v>1.3635942505212217E-2</v>
      </c>
      <c r="N12">
        <f>[4]Manu_solid!V11</f>
        <v>2.8478420187734652E-2</v>
      </c>
      <c r="O12">
        <f>[4]Manu_solid!W11</f>
        <v>0.11080062267603429</v>
      </c>
      <c r="P12">
        <f>SUM([4]Manu_solid!$X11:$AC11)</f>
        <v>3.0698249753132206E-2</v>
      </c>
      <c r="R12">
        <f>[4]Manu_gas!R11</f>
        <v>0.39774914629290137</v>
      </c>
      <c r="S12">
        <f>[4]Manu_gas!S11</f>
        <v>0</v>
      </c>
      <c r="T12">
        <f>[4]Manu_gas!T11</f>
        <v>0</v>
      </c>
      <c r="U12">
        <f>[4]Manu_gas!U11</f>
        <v>2.6993600469501736E-2</v>
      </c>
      <c r="V12">
        <f>[4]Manu_gas!V11</f>
        <v>0</v>
      </c>
      <c r="W12">
        <f>[4]Manu_gas!W11</f>
        <v>0</v>
      </c>
      <c r="X12">
        <f>SUM([4]Manu_gas!$X11:$AC11)</f>
        <v>2.8769337539863781E-2</v>
      </c>
      <c r="Z12">
        <f>[4]Manu_solvent!R11</f>
        <v>25.677819036187987</v>
      </c>
      <c r="AA12">
        <f>[4]Manu_solvent!S11</f>
        <v>1.3075415973011793E-2</v>
      </c>
      <c r="AB12">
        <f>[4]Manu_solvent!T11</f>
        <v>3.383158495377848</v>
      </c>
      <c r="AC12">
        <f>[4]Manu_solvent!U11</f>
        <v>1.7587582986314532</v>
      </c>
      <c r="AD12">
        <f>[4]Manu_solvent!V11</f>
        <v>4.3496756871643774</v>
      </c>
      <c r="AE12">
        <f>[4]Manu_solvent!W11</f>
        <v>11.46873918872752</v>
      </c>
      <c r="AF12">
        <f>SUM([4]Manu_solvent!$X11:$AC11)</f>
        <v>3.1608485548129082</v>
      </c>
    </row>
    <row r="13" spans="1:32" x14ac:dyDescent="0.2">
      <c r="A13">
        <v>2022.5</v>
      </c>
      <c r="B13">
        <f>[4]Manu_water!R12</f>
        <v>1.0037765612907219</v>
      </c>
      <c r="C13">
        <f>[4]Manu_water!S12</f>
        <v>0.79850334851258542</v>
      </c>
      <c r="D13">
        <f>[4]Manu_water!T12</f>
        <v>38.862720906315154</v>
      </c>
      <c r="E13">
        <f>[4]Manu_water!U12</f>
        <v>5.0725310255802236E-2</v>
      </c>
      <c r="F13">
        <f>[4]Manu_water!V12</f>
        <v>20.862510152101873</v>
      </c>
      <c r="G13">
        <f>[4]Manu_water!W12</f>
        <v>0.17419666261567929</v>
      </c>
      <c r="H13">
        <f>SUM([4]Manu_water!$X12:$AC12)</f>
        <v>4.1742695447581939</v>
      </c>
      <c r="J13">
        <f>[4]Manu_solid!R12</f>
        <v>0.24660254619945077</v>
      </c>
      <c r="K13">
        <f>[4]Manu_solid!S12</f>
        <v>2.4997868692254463E-3</v>
      </c>
      <c r="L13">
        <f>[4]Manu_solid!T12</f>
        <v>0.13764538030181483</v>
      </c>
      <c r="M13">
        <f>[4]Manu_solid!U12</f>
        <v>1.7503804243199368E-2</v>
      </c>
      <c r="N13">
        <f>[4]Manu_solid!V12</f>
        <v>3.6347794061676597E-2</v>
      </c>
      <c r="O13">
        <f>[4]Manu_solid!W12</f>
        <v>0.14327864024666259</v>
      </c>
      <c r="P13">
        <f>SUM([4]Manu_solid!$X12:$AC12)</f>
        <v>3.9462994042709525E-2</v>
      </c>
      <c r="R13">
        <f>[4]Manu_gas!R12</f>
        <v>0.51057146889182059</v>
      </c>
      <c r="S13">
        <f>[4]Manu_gas!S12</f>
        <v>0</v>
      </c>
      <c r="T13">
        <f>[4]Manu_gas!T12</f>
        <v>0</v>
      </c>
      <c r="U13">
        <f>[4]Manu_gas!U12</f>
        <v>3.4650387991639567E-2</v>
      </c>
      <c r="V13">
        <f>[4]Manu_gas!V12</f>
        <v>0</v>
      </c>
      <c r="W13">
        <f>[4]Manu_gas!W12</f>
        <v>0</v>
      </c>
      <c r="X13">
        <f>SUM([4]Manu_gas!$X12:$AC12)</f>
        <v>3.6833941074260516E-2</v>
      </c>
      <c r="Z13">
        <f>[4]Manu_solvent!R12</f>
        <v>32.961382583560386</v>
      </c>
      <c r="AA13">
        <f>[4]Manu_solvent!S12</f>
        <v>1.6784283264799426E-2</v>
      </c>
      <c r="AB13">
        <f>[4]Manu_solvent!T12</f>
        <v>4.3945497564249152</v>
      </c>
      <c r="AC13">
        <f>[4]Manu_solvent!U12</f>
        <v>2.2576335268779593</v>
      </c>
      <c r="AD13">
        <f>[4]Manu_solvent!V12</f>
        <v>5.5516111873447551</v>
      </c>
      <c r="AE13">
        <f>[4]Manu_solvent!W12</f>
        <v>14.830470412689422</v>
      </c>
      <c r="AF13">
        <f>SUM([4]Manu_solvent!$X12:$AC12)</f>
        <v>4.0552179274278579</v>
      </c>
    </row>
    <row r="14" spans="1:32" x14ac:dyDescent="0.2">
      <c r="A14">
        <v>2022.75</v>
      </c>
      <c r="B14">
        <f>[4]Manu_water!R13</f>
        <v>1.3714938181654615</v>
      </c>
      <c r="C14">
        <f>[4]Manu_water!S13</f>
        <v>1.0910220944601714</v>
      </c>
      <c r="D14">
        <f>[4]Manu_water!T13</f>
        <v>53.988795850198606</v>
      </c>
      <c r="E14">
        <f>[4]Manu_water!U13</f>
        <v>6.9307704645843571E-2</v>
      </c>
      <c r="F14">
        <f>[4]Manu_water!V13</f>
        <v>28.272503491032516</v>
      </c>
      <c r="G14">
        <f>[4]Manu_water!W13</f>
        <v>0.2404896109619073</v>
      </c>
      <c r="H14">
        <f>SUM([4]Manu_water!$X13:$AC13)</f>
        <v>5.8171210192568124</v>
      </c>
      <c r="J14">
        <f>[4]Manu_solid!R13</f>
        <v>0.33694138785379857</v>
      </c>
      <c r="K14">
        <f>[4]Manu_solid!S13</f>
        <v>3.4155432295264756E-3</v>
      </c>
      <c r="L14">
        <f>[4]Manu_solid!T13</f>
        <v>0.19121945565139392</v>
      </c>
      <c r="M14">
        <f>[4]Manu_solid!U13</f>
        <v>2.3916038927086873E-2</v>
      </c>
      <c r="N14">
        <f>[4]Manu_solid!V13</f>
        <v>4.9257885413014346E-2</v>
      </c>
      <c r="O14">
        <f>[4]Manu_solid!W13</f>
        <v>0.19780530771758603</v>
      </c>
      <c r="P14">
        <f>SUM([4]Manu_solid!$X13:$AC13)</f>
        <v>5.4894124818406678E-2</v>
      </c>
      <c r="R14">
        <f>[4]Manu_gas!R13</f>
        <v>0.69761104245786454</v>
      </c>
      <c r="S14">
        <f>[4]Manu_gas!S13</f>
        <v>0</v>
      </c>
      <c r="T14">
        <f>[4]Manu_gas!T13</f>
        <v>0</v>
      </c>
      <c r="U14">
        <f>[4]Manu_gas!U13</f>
        <v>4.7343995427090349E-2</v>
      </c>
      <c r="V14">
        <f>[4]Manu_gas!V13</f>
        <v>0</v>
      </c>
      <c r="W14">
        <f>[4]Manu_gas!W13</f>
        <v>0</v>
      </c>
      <c r="X14">
        <f>SUM([4]Manu_gas!$X13:$AC13)</f>
        <v>5.092824197105493E-2</v>
      </c>
      <c r="Z14">
        <f>[4]Manu_solvent!R13</f>
        <v>45.036250292007715</v>
      </c>
      <c r="AA14">
        <f>[4]Manu_solvent!S13</f>
        <v>2.2932933112534908E-2</v>
      </c>
      <c r="AB14">
        <f>[4]Manu_solvent!T13</f>
        <v>6.1049881253839526</v>
      </c>
      <c r="AC14">
        <f>[4]Manu_solvent!U13</f>
        <v>3.0846809391671233</v>
      </c>
      <c r="AD14">
        <f>[4]Manu_solvent!V13</f>
        <v>7.523444951289644</v>
      </c>
      <c r="AE14">
        <f>[4]Manu_solvent!W13</f>
        <v>20.474410969620557</v>
      </c>
      <c r="AF14">
        <f>SUM([4]Manu_solvent!$X13:$AC13)</f>
        <v>5.6241940038330958</v>
      </c>
    </row>
    <row r="15" spans="1:32" x14ac:dyDescent="0.2">
      <c r="A15">
        <v>2023</v>
      </c>
      <c r="B15">
        <f>[4]Manu_water!R14</f>
        <v>1.8569511274491128</v>
      </c>
      <c r="C15">
        <f>[4]Manu_water!S14</f>
        <v>1.4772029458285809</v>
      </c>
      <c r="D15">
        <f>[4]Manu_water!T14</f>
        <v>74.351161065720618</v>
      </c>
      <c r="E15">
        <f>[4]Manu_water!U14</f>
        <v>9.3840029446988313E-2</v>
      </c>
      <c r="F15">
        <f>[4]Manu_water!V14</f>
        <v>37.952297429199874</v>
      </c>
      <c r="G15">
        <f>[4]Manu_water!W14</f>
        <v>0.32910452978552451</v>
      </c>
      <c r="H15">
        <f>SUM([4]Manu_water!$X14:$AC14)</f>
        <v>7.3493134273362184</v>
      </c>
      <c r="J15">
        <f>[4]Manu_solid!R14</f>
        <v>0.45620598632832887</v>
      </c>
      <c r="K15">
        <f>[4]Manu_solid!S14</f>
        <v>4.6245172722719436E-3</v>
      </c>
      <c r="L15">
        <f>[4]Manu_solid!T14</f>
        <v>0.26333961189808436</v>
      </c>
      <c r="M15">
        <f>[4]Manu_solid!U14</f>
        <v>3.2381418611988934E-2</v>
      </c>
      <c r="N15">
        <f>[4]Manu_solid!V14</f>
        <v>6.612254618771625E-2</v>
      </c>
      <c r="O15">
        <f>[4]Manu_solid!W14</f>
        <v>0.27069203748592918</v>
      </c>
      <c r="P15">
        <f>SUM([4]Manu_solid!$X14:$AC14)</f>
        <v>6.9255114760962647E-2</v>
      </c>
      <c r="R15">
        <f>[4]Manu_gas!R14</f>
        <v>0.94453915479245543</v>
      </c>
      <c r="S15">
        <f>[4]Manu_gas!S14</f>
        <v>0</v>
      </c>
      <c r="T15">
        <f>[4]Manu_gas!T14</f>
        <v>0</v>
      </c>
      <c r="U15">
        <f>[4]Manu_gas!U14</f>
        <v>6.4101991946182185E-2</v>
      </c>
      <c r="V15">
        <f>[4]Manu_gas!V14</f>
        <v>0</v>
      </c>
      <c r="W15">
        <f>[4]Manu_gas!W14</f>
        <v>0</v>
      </c>
      <c r="X15">
        <f>SUM([4]Manu_gas!$X14:$AC14)</f>
        <v>6.3949757942336122E-2</v>
      </c>
      <c r="Z15">
        <f>[4]Manu_solvent!R14</f>
        <v>60.977391693744224</v>
      </c>
      <c r="AA15">
        <f>[4]Manu_solvent!S14</f>
        <v>3.1050330256683051E-2</v>
      </c>
      <c r="AB15">
        <f>[4]Manu_solvent!T14</f>
        <v>8.4075399028012257</v>
      </c>
      <c r="AC15">
        <f>[4]Manu_solvent!U14</f>
        <v>4.1765421556687761</v>
      </c>
      <c r="AD15">
        <f>[4]Manu_solvent!V14</f>
        <v>10.099283233765339</v>
      </c>
      <c r="AE15">
        <f>[4]Manu_solvent!W14</f>
        <v>28.018762922194881</v>
      </c>
      <c r="AF15">
        <f>SUM([4]Manu_solvent!$X14:$AC14)</f>
        <v>7.0791972713133751</v>
      </c>
    </row>
    <row r="16" spans="1:32" x14ac:dyDescent="0.2">
      <c r="A16">
        <v>2023.25</v>
      </c>
      <c r="B16">
        <f>[4]Manu_water!R15</f>
        <v>2.4961536675816993</v>
      </c>
      <c r="C16">
        <f>[4]Manu_water!S15</f>
        <v>1.9856879895691</v>
      </c>
      <c r="D16">
        <f>[4]Manu_water!T15</f>
        <v>101.06648358622101</v>
      </c>
      <c r="E16">
        <f>[4]Manu_water!U15</f>
        <v>0.12614178704414694</v>
      </c>
      <c r="F16">
        <f>[4]Manu_water!V15</f>
        <v>50.675224458003626</v>
      </c>
      <c r="G16">
        <f>[4]Manu_water!W15</f>
        <v>0.45031179537678961</v>
      </c>
      <c r="H16">
        <f>SUM([4]Manu_water!$X15:$AC15)</f>
        <v>10.343899106555776</v>
      </c>
      <c r="J16">
        <f>[4]Manu_solid!R15</f>
        <v>0.61324190449238991</v>
      </c>
      <c r="K16">
        <f>[4]Manu_solid!S15</f>
        <v>6.2163756381859126E-3</v>
      </c>
      <c r="L16">
        <f>[4]Manu_solid!T15</f>
        <v>0.35796090043535628</v>
      </c>
      <c r="M16">
        <f>[4]Manu_solid!U15</f>
        <v>4.3527799754670436E-2</v>
      </c>
      <c r="N16">
        <f>[4]Manu_solid!V15</f>
        <v>8.8289118097477845E-2</v>
      </c>
      <c r="O16">
        <f>[4]Manu_solid!W15</f>
        <v>0.37038632520168835</v>
      </c>
      <c r="P16">
        <f>SUM([4]Manu_solid!$X15:$AC15)</f>
        <v>9.7647194455014921E-2</v>
      </c>
      <c r="R16">
        <f>[4]Manu_gas!R15</f>
        <v>1.2696698585969197</v>
      </c>
      <c r="S16">
        <f>[4]Manu_gas!S15</f>
        <v>0</v>
      </c>
      <c r="T16">
        <f>[4]Manu_gas!T15</f>
        <v>0</v>
      </c>
      <c r="U16">
        <f>[4]Manu_gas!U15</f>
        <v>8.6167277065368003E-2</v>
      </c>
      <c r="V16">
        <f>[4]Manu_gas!V15</f>
        <v>0</v>
      </c>
      <c r="W16">
        <f>[4]Manu_gas!W15</f>
        <v>0</v>
      </c>
      <c r="X16">
        <f>SUM([4]Manu_gas!$X15:$AC15)</f>
        <v>8.9470677699630782E-2</v>
      </c>
      <c r="Z16">
        <f>[4]Manu_solvent!R15</f>
        <v>81.967122163841964</v>
      </c>
      <c r="AA16">
        <f>[4]Manu_solvent!S15</f>
        <v>4.1738522142105411E-2</v>
      </c>
      <c r="AB16">
        <f>[4]Manu_solvent!T15</f>
        <v>11.428476454266422</v>
      </c>
      <c r="AC16">
        <f>[4]Manu_solvent!U15</f>
        <v>5.614197845908512</v>
      </c>
      <c r="AD16">
        <f>[4]Manu_solvent!V15</f>
        <v>13.48491341507704</v>
      </c>
      <c r="AE16">
        <f>[4]Manu_solvent!W15</f>
        <v>38.337908760942128</v>
      </c>
      <c r="AF16">
        <f>SUM([4]Manu_solvent!$X15:$AC15)</f>
        <v>9.9579628543239789</v>
      </c>
    </row>
    <row r="17" spans="1:32" x14ac:dyDescent="0.2">
      <c r="A17">
        <v>2023.5</v>
      </c>
      <c r="B17">
        <f>[4]Manu_water!R16</f>
        <v>4.1724843963459382</v>
      </c>
      <c r="C17">
        <f>[4]Manu_water!S16</f>
        <v>3.3192075712692191</v>
      </c>
      <c r="D17">
        <f>[4]Manu_water!T16</f>
        <v>170.880742875875</v>
      </c>
      <c r="E17">
        <f>[4]Manu_water!U16</f>
        <v>0.21085426150017611</v>
      </c>
      <c r="F17">
        <f>[4]Manu_water!V16</f>
        <v>83.98347649712278</v>
      </c>
      <c r="G17">
        <f>[4]Manu_water!W16</f>
        <v>0.77987921402199167</v>
      </c>
      <c r="H17">
        <f>SUM([4]Manu_water!$X16:$AC16)</f>
        <v>18.03186078783737</v>
      </c>
      <c r="J17">
        <f>[4]Manu_solid!R16</f>
        <v>1.0250740212476182</v>
      </c>
      <c r="K17">
        <f>[4]Manu_solid!S16</f>
        <v>1.0391079158714012E-2</v>
      </c>
      <c r="L17">
        <f>[4]Manu_solid!T16</f>
        <v>0.60523155072202672</v>
      </c>
      <c r="M17">
        <f>[4]Manu_solid!U16</f>
        <v>7.275956910921573E-2</v>
      </c>
      <c r="N17">
        <f>[4]Manu_solid!V16</f>
        <v>0.14632055711635103</v>
      </c>
      <c r="O17">
        <f>[4]Manu_solid!W16</f>
        <v>0.64145909378432209</v>
      </c>
      <c r="P17">
        <f>SUM([4]Manu_solid!$X16:$AC16)</f>
        <v>0.17136256384298559</v>
      </c>
      <c r="R17">
        <f>[4]Manu_gas!R16</f>
        <v>2.1223363538507019</v>
      </c>
      <c r="S17">
        <f>[4]Manu_gas!S16</f>
        <v>0</v>
      </c>
      <c r="T17">
        <f>[4]Manu_gas!T16</f>
        <v>0</v>
      </c>
      <c r="U17">
        <f>[4]Manu_gas!U16</f>
        <v>0.14403424905293724</v>
      </c>
      <c r="V17">
        <f>[4]Manu_gas!V16</f>
        <v>0</v>
      </c>
      <c r="W17">
        <f>[4]Manu_gas!W16</f>
        <v>0</v>
      </c>
      <c r="X17">
        <f>SUM([4]Manu_gas!$X16:$AC16)</f>
        <v>0.15517097857257114</v>
      </c>
      <c r="Z17">
        <f>[4]Manu_solvent!R16</f>
        <v>137.01341495267457</v>
      </c>
      <c r="AA17">
        <f>[4]Manu_solvent!S16</f>
        <v>6.9768674351365509E-2</v>
      </c>
      <c r="AB17">
        <f>[4]Manu_solvent!T16</f>
        <v>19.322988958831683</v>
      </c>
      <c r="AC17">
        <f>[4]Manu_solvent!U16</f>
        <v>9.3844995259233315</v>
      </c>
      <c r="AD17">
        <f>[4]Manu_solvent!V16</f>
        <v>22.348394525601162</v>
      </c>
      <c r="AE17">
        <f>[4]Manu_solvent!W16</f>
        <v>66.396080357417745</v>
      </c>
      <c r="AF17">
        <f>SUM([4]Manu_solvent!$X16:$AC16)</f>
        <v>17.437693502076915</v>
      </c>
    </row>
    <row r="18" spans="1:32" x14ac:dyDescent="0.2">
      <c r="A18">
        <v>2023.75</v>
      </c>
      <c r="B18">
        <f>[4]Manu_water!R17</f>
        <v>5.7604849452367137</v>
      </c>
      <c r="C18">
        <f>[4]Manu_water!S17</f>
        <v>4.5824605746055402</v>
      </c>
      <c r="D18">
        <f>[4]Manu_water!T17</f>
        <v>236.78523417018295</v>
      </c>
      <c r="E18">
        <f>[4]Manu_water!U17</f>
        <v>0.29110301768281704</v>
      </c>
      <c r="F18">
        <f>[4]Manu_water!V17</f>
        <v>115.48244207133411</v>
      </c>
      <c r="G18">
        <f>[4]Manu_water!W17</f>
        <v>1.1029975425630556</v>
      </c>
      <c r="H18">
        <f>SUM([4]Manu_water!$X17:$AC17)</f>
        <v>26.554338016322799</v>
      </c>
      <c r="J18">
        <f>[4]Manu_solid!R17</f>
        <v>1.4152056439854905</v>
      </c>
      <c r="K18">
        <f>[4]Manu_solid!S17</f>
        <v>1.4345806807799094E-2</v>
      </c>
      <c r="L18">
        <f>[4]Manu_solid!T17</f>
        <v>0.83865444433955938</v>
      </c>
      <c r="M18">
        <f>[4]Manu_solid!U17</f>
        <v>0.10045104131308479</v>
      </c>
      <c r="N18">
        <f>[4]Manu_solid!V17</f>
        <v>0.20119975935520171</v>
      </c>
      <c r="O18">
        <f>[4]Manu_solid!W17</f>
        <v>0.90722741596095458</v>
      </c>
      <c r="P18">
        <f>SUM([4]Manu_solid!$X17:$AC17)</f>
        <v>0.25398528638328355</v>
      </c>
      <c r="R18">
        <f>[4]Manu_gas!R17</f>
        <v>2.9300736572657335</v>
      </c>
      <c r="S18">
        <f>[4]Manu_gas!S17</f>
        <v>0</v>
      </c>
      <c r="T18">
        <f>[4]Manu_gas!T17</f>
        <v>0</v>
      </c>
      <c r="U18">
        <f>[4]Manu_gas!U17</f>
        <v>0.19885206137488209</v>
      </c>
      <c r="V18">
        <f>[4]Manu_gas!V17</f>
        <v>0</v>
      </c>
      <c r="W18">
        <f>[4]Manu_gas!W17</f>
        <v>0</v>
      </c>
      <c r="X18">
        <f>SUM([4]Manu_gas!$X17:$AC17)</f>
        <v>0.22820144482385149</v>
      </c>
      <c r="Z18">
        <f>[4]Manu_solvent!R17</f>
        <v>189.15917692144089</v>
      </c>
      <c r="AA18">
        <f>[4]Manu_solvent!S17</f>
        <v>9.6321845709508205E-2</v>
      </c>
      <c r="AB18">
        <f>[4]Manu_solvent!T17</f>
        <v>26.775389599097863</v>
      </c>
      <c r="AC18">
        <f>[4]Manu_solvent!U17</f>
        <v>12.956134308136647</v>
      </c>
      <c r="AD18">
        <f>[4]Manu_solvent!V17</f>
        <v>30.73041607510109</v>
      </c>
      <c r="AE18">
        <f>[4]Manu_solvent!W17</f>
        <v>93.905199873663761</v>
      </c>
      <c r="AF18">
        <f>SUM([4]Manu_solvent!$X17:$AC17)</f>
        <v>25.827193003341094</v>
      </c>
    </row>
    <row r="19" spans="1:32" x14ac:dyDescent="0.2">
      <c r="A19">
        <v>2024</v>
      </c>
      <c r="B19">
        <f>[4]Manu_water!R18</f>
        <v>8.3253038315336703</v>
      </c>
      <c r="C19">
        <f>[4]Manu_water!S18</f>
        <v>6.6227716836863966</v>
      </c>
      <c r="D19">
        <f>[4]Manu_water!T18</f>
        <v>342.86147840240278</v>
      </c>
      <c r="E19">
        <f>[4]Manu_water!U18</f>
        <v>0.42071476473343716</v>
      </c>
      <c r="F19">
        <f>[4]Manu_water!V18</f>
        <v>166.27096409591903</v>
      </c>
      <c r="G19">
        <f>[4]Manu_water!W18</f>
        <v>1.6422464159091277</v>
      </c>
      <c r="H19">
        <f>SUM([4]Manu_water!$X18:$AC18)</f>
        <v>39.78534632196618</v>
      </c>
      <c r="J19">
        <f>[4]Manu_solid!R18</f>
        <v>2.0453168582660579</v>
      </c>
      <c r="K19">
        <f>[4]Manu_solid!S18</f>
        <v>2.0733185056263311E-2</v>
      </c>
      <c r="L19">
        <f>[4]Manu_solid!T18</f>
        <v>1.2143590949102161</v>
      </c>
      <c r="M19">
        <f>[4]Manu_solid!U18</f>
        <v>0.14517622163336921</v>
      </c>
      <c r="N19">
        <f>[4]Manu_solid!V18</f>
        <v>0.28968627060373198</v>
      </c>
      <c r="O19">
        <f>[4]Manu_solid!W18</f>
        <v>1.3507654503148665</v>
      </c>
      <c r="P19">
        <f>SUM([4]Manu_solid!$X18:$AC18)</f>
        <v>0.38364860893443697</v>
      </c>
      <c r="R19">
        <f>[4]Manu_gas!R18</f>
        <v>4.2346701150015562</v>
      </c>
      <c r="S19">
        <f>[4]Manu_gas!S18</f>
        <v>0</v>
      </c>
      <c r="T19">
        <f>[4]Manu_gas!T18</f>
        <v>0</v>
      </c>
      <c r="U19">
        <f>[4]Manu_gas!U18</f>
        <v>0.28738966323340431</v>
      </c>
      <c r="V19">
        <f>[4]Manu_gas!V18</f>
        <v>0</v>
      </c>
      <c r="W19">
        <f>[4]Manu_gas!W18</f>
        <v>0</v>
      </c>
      <c r="X19">
        <f>SUM([4]Manu_gas!$X18:$AC18)</f>
        <v>0.34188535771984813</v>
      </c>
      <c r="Z19">
        <f>[4]Manu_solvent!R18</f>
        <v>273.3810842949984</v>
      </c>
      <c r="AA19">
        <f>[4]Manu_solvent!S18</f>
        <v>0.13920852823491081</v>
      </c>
      <c r="AB19">
        <f>[4]Manu_solvent!T18</f>
        <v>38.77036376410598</v>
      </c>
      <c r="AC19">
        <f>[4]Manu_solvent!U18</f>
        <v>18.72476981067129</v>
      </c>
      <c r="AD19">
        <f>[4]Manu_solvent!V18</f>
        <v>44.245478500702077</v>
      </c>
      <c r="AE19">
        <f>[4]Manu_solvent!W18</f>
        <v>139.81488804535434</v>
      </c>
      <c r="AF19">
        <f>SUM([4]Manu_solvent!$X18:$AC18)</f>
        <v>39.002254086800342</v>
      </c>
    </row>
    <row r="20" spans="1:32" x14ac:dyDescent="0.2">
      <c r="A20">
        <v>2024.25</v>
      </c>
      <c r="B20">
        <f>[4]Manu_water!R19</f>
        <v>11.064705842869721</v>
      </c>
      <c r="C20">
        <f>[4]Manu_water!S19</f>
        <v>8.8019635111596504</v>
      </c>
      <c r="D20">
        <f>[4]Manu_water!T19</f>
        <v>455.77113976808198</v>
      </c>
      <c r="E20">
        <f>[4]Manu_water!U19</f>
        <v>0.55914897638877781</v>
      </c>
      <c r="F20">
        <f>[4]Manu_water!V19</f>
        <v>220.42581959593826</v>
      </c>
      <c r="G20">
        <f>[4]Manu_water!W19</f>
        <v>2.2364852248633955</v>
      </c>
      <c r="H20">
        <f>SUM([4]Manu_water!$X19:$AC19)</f>
        <v>55.567474388473791</v>
      </c>
      <c r="J20">
        <f>[4]Manu_solid!R19</f>
        <v>2.7183187364835648</v>
      </c>
      <c r="K20">
        <f>[4]Manu_solid!S19</f>
        <v>2.7555341940124125E-2</v>
      </c>
      <c r="L20">
        <f>[4]Manu_solid!T19</f>
        <v>1.6142665876432472</v>
      </c>
      <c r="M20">
        <f>[4]Manu_solid!U19</f>
        <v>0.19294577354260647</v>
      </c>
      <c r="N20">
        <f>[4]Manu_solid!V19</f>
        <v>0.38403779018615569</v>
      </c>
      <c r="O20">
        <f>[4]Manu_solid!W19</f>
        <v>1.839533301835693</v>
      </c>
      <c r="P20">
        <f>SUM([4]Manu_solid!$X19:$AC19)</f>
        <v>0.53995876453329938</v>
      </c>
      <c r="R20">
        <f>[4]Manu_gas!R19</f>
        <v>5.628068369902592</v>
      </c>
      <c r="S20">
        <f>[4]Manu_gas!S19</f>
        <v>0</v>
      </c>
      <c r="T20">
        <f>[4]Manu_gas!T19</f>
        <v>0</v>
      </c>
      <c r="U20">
        <f>[4]Manu_gas!U19</f>
        <v>0.38195387823740462</v>
      </c>
      <c r="V20">
        <f>[4]Manu_gas!V19</f>
        <v>0</v>
      </c>
      <c r="W20">
        <f>[4]Manu_gas!W19</f>
        <v>0</v>
      </c>
      <c r="X20">
        <f>SUM([4]Manu_gas!$X19:$AC19)</f>
        <v>0.47784985240420497</v>
      </c>
      <c r="Z20">
        <f>[4]Manu_solvent!R19</f>
        <v>363.33584238350744</v>
      </c>
      <c r="AA20">
        <f>[4]Manu_solvent!S19</f>
        <v>0.1850144387408334</v>
      </c>
      <c r="AB20">
        <f>[4]Manu_solvent!T19</f>
        <v>51.538052522922023</v>
      </c>
      <c r="AC20">
        <f>[4]Manu_solvent!U19</f>
        <v>24.886067118148425</v>
      </c>
      <c r="AD20">
        <f>[4]Manu_solvent!V19</f>
        <v>58.656337953904341</v>
      </c>
      <c r="AE20">
        <f>[4]Manu_solvent!W19</f>
        <v>190.40621937132451</v>
      </c>
      <c r="AF20">
        <f>SUM([4]Manu_solvent!$X19:$AC19)</f>
        <v>54.895491807372423</v>
      </c>
    </row>
    <row r="21" spans="1:32" x14ac:dyDescent="0.2">
      <c r="A21">
        <v>2024.5</v>
      </c>
      <c r="B21">
        <f>[4]Manu_water!R20</f>
        <v>15.141051931836712</v>
      </c>
      <c r="C21">
        <f>[4]Manu_water!S20</f>
        <v>12.044693145681959</v>
      </c>
      <c r="D21">
        <f>[4]Manu_water!T20</f>
        <v>623.21793206750181</v>
      </c>
      <c r="E21">
        <f>[4]Manu_water!U20</f>
        <v>0.76514494007913647</v>
      </c>
      <c r="F21">
        <f>[4]Manu_water!V20</f>
        <v>300.87743816369209</v>
      </c>
      <c r="G21">
        <f>[4]Manu_water!W20</f>
        <v>3.147550953904783</v>
      </c>
      <c r="H21">
        <f>SUM([4]Manu_water!$X20:$AC20)</f>
        <v>77.122053387442421</v>
      </c>
      <c r="J21">
        <f>[4]Manu_solid!R20</f>
        <v>3.7197740040152478</v>
      </c>
      <c r="K21">
        <f>[4]Manu_solid!S20</f>
        <v>3.7707000008843347E-2</v>
      </c>
      <c r="L21">
        <f>[4]Manu_solid!T20</f>
        <v>2.2073356489149534</v>
      </c>
      <c r="M21">
        <f>[4]Manu_solid!U20</f>
        <v>0.26402888777378658</v>
      </c>
      <c r="N21">
        <f>[4]Manu_solid!V20</f>
        <v>0.52420495330840633</v>
      </c>
      <c r="O21">
        <f>[4]Manu_solid!W20</f>
        <v>2.5888947239909466</v>
      </c>
      <c r="P21">
        <f>SUM([4]Manu_solid!$X20:$AC20)</f>
        <v>0.75566786992492008</v>
      </c>
      <c r="R21">
        <f>[4]Manu_gas!R20</f>
        <v>7.7015039238062171</v>
      </c>
      <c r="S21">
        <f>[4]Manu_gas!S20</f>
        <v>0</v>
      </c>
      <c r="T21">
        <f>[4]Manu_gas!T20</f>
        <v>0</v>
      </c>
      <c r="U21">
        <f>[4]Manu_gas!U20</f>
        <v>0.52266943089912854</v>
      </c>
      <c r="V21">
        <f>[4]Manu_gas!V20</f>
        <v>0</v>
      </c>
      <c r="W21">
        <f>[4]Manu_gas!W20</f>
        <v>0</v>
      </c>
      <c r="X21">
        <f>SUM([4]Manu_gas!$X20:$AC20)</f>
        <v>0.66403269534020049</v>
      </c>
      <c r="Z21">
        <f>[4]Manu_solvent!R20</f>
        <v>497.19232814231975</v>
      </c>
      <c r="AA21">
        <f>[4]Manu_solvent!S20</f>
        <v>0.25317557148794811</v>
      </c>
      <c r="AB21">
        <f>[4]Manu_solvent!T20</f>
        <v>70.472734479119609</v>
      </c>
      <c r="AC21">
        <f>[4]Manu_solvent!U20</f>
        <v>34.054338178170028</v>
      </c>
      <c r="AD21">
        <f>[4]Manu_solvent!V20</f>
        <v>80.064888623236783</v>
      </c>
      <c r="AE21">
        <f>[4]Manu_solvent!W20</f>
        <v>267.9710425756208</v>
      </c>
      <c r="AF21">
        <f>SUM([4]Manu_solvent!$X20:$AC20)</f>
        <v>76.842459728214038</v>
      </c>
    </row>
    <row r="22" spans="1:32" x14ac:dyDescent="0.2">
      <c r="A22">
        <v>2024.75</v>
      </c>
      <c r="B22">
        <f>[4]Manu_water!R21</f>
        <v>18.490292462229071</v>
      </c>
      <c r="C22">
        <f>[4]Manu_water!S21</f>
        <v>14.709010964633094</v>
      </c>
      <c r="D22">
        <f>[4]Manu_water!T21</f>
        <v>760.33730932970172</v>
      </c>
      <c r="E22">
        <f>[4]Manu_water!U21</f>
        <v>0.93439701427282229</v>
      </c>
      <c r="F22">
        <f>[4]Manu_water!V21</f>
        <v>366.87096621586807</v>
      </c>
      <c r="G22">
        <f>[4]Manu_water!W21</f>
        <v>3.9178216929720966</v>
      </c>
      <c r="H22">
        <f>SUM([4]Manu_water!$X21:$AC21)</f>
        <v>98.562562272169686</v>
      </c>
      <c r="J22">
        <f>[4]Manu_solid!R21</f>
        <v>4.5425978021393218</v>
      </c>
      <c r="K22">
        <f>[4]Manu_solid!S21</f>
        <v>4.6047887635255663E-2</v>
      </c>
      <c r="L22">
        <f>[4]Manu_solid!T21</f>
        <v>2.6929899826787156</v>
      </c>
      <c r="M22">
        <f>[4]Manu_solid!U21</f>
        <v>0.32243277253076269</v>
      </c>
      <c r="N22">
        <f>[4]Manu_solid!V21</f>
        <v>0.63918244880418695</v>
      </c>
      <c r="O22">
        <f>[4]Manu_solid!W21</f>
        <v>3.2224507431372214</v>
      </c>
      <c r="P22">
        <f>SUM([4]Manu_solid!$X21:$AC21)</f>
        <v>0.97243032220177417</v>
      </c>
      <c r="R22">
        <f>[4]Manu_gas!R21</f>
        <v>9.4050968579504275</v>
      </c>
      <c r="S22">
        <f>[4]Manu_gas!S21</f>
        <v>0</v>
      </c>
      <c r="T22">
        <f>[4]Manu_gas!T21</f>
        <v>0</v>
      </c>
      <c r="U22">
        <f>[4]Manu_gas!U21</f>
        <v>0.63828528439763221</v>
      </c>
      <c r="V22">
        <f>[4]Manu_gas!V21</f>
        <v>0</v>
      </c>
      <c r="W22">
        <f>[4]Manu_gas!W21</f>
        <v>0</v>
      </c>
      <c r="X22">
        <f>SUM([4]Manu_gas!$X21:$AC21)</f>
        <v>0.84971131389609778</v>
      </c>
      <c r="Z22">
        <f>[4]Manu_solvent!R21</f>
        <v>607.17257946904465</v>
      </c>
      <c r="AA22">
        <f>[4]Manu_solvent!S21</f>
        <v>0.30917867412243083</v>
      </c>
      <c r="AB22">
        <f>[4]Manu_solvent!T21</f>
        <v>85.978028804788352</v>
      </c>
      <c r="AC22">
        <f>[4]Manu_solvent!U21</f>
        <v>41.587247395804496</v>
      </c>
      <c r="AD22">
        <f>[4]Manu_solvent!V21</f>
        <v>97.626074020186678</v>
      </c>
      <c r="AE22">
        <f>[4]Manu_solvent!W21</f>
        <v>333.54909231530615</v>
      </c>
      <c r="AF22">
        <f>SUM([4]Manu_solvent!$X21:$AC21)</f>
        <v>98.910437918569912</v>
      </c>
    </row>
    <row r="23" spans="1:32" x14ac:dyDescent="0.2">
      <c r="A23">
        <v>2025</v>
      </c>
      <c r="B23">
        <f>[4]Manu_water!R22</f>
        <v>23.160529981162512</v>
      </c>
      <c r="C23">
        <f>[4]Manu_water!S22</f>
        <v>18.424180695655913</v>
      </c>
      <c r="D23">
        <f>[4]Manu_water!T22</f>
        <v>950.90714501065156</v>
      </c>
      <c r="E23">
        <f>[4]Manu_water!U22</f>
        <v>1.1704049629058988</v>
      </c>
      <c r="F23">
        <f>[4]Manu_water!V22</f>
        <v>458.74530780884157</v>
      </c>
      <c r="G23">
        <f>[4]Manu_water!W22</f>
        <v>5.0217453801819447</v>
      </c>
      <c r="H23">
        <f>SUM([4]Manu_water!$X22:$AC22)</f>
        <v>124.36508620191286</v>
      </c>
      <c r="J23">
        <f>[4]Manu_solid!R22</f>
        <v>5.6899571926039387</v>
      </c>
      <c r="K23">
        <f>[4]Manu_solid!S22</f>
        <v>5.7678562106257332E-2</v>
      </c>
      <c r="L23">
        <f>[4]Manu_solid!T22</f>
        <v>3.3679570692497478</v>
      </c>
      <c r="M23">
        <f>[4]Manu_solid!U22</f>
        <v>0.40387213508724684</v>
      </c>
      <c r="N23">
        <f>[4]Manu_solid!V22</f>
        <v>0.7992508980668509</v>
      </c>
      <c r="O23">
        <f>[4]Manu_solid!W22</f>
        <v>4.1304399230933733</v>
      </c>
      <c r="P23">
        <f>SUM([4]Manu_solid!$X22:$AC22)</f>
        <v>1.2359097157304282</v>
      </c>
      <c r="R23">
        <f>[4]Manu_gas!R22</f>
        <v>11.780615595954636</v>
      </c>
      <c r="S23">
        <f>[4]Manu_gas!S22</f>
        <v>0</v>
      </c>
      <c r="T23">
        <f>[4]Manu_gas!T22</f>
        <v>0</v>
      </c>
      <c r="U23">
        <f>[4]Manu_gas!U22</f>
        <v>0.79950198170332532</v>
      </c>
      <c r="V23">
        <f>[4]Manu_gas!V22</f>
        <v>0</v>
      </c>
      <c r="W23">
        <f>[4]Manu_gas!W22</f>
        <v>0</v>
      </c>
      <c r="X23">
        <f>SUM([4]Manu_gas!$X22:$AC22)</f>
        <v>1.0737393974324678</v>
      </c>
      <c r="Z23">
        <f>[4]Manu_solvent!R22</f>
        <v>760.53089799734346</v>
      </c>
      <c r="AA23">
        <f>[4]Manu_solvent!S22</f>
        <v>0.38727034557058493</v>
      </c>
      <c r="AB23">
        <f>[4]Manu_solvent!T22</f>
        <v>107.52743670632223</v>
      </c>
      <c r="AC23">
        <f>[4]Manu_solvent!U22</f>
        <v>52.091263137783677</v>
      </c>
      <c r="AD23">
        <f>[4]Manu_solvent!V22</f>
        <v>122.07426452549356</v>
      </c>
      <c r="AE23">
        <f>[4]Manu_solvent!W22</f>
        <v>427.53314077639914</v>
      </c>
      <c r="AF23">
        <f>SUM([4]Manu_solvent!$X22:$AC22)</f>
        <v>125.75087171715063</v>
      </c>
    </row>
    <row r="24" spans="1:32" x14ac:dyDescent="0.2">
      <c r="A24">
        <v>2025.25</v>
      </c>
      <c r="B24">
        <f>[4]Manu_water!R23</f>
        <v>28.193731181429861</v>
      </c>
      <c r="C24">
        <f>[4]Manu_water!S23</f>
        <v>22.428087707574093</v>
      </c>
      <c r="D24">
        <f>[4]Manu_water!T23</f>
        <v>1154.2980692553072</v>
      </c>
      <c r="E24">
        <f>[4]Manu_water!U23</f>
        <v>1.4247550865381364</v>
      </c>
      <c r="F24">
        <f>[4]Manu_water!V23</f>
        <v>558.4838852294007</v>
      </c>
      <c r="G24">
        <f>[4]Manu_water!W23</f>
        <v>6.2375662893114159</v>
      </c>
      <c r="H24">
        <f>SUM([4]Manu_water!$X23:$AC23)</f>
        <v>155.71841793780686</v>
      </c>
      <c r="J24">
        <f>[4]Manu_solid!R23</f>
        <v>6.9264875912855368</v>
      </c>
      <c r="K24">
        <f>[4]Manu_solid!S23</f>
        <v>7.021315471959691E-2</v>
      </c>
      <c r="L24">
        <f>[4]Manu_solid!T23</f>
        <v>4.0883343476467404</v>
      </c>
      <c r="M24">
        <f>[4]Manu_solid!U23</f>
        <v>0.49164083972090633</v>
      </c>
      <c r="N24">
        <f>[4]Manu_solid!V23</f>
        <v>0.97302084452374094</v>
      </c>
      <c r="O24">
        <f>[4]Manu_solid!W23</f>
        <v>5.1304657790873103</v>
      </c>
      <c r="P24">
        <f>SUM([4]Manu_solid!$X23:$AC23)</f>
        <v>1.5589038078749011</v>
      </c>
      <c r="R24">
        <f>[4]Manu_gas!R23</f>
        <v>14.340755998858789</v>
      </c>
      <c r="S24">
        <f>[4]Manu_gas!S23</f>
        <v>0</v>
      </c>
      <c r="T24">
        <f>[4]Manu_gas!T23</f>
        <v>0</v>
      </c>
      <c r="U24">
        <f>[4]Manu_gas!U23</f>
        <v>0.97324819291689613</v>
      </c>
      <c r="V24">
        <f>[4]Manu_gas!V23</f>
        <v>0</v>
      </c>
      <c r="W24">
        <f>[4]Manu_gas!W23</f>
        <v>0</v>
      </c>
      <c r="X24">
        <f>SUM([4]Manu_gas!$X23:$AC23)</f>
        <v>1.3470378724774139</v>
      </c>
      <c r="Z24">
        <f>[4]Manu_solvent!R23</f>
        <v>925.80798931408094</v>
      </c>
      <c r="AA24">
        <f>[4]Manu_solvent!S23</f>
        <v>0.471431181688722</v>
      </c>
      <c r="AB24">
        <f>[4]Manu_solvent!T23</f>
        <v>130.52663788817117</v>
      </c>
      <c r="AC24">
        <f>[4]Manu_solvent!U23</f>
        <v>63.411634837472008</v>
      </c>
      <c r="AD24">
        <f>[4]Manu_solvent!V23</f>
        <v>148.61516483810726</v>
      </c>
      <c r="AE24">
        <f>[4]Manu_solvent!W23</f>
        <v>531.04371181274007</v>
      </c>
      <c r="AF24">
        <f>SUM([4]Manu_solvent!$X23:$AC23)</f>
        <v>158.71322403611063</v>
      </c>
    </row>
    <row r="25" spans="1:32" x14ac:dyDescent="0.2">
      <c r="A25">
        <v>2025.5</v>
      </c>
      <c r="B25">
        <f>[4]Manu_water!R24</f>
        <v>34.825908705864961</v>
      </c>
      <c r="C25">
        <f>[4]Manu_water!S24</f>
        <v>27.703978942154855</v>
      </c>
      <c r="D25">
        <f>[4]Manu_water!T24</f>
        <v>1419.7603295619492</v>
      </c>
      <c r="E25">
        <f>[4]Manu_water!U24</f>
        <v>1.7599086212709449</v>
      </c>
      <c r="F25">
        <f>[4]Manu_water!V24</f>
        <v>690.83321587417595</v>
      </c>
      <c r="G25">
        <f>[4]Manu_water!W24</f>
        <v>7.8729973705042422</v>
      </c>
      <c r="H25">
        <f>SUM([4]Manu_water!$X24:$AC24)</f>
        <v>193.81468734025756</v>
      </c>
      <c r="J25">
        <f>[4]Manu_solid!R24</f>
        <v>8.5558460834477934</v>
      </c>
      <c r="K25">
        <f>[4]Manu_solid!S24</f>
        <v>8.6729808852899826E-2</v>
      </c>
      <c r="L25">
        <f>[4]Manu_solid!T24</f>
        <v>5.0285581128270485</v>
      </c>
      <c r="M25">
        <f>[4]Manu_solid!U24</f>
        <v>0.60729241156532621</v>
      </c>
      <c r="N25">
        <f>[4]Manu_solid!V24</f>
        <v>1.203607009822377</v>
      </c>
      <c r="O25">
        <f>[4]Manu_solid!W24</f>
        <v>6.4756255428389853</v>
      </c>
      <c r="P25">
        <f>SUM([4]Manu_solid!$X24:$AC24)</f>
        <v>1.9547272648050733</v>
      </c>
      <c r="R25">
        <f>[4]Manu_gas!R24</f>
        <v>17.714216538969378</v>
      </c>
      <c r="S25">
        <f>[4]Manu_gas!S24</f>
        <v>0</v>
      </c>
      <c r="T25">
        <f>[4]Manu_gas!T24</f>
        <v>0</v>
      </c>
      <c r="U25">
        <f>[4]Manu_gas!U24</f>
        <v>1.2021911004456456</v>
      </c>
      <c r="V25">
        <f>[4]Manu_gas!V24</f>
        <v>0</v>
      </c>
      <c r="W25">
        <f>[4]Manu_gas!W24</f>
        <v>0</v>
      </c>
      <c r="X25">
        <f>SUM([4]Manu_gas!$X24:$AC24)</f>
        <v>1.6803907612789097</v>
      </c>
      <c r="Z25">
        <f>[4]Manu_solvent!R24</f>
        <v>1143.5912581960501</v>
      </c>
      <c r="AA25">
        <f>[4]Manu_solvent!S24</f>
        <v>0.58232871658375585</v>
      </c>
      <c r="AB25">
        <f>[4]Manu_solvent!T24</f>
        <v>160.54479112512044</v>
      </c>
      <c r="AC25">
        <f>[4]Manu_solvent!U24</f>
        <v>78.328327369242075</v>
      </c>
      <c r="AD25">
        <f>[4]Manu_solvent!V24</f>
        <v>183.83393857570081</v>
      </c>
      <c r="AE25">
        <f>[4]Manu_solvent!W24</f>
        <v>670.27836704338381</v>
      </c>
      <c r="AF25">
        <f>SUM([4]Manu_solvent!$X24:$AC24)</f>
        <v>199.1776992398303</v>
      </c>
    </row>
    <row r="26" spans="1:32" x14ac:dyDescent="0.2">
      <c r="A26">
        <v>2025.75</v>
      </c>
      <c r="B26">
        <f>[4]Manu_water!R25</f>
        <v>41.416113824187399</v>
      </c>
      <c r="C26">
        <f>[4]Manu_water!S25</f>
        <v>32.946481165556676</v>
      </c>
      <c r="D26">
        <f>[4]Manu_water!T25</f>
        <v>1681.0903887106581</v>
      </c>
      <c r="E26">
        <f>[4]Manu_water!U25</f>
        <v>2.0929411029682949</v>
      </c>
      <c r="F26">
        <f>[4]Manu_water!V25</f>
        <v>823.23712875905437</v>
      </c>
      <c r="G26">
        <f>[4]Manu_water!W25</f>
        <v>9.5302476112719798</v>
      </c>
      <c r="H26">
        <f>SUM([4]Manu_water!$X25:$AC25)</f>
        <v>237.22032722231921</v>
      </c>
      <c r="J26">
        <f>[4]Manu_solid!R25</f>
        <v>10.174893015630815</v>
      </c>
      <c r="K26">
        <f>[4]Manu_solid!S25</f>
        <v>0.10314193567034738</v>
      </c>
      <c r="L26">
        <f>[4]Manu_solid!T25</f>
        <v>5.9541462995763341</v>
      </c>
      <c r="M26">
        <f>[4]Manu_solid!U25</f>
        <v>0.72221207074258087</v>
      </c>
      <c r="N26">
        <f>[4]Manu_solid!V25</f>
        <v>1.4342882712531768</v>
      </c>
      <c r="O26">
        <f>[4]Manu_solid!W25</f>
        <v>7.8387318014791161</v>
      </c>
      <c r="P26">
        <f>SUM([4]Manu_solid!$X25:$AC25)</f>
        <v>2.4094647375803193</v>
      </c>
      <c r="R26">
        <f>[4]Manu_gas!R25</f>
        <v>21.066327792925772</v>
      </c>
      <c r="S26">
        <f>[4]Manu_gas!S25</f>
        <v>0</v>
      </c>
      <c r="T26">
        <f>[4]Manu_gas!T25</f>
        <v>0</v>
      </c>
      <c r="U26">
        <f>[4]Manu_gas!U25</f>
        <v>1.4296851196332721</v>
      </c>
      <c r="V26">
        <f>[4]Manu_gas!V25</f>
        <v>0</v>
      </c>
      <c r="W26">
        <f>[4]Manu_gas!W25</f>
        <v>0</v>
      </c>
      <c r="X26">
        <f>SUM([4]Manu_gas!$X25:$AC25)</f>
        <v>2.0616259550203488</v>
      </c>
      <c r="Z26">
        <f>[4]Manu_solvent!R25</f>
        <v>1359.9962636385412</v>
      </c>
      <c r="AA26">
        <f>[4]Manu_solvent!S25</f>
        <v>0.69252442521518942</v>
      </c>
      <c r="AB26">
        <f>[4]Manu_solvent!T25</f>
        <v>190.09568002317104</v>
      </c>
      <c r="AC26">
        <f>[4]Manu_solvent!U25</f>
        <v>93.150618103941042</v>
      </c>
      <c r="AD26">
        <f>[4]Manu_solvent!V25</f>
        <v>219.06723690178242</v>
      </c>
      <c r="AE26">
        <f>[4]Manu_solvent!W25</f>
        <v>811.37062617783704</v>
      </c>
      <c r="AF26">
        <f>SUM([4]Manu_solvent!$X25:$AC25)</f>
        <v>245.74186699977594</v>
      </c>
    </row>
    <row r="27" spans="1:32" x14ac:dyDescent="0.2">
      <c r="A27">
        <v>2026</v>
      </c>
      <c r="B27">
        <f>[4]Manu_water!R26</f>
        <v>50.226986509766</v>
      </c>
      <c r="C27">
        <f>[4]Manu_water!S26</f>
        <v>39.955522434368397</v>
      </c>
      <c r="D27">
        <f>[4]Manu_water!T26</f>
        <v>2027.2965913920148</v>
      </c>
      <c r="E27">
        <f>[4]Manu_water!U26</f>
        <v>2.538193829357573</v>
      </c>
      <c r="F27">
        <f>[4]Manu_water!V26</f>
        <v>1001.4145255712335</v>
      </c>
      <c r="G27">
        <f>[4]Manu_water!W26</f>
        <v>11.787687896647201</v>
      </c>
      <c r="H27">
        <f>SUM([4]Manu_water!$X26:$AC26)</f>
        <v>288.4880023835031</v>
      </c>
      <c r="J27">
        <f>[4]Manu_solid!R26</f>
        <v>12.339501876101682</v>
      </c>
      <c r="K27">
        <f>[4]Manu_solid!S26</f>
        <v>0.12508437255839838</v>
      </c>
      <c r="L27">
        <f>[4]Manu_solid!T26</f>
        <v>7.1803518590326423</v>
      </c>
      <c r="M27">
        <f>[4]Manu_solid!U26</f>
        <v>0.8758556171726839</v>
      </c>
      <c r="N27">
        <f>[4]Manu_solid!V26</f>
        <v>1.744718573194683</v>
      </c>
      <c r="O27">
        <f>[4]Manu_solid!W26</f>
        <v>9.6955008673721554</v>
      </c>
      <c r="P27">
        <f>SUM([4]Manu_solid!$X26:$AC26)</f>
        <v>2.9508995693624205</v>
      </c>
      <c r="R27">
        <f>[4]Manu_gas!R26</f>
        <v>25.547982757562639</v>
      </c>
      <c r="S27">
        <f>[4]Manu_gas!S26</f>
        <v>0</v>
      </c>
      <c r="T27">
        <f>[4]Manu_gas!T26</f>
        <v>0</v>
      </c>
      <c r="U27">
        <f>[4]Manu_gas!U26</f>
        <v>1.7338366299132719</v>
      </c>
      <c r="V27">
        <f>[4]Manu_gas!V26</f>
        <v>0</v>
      </c>
      <c r="W27">
        <f>[4]Manu_gas!W26</f>
        <v>0</v>
      </c>
      <c r="X27">
        <f>SUM([4]Manu_gas!$X26:$AC26)</f>
        <v>2.5135588465971663</v>
      </c>
      <c r="Z27">
        <f>[4]Manu_solvent!R26</f>
        <v>1649.3221521719011</v>
      </c>
      <c r="AA27">
        <f>[4]Manu_solvent!S26</f>
        <v>0.83985221574924629</v>
      </c>
      <c r="AB27">
        <f>[4]Manu_solvent!T26</f>
        <v>229.24426118746419</v>
      </c>
      <c r="AC27">
        <f>[4]Manu_solvent!U26</f>
        <v>112.96750001084412</v>
      </c>
      <c r="AD27">
        <f>[4]Manu_solvent!V26</f>
        <v>266.48107264171625</v>
      </c>
      <c r="AE27">
        <f>[4]Manu_solvent!W26</f>
        <v>1003.5608832009184</v>
      </c>
      <c r="AF27">
        <f>SUM([4]Manu_solvent!$X26:$AC26)</f>
        <v>301.27187469756444</v>
      </c>
    </row>
    <row r="28" spans="1:32" x14ac:dyDescent="0.2">
      <c r="A28">
        <v>2026.25</v>
      </c>
      <c r="B28">
        <f>[4]Manu_water!R27</f>
        <v>59.013916965742524</v>
      </c>
      <c r="C28">
        <f>[4]Manu_water!S27</f>
        <v>46.945517681141574</v>
      </c>
      <c r="D28">
        <f>[4]Manu_water!T27</f>
        <v>2371.4052931766082</v>
      </c>
      <c r="E28">
        <f>[4]Manu_water!U27</f>
        <v>2.9822366480127838</v>
      </c>
      <c r="F28">
        <f>[4]Manu_water!V27</f>
        <v>1179.2879843866037</v>
      </c>
      <c r="G28">
        <f>[4]Manu_water!W27</f>
        <v>14.019739313964116</v>
      </c>
      <c r="H28">
        <f>SUM([4]Manu_water!$X27:$AC27)</f>
        <v>347.67938355323355</v>
      </c>
      <c r="J28">
        <f>[4]Manu_solid!R27</f>
        <v>14.498228735528441</v>
      </c>
      <c r="K28">
        <f>[4]Manu_solid!S27</f>
        <v>0.14696718415384216</v>
      </c>
      <c r="L28">
        <f>[4]Manu_solid!T27</f>
        <v>8.3991284145004137</v>
      </c>
      <c r="M28">
        <f>[4]Manu_solid!U27</f>
        <v>1.0290816602297637</v>
      </c>
      <c r="N28">
        <f>[4]Manu_solid!V27</f>
        <v>2.0546193379120017</v>
      </c>
      <c r="O28">
        <f>[4]Manu_solid!W27</f>
        <v>11.531387314515937</v>
      </c>
      <c r="P28">
        <f>SUM([4]Manu_solid!$X27:$AC27)</f>
        <v>3.5750190714000558</v>
      </c>
      <c r="R28">
        <f>[4]Manu_gas!R27</f>
        <v>30.017459494685646</v>
      </c>
      <c r="S28">
        <f>[4]Manu_gas!S27</f>
        <v>0</v>
      </c>
      <c r="T28">
        <f>[4]Manu_gas!T27</f>
        <v>0</v>
      </c>
      <c r="U28">
        <f>[4]Manu_gas!U27</f>
        <v>2.0371616539242257</v>
      </c>
      <c r="V28">
        <f>[4]Manu_gas!V27</f>
        <v>0</v>
      </c>
      <c r="W28">
        <f>[4]Manu_gas!W27</f>
        <v>0</v>
      </c>
      <c r="X28">
        <f>SUM([4]Manu_gas!$X27:$AC27)</f>
        <v>3.0363018849190735</v>
      </c>
      <c r="Z28">
        <f>[4]Manu_solvent!R27</f>
        <v>1937.8618408473931</v>
      </c>
      <c r="AA28">
        <f>[4]Manu_solvent!S27</f>
        <v>0.98677966503294012</v>
      </c>
      <c r="AB28">
        <f>[4]Manu_solvent!T27</f>
        <v>268.15565947212332</v>
      </c>
      <c r="AC28">
        <f>[4]Manu_solvent!U27</f>
        <v>132.7305325031042</v>
      </c>
      <c r="AD28">
        <f>[4]Manu_solvent!V27</f>
        <v>313.81402906410671</v>
      </c>
      <c r="AE28">
        <f>[4]Manu_solvent!W27</f>
        <v>1193.5896243206721</v>
      </c>
      <c r="AF28">
        <f>SUM([4]Manu_solvent!$X27:$AC27)</f>
        <v>365.31386917040328</v>
      </c>
    </row>
    <row r="29" spans="1:32" x14ac:dyDescent="0.2">
      <c r="A29">
        <v>2026.5</v>
      </c>
      <c r="B29">
        <f>[4]Manu_water!R28</f>
        <v>70.539343822742197</v>
      </c>
      <c r="C29">
        <f>[4]Manu_water!S28</f>
        <v>56.11398434320148</v>
      </c>
      <c r="D29">
        <f>[4]Manu_water!T28</f>
        <v>2821.2848176498374</v>
      </c>
      <c r="E29">
        <f>[4]Manu_water!U28</f>
        <v>3.5646679137918005</v>
      </c>
      <c r="F29">
        <f>[4]Manu_water!V28</f>
        <v>1412.8261555237468</v>
      </c>
      <c r="G29">
        <f>[4]Manu_water!W28</f>
        <v>16.922909898252367</v>
      </c>
      <c r="H29">
        <f>SUM([4]Manu_water!$X28:$AC28)</f>
        <v>412.43308736632287</v>
      </c>
      <c r="J29">
        <f>[4]Manu_solid!R28</f>
        <v>17.329734987594104</v>
      </c>
      <c r="K29">
        <f>[4]Manu_solid!S28</f>
        <v>0.17566989731771485</v>
      </c>
      <c r="L29">
        <f>[4]Manu_solid!T28</f>
        <v>9.9925278675493807</v>
      </c>
      <c r="M29">
        <f>[4]Manu_solid!U28</f>
        <v>1.2300614632098468</v>
      </c>
      <c r="N29">
        <f>[4]Manu_solid!V28</f>
        <v>2.461502176465264</v>
      </c>
      <c r="O29">
        <f>[4]Manu_solid!W28</f>
        <v>13.91927653968809</v>
      </c>
      <c r="P29">
        <f>SUM([4]Manu_solid!$X28:$AC28)</f>
        <v>4.2567256632862023</v>
      </c>
      <c r="R29">
        <f>[4]Manu_gas!R28</f>
        <v>35.879873847553988</v>
      </c>
      <c r="S29">
        <f>[4]Manu_gas!S28</f>
        <v>0</v>
      </c>
      <c r="T29">
        <f>[4]Manu_gas!T28</f>
        <v>0</v>
      </c>
      <c r="U29">
        <f>[4]Manu_gas!U28</f>
        <v>2.4350196312521453</v>
      </c>
      <c r="V29">
        <f>[4]Manu_gas!V28</f>
        <v>0</v>
      </c>
      <c r="W29">
        <f>[4]Manu_gas!W28</f>
        <v>0</v>
      </c>
      <c r="X29">
        <f>SUM([4]Manu_gas!$X28:$AC28)</f>
        <v>3.6091925428054648</v>
      </c>
      <c r="Z29">
        <f>[4]Manu_solvent!R28</f>
        <v>2316.3265497502539</v>
      </c>
      <c r="AA29">
        <f>[4]Manu_solvent!S28</f>
        <v>1.179497881990371</v>
      </c>
      <c r="AB29">
        <f>[4]Manu_solvent!T28</f>
        <v>319.02749522084264</v>
      </c>
      <c r="AC29">
        <f>[4]Manu_solvent!U28</f>
        <v>158.6528254589027</v>
      </c>
      <c r="AD29">
        <f>[4]Manu_solvent!V28</f>
        <v>375.95962487710023</v>
      </c>
      <c r="AE29">
        <f>[4]Manu_solvent!W28</f>
        <v>1440.7550108830308</v>
      </c>
      <c r="AF29">
        <f>SUM([4]Manu_solvent!$X28:$AC28)</f>
        <v>435.29889386698073</v>
      </c>
    </row>
    <row r="30" spans="1:32" x14ac:dyDescent="0.2">
      <c r="A30">
        <v>2026.75</v>
      </c>
      <c r="B30">
        <f>[4]Manu_water!R29</f>
        <v>83.375601080870481</v>
      </c>
      <c r="C30">
        <f>[4]Manu_water!S29</f>
        <v>66.325215406222668</v>
      </c>
      <c r="D30">
        <f>[4]Manu_water!T29</f>
        <v>3320.7383273492119</v>
      </c>
      <c r="E30">
        <f>[4]Manu_water!U29</f>
        <v>4.2133412909670893</v>
      </c>
      <c r="F30">
        <f>[4]Manu_water!V29</f>
        <v>1673.173637871653</v>
      </c>
      <c r="G30">
        <f>[4]Manu_water!W29</f>
        <v>20.129760651894088</v>
      </c>
      <c r="H30">
        <f>SUM([4]Manu_water!$X29:$AC29)</f>
        <v>496.75654208278257</v>
      </c>
      <c r="J30">
        <f>[4]Manu_solid!R29</f>
        <v>20.48327915827614</v>
      </c>
      <c r="K30">
        <f>[4]Manu_solid!S29</f>
        <v>0.20763707864202091</v>
      </c>
      <c r="L30">
        <f>[4]Manu_solid!T29</f>
        <v>11.761510241464306</v>
      </c>
      <c r="M30">
        <f>[4]Manu_solid!U29</f>
        <v>1.4538994595590662</v>
      </c>
      <c r="N30">
        <f>[4]Manu_solid!V29</f>
        <v>2.9150936476672222</v>
      </c>
      <c r="O30">
        <f>[4]Manu_solid!W29</f>
        <v>16.55694599073539</v>
      </c>
      <c r="P30">
        <f>SUM([4]Manu_solid!$X29:$AC29)</f>
        <v>5.1431081106815064</v>
      </c>
      <c r="R30">
        <f>[4]Manu_gas!R29</f>
        <v>42.409042764318201</v>
      </c>
      <c r="S30">
        <f>[4]Manu_gas!S29</f>
        <v>0</v>
      </c>
      <c r="T30">
        <f>[4]Manu_gas!T29</f>
        <v>0</v>
      </c>
      <c r="U30">
        <f>[4]Manu_gas!U29</f>
        <v>2.8781275015761101</v>
      </c>
      <c r="V30">
        <f>[4]Manu_gas!V29</f>
        <v>0</v>
      </c>
      <c r="W30">
        <f>[4]Manu_gas!W29</f>
        <v>0</v>
      </c>
      <c r="X30">
        <f>SUM([4]Manu_gas!$X29:$AC29)</f>
        <v>4.3565212236870119</v>
      </c>
      <c r="Z30">
        <f>[4]Manu_solvent!R29</f>
        <v>2737.8354818597259</v>
      </c>
      <c r="AA30">
        <f>[4]Manu_solvent!S29</f>
        <v>1.3941346708821403</v>
      </c>
      <c r="AB30">
        <f>[4]Manu_solvent!T29</f>
        <v>375.50509761739255</v>
      </c>
      <c r="AC30">
        <f>[4]Manu_solvent!U29</f>
        <v>187.52335886557751</v>
      </c>
      <c r="AD30">
        <f>[4]Manu_solvent!V29</f>
        <v>445.23930335596538</v>
      </c>
      <c r="AE30">
        <f>[4]Manu_solvent!W29</f>
        <v>1713.7746227726188</v>
      </c>
      <c r="AF30">
        <f>SUM([4]Manu_solvent!$X29:$AC29)</f>
        <v>526.33935664669139</v>
      </c>
    </row>
    <row r="31" spans="1:32" x14ac:dyDescent="0.2">
      <c r="A31">
        <v>2027</v>
      </c>
      <c r="B31">
        <f>[4]Manu_water!R30</f>
        <v>100.14393337854192</v>
      </c>
      <c r="C31">
        <f>[4]Manu_water!S30</f>
        <v>79.664408614166462</v>
      </c>
      <c r="D31">
        <f>[4]Manu_water!T30</f>
        <v>3971.1663896924974</v>
      </c>
      <c r="E31">
        <f>[4]Manu_water!U30</f>
        <v>5.0607199717145681</v>
      </c>
      <c r="F31">
        <f>[4]Manu_water!V30</f>
        <v>2013.5871106322656</v>
      </c>
      <c r="G31">
        <f>[4]Manu_water!W30</f>
        <v>24.285313360374733</v>
      </c>
      <c r="H31">
        <f>SUM([4]Manu_water!$X30:$AC30)</f>
        <v>595.22063196277054</v>
      </c>
      <c r="J31">
        <f>[4]Manu_solid!R30</f>
        <v>24.602834843863238</v>
      </c>
      <c r="K31">
        <f>[4]Manu_solid!S30</f>
        <v>0.24939662804077162</v>
      </c>
      <c r="L31">
        <f>[4]Manu_solid!T30</f>
        <v>14.065219706790646</v>
      </c>
      <c r="M31">
        <f>[4]Manu_solid!U30</f>
        <v>1.7463047789719286</v>
      </c>
      <c r="N31">
        <f>[4]Manu_solid!V30</f>
        <v>3.5081804197532893</v>
      </c>
      <c r="O31">
        <f>[4]Manu_solid!W30</f>
        <v>19.974933066974881</v>
      </c>
      <c r="P31">
        <f>SUM([4]Manu_solid!$X30:$AC30)</f>
        <v>6.1765979240508955</v>
      </c>
      <c r="R31">
        <f>[4]Manu_gas!R30</f>
        <v>50.938263690815432</v>
      </c>
      <c r="S31">
        <f>[4]Manu_gas!S30</f>
        <v>0</v>
      </c>
      <c r="T31">
        <f>[4]Manu_gas!T30</f>
        <v>0</v>
      </c>
      <c r="U31">
        <f>[4]Manu_gas!U30</f>
        <v>3.456970684903613</v>
      </c>
      <c r="V31">
        <f>[4]Manu_gas!V30</f>
        <v>0</v>
      </c>
      <c r="W31">
        <f>[4]Manu_gas!W30</f>
        <v>0</v>
      </c>
      <c r="X31">
        <f>SUM([4]Manu_gas!$X30:$AC30)</f>
        <v>5.2306530058138838</v>
      </c>
      <c r="Z31">
        <f>[4]Manu_solvent!R30</f>
        <v>3288.4634178628467</v>
      </c>
      <c r="AA31">
        <f>[4]Manu_solvent!S30</f>
        <v>1.6745202168451807</v>
      </c>
      <c r="AB31">
        <f>[4]Manu_solvent!T30</f>
        <v>449.05472091405005</v>
      </c>
      <c r="AC31">
        <f>[4]Manu_solvent!U30</f>
        <v>225.23767761433854</v>
      </c>
      <c r="AD31">
        <f>[4]Manu_solvent!V30</f>
        <v>535.82491505477128</v>
      </c>
      <c r="AE31">
        <f>[4]Manu_solvent!W30</f>
        <v>2067.5632692719028</v>
      </c>
      <c r="AF31">
        <f>SUM([4]Manu_solvent!$X30:$AC30)</f>
        <v>632.53837670601126</v>
      </c>
    </row>
    <row r="32" spans="1:32" x14ac:dyDescent="0.2">
      <c r="A32">
        <v>2027.25</v>
      </c>
      <c r="B32">
        <f>[4]Manu_water!R31</f>
        <v>119.66857063118142</v>
      </c>
      <c r="C32">
        <f>[4]Manu_water!S31</f>
        <v>95.196239925986433</v>
      </c>
      <c r="D32">
        <f>[4]Manu_water!T31</f>
        <v>4726.2222225564574</v>
      </c>
      <c r="E32">
        <f>[4]Manu_water!U31</f>
        <v>6.0473870453097325</v>
      </c>
      <c r="F32">
        <f>[4]Manu_water!V31</f>
        <v>2410.3125575882709</v>
      </c>
      <c r="G32">
        <f>[4]Manu_water!W31</f>
        <v>29.085873345946307</v>
      </c>
      <c r="H32">
        <f>SUM([4]Manu_water!$X31:$AC31)</f>
        <v>712.87175180653924</v>
      </c>
      <c r="J32">
        <f>[4]Manu_solid!R31</f>
        <v>29.399545033958066</v>
      </c>
      <c r="K32">
        <f>[4]Manu_solid!S31</f>
        <v>0.29802042910639764</v>
      </c>
      <c r="L32">
        <f>[4]Manu_solid!T31</f>
        <v>16.739503566487532</v>
      </c>
      <c r="M32">
        <f>[4]Manu_solid!U31</f>
        <v>2.0867744029589925</v>
      </c>
      <c r="N32">
        <f>[4]Manu_solid!V31</f>
        <v>4.1993769603349929</v>
      </c>
      <c r="O32">
        <f>[4]Manu_solid!W31</f>
        <v>23.923445609219897</v>
      </c>
      <c r="P32">
        <f>SUM([4]Manu_solid!$X31:$AC31)</f>
        <v>7.409688873099908</v>
      </c>
      <c r="R32">
        <f>[4]Manu_gas!R31</f>
        <v>60.869480563265284</v>
      </c>
      <c r="S32">
        <f>[4]Manu_gas!S31</f>
        <v>0</v>
      </c>
      <c r="T32">
        <f>[4]Manu_gas!T31</f>
        <v>0</v>
      </c>
      <c r="U32">
        <f>[4]Manu_gas!U31</f>
        <v>4.1309615732045355</v>
      </c>
      <c r="V32">
        <f>[4]Manu_gas!V31</f>
        <v>0</v>
      </c>
      <c r="W32">
        <f>[4]Manu_gas!W31</f>
        <v>0</v>
      </c>
      <c r="X32">
        <f>SUM([4]Manu_gas!$X31:$AC31)</f>
        <v>6.2768448891962301</v>
      </c>
      <c r="Z32">
        <f>[4]Manu_solvent!R31</f>
        <v>3929.6011601727046</v>
      </c>
      <c r="AA32">
        <f>[4]Manu_solvent!S31</f>
        <v>2.0009943097143843</v>
      </c>
      <c r="AB32">
        <f>[4]Manu_solvent!T31</f>
        <v>534.43552670987719</v>
      </c>
      <c r="AC32">
        <f>[4]Manu_solvent!U31</f>
        <v>269.15131074899654</v>
      </c>
      <c r="AD32">
        <f>[4]Manu_solvent!V31</f>
        <v>641.39540554550501</v>
      </c>
      <c r="AE32">
        <f>[4]Manu_solvent!W31</f>
        <v>2476.2654898617011</v>
      </c>
      <c r="AF32">
        <f>SUM([4]Manu_solvent!$X31:$AC31)</f>
        <v>759.30528365990313</v>
      </c>
    </row>
    <row r="33" spans="1:32" x14ac:dyDescent="0.2">
      <c r="A33">
        <v>2027.5</v>
      </c>
      <c r="B33">
        <f>[4]Manu_water!R32</f>
        <v>143.92038305545881</v>
      </c>
      <c r="C33">
        <f>[4]Manu_water!S32</f>
        <v>114.4885348201645</v>
      </c>
      <c r="D33">
        <f>[4]Manu_water!T32</f>
        <v>5661.32568979802</v>
      </c>
      <c r="E33">
        <f>[4]Manu_water!U32</f>
        <v>7.2729393812849246</v>
      </c>
      <c r="F33">
        <f>[4]Manu_water!V32</f>
        <v>2903.5207936947522</v>
      </c>
      <c r="G33">
        <f>[4]Manu_water!W32</f>
        <v>35.002746790763958</v>
      </c>
      <c r="H33">
        <f>SUM([4]Manu_water!$X32:$AC32)</f>
        <v>858.88055302885527</v>
      </c>
      <c r="J33">
        <f>[4]Manu_solid!R32</f>
        <v>35.357602757569467</v>
      </c>
      <c r="K33">
        <f>[4]Manu_solid!S32</f>
        <v>0.35841670113647212</v>
      </c>
      <c r="L33">
        <f>[4]Manu_solid!T32</f>
        <v>20.05148660237154</v>
      </c>
      <c r="M33">
        <f>[4]Manu_solid!U32</f>
        <v>2.5096762653729674</v>
      </c>
      <c r="N33">
        <f>[4]Manu_solid!V32</f>
        <v>5.0586710368780796</v>
      </c>
      <c r="O33">
        <f>[4]Manu_solid!W32</f>
        <v>28.790138053009301</v>
      </c>
      <c r="P33">
        <f>SUM([4]Manu_solid!$X32:$AC32)</f>
        <v>8.9378298078024514</v>
      </c>
      <c r="R33">
        <f>[4]Manu_gas!R32</f>
        <v>73.20517754031988</v>
      </c>
      <c r="S33">
        <f>[4]Manu_gas!S32</f>
        <v>0</v>
      </c>
      <c r="T33">
        <f>[4]Manu_gas!T32</f>
        <v>0</v>
      </c>
      <c r="U33">
        <f>[4]Manu_gas!U32</f>
        <v>4.9681346477791388</v>
      </c>
      <c r="V33">
        <f>[4]Manu_gas!V32</f>
        <v>0</v>
      </c>
      <c r="W33">
        <f>[4]Manu_gas!W32</f>
        <v>0</v>
      </c>
      <c r="X33">
        <f>SUM([4]Manu_gas!$X32:$AC32)</f>
        <v>7.5772892829068184</v>
      </c>
      <c r="Z33">
        <f>[4]Manu_solvent!R32</f>
        <v>4725.96690379344</v>
      </c>
      <c r="AA33">
        <f>[4]Manu_solvent!S32</f>
        <v>2.4065121362020268</v>
      </c>
      <c r="AB33">
        <f>[4]Manu_solvent!T32</f>
        <v>640.17590253443086</v>
      </c>
      <c r="AC33">
        <f>[4]Manu_solvent!U32</f>
        <v>323.69702035014592</v>
      </c>
      <c r="AD33">
        <f>[4]Manu_solvent!V32</f>
        <v>772.64041591562363</v>
      </c>
      <c r="AE33">
        <f>[4]Manu_solvent!W32</f>
        <v>2980.0065790500398</v>
      </c>
      <c r="AF33">
        <f>SUM([4]Manu_solvent!$X32:$AC32)</f>
        <v>916.47406816478906</v>
      </c>
    </row>
    <row r="34" spans="1:32" x14ac:dyDescent="0.2">
      <c r="A34">
        <v>2027.75</v>
      </c>
      <c r="B34">
        <f>[4]Manu_water!R33</f>
        <v>154.87744535494255</v>
      </c>
      <c r="C34">
        <f>[4]Manu_water!S33</f>
        <v>123.20486798971811</v>
      </c>
      <c r="D34">
        <f>[4]Manu_water!T33</f>
        <v>6082.5956006433335</v>
      </c>
      <c r="E34">
        <f>[4]Manu_water!U33</f>
        <v>7.8266486489318821</v>
      </c>
      <c r="F34">
        <f>[4]Manu_water!V33</f>
        <v>3126.5432423432599</v>
      </c>
      <c r="G34">
        <f>[4]Manu_water!W33</f>
        <v>37.655814569024031</v>
      </c>
      <c r="H34">
        <f>SUM([4]Manu_water!$X33:$AC33)</f>
        <v>969.88949138521275</v>
      </c>
      <c r="J34">
        <f>[4]Manu_solid!R33</f>
        <v>38.049476194466855</v>
      </c>
      <c r="K34">
        <f>[4]Manu_solid!S33</f>
        <v>0.38570396955636266</v>
      </c>
      <c r="L34">
        <f>[4]Manu_solid!T33</f>
        <v>21.543555498623018</v>
      </c>
      <c r="M34">
        <f>[4]Manu_solid!U33</f>
        <v>2.7007449563215653</v>
      </c>
      <c r="N34">
        <f>[4]Manu_solid!V33</f>
        <v>5.4472328147037494</v>
      </c>
      <c r="O34">
        <f>[4]Manu_solid!W33</f>
        <v>30.972315013482955</v>
      </c>
      <c r="P34">
        <f>SUM([4]Manu_solid!$X33:$AC33)</f>
        <v>10.098053589168133</v>
      </c>
      <c r="R34">
        <f>[4]Manu_gas!R33</f>
        <v>78.778492966008841</v>
      </c>
      <c r="S34">
        <f>[4]Manu_gas!S33</f>
        <v>0</v>
      </c>
      <c r="T34">
        <f>[4]Manu_gas!T33</f>
        <v>0</v>
      </c>
      <c r="U34">
        <f>[4]Manu_gas!U33</f>
        <v>5.3463726686365671</v>
      </c>
      <c r="V34">
        <f>[4]Manu_gas!V33</f>
        <v>0</v>
      </c>
      <c r="W34">
        <f>[4]Manu_gas!W33</f>
        <v>0</v>
      </c>
      <c r="X34">
        <f>SUM([4]Manu_gas!$X33:$AC33)</f>
        <v>8.5675513185500289</v>
      </c>
      <c r="Z34">
        <f>[4]Manu_solvent!R33</f>
        <v>5085.7680152885978</v>
      </c>
      <c r="AA34">
        <f>[4]Manu_solvent!S33</f>
        <v>2.5897266527355773</v>
      </c>
      <c r="AB34">
        <f>[4]Manu_solvent!T33</f>
        <v>687.81259757071655</v>
      </c>
      <c r="AC34">
        <f>[4]Manu_solvent!U33</f>
        <v>348.34098212147529</v>
      </c>
      <c r="AD34">
        <f>[4]Manu_solvent!V33</f>
        <v>831.9877289627708</v>
      </c>
      <c r="AE34">
        <f>[4]Manu_solvent!W33</f>
        <v>3205.8791221719089</v>
      </c>
      <c r="AF34">
        <f>SUM([4]Manu_solvent!$X33:$AC33)</f>
        <v>1035.8543280550889</v>
      </c>
    </row>
    <row r="35" spans="1:32" x14ac:dyDescent="0.2">
      <c r="A35">
        <v>2028</v>
      </c>
      <c r="B35">
        <f>[4]Manu_water!R34</f>
        <v>169.25818054670324</v>
      </c>
      <c r="C35">
        <f>[4]Manu_water!S34</f>
        <v>134.64472985492046</v>
      </c>
      <c r="D35">
        <f>[4]Manu_water!T34</f>
        <v>6633.9471007278253</v>
      </c>
      <c r="E35">
        <f>[4]Manu_water!U34</f>
        <v>8.5533713902664648</v>
      </c>
      <c r="F35">
        <f>[4]Manu_water!V34</f>
        <v>3419.4933136575473</v>
      </c>
      <c r="G35">
        <f>[4]Manu_water!W34</f>
        <v>41.112074086531564</v>
      </c>
      <c r="H35">
        <f>SUM([4]Manu_water!$X34:$AC34)</f>
        <v>1086.1349417940426</v>
      </c>
      <c r="J35">
        <f>[4]Manu_solid!R34</f>
        <v>41.582459580677956</v>
      </c>
      <c r="K35">
        <f>[4]Manu_solid!S34</f>
        <v>0.42151749060127164</v>
      </c>
      <c r="L35">
        <f>[4]Manu_solid!T34</f>
        <v>23.496352038321135</v>
      </c>
      <c r="M35">
        <f>[4]Manu_solid!U34</f>
        <v>2.9515154797398369</v>
      </c>
      <c r="N35">
        <f>[4]Manu_solid!V34</f>
        <v>5.9576262805356839</v>
      </c>
      <c r="O35">
        <f>[4]Manu_solid!W34</f>
        <v>33.815125872038934</v>
      </c>
      <c r="P35">
        <f>SUM([4]Manu_solid!$X34:$AC34)</f>
        <v>11.311366579253956</v>
      </c>
      <c r="R35">
        <f>[4]Manu_gas!R34</f>
        <v>86.093261385347319</v>
      </c>
      <c r="S35">
        <f>[4]Manu_gas!S34</f>
        <v>0</v>
      </c>
      <c r="T35">
        <f>[4]Manu_gas!T34</f>
        <v>0</v>
      </c>
      <c r="U35">
        <f>[4]Manu_gas!U34</f>
        <v>5.842795949689064</v>
      </c>
      <c r="V35">
        <f>[4]Manu_gas!V34</f>
        <v>0</v>
      </c>
      <c r="W35">
        <f>[4]Manu_gas!W34</f>
        <v>0</v>
      </c>
      <c r="X35">
        <f>SUM([4]Manu_gas!$X34:$AC34)</f>
        <v>9.606108047513052</v>
      </c>
      <c r="Z35">
        <f>[4]Manu_solvent!R34</f>
        <v>5557.9935411356873</v>
      </c>
      <c r="AA35">
        <f>[4]Manu_solvent!S34</f>
        <v>2.8301888654656806</v>
      </c>
      <c r="AB35">
        <f>[4]Manu_solvent!T34</f>
        <v>750.1587623243812</v>
      </c>
      <c r="AC35">
        <f>[4]Manu_solvent!U34</f>
        <v>380.68526187664827</v>
      </c>
      <c r="AD35">
        <f>[4]Manu_solvent!V34</f>
        <v>909.94310831955397</v>
      </c>
      <c r="AE35">
        <f>[4]Manu_solvent!W34</f>
        <v>3500.1324892760731</v>
      </c>
      <c r="AF35">
        <f>SUM([4]Manu_solvent!$X34:$AC34)</f>
        <v>1160.7499989148785</v>
      </c>
    </row>
    <row r="36" spans="1:32" x14ac:dyDescent="0.2">
      <c r="A36">
        <v>2028.25</v>
      </c>
      <c r="B36">
        <f>[4]Manu_water!R35</f>
        <v>193.34948135279726</v>
      </c>
      <c r="C36">
        <f>[4]Manu_water!S35</f>
        <v>153.80933790170911</v>
      </c>
      <c r="D36">
        <f>[4]Manu_water!T35</f>
        <v>7565.1569846516213</v>
      </c>
      <c r="E36">
        <f>[4]Manu_water!U35</f>
        <v>9.7708123576901311</v>
      </c>
      <c r="F36">
        <f>[4]Manu_water!V35</f>
        <v>3909.9715994606236</v>
      </c>
      <c r="G36">
        <f>[4]Manu_water!W35</f>
        <v>47.078575810225821</v>
      </c>
      <c r="H36">
        <f>SUM([4]Manu_water!$X35:$AC35)</f>
        <v>1240.1279530511988</v>
      </c>
      <c r="J36">
        <f>[4]Manu_solid!R35</f>
        <v>47.501083654147422</v>
      </c>
      <c r="K36">
        <f>[4]Manu_solid!S35</f>
        <v>0.48151402742037747</v>
      </c>
      <c r="L36">
        <f>[4]Manu_solid!T35</f>
        <v>26.79454464100818</v>
      </c>
      <c r="M36">
        <f>[4]Manu_solid!U35</f>
        <v>3.3716183487803977</v>
      </c>
      <c r="N36">
        <f>[4]Manu_solid!V35</f>
        <v>6.8121640899420095</v>
      </c>
      <c r="O36">
        <f>[4]Manu_solid!W35</f>
        <v>38.722638112306939</v>
      </c>
      <c r="P36">
        <f>SUM([4]Manu_solid!$X35:$AC35)</f>
        <v>12.928462858344067</v>
      </c>
      <c r="R36">
        <f>[4]Manu_gas!R35</f>
        <v>98.347314044502411</v>
      </c>
      <c r="S36">
        <f>[4]Manu_gas!S35</f>
        <v>0</v>
      </c>
      <c r="T36">
        <f>[4]Manu_gas!T35</f>
        <v>0</v>
      </c>
      <c r="U36">
        <f>[4]Manu_gas!U35</f>
        <v>6.6744281598305824</v>
      </c>
      <c r="V36">
        <f>[4]Manu_gas!V35</f>
        <v>0</v>
      </c>
      <c r="W36">
        <f>[4]Manu_gas!W35</f>
        <v>0</v>
      </c>
      <c r="X36">
        <f>SUM([4]Manu_gas!$X35:$AC35)</f>
        <v>10.974945531936163</v>
      </c>
      <c r="Z36">
        <f>[4]Manu_solvent!R35</f>
        <v>6349.0885053219581</v>
      </c>
      <c r="AA36">
        <f>[4]Manu_solvent!S35</f>
        <v>3.2330227555368198</v>
      </c>
      <c r="AB36">
        <f>[4]Manu_solvent!T35</f>
        <v>855.45885642851795</v>
      </c>
      <c r="AC36">
        <f>[4]Manu_solvent!U35</f>
        <v>434.86995845494101</v>
      </c>
      <c r="AD36">
        <f>[4]Manu_solvent!V35</f>
        <v>1040.4616661901996</v>
      </c>
      <c r="AE36">
        <f>[4]Manu_solvent!W35</f>
        <v>4008.0987496614975</v>
      </c>
      <c r="AF36">
        <f>SUM([4]Manu_solvent!$X35:$AC35)</f>
        <v>1327.0173810750352</v>
      </c>
    </row>
    <row r="37" spans="1:32" x14ac:dyDescent="0.2">
      <c r="A37">
        <v>2028.5</v>
      </c>
      <c r="B37">
        <f>[4]Manu_water!R36</f>
        <v>223.56879838278402</v>
      </c>
      <c r="C37">
        <f>[4]Manu_water!S36</f>
        <v>177.84877732354579</v>
      </c>
      <c r="D37">
        <f>[4]Manu_water!T36</f>
        <v>8742.6619049852397</v>
      </c>
      <c r="E37">
        <f>[4]Manu_water!U36</f>
        <v>11.297929338877104</v>
      </c>
      <c r="F37">
        <f>[4]Manu_water!V36</f>
        <v>4524.8546632812431</v>
      </c>
      <c r="G37">
        <f>[4]Manu_water!W36</f>
        <v>54.782740864518267</v>
      </c>
      <c r="H37">
        <f>SUM([4]Manu_water!$X36:$AC36)</f>
        <v>1413.5872779631798</v>
      </c>
      <c r="J37">
        <f>[4]Manu_solid!R36</f>
        <v>54.925206523106112</v>
      </c>
      <c r="K37">
        <f>[4]Manu_solid!S36</f>
        <v>0.55677166425081426</v>
      </c>
      <c r="L37">
        <f>[4]Manu_solid!T36</f>
        <v>30.965073847063888</v>
      </c>
      <c r="M37">
        <f>[4]Manu_solid!U36</f>
        <v>3.8985812507392823</v>
      </c>
      <c r="N37">
        <f>[4]Manu_solid!V36</f>
        <v>7.8834466351784425</v>
      </c>
      <c r="O37">
        <f>[4]Manu_solid!W36</f>
        <v>45.059397247872155</v>
      </c>
      <c r="P37">
        <f>SUM([4]Manu_solid!$X36:$AC36)</f>
        <v>14.76083285088227</v>
      </c>
      <c r="R37">
        <f>[4]Manu_gas!R36</f>
        <v>113.71838533657181</v>
      </c>
      <c r="S37">
        <f>[4]Manu_gas!S36</f>
        <v>0</v>
      </c>
      <c r="T37">
        <f>[4]Manu_gas!T36</f>
        <v>0</v>
      </c>
      <c r="U37">
        <f>[4]Manu_gas!U36</f>
        <v>7.7175996188104152</v>
      </c>
      <c r="V37">
        <f>[4]Manu_gas!V36</f>
        <v>0</v>
      </c>
      <c r="W37">
        <f>[4]Manu_gas!W36</f>
        <v>0</v>
      </c>
      <c r="X37">
        <f>SUM([4]Manu_gas!$X36:$AC36)</f>
        <v>12.509099949307755</v>
      </c>
      <c r="Z37">
        <f>[4]Manu_solvent!R36</f>
        <v>7341.4114071024924</v>
      </c>
      <c r="AA37">
        <f>[4]Manu_solvent!S36</f>
        <v>3.7383240313983239</v>
      </c>
      <c r="AB37">
        <f>[4]Manu_solvent!T36</f>
        <v>988.60969713561758</v>
      </c>
      <c r="AC37">
        <f>[4]Manu_solvent!U36</f>
        <v>502.83741846269919</v>
      </c>
      <c r="AD37">
        <f>[4]Manu_solvent!V36</f>
        <v>1204.0849153164056</v>
      </c>
      <c r="AE37">
        <f>[4]Manu_solvent!W36</f>
        <v>4664.0033472383047</v>
      </c>
      <c r="AF37">
        <f>SUM([4]Manu_solvent!$X36:$AC36)</f>
        <v>1515.2064200635714</v>
      </c>
    </row>
    <row r="38" spans="1:32" x14ac:dyDescent="0.2">
      <c r="A38">
        <v>2028.75</v>
      </c>
      <c r="B38">
        <f>[4]Manu_water!R37</f>
        <v>245.75036974184164</v>
      </c>
      <c r="C38">
        <f>[4]Manu_water!S37</f>
        <v>195.49419731891112</v>
      </c>
      <c r="D38">
        <f>[4]Manu_water!T37</f>
        <v>9613.852507078198</v>
      </c>
      <c r="E38">
        <f>[4]Manu_water!U37</f>
        <v>12.418863152775488</v>
      </c>
      <c r="F38">
        <f>[4]Manu_water!V37</f>
        <v>4975.9308191867913</v>
      </c>
      <c r="G38">
        <f>[4]Manu_water!W37</f>
        <v>60.598280488599087</v>
      </c>
      <c r="H38">
        <f>SUM([4]Manu_water!$X37:$AC37)</f>
        <v>1581.8181042691629</v>
      </c>
      <c r="J38">
        <f>[4]Manu_solid!R37</f>
        <v>60.374658310279436</v>
      </c>
      <c r="K38">
        <f>[4]Manu_solid!S37</f>
        <v>0.61201224563165391</v>
      </c>
      <c r="L38">
        <f>[4]Manu_solid!T37</f>
        <v>34.05068800232408</v>
      </c>
      <c r="M38">
        <f>[4]Manu_solid!U37</f>
        <v>4.2853823555352033</v>
      </c>
      <c r="N38">
        <f>[4]Manu_solid!V37</f>
        <v>8.6693359218200001</v>
      </c>
      <c r="O38">
        <f>[4]Manu_solid!W37</f>
        <v>49.84274152741915</v>
      </c>
      <c r="P38">
        <f>SUM([4]Manu_solid!$X37:$AC37)</f>
        <v>16.548333928792015</v>
      </c>
      <c r="R38">
        <f>[4]Manu_gas!R37</f>
        <v>125.00105312128278</v>
      </c>
      <c r="S38">
        <f>[4]Manu_gas!S37</f>
        <v>0</v>
      </c>
      <c r="T38">
        <f>[4]Manu_gas!T37</f>
        <v>0</v>
      </c>
      <c r="U38">
        <f>[4]Manu_gas!U37</f>
        <v>8.4833079283043826</v>
      </c>
      <c r="V38">
        <f>[4]Manu_gas!V37</f>
        <v>0</v>
      </c>
      <c r="W38">
        <f>[4]Manu_gas!W37</f>
        <v>0</v>
      </c>
      <c r="X38">
        <f>SUM([4]Manu_gas!$X37:$AC37)</f>
        <v>13.989643060942859</v>
      </c>
      <c r="Z38">
        <f>[4]Manu_solvent!R37</f>
        <v>8069.7958783739687</v>
      </c>
      <c r="AA38">
        <f>[4]Manu_solvent!S37</f>
        <v>4.1092250778125328</v>
      </c>
      <c r="AB38">
        <f>[4]Manu_solvent!T37</f>
        <v>1087.1228830099797</v>
      </c>
      <c r="AC38">
        <f>[4]Manu_solvent!U37</f>
        <v>552.72686708127515</v>
      </c>
      <c r="AD38">
        <f>[4]Manu_solvent!V37</f>
        <v>1324.1183827760924</v>
      </c>
      <c r="AE38">
        <f>[4]Manu_solvent!W37</f>
        <v>5159.1172434157306</v>
      </c>
      <c r="AF38">
        <f>SUM([4]Manu_solvent!$X37:$AC37)</f>
        <v>1698.5856920415986</v>
      </c>
    </row>
    <row r="39" spans="1:32" x14ac:dyDescent="0.2">
      <c r="A39">
        <v>2029</v>
      </c>
      <c r="B39">
        <f>[4]Manu_water!R38</f>
        <v>272.83794484864075</v>
      </c>
      <c r="C39">
        <f>[4]Manu_water!S38</f>
        <v>217.04233886751686</v>
      </c>
      <c r="D39">
        <f>[4]Manu_water!T38</f>
        <v>10686.079918738646</v>
      </c>
      <c r="E39">
        <f>[4]Manu_water!U38</f>
        <v>13.787719235251569</v>
      </c>
      <c r="F39">
        <f>[4]Manu_water!V38</f>
        <v>5526.4578915678039</v>
      </c>
      <c r="G39">
        <f>[4]Manu_water!W38</f>
        <v>67.89496640842647</v>
      </c>
      <c r="H39">
        <f>SUM([4]Manu_water!$X38:$AC38)</f>
        <v>1758.3637464160915</v>
      </c>
      <c r="J39">
        <f>[4]Manu_solid!R38</f>
        <v>67.029391294994781</v>
      </c>
      <c r="K39">
        <f>[4]Manu_solid!S38</f>
        <v>0.67947064940635882</v>
      </c>
      <c r="L39">
        <f>[4]Manu_solid!T38</f>
        <v>37.848341548091383</v>
      </c>
      <c r="M39">
        <f>[4]Manu_solid!U38</f>
        <v>4.7577341023051183</v>
      </c>
      <c r="N39">
        <f>[4]Manu_solid!V38</f>
        <v>9.6284939764545108</v>
      </c>
      <c r="O39">
        <f>[4]Manu_solid!W38</f>
        <v>55.844344664939513</v>
      </c>
      <c r="P39">
        <f>SUM([4]Manu_solid!$X38:$AC38)</f>
        <v>18.434888282676472</v>
      </c>
      <c r="R39">
        <f>[4]Manu_gas!R38</f>
        <v>138.77916225865118</v>
      </c>
      <c r="S39">
        <f>[4]Manu_gas!S38</f>
        <v>0</v>
      </c>
      <c r="T39">
        <f>[4]Manu_gas!T38</f>
        <v>0</v>
      </c>
      <c r="U39">
        <f>[4]Manu_gas!U38</f>
        <v>9.4183715902774807</v>
      </c>
      <c r="V39">
        <f>[4]Manu_gas!V38</f>
        <v>0</v>
      </c>
      <c r="W39">
        <f>[4]Manu_gas!W38</f>
        <v>0</v>
      </c>
      <c r="X39">
        <f>SUM([4]Manu_gas!$X38:$AC38)</f>
        <v>15.535750415515071</v>
      </c>
      <c r="Z39">
        <f>[4]Manu_solvent!R38</f>
        <v>8959.2806111197242</v>
      </c>
      <c r="AA39">
        <f>[4]Manu_solvent!S38</f>
        <v>4.5621600745855515</v>
      </c>
      <c r="AB39">
        <f>[4]Manu_solvent!T38</f>
        <v>1208.369069608789</v>
      </c>
      <c r="AC39">
        <f>[4]Manu_solvent!U38</f>
        <v>613.65060258302742</v>
      </c>
      <c r="AD39">
        <f>[4]Manu_solvent!V38</f>
        <v>1470.6162026301747</v>
      </c>
      <c r="AE39">
        <f>[4]Manu_solvent!W38</f>
        <v>5780.3305492264899</v>
      </c>
      <c r="AF39">
        <f>SUM([4]Manu_solvent!$X38:$AC38)</f>
        <v>1891.9197394235289</v>
      </c>
    </row>
    <row r="40" spans="1:32" x14ac:dyDescent="0.2">
      <c r="A40">
        <v>2029.25</v>
      </c>
      <c r="B40">
        <f>[4]Manu_water!R39</f>
        <v>304.26646212822777</v>
      </c>
      <c r="C40">
        <f>[4]Manu_water!S39</f>
        <v>242.04369599650389</v>
      </c>
      <c r="D40">
        <f>[4]Manu_water!T39</f>
        <v>11939.771598174493</v>
      </c>
      <c r="E40">
        <f>[4]Manu_water!U39</f>
        <v>15.375942502625872</v>
      </c>
      <c r="F40">
        <f>[4]Manu_water!V39</f>
        <v>6164.8459256796223</v>
      </c>
      <c r="G40">
        <f>[4]Manu_water!W39</f>
        <v>76.585805250333692</v>
      </c>
      <c r="H40">
        <f>SUM([4]Manu_water!$X39:$AC39)</f>
        <v>1970.0186979685586</v>
      </c>
      <c r="J40">
        <f>[4]Manu_solid!R39</f>
        <v>74.75058412146771</v>
      </c>
      <c r="K40">
        <f>[4]Manu_solid!S39</f>
        <v>0.75773965651857222</v>
      </c>
      <c r="L40">
        <f>[4]Manu_solid!T39</f>
        <v>42.28871175307944</v>
      </c>
      <c r="M40">
        <f>[4]Manu_solid!U39</f>
        <v>5.3057829762582225</v>
      </c>
      <c r="N40">
        <f>[4]Manu_solid!V39</f>
        <v>10.740728152791014</v>
      </c>
      <c r="O40">
        <f>[4]Manu_solid!W39</f>
        <v>62.992653669105621</v>
      </c>
      <c r="P40">
        <f>SUM([4]Manu_solid!$X39:$AC39)</f>
        <v>20.70925472926416</v>
      </c>
      <c r="R40">
        <f>[4]Manu_gas!R39</f>
        <v>154.76529388529232</v>
      </c>
      <c r="S40">
        <f>[4]Manu_gas!S39</f>
        <v>0</v>
      </c>
      <c r="T40">
        <f>[4]Manu_gas!T39</f>
        <v>0</v>
      </c>
      <c r="U40">
        <f>[4]Manu_gas!U39</f>
        <v>10.503284667286687</v>
      </c>
      <c r="V40">
        <f>[4]Manu_gas!V39</f>
        <v>0</v>
      </c>
      <c r="W40">
        <f>[4]Manu_gas!W39</f>
        <v>0</v>
      </c>
      <c r="X40">
        <f>SUM([4]Manu_gas!$X39:$AC39)</f>
        <v>17.380345103962064</v>
      </c>
      <c r="Z40">
        <f>[4]Manu_solvent!R39</f>
        <v>9991.3104691933586</v>
      </c>
      <c r="AA40">
        <f>[4]Manu_solvent!S39</f>
        <v>5.087680550910413</v>
      </c>
      <c r="AB40">
        <f>[4]Manu_solvent!T39</f>
        <v>1350.1350174377656</v>
      </c>
      <c r="AC40">
        <f>[4]Manu_solvent!U39</f>
        <v>684.33772265208086</v>
      </c>
      <c r="AD40">
        <f>[4]Manu_solvent!V39</f>
        <v>1640.4942339027027</v>
      </c>
      <c r="AE40">
        <f>[4]Manu_solvent!W39</f>
        <v>6520.2369651761364</v>
      </c>
      <c r="AF40">
        <f>SUM([4]Manu_solvent!$X39:$AC39)</f>
        <v>2124.7537337904573</v>
      </c>
    </row>
    <row r="41" spans="1:32" x14ac:dyDescent="0.2">
      <c r="A41">
        <v>2029.5</v>
      </c>
      <c r="B41">
        <f>[4]Manu_water!R40</f>
        <v>342.58750104503429</v>
      </c>
      <c r="C41">
        <f>[4]Manu_water!S40</f>
        <v>272.52804786680883</v>
      </c>
      <c r="D41">
        <f>[4]Manu_water!T40</f>
        <v>13480.086042616833</v>
      </c>
      <c r="E41">
        <f>[4]Manu_water!U40</f>
        <v>17.31247565486461</v>
      </c>
      <c r="F41">
        <f>[4]Manu_water!V40</f>
        <v>6942.7959651809651</v>
      </c>
      <c r="G41">
        <f>[4]Manu_water!W40</f>
        <v>87.45514748401537</v>
      </c>
      <c r="H41">
        <f>SUM([4]Manu_water!$X40:$AC40)</f>
        <v>2205.5490897864529</v>
      </c>
      <c r="J41">
        <f>[4]Manu_solid!R40</f>
        <v>84.165095412447855</v>
      </c>
      <c r="K41">
        <f>[4]Manu_solid!S40</f>
        <v>0.85317367400163779</v>
      </c>
      <c r="L41">
        <f>[4]Manu_solid!T40</f>
        <v>47.7442527585779</v>
      </c>
      <c r="M41">
        <f>[4]Manu_solid!U40</f>
        <v>5.9740232893546885</v>
      </c>
      <c r="N41">
        <f>[4]Manu_solid!V40</f>
        <v>12.096114806645758</v>
      </c>
      <c r="O41">
        <f>[4]Manu_solid!W40</f>
        <v>71.932805289882751</v>
      </c>
      <c r="P41">
        <f>SUM([4]Manu_solid!$X40:$AC40)</f>
        <v>23.254023941398586</v>
      </c>
      <c r="R41">
        <f>[4]Manu_gas!R40</f>
        <v>174.25731022013855</v>
      </c>
      <c r="S41">
        <f>[4]Manu_gas!S40</f>
        <v>0</v>
      </c>
      <c r="T41">
        <f>[4]Manu_gas!T40</f>
        <v>0</v>
      </c>
      <c r="U41">
        <f>[4]Manu_gas!U40</f>
        <v>11.826127736069488</v>
      </c>
      <c r="V41">
        <f>[4]Manu_gas!V40</f>
        <v>0</v>
      </c>
      <c r="W41">
        <f>[4]Manu_gas!W40</f>
        <v>0</v>
      </c>
      <c r="X41">
        <f>SUM([4]Manu_gas!$X40:$AC40)</f>
        <v>19.423172525645334</v>
      </c>
      <c r="Z41">
        <f>[4]Manu_solvent!R40</f>
        <v>11249.672612170845</v>
      </c>
      <c r="AA41">
        <f>[4]Manu_solvent!S40</f>
        <v>5.7284518111538532</v>
      </c>
      <c r="AB41">
        <f>[4]Manu_solvent!T40</f>
        <v>1524.3119229344136</v>
      </c>
      <c r="AC41">
        <f>[4]Manu_solvent!U40</f>
        <v>770.52708548411488</v>
      </c>
      <c r="AD41">
        <f>[4]Manu_solvent!V40</f>
        <v>1847.5103652791963</v>
      </c>
      <c r="AE41">
        <f>[4]Manu_solvent!W40</f>
        <v>7445.6132380709441</v>
      </c>
      <c r="AF41">
        <f>SUM([4]Manu_solvent!$X40:$AC40)</f>
        <v>2385.004892845318</v>
      </c>
    </row>
    <row r="42" spans="1:32" x14ac:dyDescent="0.2">
      <c r="A42">
        <v>2029.75</v>
      </c>
      <c r="B42">
        <f>[4]Manu_water!R41</f>
        <v>377.65088195933527</v>
      </c>
      <c r="C42">
        <f>[4]Manu_water!S41</f>
        <v>300.42093573643558</v>
      </c>
      <c r="D42">
        <f>[4]Manu_water!T41</f>
        <v>14900.082762912381</v>
      </c>
      <c r="E42">
        <f>[4]Manu_water!U41</f>
        <v>19.084384806845854</v>
      </c>
      <c r="F42">
        <f>[4]Manu_water!V41</f>
        <v>7654.2110874739128</v>
      </c>
      <c r="G42">
        <f>[4]Manu_water!W41</f>
        <v>97.648417633521689</v>
      </c>
      <c r="H42">
        <f>SUM([4]Manu_water!$X41:$AC41)</f>
        <v>2460.5048296863642</v>
      </c>
      <c r="J42">
        <f>[4]Manu_solid!R41</f>
        <v>92.779282419075429</v>
      </c>
      <c r="K42">
        <f>[4]Manu_solid!S41</f>
        <v>0.94049487931800058</v>
      </c>
      <c r="L42">
        <f>[4]Manu_solid!T41</f>
        <v>52.773648128593003</v>
      </c>
      <c r="M42">
        <f>[4]Manu_solid!U41</f>
        <v>6.5854567291228641</v>
      </c>
      <c r="N42">
        <f>[4]Manu_solid!V41</f>
        <v>13.335580727522078</v>
      </c>
      <c r="O42">
        <f>[4]Manu_solid!W41</f>
        <v>80.316880304628214</v>
      </c>
      <c r="P42">
        <f>SUM([4]Manu_solid!$X41:$AC41)</f>
        <v>26.023432431400813</v>
      </c>
      <c r="R42">
        <f>[4]Manu_gas!R41</f>
        <v>192.09231712118438</v>
      </c>
      <c r="S42">
        <f>[4]Manu_gas!S41</f>
        <v>0</v>
      </c>
      <c r="T42">
        <f>[4]Manu_gas!T41</f>
        <v>0</v>
      </c>
      <c r="U42">
        <f>[4]Manu_gas!U41</f>
        <v>13.036516382141182</v>
      </c>
      <c r="V42">
        <f>[4]Manu_gas!V41</f>
        <v>0</v>
      </c>
      <c r="W42">
        <f>[4]Manu_gas!W41</f>
        <v>0</v>
      </c>
      <c r="X42">
        <f>SUM([4]Manu_gas!$X41:$AC41)</f>
        <v>21.623988211075464</v>
      </c>
      <c r="Z42">
        <f>[4]Manu_solvent!R41</f>
        <v>12401.061833197546</v>
      </c>
      <c r="AA42">
        <f>[4]Manu_solvent!S41</f>
        <v>6.3147513325637172</v>
      </c>
      <c r="AB42">
        <f>[4]Manu_solvent!T41</f>
        <v>1684.883444839483</v>
      </c>
      <c r="AC42">
        <f>[4]Manu_solvent!U41</f>
        <v>849.38952098074492</v>
      </c>
      <c r="AD42">
        <f>[4]Manu_solvent!V41</f>
        <v>2036.8212450809663</v>
      </c>
      <c r="AE42">
        <f>[4]Manu_solvent!W41</f>
        <v>8313.4311921630051</v>
      </c>
      <c r="AF42">
        <f>SUM([4]Manu_solvent!$X41:$AC41)</f>
        <v>2667.9489519356357</v>
      </c>
    </row>
    <row r="43" spans="1:32" x14ac:dyDescent="0.2">
      <c r="A43">
        <v>2030</v>
      </c>
      <c r="B43">
        <f>[4]Manu_water!R42</f>
        <v>418.90180357101696</v>
      </c>
      <c r="C43">
        <f>[4]Manu_water!S42</f>
        <v>333.23600664604402</v>
      </c>
      <c r="D43">
        <f>[4]Manu_water!T42</f>
        <v>16583.089201216797</v>
      </c>
      <c r="E43">
        <f>[4]Manu_water!U42</f>
        <v>21.168978009938485</v>
      </c>
      <c r="F43">
        <f>[4]Manu_water!V42</f>
        <v>8490.6979071985788</v>
      </c>
      <c r="G43">
        <f>[4]Manu_water!W42</f>
        <v>109.93046629120914</v>
      </c>
      <c r="H43">
        <f>SUM([4]Manu_water!$X42:$AC42)</f>
        <v>2727.1990679258024</v>
      </c>
      <c r="J43">
        <f>[4]Manu_solid!R42</f>
        <v>102.91359188076885</v>
      </c>
      <c r="K43">
        <f>[4]Manu_solid!S42</f>
        <v>1.0432254233105136</v>
      </c>
      <c r="L43">
        <f>[4]Manu_solid!T42</f>
        <v>58.734580761417739</v>
      </c>
      <c r="M43">
        <f>[4]Manu_solid!U42</f>
        <v>7.3047881865280671</v>
      </c>
      <c r="N43">
        <f>[4]Manu_solid!V42</f>
        <v>14.792953327319029</v>
      </c>
      <c r="O43">
        <f>[4]Manu_solid!W42</f>
        <v>90.418998248180657</v>
      </c>
      <c r="P43">
        <f>SUM([4]Manu_solid!$X42:$AC42)</f>
        <v>28.935553928380241</v>
      </c>
      <c r="R43">
        <f>[4]Manu_gas!R42</f>
        <v>213.0746198094792</v>
      </c>
      <c r="S43">
        <f>[4]Manu_gas!S42</f>
        <v>0</v>
      </c>
      <c r="T43">
        <f>[4]Manu_gas!T42</f>
        <v>0</v>
      </c>
      <c r="U43">
        <f>[4]Manu_gas!U42</f>
        <v>14.460499063126992</v>
      </c>
      <c r="V43">
        <f>[4]Manu_gas!V42</f>
        <v>0</v>
      </c>
      <c r="W43">
        <f>[4]Manu_gas!W42</f>
        <v>0</v>
      </c>
      <c r="X43">
        <f>SUM([4]Manu_gas!$X42:$AC42)</f>
        <v>23.915321421779172</v>
      </c>
      <c r="Z43">
        <f>[4]Manu_solvent!R42</f>
        <v>13755.633618992906</v>
      </c>
      <c r="AA43">
        <f>[4]Manu_solvent!S42</f>
        <v>7.004513556513448</v>
      </c>
      <c r="AB43">
        <f>[4]Manu_solvent!T42</f>
        <v>1875.1957894470984</v>
      </c>
      <c r="AC43">
        <f>[4]Manu_solvent!U42</f>
        <v>942.16859875219154</v>
      </c>
      <c r="AD43">
        <f>[4]Manu_solvent!V42</f>
        <v>2259.4142865027834</v>
      </c>
      <c r="AE43">
        <f>[4]Manu_solvent!W42</f>
        <v>9359.0801528833963</v>
      </c>
      <c r="AF43">
        <f>SUM([4]Manu_solvent!$X42:$AC42)</f>
        <v>2965.1859763188736</v>
      </c>
    </row>
    <row r="44" spans="1:32" x14ac:dyDescent="0.2">
      <c r="A44">
        <v>2030.25</v>
      </c>
      <c r="B44">
        <f>[4]Manu_water!R43</f>
        <v>455.72976408705381</v>
      </c>
      <c r="C44">
        <f>[4]Manu_water!S43</f>
        <v>362.53261599616764</v>
      </c>
      <c r="D44">
        <f>[4]Manu_water!T43</f>
        <v>18096.672818815052</v>
      </c>
      <c r="E44">
        <f>[4]Manu_water!U43</f>
        <v>23.030059245848459</v>
      </c>
      <c r="F44">
        <f>[4]Manu_water!V43</f>
        <v>9237.0788159165149</v>
      </c>
      <c r="G44">
        <f>[4]Manu_water!W43</f>
        <v>121.15304256269459</v>
      </c>
      <c r="H44">
        <f>SUM([4]Manu_water!$X43:$AC43)</f>
        <v>3007.8137269449062</v>
      </c>
      <c r="J44">
        <f>[4]Manu_solid!R43</f>
        <v>111.961291523117</v>
      </c>
      <c r="K44">
        <f>[4]Manu_solid!S43</f>
        <v>1.1349411055336198</v>
      </c>
      <c r="L44">
        <f>[4]Manu_solid!T43</f>
        <v>64.095445564608951</v>
      </c>
      <c r="M44">
        <f>[4]Manu_solid!U43</f>
        <v>7.9469922749758757</v>
      </c>
      <c r="N44">
        <f>[4]Manu_solid!V43</f>
        <v>16.09333853331081</v>
      </c>
      <c r="O44">
        <f>[4]Manu_solid!W43</f>
        <v>99.649688687930592</v>
      </c>
      <c r="P44">
        <f>SUM([4]Manu_solid!$X43:$AC43)</f>
        <v>32.015436436033525</v>
      </c>
      <c r="R44">
        <f>[4]Manu_gas!R43</f>
        <v>231.80718104081973</v>
      </c>
      <c r="S44">
        <f>[4]Manu_gas!S43</f>
        <v>0</v>
      </c>
      <c r="T44">
        <f>[4]Manu_gas!T43</f>
        <v>0</v>
      </c>
      <c r="U44">
        <f>[4]Manu_gas!U43</f>
        <v>15.73180103413592</v>
      </c>
      <c r="V44">
        <f>[4]Manu_gas!V43</f>
        <v>0</v>
      </c>
      <c r="W44">
        <f>[4]Manu_gas!W43</f>
        <v>0</v>
      </c>
      <c r="X44">
        <f>SUM([4]Manu_gas!$X43:$AC43)</f>
        <v>26.315048950555187</v>
      </c>
      <c r="Z44">
        <f>[4]Manu_solvent!R43</f>
        <v>14964.966993723665</v>
      </c>
      <c r="AA44">
        <f>[4]Manu_solvent!S43</f>
        <v>7.6203188514400173</v>
      </c>
      <c r="AB44">
        <f>[4]Manu_solvent!T43</f>
        <v>2046.3500051820106</v>
      </c>
      <c r="AC44">
        <f>[4]Manu_solvent!U43</f>
        <v>1024.9998199560723</v>
      </c>
      <c r="AD44">
        <f>[4]Manu_solvent!V43</f>
        <v>2458.0297250405847</v>
      </c>
      <c r="AE44">
        <f>[4]Manu_solvent!W43</f>
        <v>10314.529487269408</v>
      </c>
      <c r="AF44">
        <f>SUM([4]Manu_solvent!$X43:$AC43)</f>
        <v>3279.2495720695124</v>
      </c>
    </row>
    <row r="45" spans="1:32" x14ac:dyDescent="0.2">
      <c r="A45">
        <v>2030.5</v>
      </c>
      <c r="B45">
        <f>[4]Manu_water!R44</f>
        <v>499.35151378677097</v>
      </c>
      <c r="C45">
        <f>[4]Manu_water!S44</f>
        <v>397.23367850993321</v>
      </c>
      <c r="D45">
        <f>[4]Manu_water!T44</f>
        <v>19902.463531529629</v>
      </c>
      <c r="E45">
        <f>[4]Manu_water!U44</f>
        <v>25.23446097502794</v>
      </c>
      <c r="F45">
        <f>[4]Manu_water!V44</f>
        <v>10120.656208430506</v>
      </c>
      <c r="G45">
        <f>[4]Manu_water!W44</f>
        <v>134.74905144005916</v>
      </c>
      <c r="H45">
        <f>SUM([4]Manu_water!$X44:$AC44)</f>
        <v>3302.0658372940261</v>
      </c>
      <c r="J45">
        <f>[4]Manu_solid!R44</f>
        <v>122.67805356007173</v>
      </c>
      <c r="K45">
        <f>[4]Manu_solid!S44</f>
        <v>1.2435759166232259</v>
      </c>
      <c r="L45">
        <f>[4]Manu_solid!T44</f>
        <v>70.491259949203226</v>
      </c>
      <c r="M45">
        <f>[4]Manu_solid!U44</f>
        <v>8.7076661111011902</v>
      </c>
      <c r="N45">
        <f>[4]Manu_solid!V44</f>
        <v>17.632754877101831</v>
      </c>
      <c r="O45">
        <f>[4]Manu_solid!W44</f>
        <v>110.83255313251617</v>
      </c>
      <c r="P45">
        <f>SUM([4]Manu_solid!$X44:$AC44)</f>
        <v>35.261275756218133</v>
      </c>
      <c r="R45">
        <f>[4]Manu_gas!R44</f>
        <v>253.99540666662742</v>
      </c>
      <c r="S45">
        <f>[4]Manu_gas!S44</f>
        <v>0</v>
      </c>
      <c r="T45">
        <f>[4]Manu_gas!T44</f>
        <v>0</v>
      </c>
      <c r="U45">
        <f>[4]Manu_gas!U44</f>
        <v>17.237624750547255</v>
      </c>
      <c r="V45">
        <f>[4]Manu_gas!V44</f>
        <v>0</v>
      </c>
      <c r="W45">
        <f>[4]Manu_gas!W44</f>
        <v>0</v>
      </c>
      <c r="X45">
        <f>SUM([4]Manu_gas!$X44:$AC44)</f>
        <v>28.819825578169823</v>
      </c>
      <c r="Z45">
        <f>[4]Manu_solvent!R44</f>
        <v>16397.390539226486</v>
      </c>
      <c r="AA45">
        <f>[4]Manu_solvent!S44</f>
        <v>8.3497240116130875</v>
      </c>
      <c r="AB45">
        <f>[4]Manu_solvent!T44</f>
        <v>2250.5466479195156</v>
      </c>
      <c r="AC45">
        <f>[4]Manu_solvent!U44</f>
        <v>1123.1112208603986</v>
      </c>
      <c r="AD45">
        <f>[4]Manu_solvent!V44</f>
        <v>2693.1537873611192</v>
      </c>
      <c r="AE45">
        <f>[4]Manu_solvent!W44</f>
        <v>11472.044243055945</v>
      </c>
      <c r="AF45">
        <f>SUM([4]Manu_solvent!$X44:$AC44)</f>
        <v>3609.9313895085425</v>
      </c>
    </row>
    <row r="46" spans="1:32" x14ac:dyDescent="0.2">
      <c r="A46">
        <v>2030.75</v>
      </c>
      <c r="B46">
        <f>[4]Manu_water!R45</f>
        <v>546.09272252556741</v>
      </c>
      <c r="C46">
        <f>[4]Manu_water!S45</f>
        <v>434.41626787370785</v>
      </c>
      <c r="D46">
        <f>[4]Manu_water!T45</f>
        <v>21851.229484137199</v>
      </c>
      <c r="E46">
        <f>[4]Manu_water!U45</f>
        <v>27.596502893956515</v>
      </c>
      <c r="F46">
        <f>[4]Manu_water!V45</f>
        <v>11066.896327074513</v>
      </c>
      <c r="G46">
        <f>[4]Manu_water!W45</f>
        <v>149.64032118242059</v>
      </c>
      <c r="H46">
        <f>SUM([4]Manu_water!$X45:$AC45)</f>
        <v>3623.8576293767046</v>
      </c>
      <c r="J46">
        <f>[4]Manu_solid!R45</f>
        <v>134.16118788690406</v>
      </c>
      <c r="K46">
        <f>[4]Manu_solid!S45</f>
        <v>1.3599793716976545</v>
      </c>
      <c r="L46">
        <f>[4]Manu_solid!T45</f>
        <v>77.393469172086256</v>
      </c>
      <c r="M46">
        <f>[4]Manu_solid!U45</f>
        <v>9.5227369141117553</v>
      </c>
      <c r="N46">
        <f>[4]Manu_solid!V45</f>
        <v>19.281345613049474</v>
      </c>
      <c r="O46">
        <f>[4]Manu_solid!W45</f>
        <v>123.08078365653638</v>
      </c>
      <c r="P46">
        <f>SUM([4]Manu_solid!$X45:$AC45)</f>
        <v>38.828439641565808</v>
      </c>
      <c r="R46">
        <f>[4]Manu_gas!R45</f>
        <v>277.77034675175918</v>
      </c>
      <c r="S46">
        <f>[4]Manu_gas!S45</f>
        <v>0</v>
      </c>
      <c r="T46">
        <f>[4]Manu_gas!T45</f>
        <v>0</v>
      </c>
      <c r="U46">
        <f>[4]Manu_gas!U45</f>
        <v>18.851132258547761</v>
      </c>
      <c r="V46">
        <f>[4]Manu_gas!V45</f>
        <v>0</v>
      </c>
      <c r="W46">
        <f>[4]Manu_gas!W45</f>
        <v>0</v>
      </c>
      <c r="X46">
        <f>SUM([4]Manu_gas!$X45:$AC45)</f>
        <v>31.546559411053284</v>
      </c>
      <c r="Z46">
        <f>[4]Manu_solvent!R45</f>
        <v>17932.248916150977</v>
      </c>
      <c r="AA46">
        <f>[4]Manu_solvent!S45</f>
        <v>9.1312900671128219</v>
      </c>
      <c r="AB46">
        <f>[4]Manu_solvent!T45</f>
        <v>2470.9107588886254</v>
      </c>
      <c r="AC46">
        <f>[4]Manu_solvent!U45</f>
        <v>1228.2387203507408</v>
      </c>
      <c r="AD46">
        <f>[4]Manu_solvent!V45</f>
        <v>2944.9526931629339</v>
      </c>
      <c r="AE46">
        <f>[4]Manu_solvent!W45</f>
        <v>12739.832798848805</v>
      </c>
      <c r="AF46">
        <f>SUM([4]Manu_solvent!$X45:$AC45)</f>
        <v>3973.0225507128853</v>
      </c>
    </row>
    <row r="48" spans="1:32" x14ac:dyDescent="0.2">
      <c r="A48" t="s">
        <v>32</v>
      </c>
    </row>
    <row r="49" spans="1:32" x14ac:dyDescent="0.2">
      <c r="B49">
        <f>'Unit-upper left'!$B$8</f>
        <v>31.269344480026685</v>
      </c>
      <c r="C49">
        <f>'Unit-upper left'!$B$8</f>
        <v>31.269344480026685</v>
      </c>
      <c r="D49">
        <f>'Unit-upper left'!$B$8</f>
        <v>31.269344480026685</v>
      </c>
      <c r="E49">
        <f>'Unit-upper left'!$B$8</f>
        <v>31.269344480026685</v>
      </c>
      <c r="F49">
        <f>'Unit-upper left'!$B$8</f>
        <v>31.269344480026685</v>
      </c>
      <c r="G49">
        <f>'Unit-upper left'!$B$8</f>
        <v>31.269344480026685</v>
      </c>
      <c r="H49">
        <f>'Unit-upper left'!$B$8</f>
        <v>31.269344480026685</v>
      </c>
      <c r="J49">
        <f>'Unit-upper left'!$B$15</f>
        <v>1.1657216066399756</v>
      </c>
      <c r="K49">
        <f>'Unit-upper left'!$B$15</f>
        <v>1.1657216066399756</v>
      </c>
      <c r="L49">
        <f>'Unit-upper left'!$B$15</f>
        <v>1.1657216066399756</v>
      </c>
      <c r="M49">
        <f>'Unit-upper left'!$B$15</f>
        <v>1.1657216066399756</v>
      </c>
      <c r="N49">
        <f>'Unit-upper left'!$B$15</f>
        <v>1.1657216066399756</v>
      </c>
      <c r="O49">
        <f>'Unit-upper left'!$B$15</f>
        <v>1.1657216066399756</v>
      </c>
      <c r="P49">
        <f>'Unit-upper left'!$B$15</f>
        <v>1.1657216066399756</v>
      </c>
      <c r="R49">
        <f>'Unit-upper left'!$B$15</f>
        <v>1.1657216066399756</v>
      </c>
      <c r="S49">
        <f>'Unit-upper left'!$B$15</f>
        <v>1.1657216066399756</v>
      </c>
      <c r="T49">
        <f>'Unit-upper left'!$B$15</f>
        <v>1.1657216066399756</v>
      </c>
      <c r="U49">
        <f>'Unit-upper left'!$B$15</f>
        <v>1.1657216066399756</v>
      </c>
      <c r="V49">
        <f>'Unit-upper left'!$B$15</f>
        <v>1.1657216066399756</v>
      </c>
      <c r="W49">
        <f>'Unit-upper left'!$B$15</f>
        <v>1.1657216066399756</v>
      </c>
      <c r="X49">
        <f>'Unit-upper left'!$B$15</f>
        <v>1.1657216066399756</v>
      </c>
      <c r="Z49">
        <f>'Unit-upper left'!$B$15</f>
        <v>1.1657216066399756</v>
      </c>
      <c r="AA49">
        <f>'Unit-upper left'!$B$15</f>
        <v>1.1657216066399756</v>
      </c>
      <c r="AB49">
        <f>'Unit-upper left'!$B$15</f>
        <v>1.1657216066399756</v>
      </c>
      <c r="AC49">
        <f>'Unit-upper left'!$B$15</f>
        <v>1.1657216066399756</v>
      </c>
      <c r="AD49">
        <f>'Unit-upper left'!$B$15</f>
        <v>1.1657216066399756</v>
      </c>
      <c r="AE49">
        <f>'Unit-upper left'!$B$15</f>
        <v>1.1657216066399756</v>
      </c>
      <c r="AF49">
        <f>'Unit-upper left'!$B$15</f>
        <v>1.1657216066399756</v>
      </c>
    </row>
    <row r="50" spans="1:32" x14ac:dyDescent="0.2">
      <c r="A50" t="s">
        <v>44</v>
      </c>
    </row>
    <row r="51" spans="1:32" x14ac:dyDescent="0.2">
      <c r="A51">
        <v>2020</v>
      </c>
      <c r="B51">
        <f>1000*B3*B$49/1000000</f>
        <v>1.7673148686512535E-4</v>
      </c>
      <c r="C51">
        <f t="shared" ref="C51:H51" si="0">1000*C3*C$49/1000000</f>
        <v>1.4058973828592726E-4</v>
      </c>
      <c r="D51">
        <f t="shared" si="0"/>
        <v>6.2605954907873091E-3</v>
      </c>
      <c r="E51">
        <f t="shared" si="0"/>
        <v>8.9310309175532531E-6</v>
      </c>
      <c r="F51">
        <f t="shared" si="0"/>
        <v>3.8253941622231973E-3</v>
      </c>
      <c r="G51">
        <f t="shared" si="0"/>
        <v>2.9048505853353489E-5</v>
      </c>
      <c r="H51">
        <f t="shared" si="0"/>
        <v>8.5313590890166182E-4</v>
      </c>
      <c r="I51">
        <f t="shared" ref="I51:P51" si="1">1000*I3*I$49/1000000</f>
        <v>0</v>
      </c>
      <c r="J51">
        <f>1000*J3*J$49/1000000</f>
        <v>1.618640886832934E-6</v>
      </c>
      <c r="K51">
        <f t="shared" si="1"/>
        <v>1.6408010773837714E-8</v>
      </c>
      <c r="L51">
        <f t="shared" si="1"/>
        <v>8.2664710601464524E-7</v>
      </c>
      <c r="M51">
        <f t="shared" si="1"/>
        <v>1.1489083815155434E-7</v>
      </c>
      <c r="N51">
        <f t="shared" si="1"/>
        <v>2.484641631466853E-7</v>
      </c>
      <c r="O51">
        <f t="shared" si="1"/>
        <v>8.9072058486547563E-7</v>
      </c>
      <c r="P51">
        <f t="shared" si="1"/>
        <v>3.0360789198897267E-7</v>
      </c>
      <c r="R51">
        <f t="shared" ref="R51:AF51" si="2">1000*R3*R$49/1000000</f>
        <v>3.351270568513257E-6</v>
      </c>
      <c r="S51">
        <f t="shared" si="2"/>
        <v>0</v>
      </c>
      <c r="T51">
        <f t="shared" si="2"/>
        <v>0</v>
      </c>
      <c r="U51">
        <f t="shared" si="2"/>
        <v>2.2743696532042386E-7</v>
      </c>
      <c r="V51">
        <f t="shared" si="2"/>
        <v>0</v>
      </c>
      <c r="W51">
        <f t="shared" si="2"/>
        <v>0</v>
      </c>
      <c r="X51">
        <f t="shared" si="2"/>
        <v>2.9240867586673379E-7</v>
      </c>
      <c r="Z51">
        <f t="shared" si="2"/>
        <v>2.1635073262034568E-4</v>
      </c>
      <c r="AA51">
        <f t="shared" si="2"/>
        <v>1.1016807233862463E-7</v>
      </c>
      <c r="AB51">
        <f t="shared" si="2"/>
        <v>2.6392036045238206E-5</v>
      </c>
      <c r="AC51">
        <f t="shared" si="2"/>
        <v>1.4818573410567827E-5</v>
      </c>
      <c r="AD51">
        <f t="shared" si="2"/>
        <v>3.79493849183475E-5</v>
      </c>
      <c r="AE51">
        <f t="shared" si="2"/>
        <v>9.2196612538194113E-5</v>
      </c>
      <c r="AF51">
        <f t="shared" si="2"/>
        <v>3.1687753973916839E-5</v>
      </c>
    </row>
    <row r="52" spans="1:32" x14ac:dyDescent="0.2">
      <c r="A52">
        <v>2020.25</v>
      </c>
      <c r="B52">
        <f t="shared" ref="B52:H52" si="3">1000*B4*B$49/1000000</f>
        <v>3.1624827665643895E-4</v>
      </c>
      <c r="C52">
        <f t="shared" si="3"/>
        <v>2.5157521863908376E-4</v>
      </c>
      <c r="D52">
        <f t="shared" si="3"/>
        <v>1.1202885065497943E-2</v>
      </c>
      <c r="E52">
        <f t="shared" si="3"/>
        <v>1.5981437074634479E-5</v>
      </c>
      <c r="F52">
        <f t="shared" si="3"/>
        <v>6.8452675456634471E-3</v>
      </c>
      <c r="G52">
        <f t="shared" si="3"/>
        <v>5.1980210649041457E-5</v>
      </c>
      <c r="H52">
        <f t="shared" si="3"/>
        <v>1.4150173547403798E-3</v>
      </c>
      <c r="I52">
        <f t="shared" ref="I52:P52" si="4">1000*I4*I$49/1000000</f>
        <v>0</v>
      </c>
      <c r="J52">
        <f t="shared" si="4"/>
        <v>2.8964413759344533E-6</v>
      </c>
      <c r="K52">
        <f t="shared" si="4"/>
        <v>2.9360954420909216E-8</v>
      </c>
      <c r="L52">
        <f t="shared" si="4"/>
        <v>1.4792255037138576E-6</v>
      </c>
      <c r="M52">
        <f t="shared" si="4"/>
        <v>2.0558888635827319E-7</v>
      </c>
      <c r="N52">
        <f t="shared" si="4"/>
        <v>4.4460873837376783E-7</v>
      </c>
      <c r="O52">
        <f t="shared" si="4"/>
        <v>1.5938803828493569E-6</v>
      </c>
      <c r="P52">
        <f t="shared" si="4"/>
        <v>5.0356623337262297E-7</v>
      </c>
      <c r="R52">
        <f t="shared" ref="R52:AF52" si="5">1000*R4*R$49/1000000</f>
        <v>5.996857496653021E-6</v>
      </c>
      <c r="S52">
        <f t="shared" si="5"/>
        <v>0</v>
      </c>
      <c r="T52">
        <f t="shared" si="5"/>
        <v>0</v>
      </c>
      <c r="U52">
        <f t="shared" si="5"/>
        <v>4.0698208115821425E-7</v>
      </c>
      <c r="V52">
        <f t="shared" si="5"/>
        <v>0</v>
      </c>
      <c r="W52">
        <f t="shared" si="5"/>
        <v>0</v>
      </c>
      <c r="X52">
        <f t="shared" si="5"/>
        <v>4.8499113296117988E-7</v>
      </c>
      <c r="Z52">
        <f t="shared" si="5"/>
        <v>3.8714406560025295E-4</v>
      </c>
      <c r="AA52">
        <f t="shared" si="5"/>
        <v>1.9713783682610466E-7</v>
      </c>
      <c r="AB52">
        <f t="shared" si="5"/>
        <v>4.7226649109396562E-5</v>
      </c>
      <c r="AC52">
        <f t="shared" si="5"/>
        <v>2.651677064865891E-5</v>
      </c>
      <c r="AD52">
        <f t="shared" si="5"/>
        <v>6.7907693153502842E-5</v>
      </c>
      <c r="AE52">
        <f t="shared" si="5"/>
        <v>1.6497920289108885E-4</v>
      </c>
      <c r="AF52">
        <f t="shared" si="5"/>
        <v>5.2557536657391111E-5</v>
      </c>
    </row>
    <row r="53" spans="1:32" x14ac:dyDescent="0.2">
      <c r="A53">
        <v>2020.5</v>
      </c>
      <c r="B53">
        <f t="shared" ref="B53:H53" si="6">1000*B5*B$49/1000000</f>
        <v>5.4913512640194736E-4</v>
      </c>
      <c r="C53">
        <f t="shared" si="6"/>
        <v>4.3683649741133864E-4</v>
      </c>
      <c r="D53">
        <f t="shared" si="6"/>
        <v>1.9452746973201401E-2</v>
      </c>
      <c r="E53">
        <f t="shared" si="6"/>
        <v>2.7750249142378969E-5</v>
      </c>
      <c r="F53">
        <f t="shared" si="6"/>
        <v>1.1886157605932713E-2</v>
      </c>
      <c r="G53">
        <f t="shared" si="6"/>
        <v>9.0258703847959952E-5</v>
      </c>
      <c r="H53">
        <f t="shared" si="6"/>
        <v>2.2328219636536897E-3</v>
      </c>
      <c r="I53">
        <f t="shared" ref="I53:P53" si="7">1000*I5*I$49/1000000</f>
        <v>0</v>
      </c>
      <c r="J53">
        <f t="shared" si="7"/>
        <v>5.0293956315135921E-6</v>
      </c>
      <c r="K53">
        <f t="shared" si="7"/>
        <v>5.0982511549694227E-8</v>
      </c>
      <c r="L53">
        <f t="shared" si="7"/>
        <v>2.5685347365270924E-6</v>
      </c>
      <c r="M53">
        <f t="shared" si="7"/>
        <v>3.5698559464351568E-7</v>
      </c>
      <c r="N53">
        <f t="shared" si="7"/>
        <v>7.7202088918108362E-7</v>
      </c>
      <c r="O53">
        <f t="shared" si="7"/>
        <v>2.7676220555548291E-6</v>
      </c>
      <c r="P53">
        <f t="shared" si="7"/>
        <v>7.9460067557619945E-7</v>
      </c>
      <c r="R53">
        <f t="shared" ref="R53:AF53" si="8">1000*R5*R$49/1000000</f>
        <v>1.0412974053978842E-5</v>
      </c>
      <c r="S53">
        <f t="shared" si="8"/>
        <v>0</v>
      </c>
      <c r="T53">
        <f t="shared" si="8"/>
        <v>0</v>
      </c>
      <c r="U53">
        <f t="shared" si="8"/>
        <v>7.066857689881842E-7</v>
      </c>
      <c r="V53">
        <f t="shared" si="8"/>
        <v>0</v>
      </c>
      <c r="W53">
        <f t="shared" si="8"/>
        <v>0</v>
      </c>
      <c r="X53">
        <f t="shared" si="8"/>
        <v>7.6529015720213148E-7</v>
      </c>
      <c r="Z53">
        <f t="shared" si="8"/>
        <v>6.7223893722625323E-4</v>
      </c>
      <c r="AA53">
        <f t="shared" si="8"/>
        <v>3.4231114897651838E-7</v>
      </c>
      <c r="AB53">
        <f t="shared" si="8"/>
        <v>8.2004595257929194E-5</v>
      </c>
      <c r="AC53">
        <f t="shared" si="8"/>
        <v>4.6043856288714678E-5</v>
      </c>
      <c r="AD53">
        <f t="shared" si="8"/>
        <v>1.1791526599850699E-4</v>
      </c>
      <c r="AE53">
        <f t="shared" si="8"/>
        <v>2.864707323977318E-4</v>
      </c>
      <c r="AF53">
        <f t="shared" si="8"/>
        <v>8.2932991465456526E-5</v>
      </c>
    </row>
    <row r="54" spans="1:32" x14ac:dyDescent="0.2">
      <c r="A54">
        <v>2020.75</v>
      </c>
      <c r="B54">
        <f t="shared" ref="B54:H54" si="9">1000*B6*B$49/1000000</f>
        <v>9.3279676905869699E-4</v>
      </c>
      <c r="C54">
        <f t="shared" si="9"/>
        <v>7.4203898785734203E-4</v>
      </c>
      <c r="D54">
        <f t="shared" si="9"/>
        <v>3.3043705735620314E-2</v>
      </c>
      <c r="E54">
        <f t="shared" si="9"/>
        <v>4.7138384517835102E-5</v>
      </c>
      <c r="F54">
        <f t="shared" si="9"/>
        <v>2.0190603147140385E-2</v>
      </c>
      <c r="G54">
        <f t="shared" si="9"/>
        <v>1.5331932575585506E-4</v>
      </c>
      <c r="H54">
        <f t="shared" si="9"/>
        <v>3.3923056195630198E-3</v>
      </c>
      <c r="I54">
        <f t="shared" ref="I54:P54" si="10">1000*I6*I$49/1000000</f>
        <v>0</v>
      </c>
      <c r="J54">
        <f t="shared" si="10"/>
        <v>8.5432597002725031E-6</v>
      </c>
      <c r="K54">
        <f t="shared" si="10"/>
        <v>8.6602221867779303E-8</v>
      </c>
      <c r="L54">
        <f t="shared" si="10"/>
        <v>4.3630807578202067E-6</v>
      </c>
      <c r="M54">
        <f t="shared" si="10"/>
        <v>6.0639903235807334E-7</v>
      </c>
      <c r="N54">
        <f t="shared" si="10"/>
        <v>1.3114050739978005E-6</v>
      </c>
      <c r="O54">
        <f t="shared" si="10"/>
        <v>4.7012634728223037E-6</v>
      </c>
      <c r="P54">
        <f t="shared" si="10"/>
        <v>1.2072294078722115E-6</v>
      </c>
      <c r="R54">
        <f t="shared" ref="R54:AF54" si="11">1000*R6*R$49/1000000</f>
        <v>1.7688157407606447E-5</v>
      </c>
      <c r="S54">
        <f t="shared" si="11"/>
        <v>0</v>
      </c>
      <c r="T54">
        <f t="shared" si="11"/>
        <v>0</v>
      </c>
      <c r="U54">
        <f t="shared" si="11"/>
        <v>1.2004225742598595E-6</v>
      </c>
      <c r="V54">
        <f t="shared" si="11"/>
        <v>0</v>
      </c>
      <c r="W54">
        <f t="shared" si="11"/>
        <v>0</v>
      </c>
      <c r="X54">
        <f t="shared" si="11"/>
        <v>1.1626982102168675E-6</v>
      </c>
      <c r="Z54">
        <f t="shared" si="11"/>
        <v>1.1419089374026204E-3</v>
      </c>
      <c r="AA54">
        <f t="shared" si="11"/>
        <v>5.8147206111223244E-7</v>
      </c>
      <c r="AB54">
        <f t="shared" si="11"/>
        <v>1.3929835813958092E-4</v>
      </c>
      <c r="AC54">
        <f t="shared" si="11"/>
        <v>7.8213099683735175E-5</v>
      </c>
      <c r="AD54">
        <f t="shared" si="11"/>
        <v>2.0029856743419234E-4</v>
      </c>
      <c r="AE54">
        <f t="shared" si="11"/>
        <v>4.8661788467505181E-4</v>
      </c>
      <c r="AF54">
        <f t="shared" si="11"/>
        <v>1.2599932174398609E-4</v>
      </c>
    </row>
    <row r="55" spans="1:32" x14ac:dyDescent="0.2">
      <c r="A55">
        <v>2021</v>
      </c>
      <c r="B55">
        <f t="shared" ref="B55:H55" si="12">1000*B7*B$49/1000000</f>
        <v>1.5442959916468946E-3</v>
      </c>
      <c r="C55">
        <f t="shared" si="12"/>
        <v>1.2284860674959129E-3</v>
      </c>
      <c r="D55">
        <f t="shared" si="12"/>
        <v>5.4705659377629008E-2</v>
      </c>
      <c r="E55">
        <f t="shared" si="12"/>
        <v>7.8040169818622141E-5</v>
      </c>
      <c r="F55">
        <f t="shared" si="12"/>
        <v>3.3426646128423748E-2</v>
      </c>
      <c r="G55">
        <f t="shared" si="12"/>
        <v>2.5382851662929864E-4</v>
      </c>
      <c r="H55">
        <f t="shared" si="12"/>
        <v>4.9999119548562948E-3</v>
      </c>
      <c r="I55">
        <f t="shared" ref="I55:P55" si="13">1000*I7*I$49/1000000</f>
        <v>0</v>
      </c>
      <c r="J55">
        <f t="shared" si="13"/>
        <v>1.4143832985230976E-5</v>
      </c>
      <c r="K55">
        <f t="shared" si="13"/>
        <v>1.4337470769017099E-7</v>
      </c>
      <c r="L55">
        <f t="shared" si="13"/>
        <v>7.2233184644633482E-6</v>
      </c>
      <c r="M55">
        <f t="shared" si="13"/>
        <v>1.0039267138051169E-6</v>
      </c>
      <c r="N55">
        <f t="shared" si="13"/>
        <v>2.1711027164511602E-6</v>
      </c>
      <c r="O55">
        <f t="shared" si="13"/>
        <v>7.7831984174664237E-6</v>
      </c>
      <c r="P55">
        <f t="shared" si="13"/>
        <v>1.7793328271678216E-6</v>
      </c>
      <c r="R55">
        <f t="shared" ref="R55:AF55" si="14">1000*R7*R$49/1000000</f>
        <v>2.9283710546886659E-5</v>
      </c>
      <c r="S55">
        <f t="shared" si="14"/>
        <v>0</v>
      </c>
      <c r="T55">
        <f t="shared" si="14"/>
        <v>0</v>
      </c>
      <c r="U55">
        <f t="shared" si="14"/>
        <v>1.9873651273284964E-6</v>
      </c>
      <c r="V55">
        <f t="shared" si="14"/>
        <v>0</v>
      </c>
      <c r="W55">
        <f t="shared" si="14"/>
        <v>0</v>
      </c>
      <c r="X55">
        <f t="shared" si="14"/>
        <v>1.7136983907429268E-6</v>
      </c>
      <c r="Z55">
        <f t="shared" si="14"/>
        <v>1.8904926060541118E-3</v>
      </c>
      <c r="AA55">
        <f t="shared" si="14"/>
        <v>9.6265875163400531E-7</v>
      </c>
      <c r="AB55">
        <f t="shared" si="14"/>
        <v>2.306160390489216E-4</v>
      </c>
      <c r="AC55">
        <f t="shared" si="14"/>
        <v>1.2948605778057834E-4</v>
      </c>
      <c r="AD55">
        <f t="shared" si="14"/>
        <v>3.3160521678626679E-4</v>
      </c>
      <c r="AE55">
        <f t="shared" si="14"/>
        <v>8.0562248251107079E-4</v>
      </c>
      <c r="AF55">
        <f t="shared" si="14"/>
        <v>1.8571012925795653E-4</v>
      </c>
    </row>
    <row r="56" spans="1:32" x14ac:dyDescent="0.2">
      <c r="A56">
        <v>2021.25</v>
      </c>
      <c r="B56">
        <f t="shared" ref="B56:H56" si="15">1000*B8*B$49/1000000</f>
        <v>3.2509733636274648E-3</v>
      </c>
      <c r="C56">
        <f t="shared" si="15"/>
        <v>2.5861463764841829E-3</v>
      </c>
      <c r="D56">
        <f t="shared" si="15"/>
        <v>0.11656387514966354</v>
      </c>
      <c r="E56">
        <f t="shared" si="15"/>
        <v>1.6428619561638732E-4</v>
      </c>
      <c r="F56">
        <f t="shared" si="15"/>
        <v>7.0001762762614966E-2</v>
      </c>
      <c r="G56">
        <f t="shared" si="15"/>
        <v>5.3824986701281623E-4</v>
      </c>
      <c r="H56">
        <f t="shared" si="15"/>
        <v>1.1270035420796198E-2</v>
      </c>
      <c r="I56">
        <f t="shared" ref="I56:P56" si="16">1000*I8*I$49/1000000</f>
        <v>0</v>
      </c>
      <c r="J56">
        <f t="shared" si="16"/>
        <v>2.9774877706925436E-5</v>
      </c>
      <c r="K56">
        <f t="shared" si="16"/>
        <v>3.018251411904174E-7</v>
      </c>
      <c r="L56">
        <f t="shared" si="16"/>
        <v>1.5391058278739587E-5</v>
      </c>
      <c r="M56">
        <f t="shared" si="16"/>
        <v>2.1134154483778174E-6</v>
      </c>
      <c r="N56">
        <f t="shared" si="16"/>
        <v>4.5467025529985392E-6</v>
      </c>
      <c r="O56">
        <f t="shared" si="16"/>
        <v>1.6504471478489923E-5</v>
      </c>
      <c r="P56">
        <f t="shared" si="16"/>
        <v>4.0052473881676021E-6</v>
      </c>
      <c r="R56">
        <f t="shared" ref="R56:AF56" si="17">1000*R8*R$49/1000000</f>
        <v>6.1646577787578008E-5</v>
      </c>
      <c r="S56">
        <f t="shared" si="17"/>
        <v>0</v>
      </c>
      <c r="T56">
        <f t="shared" si="17"/>
        <v>0</v>
      </c>
      <c r="U56">
        <f t="shared" si="17"/>
        <v>4.1836999692377203E-6</v>
      </c>
      <c r="V56">
        <f t="shared" si="17"/>
        <v>0</v>
      </c>
      <c r="W56">
        <f t="shared" si="17"/>
        <v>0</v>
      </c>
      <c r="X56">
        <f t="shared" si="17"/>
        <v>3.8408604642397913E-6</v>
      </c>
      <c r="Z56">
        <f t="shared" si="17"/>
        <v>3.9797688653341176E-3</v>
      </c>
      <c r="AA56">
        <f t="shared" si="17"/>
        <v>2.0265402337070884E-6</v>
      </c>
      <c r="AB56">
        <f t="shared" si="17"/>
        <v>4.9138424596342919E-4</v>
      </c>
      <c r="AC56">
        <f t="shared" si="17"/>
        <v>2.7258746191322048E-4</v>
      </c>
      <c r="AD56">
        <f t="shared" si="17"/>
        <v>6.9444447484005986E-4</v>
      </c>
      <c r="AE56">
        <f t="shared" si="17"/>
        <v>1.7083430964827478E-3</v>
      </c>
      <c r="AF56">
        <f t="shared" si="17"/>
        <v>4.1712864782766912E-4</v>
      </c>
    </row>
    <row r="57" spans="1:32" x14ac:dyDescent="0.2">
      <c r="A57">
        <v>2021.5</v>
      </c>
      <c r="B57">
        <f t="shared" ref="B57:H57" si="18">1000*B9*B$49/1000000</f>
        <v>6.8049561993972166E-3</v>
      </c>
      <c r="C57">
        <f t="shared" si="18"/>
        <v>5.4133365145655945E-3</v>
      </c>
      <c r="D57">
        <f t="shared" si="18"/>
        <v>0.24828778351666833</v>
      </c>
      <c r="E57">
        <f t="shared" si="18"/>
        <v>3.4388481242051419E-4</v>
      </c>
      <c r="F57">
        <f t="shared" si="18"/>
        <v>0.14540438490217794</v>
      </c>
      <c r="G57">
        <f t="shared" si="18"/>
        <v>1.1386406252483813E-3</v>
      </c>
      <c r="H57">
        <f t="shared" si="18"/>
        <v>2.6471062042040708E-2</v>
      </c>
      <c r="I57">
        <f t="shared" ref="I57:P57" si="19">1000*I9*I$49/1000000</f>
        <v>0</v>
      </c>
      <c r="J57">
        <f t="shared" si="19"/>
        <v>6.2324945785453815E-5</v>
      </c>
      <c r="K57">
        <f t="shared" si="19"/>
        <v>6.317821267492343E-7</v>
      </c>
      <c r="L57">
        <f t="shared" si="19"/>
        <v>3.2783842687947499E-5</v>
      </c>
      <c r="M57">
        <f t="shared" si="19"/>
        <v>4.4238134086996173E-6</v>
      </c>
      <c r="N57">
        <f t="shared" si="19"/>
        <v>9.4441977167607337E-6</v>
      </c>
      <c r="O57">
        <f t="shared" si="19"/>
        <v>3.4914382474365511E-5</v>
      </c>
      <c r="P57">
        <f t="shared" si="19"/>
        <v>9.3887354558271022E-6</v>
      </c>
      <c r="R57">
        <f t="shared" ref="R57:AF57" si="20">1000*R9*R$49/1000000</f>
        <v>1.2903897226002408E-4</v>
      </c>
      <c r="S57">
        <f t="shared" si="20"/>
        <v>0</v>
      </c>
      <c r="T57">
        <f t="shared" si="20"/>
        <v>0</v>
      </c>
      <c r="U57">
        <f t="shared" si="20"/>
        <v>8.7573449110992417E-6</v>
      </c>
      <c r="V57">
        <f t="shared" si="20"/>
        <v>0</v>
      </c>
      <c r="W57">
        <f t="shared" si="20"/>
        <v>0</v>
      </c>
      <c r="X57">
        <f t="shared" si="20"/>
        <v>8.9459491717854858E-6</v>
      </c>
      <c r="Z57">
        <f t="shared" si="20"/>
        <v>8.3304751479430523E-3</v>
      </c>
      <c r="AA57">
        <f>1000*AA9*AA$49/1000000</f>
        <v>4.2419657081734299E-6</v>
      </c>
      <c r="AB57">
        <f t="shared" si="20"/>
        <v>1.0466768124225442E-3</v>
      </c>
      <c r="AC57">
        <f t="shared" si="20"/>
        <v>5.7058164781595053E-4</v>
      </c>
      <c r="AD57">
        <f t="shared" si="20"/>
        <v>1.4424675569278892E-3</v>
      </c>
      <c r="AE57">
        <f t="shared" si="20"/>
        <v>3.6139142259584709E-3</v>
      </c>
      <c r="AF57">
        <f t="shared" si="20"/>
        <v>9.7468315813510056E-4</v>
      </c>
    </row>
    <row r="58" spans="1:32" x14ac:dyDescent="0.2">
      <c r="A58">
        <v>2021.75</v>
      </c>
      <c r="B58">
        <f t="shared" ref="B58:H58" si="21">1000*B10*B$49/1000000</f>
        <v>9.7385375738051339E-3</v>
      </c>
      <c r="C58">
        <f t="shared" si="21"/>
        <v>7.7469978500990392E-3</v>
      </c>
      <c r="D58">
        <f t="shared" si="21"/>
        <v>0.35941509567335267</v>
      </c>
      <c r="E58">
        <f t="shared" si="21"/>
        <v>4.9213177406119918E-4</v>
      </c>
      <c r="F58">
        <f t="shared" si="21"/>
        <v>0.20701708556061751</v>
      </c>
      <c r="G58">
        <f t="shared" si="21"/>
        <v>1.6409073567200678E-3</v>
      </c>
      <c r="H58">
        <f t="shared" si="21"/>
        <v>3.7359238384531264E-2</v>
      </c>
      <c r="I58">
        <f t="shared" ref="I58:P58" si="22">1000*I10*I$49/1000000</f>
        <v>0</v>
      </c>
      <c r="J58">
        <f t="shared" si="22"/>
        <v>8.9192907130067036E-5</v>
      </c>
      <c r="K58">
        <f t="shared" si="22"/>
        <v>9.0414012956482151E-7</v>
      </c>
      <c r="L58">
        <f t="shared" si="22"/>
        <v>4.7457058858627909E-5</v>
      </c>
      <c r="M58">
        <f t="shared" si="22"/>
        <v>6.3308964580757107E-6</v>
      </c>
      <c r="N58">
        <f t="shared" si="22"/>
        <v>1.3446020132730952E-5</v>
      </c>
      <c r="O58">
        <f t="shared" si="22"/>
        <v>5.0315495325864684E-5</v>
      </c>
      <c r="P58">
        <f t="shared" si="22"/>
        <v>1.323575755023347E-5</v>
      </c>
      <c r="R58">
        <f t="shared" ref="R58:AF58" si="23">1000*R10*R$49/1000000</f>
        <v>1.8466700490309652E-4</v>
      </c>
      <c r="S58">
        <f t="shared" si="23"/>
        <v>0</v>
      </c>
      <c r="T58">
        <f t="shared" si="23"/>
        <v>0</v>
      </c>
      <c r="U58">
        <f t="shared" si="23"/>
        <v>1.2532590947619264E-5</v>
      </c>
      <c r="V58">
        <f t="shared" si="23"/>
        <v>0</v>
      </c>
      <c r="W58">
        <f t="shared" si="23"/>
        <v>0</v>
      </c>
      <c r="X58">
        <f t="shared" si="23"/>
        <v>1.2566241624870163E-5</v>
      </c>
      <c r="Z58">
        <f t="shared" si="23"/>
        <v>1.1921699840342765E-2</v>
      </c>
      <c r="AA58">
        <f t="shared" si="23"/>
        <v>6.0706551556495161E-6</v>
      </c>
      <c r="AB58">
        <f t="shared" si="23"/>
        <v>1.5151427965873865E-3</v>
      </c>
      <c r="AC58">
        <f t="shared" si="23"/>
        <v>8.1655644112323437E-4</v>
      </c>
      <c r="AD58">
        <f t="shared" si="23"/>
        <v>2.0536893014048499E-3</v>
      </c>
      <c r="AE58">
        <f t="shared" si="23"/>
        <v>5.2080509938216748E-3</v>
      </c>
      <c r="AF58">
        <f t="shared" si="23"/>
        <v>1.3716045385598712E-3</v>
      </c>
    </row>
    <row r="59" spans="1:32" x14ac:dyDescent="0.2">
      <c r="A59">
        <v>2022</v>
      </c>
      <c r="B59">
        <f t="shared" ref="B59:H59" si="24">1000*B11*B$49/1000000</f>
        <v>1.6141343415758902E-2</v>
      </c>
      <c r="C59">
        <f t="shared" si="24"/>
        <v>1.2840424118293458E-2</v>
      </c>
      <c r="D59">
        <f t="shared" si="24"/>
        <v>0.60718394862830205</v>
      </c>
      <c r="E59">
        <f t="shared" si="24"/>
        <v>8.1569413381897126E-4</v>
      </c>
      <c r="F59">
        <f t="shared" si="24"/>
        <v>0.34012592572142475</v>
      </c>
      <c r="G59">
        <f t="shared" si="24"/>
        <v>2.7517088719694375E-3</v>
      </c>
      <c r="H59">
        <f t="shared" si="24"/>
        <v>6.4778251741392609E-2</v>
      </c>
      <c r="I59">
        <f t="shared" ref="I59:P59" si="25">1000*I11*I$49/1000000</f>
        <v>0</v>
      </c>
      <c r="J59">
        <f t="shared" si="25"/>
        <v>1.4783465518568333E-4</v>
      </c>
      <c r="K59">
        <f t="shared" si="25"/>
        <v>1.4985860265641727E-6</v>
      </c>
      <c r="L59">
        <f t="shared" si="25"/>
        <v>8.0172382114566298E-5</v>
      </c>
      <c r="M59">
        <f t="shared" si="25"/>
        <v>1.0493277156344471E-5</v>
      </c>
      <c r="N59">
        <f t="shared" si="25"/>
        <v>2.2091606750858699E-5</v>
      </c>
      <c r="O59">
        <f t="shared" si="25"/>
        <v>8.4376241180651994E-5</v>
      </c>
      <c r="P59">
        <f t="shared" si="25"/>
        <v>2.2901155299160094E-5</v>
      </c>
      <c r="R59">
        <f t="shared" ref="R59:AF59" si="26">1000*R11*R$49/1000000</f>
        <v>3.0608020158162598E-4</v>
      </c>
      <c r="S59">
        <f t="shared" si="26"/>
        <v>0</v>
      </c>
      <c r="T59">
        <f t="shared" si="26"/>
        <v>0</v>
      </c>
      <c r="U59">
        <f t="shared" si="26"/>
        <v>2.0772405799294158E-5</v>
      </c>
      <c r="V59">
        <f t="shared" si="26"/>
        <v>0</v>
      </c>
      <c r="W59">
        <f t="shared" si="26"/>
        <v>0</v>
      </c>
      <c r="X59">
        <f t="shared" si="26"/>
        <v>2.1593369172185512E-5</v>
      </c>
      <c r="Z59">
        <f t="shared" si="26"/>
        <v>1.9759871517072317E-2</v>
      </c>
      <c r="AA59">
        <f t="shared" si="26"/>
        <v>1.0061934749788018E-5</v>
      </c>
      <c r="AB59">
        <f t="shared" si="26"/>
        <v>2.5596320161347776E-3</v>
      </c>
      <c r="AC59">
        <f t="shared" si="26"/>
        <v>1.3534186046550419E-3</v>
      </c>
      <c r="AD59">
        <f t="shared" si="26"/>
        <v>3.3741803141170024E-3</v>
      </c>
      <c r="AE59">
        <f t="shared" si="26"/>
        <v>8.7336070904173325E-3</v>
      </c>
      <c r="AF59">
        <f t="shared" si="26"/>
        <v>2.3651267847574213E-3</v>
      </c>
    </row>
    <row r="60" spans="1:32" x14ac:dyDescent="0.2">
      <c r="A60">
        <v>2022.25</v>
      </c>
      <c r="B60">
        <f t="shared" ref="B60:H60" si="27">1000*B12*B$49/1000000</f>
        <v>2.4451670855972902E-2</v>
      </c>
      <c r="C60">
        <f t="shared" si="27"/>
        <v>1.9451282096202525E-2</v>
      </c>
      <c r="D60">
        <f t="shared" si="27"/>
        <v>0.93553478238574628</v>
      </c>
      <c r="E60">
        <f t="shared" si="27"/>
        <v>1.2356520746480667E-3</v>
      </c>
      <c r="F60">
        <f t="shared" si="27"/>
        <v>0.51112035028738945</v>
      </c>
      <c r="G60">
        <f t="shared" si="27"/>
        <v>4.2123006095920222E-3</v>
      </c>
      <c r="H60">
        <f t="shared" si="27"/>
        <v>0.10141194934473051</v>
      </c>
      <c r="I60">
        <f t="shared" ref="I60:P60" si="28">1000*I12*I$49/1000000</f>
        <v>0</v>
      </c>
      <c r="J60">
        <f t="shared" si="28"/>
        <v>2.239469315904287E-4</v>
      </c>
      <c r="K60">
        <f t="shared" si="28"/>
        <v>2.2701290299748327E-6</v>
      </c>
      <c r="L60">
        <f t="shared" si="28"/>
        <v>1.2352772536945418E-4</v>
      </c>
      <c r="M60">
        <f t="shared" si="28"/>
        <v>1.5895712805226319E-5</v>
      </c>
      <c r="N60">
        <f t="shared" si="28"/>
        <v>3.3197909735814357E-5</v>
      </c>
      <c r="O60">
        <f t="shared" si="28"/>
        <v>1.291626798826164E-4</v>
      </c>
      <c r="P60">
        <f t="shared" si="28"/>
        <v>3.578561302325651E-5</v>
      </c>
      <c r="R60">
        <f t="shared" ref="R60:AF60" si="29">1000*R12*R$49/1000000</f>
        <v>4.6366477385623964E-4</v>
      </c>
      <c r="S60">
        <f t="shared" si="29"/>
        <v>0</v>
      </c>
      <c r="T60">
        <f t="shared" si="29"/>
        <v>0</v>
      </c>
      <c r="U60">
        <f t="shared" si="29"/>
        <v>3.1467023308305165E-5</v>
      </c>
      <c r="V60">
        <f t="shared" si="29"/>
        <v>0</v>
      </c>
      <c r="W60">
        <f t="shared" si="29"/>
        <v>0</v>
      </c>
      <c r="X60">
        <f t="shared" si="29"/>
        <v>3.3537038378937772E-5</v>
      </c>
      <c r="Z60">
        <f t="shared" si="29"/>
        <v>2.993318846187561E-2</v>
      </c>
      <c r="AA60">
        <f t="shared" si="29"/>
        <v>1.5242294915545309E-5</v>
      </c>
      <c r="AB60">
        <f t="shared" si="29"/>
        <v>3.9438209567495474E-3</v>
      </c>
      <c r="AC60">
        <f t="shared" si="29"/>
        <v>2.0502225495720476E-3</v>
      </c>
      <c r="AD60">
        <f t="shared" si="29"/>
        <v>5.0705109304040978E-3</v>
      </c>
      <c r="AE60">
        <f t="shared" si="29"/>
        <v>1.3369357073218296E-2</v>
      </c>
      <c r="AF60">
        <f t="shared" si="29"/>
        <v>3.6846694556621484E-3</v>
      </c>
    </row>
    <row r="61" spans="1:32" x14ac:dyDescent="0.2">
      <c r="A61">
        <v>2022.5</v>
      </c>
      <c r="B61">
        <f t="shared" ref="B61:H61" si="30">1000*B13*B$49/1000000</f>
        <v>3.1387435075976203E-2</v>
      </c>
      <c r="C61">
        <f t="shared" si="30"/>
        <v>2.4968676273094837E-2</v>
      </c>
      <c r="D61">
        <f t="shared" si="30"/>
        <v>1.2152118074507035</v>
      </c>
      <c r="E61">
        <f t="shared" si="30"/>
        <v>1.5861472002449107E-3</v>
      </c>
      <c r="F61">
        <f t="shared" si="30"/>
        <v>0.65235701666412738</v>
      </c>
      <c r="G61">
        <f t="shared" si="30"/>
        <v>5.4470154506006622E-3</v>
      </c>
      <c r="H61">
        <f t="shared" si="30"/>
        <v>0.13052667234752813</v>
      </c>
      <c r="I61">
        <f t="shared" ref="I61:P61" si="31">1000*I13*I$49/1000000</f>
        <v>0</v>
      </c>
      <c r="J61">
        <f t="shared" si="31"/>
        <v>2.8746991635713253E-4</v>
      </c>
      <c r="K61">
        <f t="shared" si="31"/>
        <v>2.9140555654510013E-6</v>
      </c>
      <c r="L61">
        <f t="shared" si="31"/>
        <v>1.6045619387200204E-4</v>
      </c>
      <c r="M61">
        <f t="shared" si="31"/>
        <v>2.0404562804693992E-5</v>
      </c>
      <c r="N61">
        <f t="shared" si="31"/>
        <v>4.2371408891396604E-5</v>
      </c>
      <c r="O61">
        <f t="shared" si="31"/>
        <v>1.6702300670553061E-4</v>
      </c>
      <c r="P61">
        <f t="shared" si="31"/>
        <v>4.6002864818291128E-5</v>
      </c>
      <c r="R61">
        <f t="shared" ref="R61:AF61" si="32">1000*R13*R$49/1000000</f>
        <v>5.9518419302110541E-4</v>
      </c>
      <c r="S61">
        <f t="shared" si="32"/>
        <v>0</v>
      </c>
      <c r="T61">
        <f t="shared" si="32"/>
        <v>0</v>
      </c>
      <c r="U61">
        <f t="shared" si="32"/>
        <v>4.0392705960312597E-5</v>
      </c>
      <c r="V61">
        <f t="shared" si="32"/>
        <v>0</v>
      </c>
      <c r="W61">
        <f t="shared" si="32"/>
        <v>0</v>
      </c>
      <c r="X61">
        <f t="shared" si="32"/>
        <v>4.2938120967969157E-5</v>
      </c>
      <c r="Z61">
        <f t="shared" si="32"/>
        <v>3.8423795862382926E-2</v>
      </c>
      <c r="AA61">
        <f t="shared" si="32"/>
        <v>1.9565801653742442E-5</v>
      </c>
      <c r="AB61">
        <f t="shared" si="32"/>
        <v>5.1228216025189658E-3</v>
      </c>
      <c r="AC61">
        <f t="shared" si="32"/>
        <v>2.6317721821564493E-3</v>
      </c>
      <c r="AD61">
        <f t="shared" si="32"/>
        <v>6.471633112751991E-3</v>
      </c>
      <c r="AE61">
        <f t="shared" si="32"/>
        <v>1.7288199796706937E-2</v>
      </c>
      <c r="AF61">
        <f t="shared" si="32"/>
        <v>4.7272551576364339E-3</v>
      </c>
    </row>
    <row r="62" spans="1:32" x14ac:dyDescent="0.2">
      <c r="A62">
        <v>2022.75</v>
      </c>
      <c r="B62">
        <f t="shared" ref="B62:H62" si="33">1000*B14*B$49/1000000</f>
        <v>4.2885712652442898E-2</v>
      </c>
      <c r="C62">
        <f t="shared" si="33"/>
        <v>3.4115545706995321E-2</v>
      </c>
      <c r="D62">
        <f t="shared" si="33"/>
        <v>1.6881942555016956</v>
      </c>
      <c r="E62">
        <f t="shared" si="33"/>
        <v>2.1672064916908283E-3</v>
      </c>
      <c r="F62">
        <f t="shared" si="33"/>
        <v>0.88406265097385284</v>
      </c>
      <c r="G62">
        <f t="shared" si="33"/>
        <v>7.5199524890354804E-3</v>
      </c>
      <c r="H62">
        <f t="shared" si="33"/>
        <v>0.18189756103314519</v>
      </c>
      <c r="I62">
        <f t="shared" ref="I62:P62" si="34">1000*I14*I$49/1000000</f>
        <v>0</v>
      </c>
      <c r="J62">
        <f t="shared" si="34"/>
        <v>3.9277985599243324E-4</v>
      </c>
      <c r="K62">
        <f t="shared" si="34"/>
        <v>3.981572541071894E-6</v>
      </c>
      <c r="L62">
        <f t="shared" si="34"/>
        <v>2.2290865106276451E-4</v>
      </c>
      <c r="M62">
        <f t="shared" si="34"/>
        <v>2.7879443322547907E-5</v>
      </c>
      <c r="N62">
        <f t="shared" si="34"/>
        <v>5.7420981323346905E-5</v>
      </c>
      <c r="O62">
        <f t="shared" si="34"/>
        <v>2.3058592111445915E-4</v>
      </c>
      <c r="P62">
        <f t="shared" si="34"/>
        <v>6.39912673784084E-5</v>
      </c>
      <c r="R62">
        <f t="shared" ref="R62:AF62" si="35">1000*R14*R$49/1000000</f>
        <v>8.1322026522377005E-4</v>
      </c>
      <c r="S62">
        <f t="shared" si="35"/>
        <v>0</v>
      </c>
      <c r="T62">
        <f t="shared" si="35"/>
        <v>0</v>
      </c>
      <c r="U62">
        <f t="shared" si="35"/>
        <v>5.5189918414023417E-5</v>
      </c>
      <c r="V62">
        <f t="shared" si="35"/>
        <v>0</v>
      </c>
      <c r="W62">
        <f t="shared" si="35"/>
        <v>0</v>
      </c>
      <c r="X62">
        <f t="shared" si="35"/>
        <v>5.9368152053847586E-5</v>
      </c>
      <c r="Z62">
        <f t="shared" si="35"/>
        <v>5.2499730047439304E-2</v>
      </c>
      <c r="AA62">
        <f t="shared" si="35"/>
        <v>2.673341563291129E-5</v>
      </c>
      <c r="AB62">
        <f t="shared" si="35"/>
        <v>7.1167165660405542E-3</v>
      </c>
      <c r="AC62">
        <f t="shared" si="35"/>
        <v>3.5958792203776074E-3</v>
      </c>
      <c r="AD62">
        <f t="shared" si="35"/>
        <v>8.7702423360847773E-3</v>
      </c>
      <c r="AE62">
        <f t="shared" si="35"/>
        <v>2.3867463250513213E-2</v>
      </c>
      <c r="AF62">
        <f t="shared" si="35"/>
        <v>6.5562444702032333E-3</v>
      </c>
    </row>
    <row r="63" spans="1:32" x14ac:dyDescent="0.2">
      <c r="A63">
        <v>2023</v>
      </c>
      <c r="B63">
        <f t="shared" ref="B63:H63" si="36">1000*B15*B$49/1000000</f>
        <v>5.8065644486780248E-2</v>
      </c>
      <c r="C63">
        <f t="shared" si="36"/>
        <v>4.6191167780024092E-2</v>
      </c>
      <c r="D63">
        <f t="shared" si="36"/>
        <v>2.3249120678539659</v>
      </c>
      <c r="E63">
        <f t="shared" si="36"/>
        <v>2.9343162067937256E-3</v>
      </c>
      <c r="F63">
        <f t="shared" si="36"/>
        <v>1.186743462122082</v>
      </c>
      <c r="G63">
        <f t="shared" si="36"/>
        <v>1.0290882911800768E-2</v>
      </c>
      <c r="H63">
        <f t="shared" si="36"/>
        <v>0.22980821325106177</v>
      </c>
      <c r="I63">
        <f t="shared" ref="I63:P63" si="37">1000*I15*I$49/1000000</f>
        <v>0</v>
      </c>
      <c r="J63">
        <f t="shared" si="37"/>
        <v>5.3180917534143425E-4</v>
      </c>
      <c r="K63">
        <f t="shared" si="37"/>
        <v>5.3908997045671674E-6</v>
      </c>
      <c r="L63">
        <f t="shared" si="37"/>
        <v>3.0698067547378253E-4</v>
      </c>
      <c r="M63">
        <f t="shared" si="37"/>
        <v>3.7747719329649349E-5</v>
      </c>
      <c r="N63">
        <f t="shared" si="37"/>
        <v>7.7080480777070594E-5</v>
      </c>
      <c r="O63">
        <f t="shared" si="37"/>
        <v>3.1555155684274587E-4</v>
      </c>
      <c r="P63">
        <f t="shared" si="37"/>
        <v>8.0732183647185267E-5</v>
      </c>
      <c r="R63">
        <f t="shared" ref="R63:AF63" si="38">1000*R15*R$49/1000000</f>
        <v>1.1010697010590256E-3</v>
      </c>
      <c r="S63">
        <f t="shared" si="38"/>
        <v>0</v>
      </c>
      <c r="T63">
        <f t="shared" si="38"/>
        <v>0</v>
      </c>
      <c r="U63">
        <f t="shared" si="38"/>
        <v>7.4725077040326267E-5</v>
      </c>
      <c r="V63">
        <f t="shared" si="38"/>
        <v>0</v>
      </c>
      <c r="W63">
        <f t="shared" si="38"/>
        <v>0</v>
      </c>
      <c r="X63">
        <f t="shared" si="38"/>
        <v>7.45476145727776E-5</v>
      </c>
      <c r="Z63">
        <f t="shared" si="38"/>
        <v>7.1082663013946626E-2</v>
      </c>
      <c r="AA63">
        <f t="shared" si="38"/>
        <v>3.6196040873522412E-5</v>
      </c>
      <c r="AB63">
        <f t="shared" si="38"/>
        <v>9.8008509233831476E-3</v>
      </c>
      <c r="AC63">
        <f t="shared" si="38"/>
        <v>4.8686854319057926E-3</v>
      </c>
      <c r="AD63">
        <f t="shared" si="38"/>
        <v>1.1772952677177101E-2</v>
      </c>
      <c r="AE63">
        <f t="shared" si="38"/>
        <v>3.2662077329725592E-2</v>
      </c>
      <c r="AF63">
        <f t="shared" si="38"/>
        <v>8.252373216836759E-3</v>
      </c>
    </row>
    <row r="64" spans="1:32" x14ac:dyDescent="0.2">
      <c r="A64">
        <v>2023.25</v>
      </c>
      <c r="B64">
        <f t="shared" ref="B64:H64" si="39">1000*B16*B$49/1000000</f>
        <v>7.8053088906694171E-2</v>
      </c>
      <c r="C64">
        <f t="shared" si="39"/>
        <v>6.2091161775687818E-2</v>
      </c>
      <c r="D64">
        <f t="shared" si="39"/>
        <v>3.1602826906425077</v>
      </c>
      <c r="E64">
        <f t="shared" si="39"/>
        <v>3.9443709924095981E-3</v>
      </c>
      <c r="F64">
        <f t="shared" si="39"/>
        <v>1.5845810501799891</v>
      </c>
      <c r="G64">
        <f t="shared" si="39"/>
        <v>1.4080954653056124E-2</v>
      </c>
      <c r="H64">
        <f t="shared" si="39"/>
        <v>0.32344694442953287</v>
      </c>
      <c r="I64">
        <f t="shared" ref="I64:P64" si="40">1000*I16*I$49/1000000</f>
        <v>0</v>
      </c>
      <c r="J64">
        <f t="shared" si="40"/>
        <v>7.1486933816382727E-4</v>
      </c>
      <c r="K64">
        <f t="shared" si="40"/>
        <v>7.246563396423685E-6</v>
      </c>
      <c r="L64">
        <f t="shared" si="40"/>
        <v>4.1728275596979587E-4</v>
      </c>
      <c r="M64">
        <f t="shared" si="40"/>
        <v>5.0741296663517551E-5</v>
      </c>
      <c r="N64">
        <f t="shared" si="40"/>
        <v>1.0292053259741841E-4</v>
      </c>
      <c r="O64">
        <f t="shared" si="40"/>
        <v>4.3176734209158862E-4</v>
      </c>
      <c r="P64">
        <f t="shared" si="40"/>
        <v>1.1382944440398611E-4</v>
      </c>
      <c r="R64">
        <f t="shared" ref="R64:AF64" si="41">1000*R16*R$49/1000000</f>
        <v>1.480081587465952E-3</v>
      </c>
      <c r="S64">
        <f t="shared" si="41"/>
        <v>0</v>
      </c>
      <c r="T64">
        <f t="shared" si="41"/>
        <v>0</v>
      </c>
      <c r="U64">
        <f t="shared" si="41"/>
        <v>1.004470566604327E-4</v>
      </c>
      <c r="V64">
        <f t="shared" si="41"/>
        <v>0</v>
      </c>
      <c r="W64">
        <f t="shared" si="41"/>
        <v>0</v>
      </c>
      <c r="X64">
        <f t="shared" si="41"/>
        <v>1.0429790215518104E-4</v>
      </c>
      <c r="Z64">
        <f t="shared" si="41"/>
        <v>9.5550845340489021E-2</v>
      </c>
      <c r="AA64">
        <f t="shared" si="41"/>
        <v>4.8655497090273316E-5</v>
      </c>
      <c r="AB64">
        <f t="shared" si="41"/>
        <v>1.3322421933714584E-2</v>
      </c>
      <c r="AC64">
        <f t="shared" si="41"/>
        <v>6.5445917329271606E-3</v>
      </c>
      <c r="AD64">
        <f t="shared" si="41"/>
        <v>1.5719654931624569E-2</v>
      </c>
      <c r="AE64">
        <f t="shared" si="41"/>
        <v>4.4691328596022248E-2</v>
      </c>
      <c r="AF64">
        <f t="shared" si="41"/>
        <v>1.1608212457403747E-2</v>
      </c>
    </row>
    <row r="65" spans="1:32" x14ac:dyDescent="0.2">
      <c r="A65">
        <v>2023.5</v>
      </c>
      <c r="B65">
        <f t="shared" ref="B65:H65" si="42">1000*B17*B$49/1000000</f>
        <v>0.13047085192687735</v>
      </c>
      <c r="C65">
        <f t="shared" si="42"/>
        <v>0.10378944494672993</v>
      </c>
      <c r="D65">
        <f t="shared" si="42"/>
        <v>5.3433288139886015</v>
      </c>
      <c r="E65">
        <f t="shared" si="42"/>
        <v>6.5932745379306355E-3</v>
      </c>
      <c r="F65">
        <f t="shared" si="42"/>
        <v>2.6261082572187573</v>
      </c>
      <c r="G65">
        <f t="shared" si="42"/>
        <v>2.4386311796066113E-2</v>
      </c>
      <c r="H65">
        <f t="shared" si="42"/>
        <v>0.56384446659077203</v>
      </c>
      <c r="I65">
        <f t="shared" ref="I65:P65" si="43">1000*I17*I$49/1000000</f>
        <v>0</v>
      </c>
      <c r="J65">
        <f t="shared" si="43"/>
        <v>1.194950934973674E-3</v>
      </c>
      <c r="K65">
        <f t="shared" si="43"/>
        <v>1.2113105491619264E-5</v>
      </c>
      <c r="L65">
        <f t="shared" si="43"/>
        <v>7.0553149569688482E-4</v>
      </c>
      <c r="M65">
        <f t="shared" si="43"/>
        <v>8.4817401800427305E-5</v>
      </c>
      <c r="N65">
        <f t="shared" si="43"/>
        <v>1.7056903492612905E-4</v>
      </c>
      <c r="O65">
        <f t="shared" si="43"/>
        <v>7.4776272540008279E-4</v>
      </c>
      <c r="P65">
        <f t="shared" si="43"/>
        <v>1.9976104324099055E-4</v>
      </c>
      <c r="R65">
        <f t="shared" ref="R65:AF65" si="44">1000*R17*R$49/1000000</f>
        <v>2.4740533442412678E-3</v>
      </c>
      <c r="S65">
        <f t="shared" si="44"/>
        <v>0</v>
      </c>
      <c r="T65">
        <f t="shared" si="44"/>
        <v>0</v>
      </c>
      <c r="U65">
        <f t="shared" si="44"/>
        <v>1.6790383621717239E-4</v>
      </c>
      <c r="V65">
        <f t="shared" si="44"/>
        <v>0</v>
      </c>
      <c r="W65">
        <f t="shared" si="44"/>
        <v>0</v>
      </c>
      <c r="X65">
        <f t="shared" si="44"/>
        <v>1.8088616244551489E-4</v>
      </c>
      <c r="Z65">
        <f t="shared" si="44"/>
        <v>0.15971949820986145</v>
      </c>
      <c r="AA65">
        <f t="shared" si="44"/>
        <v>8.133085115801505E-5</v>
      </c>
      <c r="AB65">
        <f t="shared" si="44"/>
        <v>2.2525225734175779E-2</v>
      </c>
      <c r="AC65">
        <f t="shared" si="44"/>
        <v>1.0939713864871435E-2</v>
      </c>
      <c r="AD65">
        <f t="shared" si="44"/>
        <v>2.6052006372207819E-2</v>
      </c>
      <c r="AE65">
        <f t="shared" si="44"/>
        <v>7.7399345468845929E-2</v>
      </c>
      <c r="AF65">
        <f t="shared" si="44"/>
        <v>2.0327496085336568E-2</v>
      </c>
    </row>
    <row r="66" spans="1:32" x14ac:dyDescent="0.2">
      <c r="A66">
        <v>2023.75</v>
      </c>
      <c r="B66">
        <f t="shared" ref="B66:H66" si="45">1000*B18*B$49/1000000</f>
        <v>0.18012658812461443</v>
      </c>
      <c r="C66">
        <f t="shared" si="45"/>
        <v>0.14329053827348168</v>
      </c>
      <c r="D66">
        <f t="shared" si="45"/>
        <v>7.4041190550512361</v>
      </c>
      <c r="E66">
        <f t="shared" si="45"/>
        <v>9.1026005390993057E-3</v>
      </c>
      <c r="F66">
        <f t="shared" si="45"/>
        <v>3.6110602625232726</v>
      </c>
      <c r="G66">
        <f t="shared" si="45"/>
        <v>3.4490010119027081E-2</v>
      </c>
      <c r="H66">
        <f t="shared" si="45"/>
        <v>0.83033674287146608</v>
      </c>
      <c r="I66">
        <f t="shared" ref="I66:P66" si="46">1000*I18*I$49/1000000</f>
        <v>0</v>
      </c>
      <c r="J66">
        <f t="shared" si="46"/>
        <v>1.6497357970327274E-3</v>
      </c>
      <c r="K66">
        <f t="shared" si="46"/>
        <v>1.6723216960534257E-5</v>
      </c>
      <c r="L66">
        <f t="shared" si="46"/>
        <v>9.7763760627126708E-4</v>
      </c>
      <c r="M66">
        <f t="shared" si="46"/>
        <v>1.1709794926814776E-4</v>
      </c>
      <c r="N66">
        <f t="shared" si="46"/>
        <v>2.345429067311222E-4</v>
      </c>
      <c r="O66">
        <f t="shared" si="46"/>
        <v>1.0575746009218374E-3</v>
      </c>
      <c r="P66">
        <f t="shared" si="46"/>
        <v>2.9607613610563559E-4</v>
      </c>
      <c r="R66">
        <f t="shared" ref="R66:AF66" si="47">1000*R18*R$49/1000000</f>
        <v>3.4156501713212798E-3</v>
      </c>
      <c r="S66">
        <f t="shared" si="47"/>
        <v>0</v>
      </c>
      <c r="T66">
        <f t="shared" si="47"/>
        <v>0</v>
      </c>
      <c r="U66">
        <f t="shared" si="47"/>
        <v>2.3180614446959857E-4</v>
      </c>
      <c r="V66">
        <f t="shared" si="47"/>
        <v>0</v>
      </c>
      <c r="W66">
        <f t="shared" si="47"/>
        <v>0</v>
      </c>
      <c r="X66">
        <f t="shared" si="47"/>
        <v>2.6601935489762386E-4</v>
      </c>
      <c r="Z66">
        <f t="shared" si="47"/>
        <v>0.22050693963155746</v>
      </c>
      <c r="AA66">
        <f t="shared" si="47"/>
        <v>1.1228445673501575E-4</v>
      </c>
      <c r="AB66">
        <f t="shared" si="47"/>
        <v>3.1212650181871655E-2</v>
      </c>
      <c r="AC66">
        <f t="shared" si="47"/>
        <v>1.5103245701524361E-2</v>
      </c>
      <c r="AD66">
        <f t="shared" si="47"/>
        <v>3.582310999978177E-2</v>
      </c>
      <c r="AE66">
        <f t="shared" si="47"/>
        <v>0.10946732046857537</v>
      </c>
      <c r="AF66">
        <f t="shared" si="47"/>
        <v>3.0107316922855516E-2</v>
      </c>
    </row>
    <row r="67" spans="1:32" x14ac:dyDescent="0.2">
      <c r="A67">
        <v>2024</v>
      </c>
      <c r="B67">
        <f t="shared" ref="B67:H67" si="48">1000*B19*B$49/1000000</f>
        <v>0.26032679340911241</v>
      </c>
      <c r="C67">
        <f t="shared" si="48"/>
        <v>0.20708972918975627</v>
      </c>
      <c r="D67">
        <f t="shared" si="48"/>
        <v>10.721053677095963</v>
      </c>
      <c r="E67">
        <f t="shared" si="48"/>
        <v>1.3155474906283229E-2</v>
      </c>
      <c r="F67">
        <f t="shared" si="48"/>
        <v>5.1991840533414413</v>
      </c>
      <c r="G67">
        <f t="shared" si="48"/>
        <v>5.1351968900151694E-2</v>
      </c>
      <c r="H67">
        <f t="shared" si="48"/>
        <v>1.2440616993987232</v>
      </c>
      <c r="I67">
        <f t="shared" ref="I67:P67" si="49">1000*I19*I$49/1000000</f>
        <v>0</v>
      </c>
      <c r="J67">
        <f t="shared" si="49"/>
        <v>2.3842700541057359E-3</v>
      </c>
      <c r="K67">
        <f t="shared" si="49"/>
        <v>2.4169121794551202E-5</v>
      </c>
      <c r="L67">
        <f t="shared" si="49"/>
        <v>1.4156046351566037E-3</v>
      </c>
      <c r="M67">
        <f t="shared" si="49"/>
        <v>1.6923505832837233E-4</v>
      </c>
      <c r="N67">
        <f t="shared" si="49"/>
        <v>3.3769354478972518E-4</v>
      </c>
      <c r="O67">
        <f t="shared" si="49"/>
        <v>1.5746164709348164E-3</v>
      </c>
      <c r="P67">
        <f t="shared" si="49"/>
        <v>4.4722747279224358E-4</v>
      </c>
      <c r="R67">
        <f t="shared" ref="R67:AF67" si="50">1000*R19*R$49/1000000</f>
        <v>4.9364464500499042E-3</v>
      </c>
      <c r="S67">
        <f t="shared" si="50"/>
        <v>0</v>
      </c>
      <c r="T67">
        <f t="shared" si="50"/>
        <v>0</v>
      </c>
      <c r="U67">
        <f t="shared" si="50"/>
        <v>3.3501633995616553E-4</v>
      </c>
      <c r="V67">
        <f t="shared" si="50"/>
        <v>0</v>
      </c>
      <c r="W67">
        <f t="shared" si="50"/>
        <v>0</v>
      </c>
      <c r="X67">
        <f t="shared" si="50"/>
        <v>3.985431484878641E-4</v>
      </c>
      <c r="Z67">
        <f t="shared" si="50"/>
        <v>0.3186862368093441</v>
      </c>
      <c r="AA67">
        <f t="shared" si="50"/>
        <v>1.6227838919198663E-4</v>
      </c>
      <c r="AB67">
        <f t="shared" si="50"/>
        <v>4.519545073710992E-2</v>
      </c>
      <c r="AC67">
        <f t="shared" si="50"/>
        <v>2.1827868747659445E-2</v>
      </c>
      <c r="AD67">
        <f t="shared" si="50"/>
        <v>5.1577910284392924E-2</v>
      </c>
      <c r="AE67">
        <f t="shared" si="50"/>
        <v>0.16298523592441877</v>
      </c>
      <c r="AF67">
        <f t="shared" si="50"/>
        <v>4.5465770296645447E-2</v>
      </c>
    </row>
    <row r="68" spans="1:32" x14ac:dyDescent="0.2">
      <c r="A68">
        <v>2024.25</v>
      </c>
      <c r="B68">
        <f t="shared" ref="B68:H68" si="51">1000*B20*B$49/1000000</f>
        <v>0.34598609857085733</v>
      </c>
      <c r="C68">
        <f t="shared" si="51"/>
        <v>0.27523162913107635</v>
      </c>
      <c r="D68">
        <f t="shared" si="51"/>
        <v>14.251664773462545</v>
      </c>
      <c r="E68">
        <f t="shared" si="51"/>
        <v>1.7484221958355001E-2</v>
      </c>
      <c r="F68">
        <f t="shared" si="51"/>
        <v>6.8925708852376095</v>
      </c>
      <c r="G68">
        <f t="shared" si="51"/>
        <v>6.9933426920743461E-2</v>
      </c>
      <c r="H68">
        <f t="shared" si="51"/>
        <v>1.7375584985382471</v>
      </c>
      <c r="I68">
        <f t="shared" ref="I68:P68" si="52">1000*I20*I$49/1000000</f>
        <v>0</v>
      </c>
      <c r="J68">
        <f t="shared" si="52"/>
        <v>3.16880288485317E-3</v>
      </c>
      <c r="K68">
        <f t="shared" si="52"/>
        <v>3.21218574779554E-5</v>
      </c>
      <c r="L68">
        <f t="shared" si="52"/>
        <v>1.8817854400927172E-3</v>
      </c>
      <c r="M68">
        <f t="shared" si="52"/>
        <v>2.2492105712848011E-4</v>
      </c>
      <c r="N68">
        <f t="shared" si="52"/>
        <v>4.4768114978627123E-4</v>
      </c>
      <c r="O68">
        <f t="shared" si="52"/>
        <v>2.1443837160836435E-3</v>
      </c>
      <c r="P68">
        <f t="shared" si="52"/>
        <v>6.2944159851109399E-4</v>
      </c>
      <c r="R68">
        <f t="shared" ref="R68:AF68" si="53">1000*R20*R$49/1000000</f>
        <v>6.5607609024424781E-3</v>
      </c>
      <c r="S68">
        <f t="shared" si="53"/>
        <v>0</v>
      </c>
      <c r="T68">
        <f t="shared" si="53"/>
        <v>0</v>
      </c>
      <c r="U68">
        <f t="shared" si="53"/>
        <v>4.4525188860127695E-4</v>
      </c>
      <c r="V68">
        <f t="shared" si="53"/>
        <v>0</v>
      </c>
      <c r="W68">
        <f t="shared" si="53"/>
        <v>0</v>
      </c>
      <c r="X68">
        <f t="shared" si="53"/>
        <v>5.5703989767730505E-4</v>
      </c>
      <c r="Z68">
        <f t="shared" si="53"/>
        <v>0.42354844193319124</v>
      </c>
      <c r="AA68">
        <f t="shared" si="53"/>
        <v>2.1567532878055763E-4</v>
      </c>
      <c r="AB68">
        <f t="shared" si="53"/>
        <v>6.0079021390116102E-2</v>
      </c>
      <c r="AC68">
        <f t="shared" si="53"/>
        <v>2.9010226143918249E-2</v>
      </c>
      <c r="AD68">
        <f t="shared" si="53"/>
        <v>6.8376960519242747E-2</v>
      </c>
      <c r="AE68">
        <f t="shared" si="53"/>
        <v>0.22196064395978407</v>
      </c>
      <c r="AF68">
        <f t="shared" si="53"/>
        <v>6.3992860906981808E-2</v>
      </c>
    </row>
    <row r="69" spans="1:32" x14ac:dyDescent="0.2">
      <c r="A69">
        <v>2024.5</v>
      </c>
      <c r="B69">
        <f t="shared" ref="B69:H69" si="54">1000*B21*B$49/1000000</f>
        <v>0.47345076864657565</v>
      </c>
      <c r="C69">
        <f t="shared" si="54"/>
        <v>0.37662965912854546</v>
      </c>
      <c r="D69">
        <f t="shared" si="54"/>
        <v>19.487616203948583</v>
      </c>
      <c r="E69">
        <f t="shared" si="54"/>
        <v>2.3925580708483895E-2</v>
      </c>
      <c r="F69">
        <f t="shared" si="54"/>
        <v>9.4082402602084141</v>
      </c>
      <c r="G69">
        <f t="shared" si="54"/>
        <v>9.8421855046085263E-2</v>
      </c>
      <c r="H69">
        <f t="shared" si="54"/>
        <v>2.4115560543789458</v>
      </c>
      <c r="I69">
        <f t="shared" ref="I69:P69" si="55">1000*I21*I$49/1000000</f>
        <v>0</v>
      </c>
      <c r="J69">
        <f t="shared" si="55"/>
        <v>4.3362209282982707E-3</v>
      </c>
      <c r="K69">
        <f t="shared" si="55"/>
        <v>4.3955864631882437E-5</v>
      </c>
      <c r="L69">
        <f t="shared" si="55"/>
        <v>2.5731388590468324E-3</v>
      </c>
      <c r="M69">
        <f t="shared" si="55"/>
        <v>3.0778417925502436E-4</v>
      </c>
      <c r="N69">
        <f t="shared" si="55"/>
        <v>6.1107704037930875E-4</v>
      </c>
      <c r="O69">
        <f t="shared" si="55"/>
        <v>3.0179305170724823E-3</v>
      </c>
      <c r="P69">
        <f t="shared" si="55"/>
        <v>8.8089836341508586E-4</v>
      </c>
      <c r="R69">
        <f t="shared" ref="R69:AF69" si="56">1000*R21*R$49/1000000</f>
        <v>8.9778095276034607E-3</v>
      </c>
      <c r="S69">
        <f t="shared" si="56"/>
        <v>0</v>
      </c>
      <c r="T69">
        <f t="shared" si="56"/>
        <v>0</v>
      </c>
      <c r="U69">
        <f t="shared" si="56"/>
        <v>6.0928704872933385E-4</v>
      </c>
      <c r="V69">
        <f t="shared" si="56"/>
        <v>0</v>
      </c>
      <c r="W69">
        <f t="shared" si="56"/>
        <v>0</v>
      </c>
      <c r="X69">
        <f t="shared" si="56"/>
        <v>7.7407726047345191E-4</v>
      </c>
      <c r="Z69">
        <f t="shared" si="56"/>
        <v>0.57958783957113491</v>
      </c>
      <c r="AA69">
        <f t="shared" si="56"/>
        <v>2.9513223395692483E-4</v>
      </c>
      <c r="AB69">
        <f t="shared" si="56"/>
        <v>8.2151589261311719E-2</v>
      </c>
      <c r="AC69">
        <f t="shared" si="56"/>
        <v>3.9697877814117426E-2</v>
      </c>
      <c r="AD69">
        <f t="shared" si="56"/>
        <v>9.333337060133029E-2</v>
      </c>
      <c r="AE69">
        <f t="shared" si="56"/>
        <v>0.31237963428424198</v>
      </c>
      <c r="AF69">
        <f t="shared" si="56"/>
        <v>8.9576915612541289E-2</v>
      </c>
    </row>
    <row r="70" spans="1:32" x14ac:dyDescent="0.2">
      <c r="A70">
        <v>2024.75</v>
      </c>
      <c r="B70">
        <f t="shared" ref="B70:H70" si="57">1000*B22*B$49/1000000</f>
        <v>0.57817932453788168</v>
      </c>
      <c r="C70">
        <f t="shared" si="57"/>
        <v>0.45994113081360183</v>
      </c>
      <c r="D70">
        <f t="shared" si="57"/>
        <v>23.77524924644705</v>
      </c>
      <c r="E70">
        <f t="shared" si="57"/>
        <v>2.921798212040529E-2</v>
      </c>
      <c r="F70">
        <f t="shared" si="57"/>
        <v>11.471814622324212</v>
      </c>
      <c r="G70">
        <f t="shared" si="57"/>
        <v>0.12250771612886582</v>
      </c>
      <c r="H70">
        <f t="shared" si="57"/>
        <v>3.0819867125225557</v>
      </c>
      <c r="I70">
        <f t="shared" ref="I70:P70" si="58">1000*I22*I$49/1000000</f>
        <v>0</v>
      </c>
      <c r="J70">
        <f t="shared" si="58"/>
        <v>5.295404408229073E-3</v>
      </c>
      <c r="K70">
        <f t="shared" si="58"/>
        <v>5.36790175565473E-5</v>
      </c>
      <c r="L70">
        <f t="shared" si="58"/>
        <v>3.1392766092735924E-3</v>
      </c>
      <c r="M70">
        <f t="shared" si="58"/>
        <v>3.7586684962794247E-4</v>
      </c>
      <c r="N70">
        <f t="shared" si="58"/>
        <v>7.451087911560908E-4</v>
      </c>
      <c r="O70">
        <f t="shared" si="58"/>
        <v>3.7564804576081046E-3</v>
      </c>
      <c r="P70">
        <f t="shared" si="58"/>
        <v>1.1335830375424813E-3</v>
      </c>
      <c r="R70">
        <f t="shared" ref="R70:AF70" si="59">1000*R22*R$49/1000000</f>
        <v>1.0963724619854559E-2</v>
      </c>
      <c r="S70">
        <f t="shared" si="59"/>
        <v>0</v>
      </c>
      <c r="T70">
        <f t="shared" si="59"/>
        <v>0</v>
      </c>
      <c r="U70">
        <f t="shared" si="59"/>
        <v>7.4406294722266161E-4</v>
      </c>
      <c r="V70">
        <f t="shared" si="59"/>
        <v>0</v>
      </c>
      <c r="W70">
        <f t="shared" si="59"/>
        <v>0</v>
      </c>
      <c r="X70">
        <f t="shared" si="59"/>
        <v>9.9052683801512369E-4</v>
      </c>
      <c r="Z70">
        <f t="shared" si="59"/>
        <v>0.70779419484639305</v>
      </c>
      <c r="AA70">
        <f t="shared" si="59"/>
        <v>3.6041626073681751E-4</v>
      </c>
      <c r="AB70">
        <f t="shared" si="59"/>
        <v>0.10022644587405598</v>
      </c>
      <c r="AC70">
        <f t="shared" si="59"/>
        <v>4.8479152849971355E-2</v>
      </c>
      <c r="AD70">
        <f t="shared" si="59"/>
        <v>0.11380482385676519</v>
      </c>
      <c r="AE70">
        <f t="shared" si="59"/>
        <v>0.38882538378710424</v>
      </c>
      <c r="AF70">
        <f t="shared" si="59"/>
        <v>0.11530203460389887</v>
      </c>
    </row>
    <row r="71" spans="1:32" s="6" customFormat="1" x14ac:dyDescent="0.2">
      <c r="A71" s="6">
        <v>2025</v>
      </c>
      <c r="B71" s="6">
        <f t="shared" ref="B71:H71" si="60">1000*B23*B$49/1000000</f>
        <v>0.72421459032095659</v>
      </c>
      <c r="C71" s="6">
        <f t="shared" si="60"/>
        <v>0.57611205293472234</v>
      </c>
      <c r="D71" s="6">
        <f t="shared" si="60"/>
        <v>29.73424308585675</v>
      </c>
      <c r="E71" s="6">
        <f t="shared" si="60"/>
        <v>3.6597795966237405E-2</v>
      </c>
      <c r="F71" s="6">
        <f t="shared" si="60"/>
        <v>14.344665058470543</v>
      </c>
      <c r="G71" s="6">
        <f t="shared" si="60"/>
        <v>0.15702668618389182</v>
      </c>
      <c r="H71" s="6">
        <f t="shared" si="60"/>
        <v>3.8888147217358267</v>
      </c>
      <c r="I71" s="6">
        <f t="shared" ref="I71:P71" si="61">1000*I23*I$49/1000000</f>
        <v>0</v>
      </c>
      <c r="J71" s="6">
        <f t="shared" si="61"/>
        <v>6.6329060402749484E-3</v>
      </c>
      <c r="K71" s="6">
        <f t="shared" si="61"/>
        <v>6.7237146087189919E-5</v>
      </c>
      <c r="L71" s="6">
        <f t="shared" si="61"/>
        <v>3.9261003258602798E-3</v>
      </c>
      <c r="M71" s="6">
        <f t="shared" si="61"/>
        <v>4.7080247419102259E-4</v>
      </c>
      <c r="N71" s="6">
        <f t="shared" si="61"/>
        <v>9.3170404100293282E-4</v>
      </c>
      <c r="O71" s="6">
        <f t="shared" si="61"/>
        <v>4.814943063278304E-3</v>
      </c>
      <c r="P71" s="6">
        <f t="shared" si="61"/>
        <v>1.4407266594832302E-3</v>
      </c>
      <c r="R71" s="6">
        <f t="shared" ref="R71:AF71" si="62">1000*R23*R$49/1000000</f>
        <v>1.3732918139724192E-2</v>
      </c>
      <c r="S71" s="6">
        <f t="shared" si="62"/>
        <v>0</v>
      </c>
      <c r="T71" s="6">
        <f t="shared" si="62"/>
        <v>0</v>
      </c>
      <c r="U71" s="6">
        <f t="shared" si="62"/>
        <v>9.3199673462304473E-4</v>
      </c>
      <c r="V71" s="6">
        <f t="shared" si="62"/>
        <v>0</v>
      </c>
      <c r="W71" s="6">
        <f t="shared" si="62"/>
        <v>0</v>
      </c>
      <c r="X71" s="6">
        <f t="shared" si="62"/>
        <v>1.2516812154876157E-3</v>
      </c>
      <c r="Z71" s="6">
        <f t="shared" si="62"/>
        <v>0.88656730031280662</v>
      </c>
      <c r="AA71" s="6">
        <f t="shared" si="62"/>
        <v>4.5144940944256078E-4</v>
      </c>
      <c r="AB71" s="6">
        <f t="shared" si="62"/>
        <v>0.12534705627517223</v>
      </c>
      <c r="AC71" s="6">
        <f t="shared" si="62"/>
        <v>6.0723910956882933E-2</v>
      </c>
      <c r="AD71" s="6">
        <f t="shared" si="62"/>
        <v>0.14230460777205173</v>
      </c>
      <c r="AE71" s="6">
        <f t="shared" si="62"/>
        <v>0.49838461975769882</v>
      </c>
      <c r="AF71" s="6">
        <f t="shared" si="62"/>
        <v>0.14659050821449429</v>
      </c>
    </row>
    <row r="72" spans="1:32" x14ac:dyDescent="0.2">
      <c r="A72">
        <v>2025.25</v>
      </c>
      <c r="B72">
        <f t="shared" ref="B72:H72" si="63">1000*B24*B$49/1000000</f>
        <v>0.88159949248940006</v>
      </c>
      <c r="C72">
        <f t="shared" si="63"/>
        <v>0.70131160055638631</v>
      </c>
      <c r="D72">
        <f t="shared" si="63"/>
        <v>36.094143960173895</v>
      </c>
      <c r="E72">
        <f t="shared" si="63"/>
        <v>4.4551157600631226E-2</v>
      </c>
      <c r="F72">
        <f t="shared" si="63"/>
        <v>17.463424993781818</v>
      </c>
      <c r="G72">
        <f t="shared" si="63"/>
        <v>0.19504460901748047</v>
      </c>
      <c r="H72">
        <f t="shared" si="63"/>
        <v>4.8692128523820495</v>
      </c>
      <c r="I72">
        <f t="shared" ref="I72:P72" si="64">1000*I24*I$49/1000000</f>
        <v>0</v>
      </c>
      <c r="J72">
        <f t="shared" si="64"/>
        <v>8.0743562432852301E-3</v>
      </c>
      <c r="K72">
        <f t="shared" si="64"/>
        <v>8.1848991526989711E-5</v>
      </c>
      <c r="L72">
        <f t="shared" si="64"/>
        <v>4.7658596842201553E-3</v>
      </c>
      <c r="M72">
        <f t="shared" si="64"/>
        <v>5.7311634956928165E-4</v>
      </c>
      <c r="N72">
        <f t="shared" si="64"/>
        <v>1.1342714221724011E-3</v>
      </c>
      <c r="O72">
        <f t="shared" si="64"/>
        <v>5.9806948108090735E-3</v>
      </c>
      <c r="P72">
        <f t="shared" si="64"/>
        <v>1.8172478515131056E-3</v>
      </c>
      <c r="R72">
        <f t="shared" ref="R72:AF72" si="65">1000*R24*R$49/1000000</f>
        <v>1.6717329123421536E-2</v>
      </c>
      <c r="S72">
        <f t="shared" si="65"/>
        <v>0</v>
      </c>
      <c r="T72">
        <f t="shared" si="65"/>
        <v>0</v>
      </c>
      <c r="U72">
        <f t="shared" si="65"/>
        <v>1.1345364471065371E-3</v>
      </c>
      <c r="V72">
        <f t="shared" si="65"/>
        <v>0</v>
      </c>
      <c r="W72">
        <f t="shared" si="65"/>
        <v>0</v>
      </c>
      <c r="X72">
        <f t="shared" si="65"/>
        <v>1.5702711529092656E-3</v>
      </c>
      <c r="Z72">
        <f t="shared" si="65"/>
        <v>1.0792343767433357</v>
      </c>
      <c r="AA72">
        <f t="shared" si="65"/>
        <v>5.4955751453835918E-4</v>
      </c>
      <c r="AB72">
        <f t="shared" si="65"/>
        <v>0.15215772202831321</v>
      </c>
      <c r="AC72">
        <f t="shared" si="65"/>
        <v>7.3920312842405314E-2</v>
      </c>
      <c r="AD72">
        <f t="shared" si="65"/>
        <v>0.1732439087261432</v>
      </c>
      <c r="AE72">
        <f t="shared" si="65"/>
        <v>0.61904912893040354</v>
      </c>
      <c r="AF72">
        <f t="shared" si="65"/>
        <v>0.18501543451838526</v>
      </c>
    </row>
    <row r="73" spans="1:32" x14ac:dyDescent="0.2">
      <c r="A73">
        <v>2025.5</v>
      </c>
      <c r="B73">
        <f t="shared" ref="B73:H73" si="66">1000*B25*B$49/1000000</f>
        <v>1.0889833361536518</v>
      </c>
      <c r="C73">
        <f t="shared" si="66"/>
        <v>0.86628526100964542</v>
      </c>
      <c r="D73">
        <f t="shared" si="66"/>
        <v>44.394974824148804</v>
      </c>
      <c r="E73">
        <f t="shared" si="66"/>
        <v>5.5031188931889991E-2</v>
      </c>
      <c r="F73">
        <f t="shared" si="66"/>
        <v>21.601901805414247</v>
      </c>
      <c r="G73">
        <f t="shared" si="66"/>
        <v>0.24618346686864143</v>
      </c>
      <c r="H73">
        <f t="shared" si="66"/>
        <v>6.0604582237311808</v>
      </c>
      <c r="I73">
        <f t="shared" ref="I73:P73" si="67">1000*I25*I$49/1000000</f>
        <v>0</v>
      </c>
      <c r="J73">
        <f t="shared" si="67"/>
        <v>9.9737346425611047E-3</v>
      </c>
      <c r="K73">
        <f t="shared" si="67"/>
        <v>1.0110281211958036E-4</v>
      </c>
      <c r="L73">
        <f t="shared" si="67"/>
        <v>5.8618988423672306E-3</v>
      </c>
      <c r="M73">
        <f t="shared" si="67"/>
        <v>7.0793388571019735E-4</v>
      </c>
      <c r="N73">
        <f t="shared" si="67"/>
        <v>1.4030706972532783E-3</v>
      </c>
      <c r="O73">
        <f t="shared" si="67"/>
        <v>7.5487766117971261E-3</v>
      </c>
      <c r="P73">
        <f t="shared" si="67"/>
        <v>2.278667807671535E-3</v>
      </c>
      <c r="R73">
        <f t="shared" ref="R73:AF73" si="68">1000*R25*R$49/1000000</f>
        <v>2.0649844964175809E-2</v>
      </c>
      <c r="S73">
        <f t="shared" si="68"/>
        <v>0</v>
      </c>
      <c r="T73">
        <f t="shared" si="68"/>
        <v>0</v>
      </c>
      <c r="U73">
        <f t="shared" si="68"/>
        <v>1.4014201410997781E-3</v>
      </c>
      <c r="V73">
        <f t="shared" si="68"/>
        <v>0</v>
      </c>
      <c r="W73">
        <f t="shared" si="68"/>
        <v>0</v>
      </c>
      <c r="X73">
        <f t="shared" si="68"/>
        <v>1.9588678180210224E-3</v>
      </c>
      <c r="Z73">
        <f t="shared" si="68"/>
        <v>1.3331090388437308</v>
      </c>
      <c r="AA73">
        <f t="shared" si="68"/>
        <v>6.7883316708861096E-4</v>
      </c>
      <c r="AB73">
        <f t="shared" si="68"/>
        <v>0.18715053184805469</v>
      </c>
      <c r="AC73">
        <f t="shared" si="68"/>
        <v>9.1309023626294852E-2</v>
      </c>
      <c r="AD73">
        <f t="shared" si="68"/>
        <v>0.21429919423142052</v>
      </c>
      <c r="AE73">
        <f t="shared" si="68"/>
        <v>0.78135797492583259</v>
      </c>
      <c r="AF73">
        <f t="shared" si="68"/>
        <v>0.23218574756470883</v>
      </c>
    </row>
    <row r="74" spans="1:32" x14ac:dyDescent="0.2">
      <c r="A74">
        <v>2025.75</v>
      </c>
      <c r="B74">
        <f t="shared" ref="B74:H74" si="69">1000*B26*B$49/1000000</f>
        <v>1.295054730192511</v>
      </c>
      <c r="C74">
        <f t="shared" si="69"/>
        <v>1.0302148689705029</v>
      </c>
      <c r="D74">
        <f t="shared" si="69"/>
        <v>52.56659446665553</v>
      </c>
      <c r="E74">
        <f t="shared" si="69"/>
        <v>6.5444896325122626E-2</v>
      </c>
      <c r="F74">
        <f t="shared" si="69"/>
        <v>25.742085367914953</v>
      </c>
      <c r="G74">
        <f t="shared" si="69"/>
        <v>0.29800459553681502</v>
      </c>
      <c r="H74">
        <f t="shared" si="69"/>
        <v>7.4177241295793515</v>
      </c>
      <c r="I74">
        <f t="shared" ref="I74:P74" si="70">1000*I26*I$49/1000000</f>
        <v>0</v>
      </c>
      <c r="J74">
        <f t="shared" si="70"/>
        <v>1.1861092633571019E-2</v>
      </c>
      <c r="K74">
        <f t="shared" si="70"/>
        <v>1.2023478296159436E-4</v>
      </c>
      <c r="L74">
        <f t="shared" si="70"/>
        <v>6.9408769905115898E-3</v>
      </c>
      <c r="M74">
        <f t="shared" si="70"/>
        <v>8.4189821544082511E-4</v>
      </c>
      <c r="N74">
        <f t="shared" si="70"/>
        <v>1.6719808279501264E-3</v>
      </c>
      <c r="O74">
        <f t="shared" si="70"/>
        <v>9.137779029640105E-3</v>
      </c>
      <c r="P74">
        <f t="shared" si="70"/>
        <v>2.8087651050344971E-3</v>
      </c>
      <c r="R74">
        <f t="shared" ref="R74:AF74" si="71">1000*R26*R$49/1000000</f>
        <v>2.4557473480773803E-2</v>
      </c>
      <c r="S74">
        <f t="shared" si="71"/>
        <v>0</v>
      </c>
      <c r="T74">
        <f t="shared" si="71"/>
        <v>0</v>
      </c>
      <c r="U74">
        <f t="shared" si="71"/>
        <v>1.6666148346481636E-3</v>
      </c>
      <c r="V74">
        <f t="shared" si="71"/>
        <v>0</v>
      </c>
      <c r="W74">
        <f t="shared" si="71"/>
        <v>0</v>
      </c>
      <c r="X74">
        <f t="shared" si="71"/>
        <v>2.403281920576995E-3</v>
      </c>
      <c r="Z74">
        <f t="shared" si="71"/>
        <v>1.5853770294730842</v>
      </c>
      <c r="AA74">
        <f t="shared" si="71"/>
        <v>8.0729068559927636E-4</v>
      </c>
      <c r="AB74">
        <f t="shared" si="71"/>
        <v>0.22159864153192965</v>
      </c>
      <c r="AC74">
        <f t="shared" si="71"/>
        <v>0.10858768819563294</v>
      </c>
      <c r="AD74">
        <f t="shared" si="71"/>
        <v>0.25537141136332597</v>
      </c>
      <c r="AE74">
        <f t="shared" si="71"/>
        <v>0.94583226992851122</v>
      </c>
      <c r="AF74">
        <f t="shared" si="71"/>
        <v>0.28646660401768598</v>
      </c>
    </row>
    <row r="75" spans="1:32" x14ac:dyDescent="0.2">
      <c r="A75">
        <v>2026</v>
      </c>
      <c r="B75">
        <f t="shared" ref="B75:H75" si="72">1000*B27*B$49/1000000</f>
        <v>1.5705649433675262</v>
      </c>
      <c r="C75">
        <f t="shared" si="72"/>
        <v>1.2493829948796997</v>
      </c>
      <c r="D75">
        <f t="shared" si="72"/>
        <v>63.392235479420819</v>
      </c>
      <c r="E75">
        <f t="shared" si="72"/>
        <v>7.9367657207260023E-2</v>
      </c>
      <c r="F75">
        <f t="shared" si="72"/>
        <v>31.313575767389391</v>
      </c>
      <c r="G75">
        <f t="shared" si="72"/>
        <v>0.36859327346330251</v>
      </c>
      <c r="H75">
        <f t="shared" si="72"/>
        <v>9.020830724884517</v>
      </c>
      <c r="I75">
        <f t="shared" ref="I75:P75" si="73">1000*I27*I$49/1000000</f>
        <v>0</v>
      </c>
      <c r="J75">
        <f t="shared" si="73"/>
        <v>1.4384423952146246E-2</v>
      </c>
      <c r="K75">
        <f t="shared" si="73"/>
        <v>1.4581355574432944E-4</v>
      </c>
      <c r="L75">
        <f t="shared" si="73"/>
        <v>8.3702913053518672E-3</v>
      </c>
      <c r="M75">
        <f t="shared" si="73"/>
        <v>1.0210038172351885E-3</v>
      </c>
      <c r="N75">
        <f t="shared" si="73"/>
        <v>2.0338561382791118E-3</v>
      </c>
      <c r="O75">
        <f t="shared" si="73"/>
        <v>1.1302254848292346E-2</v>
      </c>
      <c r="P75">
        <f t="shared" si="73"/>
        <v>3.4399273870303732E-3</v>
      </c>
      <c r="R75">
        <f t="shared" ref="R75:AF75" si="74">1000*R27*R$49/1000000</f>
        <v>2.9781835506556314E-2</v>
      </c>
      <c r="S75">
        <f t="shared" si="74"/>
        <v>0</v>
      </c>
      <c r="T75">
        <f t="shared" si="74"/>
        <v>0</v>
      </c>
      <c r="U75">
        <f t="shared" si="74"/>
        <v>2.0211708218737402E-3</v>
      </c>
      <c r="V75">
        <f t="shared" si="74"/>
        <v>0</v>
      </c>
      <c r="W75">
        <f t="shared" si="74"/>
        <v>0</v>
      </c>
      <c r="X75">
        <f t="shared" si="74"/>
        <v>2.9301098570393728E-3</v>
      </c>
      <c r="Z75">
        <f t="shared" si="74"/>
        <v>1.9226504690967308</v>
      </c>
      <c r="AA75">
        <f t="shared" si="74"/>
        <v>9.7903387428335473E-4</v>
      </c>
      <c r="AB75">
        <f t="shared" si="74"/>
        <v>0.26723498846444499</v>
      </c>
      <c r="AC75">
        <f t="shared" si="74"/>
        <v>0.13168865561074267</v>
      </c>
      <c r="AD75">
        <f t="shared" si="74"/>
        <v>0.31064274413904552</v>
      </c>
      <c r="AE75">
        <f t="shared" si="74"/>
        <v>1.1698726051260075</v>
      </c>
      <c r="AF75">
        <f t="shared" si="74"/>
        <v>0.35119913380788226</v>
      </c>
    </row>
    <row r="76" spans="1:32" x14ac:dyDescent="0.2">
      <c r="A76">
        <v>2026.25</v>
      </c>
      <c r="B76">
        <f t="shared" ref="B76:H76" si="75">1000*B28*B$49/1000000</f>
        <v>1.845326498717494</v>
      </c>
      <c r="C76">
        <f t="shared" si="75"/>
        <v>1.4679555641647994</v>
      </c>
      <c r="D76">
        <f t="shared" si="75"/>
        <v>74.152289014098031</v>
      </c>
      <c r="E76">
        <f t="shared" si="75"/>
        <v>9.3252585067671825E-2</v>
      </c>
      <c r="F76">
        <f t="shared" si="75"/>
        <v>36.875562224941042</v>
      </c>
      <c r="G76">
        <f t="shared" si="75"/>
        <v>0.43838805812851694</v>
      </c>
      <c r="H76">
        <f t="shared" si="75"/>
        <v>10.871706412929385</v>
      </c>
      <c r="I76">
        <f t="shared" ref="I76:P76" si="76">1000*I28*I$49/1000000</f>
        <v>0</v>
      </c>
      <c r="J76">
        <f t="shared" si="76"/>
        <v>1.6900898495014076E-2</v>
      </c>
      <c r="K76">
        <f t="shared" si="76"/>
        <v>1.7132282203517006E-4</v>
      </c>
      <c r="L76">
        <f t="shared" si="76"/>
        <v>9.7910454697268928E-3</v>
      </c>
      <c r="M76">
        <f t="shared" si="76"/>
        <v>1.1996227263267735E-3</v>
      </c>
      <c r="N76">
        <f t="shared" si="76"/>
        <v>2.3951141556243414E-3</v>
      </c>
      <c r="O76">
        <f t="shared" si="76"/>
        <v>1.3442387347065352E-2</v>
      </c>
      <c r="P76">
        <f t="shared" si="76"/>
        <v>4.1674769756810262E-3</v>
      </c>
      <c r="R76">
        <f t="shared" ref="R76:AF76" si="77">1000*R28*R$49/1000000</f>
        <v>3.4992001109395342E-2</v>
      </c>
      <c r="S76">
        <f t="shared" si="77"/>
        <v>0</v>
      </c>
      <c r="T76">
        <f t="shared" si="77"/>
        <v>0</v>
      </c>
      <c r="U76">
        <f t="shared" si="77"/>
        <v>2.3747633561978982E-3</v>
      </c>
      <c r="V76">
        <f t="shared" si="77"/>
        <v>0</v>
      </c>
      <c r="W76">
        <f t="shared" si="77"/>
        <v>0</v>
      </c>
      <c r="X76">
        <f t="shared" si="77"/>
        <v>3.5394827115318487E-3</v>
      </c>
      <c r="Z76">
        <f t="shared" si="77"/>
        <v>2.2590074185589235</v>
      </c>
      <c r="AA76">
        <f t="shared" si="77"/>
        <v>1.1503103765218559E-3</v>
      </c>
      <c r="AB76">
        <f t="shared" si="77"/>
        <v>0.31259484618944577</v>
      </c>
      <c r="AC76">
        <f t="shared" si="77"/>
        <v>0.15472684959969812</v>
      </c>
      <c r="AD76">
        <f t="shared" si="77"/>
        <v>0.36581979414677446</v>
      </c>
      <c r="AE76">
        <f t="shared" si="77"/>
        <v>1.3913932145318988</v>
      </c>
      <c r="AF76">
        <f t="shared" si="77"/>
        <v>0.42585427049718838</v>
      </c>
    </row>
    <row r="77" spans="1:32" x14ac:dyDescent="0.2">
      <c r="A77">
        <v>2026.5</v>
      </c>
      <c r="B77">
        <f t="shared" ref="B77:H77" si="78">1000*B29*B$49/1000000</f>
        <v>2.2057190413883681</v>
      </c>
      <c r="C77">
        <f t="shared" si="78"/>
        <v>1.7546475065743912</v>
      </c>
      <c r="D77">
        <f t="shared" si="78"/>
        <v>88.219726839362039</v>
      </c>
      <c r="E77">
        <f t="shared" si="78"/>
        <v>0.11146482895325388</v>
      </c>
      <c r="F77">
        <f t="shared" si="78"/>
        <v>44.17814774746379</v>
      </c>
      <c r="G77">
        <f t="shared" si="78"/>
        <v>0.52916829921290665</v>
      </c>
      <c r="H77">
        <f t="shared" si="78"/>
        <v>12.89651228381849</v>
      </c>
      <c r="I77">
        <f t="shared" ref="I77:P77" si="79">1000*I29*I$49/1000000</f>
        <v>0</v>
      </c>
      <c r="J77">
        <f t="shared" si="79"/>
        <v>2.0201646512383195E-2</v>
      </c>
      <c r="K77">
        <f t="shared" si="79"/>
        <v>2.0478219493948608E-4</v>
      </c>
      <c r="L77">
        <f t="shared" si="79"/>
        <v>1.1648505640154393E-2</v>
      </c>
      <c r="M77">
        <f t="shared" si="79"/>
        <v>1.4339092251589019E-3</v>
      </c>
      <c r="N77">
        <f t="shared" si="79"/>
        <v>2.8694262718968844E-3</v>
      </c>
      <c r="O77">
        <f t="shared" si="79"/>
        <v>1.6226001411111319E-2</v>
      </c>
      <c r="P77">
        <f t="shared" si="79"/>
        <v>4.9621570792316083E-3</v>
      </c>
      <c r="R77">
        <f t="shared" ref="R77:AF77" si="80">1000*R29*R$49/1000000</f>
        <v>4.1825944187610278E-2</v>
      </c>
      <c r="S77">
        <f t="shared" si="80"/>
        <v>0</v>
      </c>
      <c r="T77">
        <f t="shared" si="80"/>
        <v>0</v>
      </c>
      <c r="U77">
        <f t="shared" si="80"/>
        <v>2.8385549967431317E-3</v>
      </c>
      <c r="V77">
        <f t="shared" si="80"/>
        <v>0</v>
      </c>
      <c r="W77">
        <f t="shared" si="80"/>
        <v>0</v>
      </c>
      <c r="X77">
        <f t="shared" si="80"/>
        <v>4.2073137296722053E-3</v>
      </c>
      <c r="Z77">
        <f t="shared" si="80"/>
        <v>2.7001919070776976</v>
      </c>
      <c r="AA77">
        <f t="shared" si="80"/>
        <v>1.3749661660222637E-3</v>
      </c>
      <c r="AB77">
        <f t="shared" si="80"/>
        <v>0.37189724429116783</v>
      </c>
      <c r="AC77">
        <f t="shared" si="80"/>
        <v>0.18494502659192366</v>
      </c>
      <c r="AD77">
        <f t="shared" si="80"/>
        <v>0.43826425794349583</v>
      </c>
      <c r="AE77">
        <f t="shared" si="80"/>
        <v>1.6795192460611621</v>
      </c>
      <c r="AF77">
        <f t="shared" si="80"/>
        <v>0.50743732592722102</v>
      </c>
    </row>
    <row r="78" spans="1:32" x14ac:dyDescent="0.2">
      <c r="A78">
        <v>2026.75</v>
      </c>
      <c r="B78">
        <f t="shared" ref="B78:H78" si="81">1000*B30*B$49/1000000</f>
        <v>2.6071003914270245</v>
      </c>
      <c r="C78">
        <f t="shared" si="81"/>
        <v>2.0739460082491492</v>
      </c>
      <c r="D78">
        <f t="shared" si="81"/>
        <v>103.83731068591014</v>
      </c>
      <c r="E78">
        <f t="shared" si="81"/>
        <v>0.13174842023917027</v>
      </c>
      <c r="F78">
        <f t="shared" si="81"/>
        <v>52.319042857508144</v>
      </c>
      <c r="G78">
        <f t="shared" si="81"/>
        <v>0.62944442012456281</v>
      </c>
      <c r="H78">
        <f t="shared" si="81"/>
        <v>15.533251437093401</v>
      </c>
      <c r="I78">
        <f t="shared" ref="I78:P78" si="82">1000*I30*I$49/1000000</f>
        <v>0</v>
      </c>
      <c r="J78">
        <f t="shared" si="82"/>
        <v>2.3877801089640792E-2</v>
      </c>
      <c r="K78">
        <f t="shared" si="82"/>
        <v>2.4204702891260761E-4</v>
      </c>
      <c r="L78">
        <f t="shared" si="82"/>
        <v>1.3710646615192298E-2</v>
      </c>
      <c r="M78">
        <f t="shared" si="82"/>
        <v>1.6948420138901868E-3</v>
      </c>
      <c r="N78">
        <f t="shared" si="82"/>
        <v>3.398187650464621E-3</v>
      </c>
      <c r="O78">
        <f t="shared" si="82"/>
        <v>1.9300789681371361E-2</v>
      </c>
      <c r="P78">
        <f t="shared" si="82"/>
        <v>5.9954322499067344E-3</v>
      </c>
      <c r="R78">
        <f t="shared" ref="R78:AF78" si="83">1000*R30*R$49/1000000</f>
        <v>4.9437137467284446E-2</v>
      </c>
      <c r="S78">
        <f t="shared" si="83"/>
        <v>0</v>
      </c>
      <c r="T78">
        <f t="shared" si="83"/>
        <v>0</v>
      </c>
      <c r="U78">
        <f t="shared" si="83"/>
        <v>3.3550954152520023E-3</v>
      </c>
      <c r="V78">
        <f t="shared" si="83"/>
        <v>0</v>
      </c>
      <c r="W78">
        <f t="shared" si="83"/>
        <v>0</v>
      </c>
      <c r="X78">
        <f t="shared" si="83"/>
        <v>5.0784909202375769E-3</v>
      </c>
      <c r="Z78">
        <f t="shared" si="83"/>
        <v>3.1915539766294514</v>
      </c>
      <c r="AA78">
        <f t="shared" si="83"/>
        <v>1.6251729084132221E-3</v>
      </c>
      <c r="AB78">
        <f t="shared" si="83"/>
        <v>0.43773440569604771</v>
      </c>
      <c r="AC78">
        <f t="shared" si="83"/>
        <v>0.21860003117930571</v>
      </c>
      <c r="AD78">
        <f t="shared" si="83"/>
        <v>0.51902507604737935</v>
      </c>
      <c r="AE78">
        <f t="shared" si="83"/>
        <v>1.9977841066773154</v>
      </c>
      <c r="AF78">
        <f t="shared" si="83"/>
        <v>0.61356516046803211</v>
      </c>
    </row>
    <row r="79" spans="1:32" x14ac:dyDescent="0.2">
      <c r="A79">
        <v>2027</v>
      </c>
      <c r="B79">
        <f t="shared" ref="B79:H79" si="84">1000*B31*B$49/1000000</f>
        <v>3.1314351503984694</v>
      </c>
      <c r="C79">
        <f t="shared" si="84"/>
        <v>2.4910538357539762</v>
      </c>
      <c r="D79">
        <f t="shared" si="84"/>
        <v>124.1757698267986</v>
      </c>
      <c r="E79">
        <f t="shared" si="84"/>
        <v>0.15824539611249375</v>
      </c>
      <c r="F79">
        <f t="shared" si="84"/>
        <v>62.963549002901921</v>
      </c>
      <c r="G79">
        <f t="shared" si="84"/>
        <v>0.759385829270952</v>
      </c>
      <c r="H79">
        <f t="shared" si="84"/>
        <v>18.612158982463054</v>
      </c>
      <c r="I79">
        <f t="shared" ref="I79:P79" si="85">1000*I31*I$49/1000000</f>
        <v>0</v>
      </c>
      <c r="J79">
        <f t="shared" si="85"/>
        <v>2.8680056162086229E-2</v>
      </c>
      <c r="K79">
        <f t="shared" si="85"/>
        <v>2.9072703793028067E-4</v>
      </c>
      <c r="L79">
        <f t="shared" si="85"/>
        <v>1.6396130514344239E-2</v>
      </c>
      <c r="M79">
        <f t="shared" si="85"/>
        <v>2.035705212626224E-3</v>
      </c>
      <c r="N79">
        <f t="shared" si="85"/>
        <v>4.0895617152977085E-3</v>
      </c>
      <c r="O79">
        <f t="shared" si="85"/>
        <v>2.3285211067359934E-2</v>
      </c>
      <c r="P79">
        <f t="shared" si="85"/>
        <v>7.2001936555937474E-3</v>
      </c>
      <c r="R79">
        <f t="shared" ref="R79:AF79" si="86">1000*R31*R$49/1000000</f>
        <v>5.9379834589108095E-2</v>
      </c>
      <c r="S79">
        <f t="shared" si="86"/>
        <v>0</v>
      </c>
      <c r="T79">
        <f t="shared" si="86"/>
        <v>0</v>
      </c>
      <c r="U79">
        <f t="shared" si="86"/>
        <v>4.0298654209131365E-3</v>
      </c>
      <c r="V79">
        <f t="shared" si="86"/>
        <v>0</v>
      </c>
      <c r="W79">
        <f t="shared" si="86"/>
        <v>0</v>
      </c>
      <c r="X79">
        <f t="shared" si="86"/>
        <v>6.0974852257135786E-3</v>
      </c>
      <c r="Z79">
        <f t="shared" si="86"/>
        <v>3.8334328588478632</v>
      </c>
      <c r="AA79">
        <f t="shared" si="86"/>
        <v>1.9520243975318845E-3</v>
      </c>
      <c r="AB79">
        <f t="shared" si="86"/>
        <v>0.52347279073319231</v>
      </c>
      <c r="AC79">
        <f t="shared" si="86"/>
        <v>0.26256442742444358</v>
      </c>
      <c r="AD79">
        <f t="shared" si="86"/>
        <v>0.62462268085537642</v>
      </c>
      <c r="AE79">
        <f t="shared" si="86"/>
        <v>2.4102031760854428</v>
      </c>
      <c r="AF79">
        <f t="shared" si="86"/>
        <v>0.73736365275517346</v>
      </c>
    </row>
    <row r="80" spans="1:32" x14ac:dyDescent="0.2">
      <c r="A80">
        <v>2027.25</v>
      </c>
      <c r="B80">
        <f t="shared" ref="B80:H80" si="87">1000*B32*B$49/1000000</f>
        <v>3.7419577584988164</v>
      </c>
      <c r="C80">
        <f t="shared" si="87"/>
        <v>2.9767240194489397</v>
      </c>
      <c r="D80">
        <f t="shared" si="87"/>
        <v>147.7858707662752</v>
      </c>
      <c r="E80">
        <f t="shared" si="87"/>
        <v>0.18909782872384076</v>
      </c>
      <c r="F80">
        <f t="shared" si="87"/>
        <v>75.368893667761796</v>
      </c>
      <c r="G80">
        <f t="shared" si="87"/>
        <v>0.9094961931568214</v>
      </c>
      <c r="H80">
        <f t="shared" si="87"/>
        <v>22.291032377318761</v>
      </c>
      <c r="I80">
        <f t="shared" ref="I80:P80" si="88">1000*I32*I$49/1000000</f>
        <v>0</v>
      </c>
      <c r="J80">
        <f t="shared" si="88"/>
        <v>3.4271684871469914E-2</v>
      </c>
      <c r="K80">
        <f t="shared" si="88"/>
        <v>3.4740885342944485E-4</v>
      </c>
      <c r="L80">
        <f t="shared" si="88"/>
        <v>1.9513600991881448E-2</v>
      </c>
      <c r="M80">
        <f t="shared" si="88"/>
        <v>2.4325980097125327E-3</v>
      </c>
      <c r="N80">
        <f t="shared" si="88"/>
        <v>4.8953044570886053E-3</v>
      </c>
      <c r="O80">
        <f t="shared" si="88"/>
        <v>2.7888077451943886E-2</v>
      </c>
      <c r="P80">
        <f t="shared" si="88"/>
        <v>8.6376344178523759E-3</v>
      </c>
      <c r="R80">
        <f t="shared" ref="R80:AF80" si="89">1000*R32*R$49/1000000</f>
        <v>7.0956868677550369E-2</v>
      </c>
      <c r="S80">
        <f t="shared" si="89"/>
        <v>0</v>
      </c>
      <c r="T80">
        <f t="shared" si="89"/>
        <v>0</v>
      </c>
      <c r="U80">
        <f t="shared" si="89"/>
        <v>4.8155511620839924E-3</v>
      </c>
      <c r="V80">
        <f t="shared" si="89"/>
        <v>0</v>
      </c>
      <c r="W80">
        <f t="shared" si="89"/>
        <v>0</v>
      </c>
      <c r="X80">
        <f t="shared" si="89"/>
        <v>7.3170537088637485E-3</v>
      </c>
      <c r="Z80">
        <f t="shared" si="89"/>
        <v>4.5808209778908369</v>
      </c>
      <c r="AA80">
        <f t="shared" si="89"/>
        <v>2.3326023015977013E-3</v>
      </c>
      <c r="AB80">
        <f t="shared" si="89"/>
        <v>0.62300304084171965</v>
      </c>
      <c r="AC80">
        <f t="shared" si="89"/>
        <v>0.31375549839557559</v>
      </c>
      <c r="AD80">
        <f t="shared" si="89"/>
        <v>0.74768848264400478</v>
      </c>
      <c r="AE80">
        <f t="shared" si="89"/>
        <v>2.8866361853087081</v>
      </c>
      <c r="AF80">
        <f t="shared" si="89"/>
        <v>0.88513857519824468</v>
      </c>
    </row>
    <row r="81" spans="1:32" x14ac:dyDescent="0.2">
      <c r="A81">
        <v>2027.5</v>
      </c>
      <c r="B81">
        <f t="shared" ref="B81:H81" si="90">1000*B33*B$49/1000000</f>
        <v>4.5002960354585371</v>
      </c>
      <c r="C81">
        <f t="shared" si="90"/>
        <v>3.5799814343052541</v>
      </c>
      <c r="D81">
        <f t="shared" si="90"/>
        <v>177.02594320791897</v>
      </c>
      <c r="E81">
        <f t="shared" si="90"/>
        <v>0.22742004689575046</v>
      </c>
      <c r="F81">
        <f t="shared" si="90"/>
        <v>90.7911919029617</v>
      </c>
      <c r="G81">
        <f t="shared" si="90"/>
        <v>1.0945129471475468</v>
      </c>
      <c r="H81">
        <f t="shared" si="90"/>
        <v>26.856631879855101</v>
      </c>
      <c r="I81">
        <f t="shared" ref="I81:P81" si="91">1000*I33*I$49/1000000</f>
        <v>0</v>
      </c>
      <c r="J81">
        <f t="shared" si="91"/>
        <v>4.1217121493491909E-2</v>
      </c>
      <c r="K81">
        <f t="shared" si="91"/>
        <v>4.1781409269540823E-4</v>
      </c>
      <c r="L81">
        <f t="shared" si="91"/>
        <v>2.3374451177636497E-2</v>
      </c>
      <c r="M81">
        <f t="shared" si="91"/>
        <v>2.9255838482167892E-3</v>
      </c>
      <c r="N81">
        <f t="shared" si="91"/>
        <v>5.8970021285726258E-3</v>
      </c>
      <c r="O81">
        <f t="shared" si="91"/>
        <v>3.35612859865407E-2</v>
      </c>
      <c r="P81">
        <f t="shared" si="91"/>
        <v>1.0419021323426137E-2</v>
      </c>
      <c r="R81">
        <f t="shared" ref="R81:AF81" si="92">1000*R33*R$49/1000000</f>
        <v>8.533685717666635E-2</v>
      </c>
      <c r="S81">
        <f t="shared" si="92"/>
        <v>0</v>
      </c>
      <c r="T81">
        <f t="shared" si="92"/>
        <v>0</v>
      </c>
      <c r="U81">
        <f t="shared" si="92"/>
        <v>5.7914619036128273E-3</v>
      </c>
      <c r="V81">
        <f t="shared" si="92"/>
        <v>0</v>
      </c>
      <c r="W81">
        <f t="shared" si="92"/>
        <v>0</v>
      </c>
      <c r="X81">
        <f t="shared" si="92"/>
        <v>8.833009836846005E-3</v>
      </c>
      <c r="Z81">
        <f t="shared" si="92"/>
        <v>5.5091617320174402</v>
      </c>
      <c r="AA81">
        <f t="shared" si="92"/>
        <v>2.8053231938120265E-3</v>
      </c>
      <c r="AB81">
        <f t="shared" si="92"/>
        <v>0.74626688163463317</v>
      </c>
      <c r="AC81">
        <f t="shared" si="92"/>
        <v>0.37734061062714497</v>
      </c>
      <c r="AD81">
        <f t="shared" si="92"/>
        <v>0.9006836269961398</v>
      </c>
      <c r="AE81">
        <f t="shared" si="92"/>
        <v>3.4738580571279098</v>
      </c>
      <c r="AF81">
        <f t="shared" si="92"/>
        <v>1.0683536231849324</v>
      </c>
    </row>
    <row r="82" spans="1:32" x14ac:dyDescent="0.2">
      <c r="A82">
        <v>2027.75</v>
      </c>
      <c r="B82">
        <f t="shared" ref="B82:H82" si="93">1000*B34*B$49/1000000</f>
        <v>4.8429161909902074</v>
      </c>
      <c r="C82">
        <f t="shared" si="93"/>
        <v>3.8525354587867087</v>
      </c>
      <c r="D82">
        <f t="shared" si="93"/>
        <v>190.19877716921121</v>
      </c>
      <c r="E82">
        <f t="shared" si="93"/>
        <v>0.24473417272758646</v>
      </c>
      <c r="F82">
        <f t="shared" si="93"/>
        <v>97.764957676530955</v>
      </c>
      <c r="G82">
        <f t="shared" si="93"/>
        <v>1.1774726374348201</v>
      </c>
      <c r="H82">
        <f t="shared" si="93"/>
        <v>30.327808613682091</v>
      </c>
      <c r="I82">
        <f t="shared" ref="I82:P82" si="94">1000*I34*I$49/1000000</f>
        <v>0</v>
      </c>
      <c r="J82">
        <f t="shared" si="94"/>
        <v>4.4355096521223408E-2</v>
      </c>
      <c r="K82">
        <f t="shared" si="94"/>
        <v>4.4962345107865936E-4</v>
      </c>
      <c r="L82">
        <f t="shared" si="94"/>
        <v>2.5113788128592301E-2</v>
      </c>
      <c r="M82">
        <f t="shared" si="94"/>
        <v>3.1483167496079859E-3</v>
      </c>
      <c r="N82">
        <f t="shared" si="94"/>
        <v>6.349956988498451E-3</v>
      </c>
      <c r="O82">
        <f t="shared" si="94"/>
        <v>3.6105096818876789E-2</v>
      </c>
      <c r="P82">
        <f t="shared" si="94"/>
        <v>1.1771519253901649E-2</v>
      </c>
      <c r="R82">
        <f t="shared" ref="R82:AF82" si="95">1000*R34*R$49/1000000</f>
        <v>9.1833791389011835E-2</v>
      </c>
      <c r="S82">
        <f t="shared" si="95"/>
        <v>0</v>
      </c>
      <c r="T82">
        <f t="shared" si="95"/>
        <v>0</v>
      </c>
      <c r="U82">
        <f t="shared" si="95"/>
        <v>6.2323821369790729E-3</v>
      </c>
      <c r="V82">
        <f t="shared" si="95"/>
        <v>0</v>
      </c>
      <c r="W82">
        <f t="shared" si="95"/>
        <v>0</v>
      </c>
      <c r="X82">
        <f t="shared" si="95"/>
        <v>9.9873796880305815E-3</v>
      </c>
      <c r="Z82">
        <f t="shared" si="95"/>
        <v>5.9285896617804248</v>
      </c>
      <c r="AA82">
        <f t="shared" si="95"/>
        <v>3.0189003143852831E-3</v>
      </c>
      <c r="AB82">
        <f t="shared" si="95"/>
        <v>0.80179800630735054</v>
      </c>
      <c r="AC82">
        <f t="shared" si="95"/>
        <v>0.40606860933719319</v>
      </c>
      <c r="AD82">
        <f t="shared" si="95"/>
        <v>0.96986607211122566</v>
      </c>
      <c r="AE82">
        <f t="shared" si="95"/>
        <v>3.7371625609917927</v>
      </c>
      <c r="AF82">
        <f t="shared" si="95"/>
        <v>1.2075177715453504</v>
      </c>
    </row>
    <row r="83" spans="1:32" x14ac:dyDescent="0.2">
      <c r="A83">
        <v>2028</v>
      </c>
      <c r="B83">
        <f t="shared" ref="B83:H83" si="96">1000*B35*B$49/1000000</f>
        <v>5.2925923535774153</v>
      </c>
      <c r="C83">
        <f t="shared" si="96"/>
        <v>4.2102524402536403</v>
      </c>
      <c r="D83">
        <f t="shared" si="96"/>
        <v>207.43917715493265</v>
      </c>
      <c r="E83">
        <f t="shared" si="96"/>
        <v>0.26745831646784685</v>
      </c>
      <c r="F83">
        <f t="shared" si="96"/>
        <v>106.92531437190578</v>
      </c>
      <c r="G83">
        <f t="shared" si="96"/>
        <v>1.2855476069001339</v>
      </c>
      <c r="H83">
        <f t="shared" si="96"/>
        <v>33.962727646751652</v>
      </c>
      <c r="I83">
        <f t="shared" ref="I83:P83" si="97">1000*I35*I$49/1000000</f>
        <v>0</v>
      </c>
      <c r="J83">
        <f t="shared" si="97"/>
        <v>4.8473571590429754E-2</v>
      </c>
      <c r="K83">
        <f t="shared" si="97"/>
        <v>4.9137204637056517E-4</v>
      </c>
      <c r="L83">
        <f t="shared" si="97"/>
        <v>2.7390205248290181E-2</v>
      </c>
      <c r="M83">
        <f t="shared" si="97"/>
        <v>3.4406453670650806E-3</v>
      </c>
      <c r="N83">
        <f t="shared" si="97"/>
        <v>6.9449336795065989E-3</v>
      </c>
      <c r="O83">
        <f t="shared" si="97"/>
        <v>3.9419022860286229E-2</v>
      </c>
      <c r="P83">
        <f t="shared" si="97"/>
        <v>1.3185904422061648E-2</v>
      </c>
      <c r="R83">
        <f t="shared" ref="R83:AF83" si="98">1000*R35*R$49/1000000</f>
        <v>0.10036077498300244</v>
      </c>
      <c r="S83">
        <f t="shared" si="98"/>
        <v>0</v>
      </c>
      <c r="T83">
        <f t="shared" si="98"/>
        <v>0</v>
      </c>
      <c r="U83">
        <f t="shared" si="98"/>
        <v>6.8110734817410784E-3</v>
      </c>
      <c r="V83">
        <f t="shared" si="98"/>
        <v>0</v>
      </c>
      <c r="W83">
        <f t="shared" si="98"/>
        <v>0</v>
      </c>
      <c r="X83">
        <f t="shared" si="98"/>
        <v>1.1198047706704115E-2</v>
      </c>
      <c r="Z83">
        <f t="shared" si="98"/>
        <v>6.4790731604673004</v>
      </c>
      <c r="AA83">
        <f t="shared" si="98"/>
        <v>3.2992123113452228E-3</v>
      </c>
      <c r="AB83">
        <f t="shared" si="98"/>
        <v>0.87447627765183311</v>
      </c>
      <c r="AC83">
        <f t="shared" si="98"/>
        <v>0.44377303509900634</v>
      </c>
      <c r="AD83">
        <f t="shared" si="98"/>
        <v>1.060740342181244</v>
      </c>
      <c r="AE83">
        <f t="shared" si="98"/>
        <v>4.0801800688516812</v>
      </c>
      <c r="AF83">
        <f t="shared" si="98"/>
        <v>1.353111353642402</v>
      </c>
    </row>
    <row r="84" spans="1:32" x14ac:dyDescent="0.2">
      <c r="A84">
        <v>2028.25</v>
      </c>
      <c r="B84">
        <f t="shared" ref="B84:H84" si="99">1000*B36*B$49/1000000</f>
        <v>6.0459115374551127</v>
      </c>
      <c r="C84">
        <f t="shared" si="99"/>
        <v>4.8095171710933666</v>
      </c>
      <c r="D84">
        <f t="shared" si="99"/>
        <v>236.5574997985515</v>
      </c>
      <c r="E84">
        <f t="shared" si="99"/>
        <v>0.30552689746231443</v>
      </c>
      <c r="F84">
        <f t="shared" si="99"/>
        <v>122.26224885065517</v>
      </c>
      <c r="G84">
        <f t="shared" si="99"/>
        <v>1.4721162046390024</v>
      </c>
      <c r="H84">
        <f t="shared" si="99"/>
        <v>38.77798816326829</v>
      </c>
      <c r="I84">
        <f t="shared" ref="I84:P84" si="100">1000*I36*I$49/1000000</f>
        <v>0</v>
      </c>
      <c r="J84">
        <f t="shared" si="100"/>
        <v>5.5373039554452608E-2</v>
      </c>
      <c r="K84">
        <f t="shared" si="100"/>
        <v>5.6131130566416769E-4</v>
      </c>
      <c r="L84">
        <f t="shared" si="100"/>
        <v>3.1234979628102604E-2</v>
      </c>
      <c r="M84">
        <f t="shared" si="100"/>
        <v>3.9303683585171067E-3</v>
      </c>
      <c r="N84">
        <f t="shared" si="100"/>
        <v>7.9410868676223472E-3</v>
      </c>
      <c r="O84">
        <f t="shared" si="100"/>
        <v>4.5139815913616793E-2</v>
      </c>
      <c r="P84">
        <f t="shared" si="100"/>
        <v>1.5070988494614097E-2</v>
      </c>
      <c r="R84">
        <f t="shared" ref="R84:AF84" si="101">1000*R36*R$49/1000000</f>
        <v>0.11464558893668358</v>
      </c>
      <c r="S84">
        <f t="shared" si="101"/>
        <v>0</v>
      </c>
      <c r="T84">
        <f t="shared" si="101"/>
        <v>0</v>
      </c>
      <c r="U84">
        <f t="shared" si="101"/>
        <v>7.7805251178808023E-3</v>
      </c>
      <c r="V84">
        <f t="shared" si="101"/>
        <v>0</v>
      </c>
      <c r="W84">
        <f t="shared" si="101"/>
        <v>0</v>
      </c>
      <c r="X84">
        <f t="shared" si="101"/>
        <v>1.2793731138274846E-2</v>
      </c>
      <c r="Z84">
        <f t="shared" si="101"/>
        <v>7.4012696531233146</v>
      </c>
      <c r="AA84">
        <f t="shared" si="101"/>
        <v>3.7688044808879828E-3</v>
      </c>
      <c r="AB84">
        <f t="shared" si="101"/>
        <v>0.99722687253024811</v>
      </c>
      <c r="AC84">
        <f t="shared" si="101"/>
        <v>0.50693730664955328</v>
      </c>
      <c r="AD84">
        <f t="shared" si="101"/>
        <v>1.2128886451585454</v>
      </c>
      <c r="AE84">
        <f t="shared" si="101"/>
        <v>4.6723273140270782</v>
      </c>
      <c r="AF84">
        <f t="shared" si="101"/>
        <v>1.5469328335059629</v>
      </c>
    </row>
    <row r="85" spans="1:32" x14ac:dyDescent="0.2">
      <c r="A85">
        <v>2028.5</v>
      </c>
      <c r="B85">
        <f t="shared" ref="B85:H85" si="102">1000*B37*B$49/1000000</f>
        <v>6.9908497716169071</v>
      </c>
      <c r="C85">
        <f t="shared" si="102"/>
        <v>5.5612146834815119</v>
      </c>
      <c r="D85">
        <f t="shared" si="102"/>
        <v>273.37730677938981</v>
      </c>
      <c r="E85">
        <f t="shared" si="102"/>
        <v>0.35327884440834834</v>
      </c>
      <c r="F85">
        <f t="shared" si="102"/>
        <v>141.48923918819636</v>
      </c>
      <c r="G85">
        <f t="shared" si="102"/>
        <v>1.7130203956526566</v>
      </c>
      <c r="H85">
        <f t="shared" si="102"/>
        <v>44.201947547213905</v>
      </c>
      <c r="I85">
        <f t="shared" ref="I85:P85" si="103">1000*I37*I$49/1000000</f>
        <v>0</v>
      </c>
      <c r="J85">
        <f t="shared" si="103"/>
        <v>6.4027499993147732E-2</v>
      </c>
      <c r="K85">
        <f t="shared" si="103"/>
        <v>6.4904075898207232E-4</v>
      </c>
      <c r="L85">
        <f t="shared" si="103"/>
        <v>3.6096655634724806E-2</v>
      </c>
      <c r="M85">
        <f t="shared" si="103"/>
        <v>4.5446603992282814E-3</v>
      </c>
      <c r="N85">
        <f t="shared" si="103"/>
        <v>9.1899040774207231E-3</v>
      </c>
      <c r="O85">
        <f t="shared" si="103"/>
        <v>5.2526712954018423E-2</v>
      </c>
      <c r="P85">
        <f t="shared" si="103"/>
        <v>1.7207021786274611E-2</v>
      </c>
      <c r="R85">
        <f t="shared" ref="R85:AF85" si="104">1000*R37*R$49/1000000</f>
        <v>0.13256397885905233</v>
      </c>
      <c r="S85">
        <f t="shared" si="104"/>
        <v>0</v>
      </c>
      <c r="T85">
        <f t="shared" si="104"/>
        <v>0</v>
      </c>
      <c r="U85">
        <f t="shared" si="104"/>
        <v>8.9965726270437411E-3</v>
      </c>
      <c r="V85">
        <f t="shared" si="104"/>
        <v>0</v>
      </c>
      <c r="W85">
        <f t="shared" si="104"/>
        <v>0</v>
      </c>
      <c r="X85">
        <f t="shared" si="104"/>
        <v>1.4582128090527072E-2</v>
      </c>
      <c r="Z85">
        <f t="shared" si="104"/>
        <v>8.5580419004925616</v>
      </c>
      <c r="AA85">
        <f t="shared" si="104"/>
        <v>4.3578450960224842E-3</v>
      </c>
      <c r="AB85">
        <f t="shared" si="104"/>
        <v>1.1524436844847918</v>
      </c>
      <c r="AC85">
        <f t="shared" si="104"/>
        <v>0.58616844332903539</v>
      </c>
      <c r="AD85">
        <f t="shared" si="104"/>
        <v>1.4036278020135993</v>
      </c>
      <c r="AE85">
        <f t="shared" si="104"/>
        <v>5.4369294753168607</v>
      </c>
      <c r="AF85">
        <f t="shared" si="104"/>
        <v>1.7663088623877121</v>
      </c>
    </row>
    <row r="86" spans="1:32" x14ac:dyDescent="0.2">
      <c r="A86">
        <v>2028.75</v>
      </c>
      <c r="B86">
        <f t="shared" ref="B86:H86" si="105">1000*B38*B$49/1000000</f>
        <v>7.6844529675515725</v>
      </c>
      <c r="C86">
        <f t="shared" si="105"/>
        <v>6.1129753998113401</v>
      </c>
      <c r="D86">
        <f t="shared" si="105"/>
        <v>300.61886582399637</v>
      </c>
      <c r="E86">
        <f t="shared" si="105"/>
        <v>0.38832970997444699</v>
      </c>
      <c r="F86">
        <f t="shared" si="105"/>
        <v>155.59409489393315</v>
      </c>
      <c r="G86">
        <f t="shared" si="105"/>
        <v>1.8948685074952845</v>
      </c>
      <c r="H86">
        <f t="shared" si="105"/>
        <v>49.462415207135223</v>
      </c>
      <c r="I86">
        <f t="shared" ref="I86:P86" si="106">1000*I38*I$49/1000000</f>
        <v>0</v>
      </c>
      <c r="J86">
        <f t="shared" si="106"/>
        <v>7.0380043685798505E-2</v>
      </c>
      <c r="K86">
        <f t="shared" si="106"/>
        <v>7.1343589826107089E-4</v>
      </c>
      <c r="L86">
        <f t="shared" si="106"/>
        <v>3.9693622725265769E-2</v>
      </c>
      <c r="M86">
        <f t="shared" si="106"/>
        <v>4.9955628045611012E-3</v>
      </c>
      <c r="N86">
        <f t="shared" si="106"/>
        <v>1.0106032199285664E-2</v>
      </c>
      <c r="O86">
        <f t="shared" si="106"/>
        <v>5.810276073268409E-2</v>
      </c>
      <c r="P86">
        <f t="shared" si="106"/>
        <v>1.9290750414686246E-2</v>
      </c>
      <c r="R86">
        <f t="shared" ref="R86:AF86" si="107">1000*R38*R$49/1000000</f>
        <v>0.1457164284762307</v>
      </c>
      <c r="S86">
        <f t="shared" si="107"/>
        <v>0</v>
      </c>
      <c r="T86">
        <f t="shared" si="107"/>
        <v>0</v>
      </c>
      <c r="U86">
        <f t="shared" si="107"/>
        <v>9.8891753478046289E-3</v>
      </c>
      <c r="V86">
        <f t="shared" si="107"/>
        <v>0</v>
      </c>
      <c r="W86">
        <f t="shared" si="107"/>
        <v>0</v>
      </c>
      <c r="X86">
        <f t="shared" si="107"/>
        <v>1.6308029185322096E-2</v>
      </c>
      <c r="Z86">
        <f t="shared" si="107"/>
        <v>9.4071354165947554</v>
      </c>
      <c r="AA86">
        <f t="shared" si="107"/>
        <v>4.7902124597529044E-3</v>
      </c>
      <c r="AB86">
        <f t="shared" si="107"/>
        <v>1.2672826337974759</v>
      </c>
      <c r="AC86">
        <f t="shared" si="107"/>
        <v>0.64432565152706422</v>
      </c>
      <c r="AD86">
        <f t="shared" si="107"/>
        <v>1.5435534085512728</v>
      </c>
      <c r="AE86">
        <f t="shared" si="107"/>
        <v>6.014094441838588</v>
      </c>
      <c r="AF86">
        <f t="shared" si="107"/>
        <v>1.9800780419424069</v>
      </c>
    </row>
    <row r="87" spans="1:32" x14ac:dyDescent="0.2">
      <c r="A87">
        <v>2029</v>
      </c>
      <c r="B87">
        <f t="shared" ref="B87:H87" si="108">1000*B39*B$49/1000000</f>
        <v>8.5314636846946694</v>
      </c>
      <c r="C87">
        <f t="shared" si="108"/>
        <v>6.7867716607990705</v>
      </c>
      <c r="D87">
        <f t="shared" si="108"/>
        <v>334.14671412013428</v>
      </c>
      <c r="E87">
        <f t="shared" si="108"/>
        <v>0.43113294236097144</v>
      </c>
      <c r="F87">
        <f t="shared" si="108"/>
        <v>172.80871556579564</v>
      </c>
      <c r="G87">
        <f t="shared" si="108"/>
        <v>2.123031093084927</v>
      </c>
      <c r="H87">
        <f t="shared" si="108"/>
        <v>54.982881707875052</v>
      </c>
      <c r="I87">
        <f t="shared" ref="I87:P87" si="109">1000*I39*I$49/1000000</f>
        <v>0</v>
      </c>
      <c r="J87">
        <f t="shared" si="109"/>
        <v>7.8137609712500916E-2</v>
      </c>
      <c r="K87">
        <f t="shared" si="109"/>
        <v>7.9207361709068814E-4</v>
      </c>
      <c r="L87">
        <f t="shared" si="109"/>
        <v>4.4120629518099634E-2</v>
      </c>
      <c r="M87">
        <f t="shared" si="109"/>
        <v>5.5461934417049248E-3</v>
      </c>
      <c r="N87">
        <f t="shared" si="109"/>
        <v>1.122414346775588E-2</v>
      </c>
      <c r="O87">
        <f t="shared" si="109"/>
        <v>6.5098959184569843E-2</v>
      </c>
      <c r="P87">
        <f t="shared" si="109"/>
        <v>2.1489947587110078E-2</v>
      </c>
      <c r="R87">
        <f t="shared" ref="R87:AF87" si="110">1000*R39*R$49/1000000</f>
        <v>0.16177786799630473</v>
      </c>
      <c r="S87">
        <f t="shared" si="110"/>
        <v>0</v>
      </c>
      <c r="T87">
        <f t="shared" si="110"/>
        <v>0</v>
      </c>
      <c r="U87">
        <f t="shared" si="110"/>
        <v>1.0979199262150567E-2</v>
      </c>
      <c r="V87">
        <f t="shared" si="110"/>
        <v>0</v>
      </c>
      <c r="W87">
        <f t="shared" si="110"/>
        <v>0</v>
      </c>
      <c r="X87">
        <f t="shared" si="110"/>
        <v>1.8110359934731896E-2</v>
      </c>
      <c r="Z87">
        <f t="shared" si="110"/>
        <v>10.444026988332867</v>
      </c>
      <c r="AA87">
        <f t="shared" si="110"/>
        <v>5.3182085718946198E-3</v>
      </c>
      <c r="AB87">
        <f t="shared" si="110"/>
        <v>1.40862193323841</v>
      </c>
      <c r="AC87">
        <f t="shared" si="110"/>
        <v>0.71534576635867586</v>
      </c>
      <c r="AD87">
        <f t="shared" si="110"/>
        <v>1.7143290824808273</v>
      </c>
      <c r="AE87">
        <f t="shared" si="110"/>
        <v>6.7382562147544363</v>
      </c>
      <c r="AF87">
        <f t="shared" si="110"/>
        <v>2.2054517182746798</v>
      </c>
    </row>
    <row r="88" spans="1:32" x14ac:dyDescent="0.2">
      <c r="A88">
        <v>2029.25</v>
      </c>
      <c r="B88">
        <f t="shared" ref="B88:H88" si="111">1000*B40*B$49/1000000</f>
        <v>9.5142128180065466</v>
      </c>
      <c r="C88">
        <f t="shared" si="111"/>
        <v>7.5685477093335365</v>
      </c>
      <c r="D88">
        <f t="shared" si="111"/>
        <v>373.34883111615699</v>
      </c>
      <c r="E88">
        <f t="shared" si="111"/>
        <v>0.480795642819692</v>
      </c>
      <c r="F88">
        <f t="shared" si="111"/>
        <v>192.77069091636508</v>
      </c>
      <c r="G88">
        <f t="shared" si="111"/>
        <v>2.3947879266529206</v>
      </c>
      <c r="H88">
        <f t="shared" si="111"/>
        <v>61.601193298872509</v>
      </c>
      <c r="I88">
        <f t="shared" ref="I88:P88" si="112">1000*I40*I$49/1000000</f>
        <v>0</v>
      </c>
      <c r="J88">
        <f t="shared" si="112"/>
        <v>8.7138371019353983E-2</v>
      </c>
      <c r="K88">
        <f t="shared" si="112"/>
        <v>8.833134898116533E-4</v>
      </c>
      <c r="L88">
        <f t="shared" si="112"/>
        <v>4.9296865007534586E-2</v>
      </c>
      <c r="M88">
        <f t="shared" si="112"/>
        <v>6.1850658555667659E-3</v>
      </c>
      <c r="N88">
        <f t="shared" si="112"/>
        <v>1.2520698878754758E-2</v>
      </c>
      <c r="O88">
        <f t="shared" si="112"/>
        <v>7.3431897441665367E-2</v>
      </c>
      <c r="P88">
        <f t="shared" si="112"/>
        <v>2.4141225695314329E-2</v>
      </c>
      <c r="R88">
        <f t="shared" ref="R88:AF88" si="113">1000*R40*R$49/1000000</f>
        <v>0.18041324704007095</v>
      </c>
      <c r="S88">
        <f t="shared" si="113"/>
        <v>0</v>
      </c>
      <c r="T88">
        <f t="shared" si="113"/>
        <v>0</v>
      </c>
      <c r="U88">
        <f t="shared" si="113"/>
        <v>1.2243905877346459E-2</v>
      </c>
      <c r="V88">
        <f t="shared" si="113"/>
        <v>0</v>
      </c>
      <c r="W88">
        <f t="shared" si="113"/>
        <v>0</v>
      </c>
      <c r="X88">
        <f t="shared" si="113"/>
        <v>2.0260643818547891E-2</v>
      </c>
      <c r="Z88">
        <f t="shared" si="113"/>
        <v>11.64708649258689</v>
      </c>
      <c r="AA88">
        <f t="shared" si="113"/>
        <v>5.930819145878243E-3</v>
      </c>
      <c r="AB88">
        <f t="shared" si="113"/>
        <v>1.5738815617084436</v>
      </c>
      <c r="AC88">
        <f t="shared" si="113"/>
        <v>0.79774726953432573</v>
      </c>
      <c r="AD88">
        <f t="shared" si="113"/>
        <v>1.9123595740286747</v>
      </c>
      <c r="AE88">
        <f t="shared" si="113"/>
        <v>7.6007811107184837</v>
      </c>
      <c r="AF88">
        <f t="shared" si="113"/>
        <v>2.4768713362684989</v>
      </c>
    </row>
    <row r="89" spans="1:32" x14ac:dyDescent="0.2">
      <c r="A89">
        <v>2029.5</v>
      </c>
      <c r="B89">
        <f t="shared" ref="B89:H89" si="114">1000*B41*B$49/1000000</f>
        <v>10.712486584728678</v>
      </c>
      <c r="C89">
        <f t="shared" si="114"/>
        <v>8.521773409216447</v>
      </c>
      <c r="D89">
        <f t="shared" si="114"/>
        <v>421.5134540869854</v>
      </c>
      <c r="E89">
        <f t="shared" si="114"/>
        <v>0.54134976505403709</v>
      </c>
      <c r="F89">
        <f t="shared" si="114"/>
        <v>217.09667868978295</v>
      </c>
      <c r="G89">
        <f t="shared" si="114"/>
        <v>2.7346651332292158</v>
      </c>
      <c r="H89">
        <f t="shared" si="114"/>
        <v>68.966074256141894</v>
      </c>
      <c r="I89">
        <f t="shared" ref="I89:P89" si="115">1000*I41*I$49/1000000</f>
        <v>0</v>
      </c>
      <c r="J89">
        <f t="shared" si="115"/>
        <v>9.8113070247205558E-2</v>
      </c>
      <c r="K89">
        <f t="shared" si="115"/>
        <v>9.9456298600011993E-4</v>
      </c>
      <c r="L89">
        <f t="shared" si="115"/>
        <v>5.5656507033554514E-2</v>
      </c>
      <c r="M89">
        <f t="shared" si="115"/>
        <v>6.9640480269711792E-3</v>
      </c>
      <c r="N89">
        <f t="shared" si="115"/>
        <v>1.4100702386504693E-2</v>
      </c>
      <c r="O89">
        <f t="shared" si="115"/>
        <v>8.3853625352642638E-2</v>
      </c>
      <c r="P89">
        <f t="shared" si="115"/>
        <v>2.7107718149811617E-2</v>
      </c>
      <c r="R89">
        <f t="shared" ref="R89:AF89" si="116">1000*R41*R$49/1000000</f>
        <v>0.20313551163858057</v>
      </c>
      <c r="S89">
        <f t="shared" si="116"/>
        <v>0</v>
      </c>
      <c r="T89">
        <f t="shared" si="116"/>
        <v>0</v>
      </c>
      <c r="U89">
        <f t="shared" si="116"/>
        <v>1.3785972624820501E-2</v>
      </c>
      <c r="V89">
        <f t="shared" si="116"/>
        <v>0</v>
      </c>
      <c r="W89">
        <f t="shared" si="116"/>
        <v>0</v>
      </c>
      <c r="X89">
        <f t="shared" si="116"/>
        <v>2.2642011882640714E-2</v>
      </c>
      <c r="Z89">
        <f t="shared" si="116"/>
        <v>13.113986431633528</v>
      </c>
      <c r="AA89">
        <f t="shared" si="116"/>
        <v>6.6777800488579467E-3</v>
      </c>
      <c r="AB89">
        <f t="shared" si="116"/>
        <v>1.7769233438235754</v>
      </c>
      <c r="AC89">
        <f t="shared" si="116"/>
        <v>0.89822007205016019</v>
      </c>
      <c r="AD89">
        <f t="shared" si="116"/>
        <v>2.1536827512972727</v>
      </c>
      <c r="AE89">
        <f t="shared" si="116"/>
        <v>8.6795122263039328</v>
      </c>
      <c r="AF89">
        <f t="shared" si="116"/>
        <v>2.7802517355318463</v>
      </c>
    </row>
    <row r="90" spans="1:32" x14ac:dyDescent="0.2">
      <c r="A90">
        <v>2029.75</v>
      </c>
      <c r="B90">
        <f t="shared" ref="B90:H90" si="117">1000*B42*B$49/1000000</f>
        <v>11.808895521172348</v>
      </c>
      <c r="C90">
        <f t="shared" si="117"/>
        <v>9.3939657285545639</v>
      </c>
      <c r="D90">
        <f t="shared" si="117"/>
        <v>465.91582069441506</v>
      </c>
      <c r="E90">
        <f t="shared" si="117"/>
        <v>0.59675620271465057</v>
      </c>
      <c r="F90">
        <f t="shared" si="117"/>
        <v>239.34216321706145</v>
      </c>
      <c r="G90">
        <f t="shared" si="117"/>
        <v>3.0534020089121019</v>
      </c>
      <c r="H90">
        <f t="shared" si="117"/>
        <v>76.93837311423232</v>
      </c>
      <c r="I90">
        <f t="shared" ref="I90:P90" si="118">1000*I42*I$49/1000000</f>
        <v>0</v>
      </c>
      <c r="J90">
        <f t="shared" si="118"/>
        <v>0.10815481416446865</v>
      </c>
      <c r="K90">
        <f t="shared" si="118"/>
        <v>1.0963552017552497E-3</v>
      </c>
      <c r="L90">
        <f t="shared" si="118"/>
        <v>6.151938188471618E-2</v>
      </c>
      <c r="M90">
        <f t="shared" si="118"/>
        <v>7.6768091987311432E-3</v>
      </c>
      <c r="N90">
        <f t="shared" si="118"/>
        <v>1.5545574591164131E-2</v>
      </c>
      <c r="O90">
        <f t="shared" si="118"/>
        <v>9.362712274902181E-2</v>
      </c>
      <c r="P90">
        <f t="shared" si="118"/>
        <v>3.0336077464219402E-2</v>
      </c>
      <c r="R90">
        <f t="shared" ref="R90:AF90" si="119">1000*R42*R$49/1000000</f>
        <v>0.22392616453770275</v>
      </c>
      <c r="S90">
        <f t="shared" si="119"/>
        <v>0</v>
      </c>
      <c r="T90">
        <f t="shared" si="119"/>
        <v>0</v>
      </c>
      <c r="U90">
        <f t="shared" si="119"/>
        <v>1.5196948821977982E-2</v>
      </c>
      <c r="V90">
        <f t="shared" si="119"/>
        <v>0</v>
      </c>
      <c r="W90">
        <f t="shared" si="119"/>
        <v>0</v>
      </c>
      <c r="X90">
        <f t="shared" si="119"/>
        <v>2.5207550279378779E-2</v>
      </c>
      <c r="Z90">
        <f t="shared" si="119"/>
        <v>14.456185724236724</v>
      </c>
      <c r="AA90">
        <f t="shared" si="119"/>
        <v>7.3612420689281033E-3</v>
      </c>
      <c r="AB90">
        <f t="shared" si="119"/>
        <v>1.9641050363193788</v>
      </c>
      <c r="AC90">
        <f t="shared" si="119"/>
        <v>0.99015171706083327</v>
      </c>
      <c r="AD90">
        <f t="shared" si="119"/>
        <v>2.3743665342542193</v>
      </c>
      <c r="AE90">
        <f t="shared" si="119"/>
        <v>9.6911463660191473</v>
      </c>
      <c r="AF90">
        <f t="shared" si="119"/>
        <v>3.1100857386838485</v>
      </c>
    </row>
    <row r="91" spans="1:32" x14ac:dyDescent="0.2">
      <c r="A91" s="5">
        <v>2030</v>
      </c>
      <c r="B91" s="5">
        <f t="shared" ref="B91:H91" si="120">1000*B43*B$49/1000000</f>
        <v>13.098784799166602</v>
      </c>
      <c r="C91" s="5">
        <f t="shared" si="120"/>
        <v>10.420071484963612</v>
      </c>
      <c r="D91" s="5">
        <f t="shared" si="120"/>
        <v>518.54232877585855</v>
      </c>
      <c r="E91" s="5">
        <f t="shared" si="120"/>
        <v>0.66194006568287622</v>
      </c>
      <c r="F91" s="5">
        <f t="shared" si="120"/>
        <v>265.498557736034</v>
      </c>
      <c r="G91" s="5">
        <f t="shared" si="120"/>
        <v>3.43745361930978</v>
      </c>
      <c r="H91" s="5">
        <f t="shared" si="120"/>
        <v>85.277727120579613</v>
      </c>
      <c r="I91" s="5">
        <f t="shared" ref="I91:P91" si="121">1000*I43*I$49/1000000</f>
        <v>0</v>
      </c>
      <c r="J91" s="5">
        <f t="shared" si="121"/>
        <v>0.11996859767234061</v>
      </c>
      <c r="K91" s="5">
        <f t="shared" si="121"/>
        <v>1.2161104165492006E-3</v>
      </c>
      <c r="L91" s="5">
        <f t="shared" si="121"/>
        <v>6.8468169850525284E-2</v>
      </c>
      <c r="M91" s="5">
        <f t="shared" si="121"/>
        <v>8.5153494209642116E-3</v>
      </c>
      <c r="N91" s="5">
        <f t="shared" si="121"/>
        <v>1.7244465319672511E-2</v>
      </c>
      <c r="O91" s="5">
        <f t="shared" si="121"/>
        <v>0.10540337990864629</v>
      </c>
      <c r="P91" s="5">
        <f t="shared" si="121"/>
        <v>3.3730800414409068E-2</v>
      </c>
      <c r="Q91" s="5"/>
      <c r="R91" s="5">
        <f t="shared" ref="R91:AF91" si="122">1000*R43*R$49/1000000</f>
        <v>0.24838568813850806</v>
      </c>
      <c r="S91" s="5">
        <f t="shared" si="122"/>
        <v>0</v>
      </c>
      <c r="T91" s="5">
        <f t="shared" si="122"/>
        <v>0</v>
      </c>
      <c r="U91" s="5">
        <f t="shared" si="122"/>
        <v>1.685691620068426E-2</v>
      </c>
      <c r="V91" s="5">
        <f t="shared" si="122"/>
        <v>0</v>
      </c>
      <c r="W91" s="5">
        <f t="shared" si="122"/>
        <v>0</v>
      </c>
      <c r="X91" s="5">
        <f t="shared" si="122"/>
        <v>2.7878606911107842E-2</v>
      </c>
      <c r="Y91" s="5"/>
      <c r="Z91" s="5">
        <f t="shared" si="122"/>
        <v>16.035239322683275</v>
      </c>
      <c r="AA91" s="5">
        <f t="shared" si="122"/>
        <v>8.1653127968303457E-3</v>
      </c>
      <c r="AB91" s="5">
        <f t="shared" si="122"/>
        <v>2.1859562484387887</v>
      </c>
      <c r="AC91" s="5">
        <f t="shared" si="122"/>
        <v>1.0983062926631393</v>
      </c>
      <c r="AD91" s="5">
        <f t="shared" si="122"/>
        <v>2.6338480521273384</v>
      </c>
      <c r="AE91" s="5">
        <f t="shared" si="122"/>
        <v>10.91008195249154</v>
      </c>
      <c r="AF91" s="5">
        <f t="shared" si="122"/>
        <v>3.4565813603007616</v>
      </c>
    </row>
    <row r="92" spans="1:32" x14ac:dyDescent="0.2">
      <c r="A92" s="5">
        <v>2030.25</v>
      </c>
      <c r="B92" s="5">
        <f t="shared" ref="B92:H92" si="123">1000*B44*B$49/1000000</f>
        <v>14.250370983039382</v>
      </c>
      <c r="C92" s="5">
        <f t="shared" si="123"/>
        <v>11.336157254829399</v>
      </c>
      <c r="D92" s="5">
        <f t="shared" si="123"/>
        <v>565.8710963138634</v>
      </c>
      <c r="E92" s="5">
        <f t="shared" si="123"/>
        <v>0.72013485595385907</v>
      </c>
      <c r="F92" s="5">
        <f t="shared" si="123"/>
        <v>288.83739948405048</v>
      </c>
      <c r="G92" s="5">
        <f t="shared" si="123"/>
        <v>3.7883762226962321</v>
      </c>
      <c r="H92" s="5">
        <f t="shared" si="123"/>
        <v>94.052363559593203</v>
      </c>
      <c r="I92" s="5">
        <f t="shared" ref="I92:P92" si="124">1000*I44*I$49/1000000</f>
        <v>0</v>
      </c>
      <c r="J92" s="5">
        <f t="shared" si="124"/>
        <v>0.13051569663581464</v>
      </c>
      <c r="K92" s="5">
        <f t="shared" si="124"/>
        <v>1.3230253689844012E-3</v>
      </c>
      <c r="L92" s="5">
        <f t="shared" si="124"/>
        <v>7.4717445781881053E-2</v>
      </c>
      <c r="M92" s="5">
        <f t="shared" si="124"/>
        <v>9.2639806027403522E-3</v>
      </c>
      <c r="N92" s="5">
        <f t="shared" si="124"/>
        <v>1.8760352451252103E-2</v>
      </c>
      <c r="O92" s="5">
        <f t="shared" si="124"/>
        <v>0.11616379519846785</v>
      </c>
      <c r="P92" s="5">
        <f t="shared" si="124"/>
        <v>3.7321085999493013E-2</v>
      </c>
      <c r="Q92" s="5"/>
      <c r="R92" s="5">
        <f t="shared" ref="R92:AF92" si="125">1000*R44*R$49/1000000</f>
        <v>0.27022263951358805</v>
      </c>
      <c r="S92" s="5">
        <f t="shared" si="125"/>
        <v>0</v>
      </c>
      <c r="T92" s="5">
        <f t="shared" si="125"/>
        <v>0</v>
      </c>
      <c r="U92" s="5">
        <f t="shared" si="125"/>
        <v>1.8338900376853356E-2</v>
      </c>
      <c r="V92" s="5">
        <f t="shared" si="125"/>
        <v>0</v>
      </c>
      <c r="W92" s="5">
        <f t="shared" si="125"/>
        <v>0</v>
      </c>
      <c r="X92" s="5">
        <f t="shared" si="125"/>
        <v>3.0676021141450797E-2</v>
      </c>
      <c r="Y92" s="5"/>
      <c r="Z92" s="5">
        <f t="shared" si="125"/>
        <v>17.444985367237756</v>
      </c>
      <c r="AA92" s="5">
        <f t="shared" si="125"/>
        <v>8.8831703346095511E-3</v>
      </c>
      <c r="AB92" s="5">
        <f t="shared" si="125"/>
        <v>2.3854744157884959</v>
      </c>
      <c r="AC92" s="5">
        <f t="shared" si="125"/>
        <v>1.1948644369248784</v>
      </c>
      <c r="AD92" s="5">
        <f t="shared" si="125"/>
        <v>2.865378360243128</v>
      </c>
      <c r="AE92" s="5">
        <f t="shared" si="125"/>
        <v>12.023869885635099</v>
      </c>
      <c r="AF92" s="5">
        <f t="shared" si="125"/>
        <v>3.8226920797263246</v>
      </c>
    </row>
    <row r="93" spans="1:32" x14ac:dyDescent="0.2">
      <c r="A93" s="5">
        <v>2030.5</v>
      </c>
      <c r="B93" s="5">
        <f t="shared" ref="B93:H93" si="126">1000*B45*B$49/1000000</f>
        <v>15.614394501221337</v>
      </c>
      <c r="C93" s="5">
        <f t="shared" si="126"/>
        <v>12.421236732395277</v>
      </c>
      <c r="D93" s="5">
        <f t="shared" si="126"/>
        <v>622.33698816856838</v>
      </c>
      <c r="E93" s="5">
        <f t="shared" si="126"/>
        <v>0.78906505299593865</v>
      </c>
      <c r="F93" s="5">
        <f t="shared" si="126"/>
        <v>316.46628534533426</v>
      </c>
      <c r="G93" s="5">
        <f t="shared" si="126"/>
        <v>4.2135145078360461</v>
      </c>
      <c r="H93" s="5">
        <f t="shared" si="126"/>
        <v>103.25343416207465</v>
      </c>
      <c r="I93" s="5">
        <f t="shared" ref="I93:P93" si="127">1000*I45*I$49/1000000</f>
        <v>0</v>
      </c>
      <c r="J93" s="5">
        <f t="shared" si="127"/>
        <v>0.14300845769551179</v>
      </c>
      <c r="K93" s="5">
        <f t="shared" si="127"/>
        <v>1.4496633155048071E-3</v>
      </c>
      <c r="L93" s="5">
        <f t="shared" si="127"/>
        <v>8.2173184802061358E-2</v>
      </c>
      <c r="M93" s="5">
        <f t="shared" si="127"/>
        <v>1.0150714529117349E-2</v>
      </c>
      <c r="N93" s="5">
        <f t="shared" si="127"/>
        <v>2.0554883344824013E-2</v>
      </c>
      <c r="O93" s="5">
        <f t="shared" si="127"/>
        <v>0.12919990190564723</v>
      </c>
      <c r="P93" s="5">
        <f t="shared" si="127"/>
        <v>4.110483102671382E-2</v>
      </c>
      <c r="Q93" s="5"/>
      <c r="R93" s="5">
        <f t="shared" ref="R93:AF93" si="128">1000*R45*R$49/1000000</f>
        <v>0.29608793353859486</v>
      </c>
      <c r="S93" s="5">
        <f t="shared" si="128"/>
        <v>0</v>
      </c>
      <c r="T93" s="5">
        <f t="shared" si="128"/>
        <v>0</v>
      </c>
      <c r="U93" s="5">
        <f t="shared" si="128"/>
        <v>2.0094271618864956E-2</v>
      </c>
      <c r="V93" s="5">
        <f t="shared" si="128"/>
        <v>0</v>
      </c>
      <c r="W93" s="5">
        <f t="shared" si="128"/>
        <v>0</v>
      </c>
      <c r="X93" s="5">
        <f t="shared" si="128"/>
        <v>3.3595893376067991E-2</v>
      </c>
      <c r="Y93" s="5"/>
      <c r="Z93" s="5">
        <f t="shared" si="128"/>
        <v>19.114792444090234</v>
      </c>
      <c r="AA93" s="5">
        <f t="shared" si="128"/>
        <v>9.7334536898179905E-3</v>
      </c>
      <c r="AB93" s="5">
        <f t="shared" si="128"/>
        <v>2.6235108542309491</v>
      </c>
      <c r="AC93" s="5">
        <f t="shared" si="128"/>
        <v>1.3092350168167683</v>
      </c>
      <c r="AD93" s="5">
        <f t="shared" si="128"/>
        <v>3.139467559931139</v>
      </c>
      <c r="AE93" s="5">
        <f t="shared" si="128"/>
        <v>13.373209846460059</v>
      </c>
      <c r="AF93" s="5">
        <f t="shared" si="128"/>
        <v>4.2081750192379772</v>
      </c>
    </row>
    <row r="94" spans="1:32" x14ac:dyDescent="0.2">
      <c r="A94" s="5">
        <v>2030.75</v>
      </c>
      <c r="B94" s="5">
        <f t="shared" ref="B94:H94" si="129">1000*B46*B$49/1000000</f>
        <v>17.075961458687598</v>
      </c>
      <c r="C94" s="5">
        <f t="shared" si="129"/>
        <v>13.58391192787052</v>
      </c>
      <c r="D94" s="5">
        <f t="shared" si="129"/>
        <v>683.27362205160193</v>
      </c>
      <c r="E94" s="5">
        <f t="shared" si="129"/>
        <v>0.86292455543517965</v>
      </c>
      <c r="F94" s="5">
        <f t="shared" si="129"/>
        <v>346.05459357603502</v>
      </c>
      <c r="G94" s="5">
        <f t="shared" si="129"/>
        <v>4.6791547511549432</v>
      </c>
      <c r="H94" s="5">
        <f t="shared" si="129"/>
        <v>113.31565255955306</v>
      </c>
      <c r="I94" s="5">
        <f t="shared" ref="I94:P94" si="130">1000*I46*I$49/1000000</f>
        <v>0</v>
      </c>
      <c r="J94" s="5">
        <f t="shared" si="130"/>
        <v>0.15639459549224941</v>
      </c>
      <c r="K94" s="5">
        <f t="shared" si="130"/>
        <v>1.5853573381726142E-3</v>
      </c>
      <c r="L94" s="5">
        <f t="shared" si="130"/>
        <v>9.0219239226725811E-2</v>
      </c>
      <c r="M94" s="5">
        <f t="shared" si="130"/>
        <v>1.1100860175128161E-2</v>
      </c>
      <c r="N94" s="5">
        <f t="shared" si="130"/>
        <v>2.247668118622468E-2</v>
      </c>
      <c r="O94" s="5">
        <f t="shared" si="130"/>
        <v>0.14347792887060484</v>
      </c>
      <c r="P94" s="5">
        <f t="shared" si="130"/>
        <v>4.526315104228941E-2</v>
      </c>
      <c r="Q94" s="5"/>
      <c r="R94" s="5">
        <f t="shared" ref="R94:AF94" si="131">1000*R46*R$49/1000000</f>
        <v>0.32380289489240388</v>
      </c>
      <c r="S94" s="5">
        <f t="shared" si="131"/>
        <v>0</v>
      </c>
      <c r="T94" s="5">
        <f t="shared" si="131"/>
        <v>0</v>
      </c>
      <c r="U94" s="5">
        <f t="shared" si="131"/>
        <v>2.197517218341697E-2</v>
      </c>
      <c r="V94" s="5">
        <f t="shared" si="131"/>
        <v>0</v>
      </c>
      <c r="W94" s="5">
        <f t="shared" si="131"/>
        <v>0</v>
      </c>
      <c r="X94" s="5">
        <f t="shared" si="131"/>
        <v>3.6774505920616471E-2</v>
      </c>
      <c r="Y94" s="5"/>
      <c r="Z94" s="5">
        <f t="shared" si="131"/>
        <v>20.904010017203476</v>
      </c>
      <c r="AA94" s="5">
        <f t="shared" si="131"/>
        <v>1.0644542127730411E-2</v>
      </c>
      <c r="AB94" s="5">
        <f t="shared" si="131"/>
        <v>2.8803940597156501</v>
      </c>
      <c r="AC94" s="5">
        <f t="shared" si="131"/>
        <v>1.4317844144246932</v>
      </c>
      <c r="AD94" s="5">
        <f t="shared" si="131"/>
        <v>3.4329949849526185</v>
      </c>
      <c r="AE94" s="5">
        <f t="shared" si="131"/>
        <v>14.851098358598687</v>
      </c>
      <c r="AF94" s="5">
        <f t="shared" si="131"/>
        <v>4.6314382310338784</v>
      </c>
    </row>
    <row r="95" spans="1:32" x14ac:dyDescent="0.2">
      <c r="B95" t="s">
        <v>52</v>
      </c>
      <c r="C95" t="s">
        <v>53</v>
      </c>
      <c r="D95" t="s">
        <v>54</v>
      </c>
      <c r="E95" t="s">
        <v>55</v>
      </c>
      <c r="F95" t="s">
        <v>56</v>
      </c>
      <c r="G95" t="s">
        <v>57</v>
      </c>
      <c r="H95" t="s">
        <v>2</v>
      </c>
      <c r="J95" t="s">
        <v>52</v>
      </c>
      <c r="K95" t="s">
        <v>53</v>
      </c>
      <c r="L95" t="s">
        <v>54</v>
      </c>
      <c r="M95" t="s">
        <v>55</v>
      </c>
      <c r="N95" t="s">
        <v>56</v>
      </c>
      <c r="O95" t="s">
        <v>57</v>
      </c>
      <c r="P95" t="s">
        <v>2</v>
      </c>
      <c r="R95" t="s">
        <v>52</v>
      </c>
      <c r="S95" t="s">
        <v>53</v>
      </c>
      <c r="T95" t="s">
        <v>54</v>
      </c>
      <c r="U95" t="s">
        <v>55</v>
      </c>
      <c r="V95" t="s">
        <v>56</v>
      </c>
      <c r="W95" t="s">
        <v>57</v>
      </c>
      <c r="X95" t="s">
        <v>2</v>
      </c>
      <c r="Z95" t="s">
        <v>52</v>
      </c>
      <c r="AA95" t="s">
        <v>53</v>
      </c>
      <c r="AB95" t="s">
        <v>54</v>
      </c>
      <c r="AC95" t="s">
        <v>55</v>
      </c>
      <c r="AD95" t="s">
        <v>56</v>
      </c>
      <c r="AE95" t="s">
        <v>57</v>
      </c>
      <c r="AF95" t="s">
        <v>2</v>
      </c>
    </row>
    <row r="96" spans="1:32" x14ac:dyDescent="0.2">
      <c r="A96" t="s">
        <v>30</v>
      </c>
      <c r="B96" t="s">
        <v>0</v>
      </c>
      <c r="C96" s="1" t="s">
        <v>1</v>
      </c>
      <c r="J96" s="2" t="s">
        <v>3</v>
      </c>
      <c r="R96" s="2" t="s">
        <v>4</v>
      </c>
      <c r="Z96" s="2" t="s">
        <v>5</v>
      </c>
    </row>
    <row r="99" spans="6:31" x14ac:dyDescent="0.2">
      <c r="F99">
        <v>2025</v>
      </c>
      <c r="G99">
        <f>SUM(B74:G74)</f>
        <v>80.997398925595434</v>
      </c>
      <c r="O99">
        <f>SUM(J74:O74)</f>
        <v>3.0573862480075258E-2</v>
      </c>
      <c r="W99">
        <f>SUM(R74:W74)</f>
        <v>2.6224088315421966E-2</v>
      </c>
      <c r="AE99">
        <f>SUM(Z74:AE74)</f>
        <v>3.1175743311780835</v>
      </c>
    </row>
    <row r="100" spans="6:31" x14ac:dyDescent="0.2">
      <c r="F100">
        <v>2030</v>
      </c>
      <c r="G100">
        <f>SUM(B94:G94)</f>
        <v>1065.5301683207852</v>
      </c>
      <c r="O100">
        <f>SUM(J94:O94)</f>
        <v>0.42525466228910552</v>
      </c>
      <c r="W100">
        <f>SUM(R94:W94)</f>
        <v>0.34577806707582087</v>
      </c>
      <c r="AE100">
        <f>SUM(Z94:AE94)</f>
        <v>43.510926377022855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09B72-0D6A-8049-AA0E-DB234EA34BED}">
  <dimension ref="A1:AF100"/>
  <sheetViews>
    <sheetView topLeftCell="M1" zoomScale="92" workbookViewId="0">
      <selection activeCell="B3" sqref="B3"/>
    </sheetView>
  </sheetViews>
  <sheetFormatPr baseColWidth="10" defaultRowHeight="16" x14ac:dyDescent="0.2"/>
  <cols>
    <col min="2" max="2" width="17.5" customWidth="1"/>
    <col min="4" max="4" width="18.83203125" customWidth="1"/>
  </cols>
  <sheetData>
    <row r="1" spans="1:32" x14ac:dyDescent="0.2">
      <c r="A1" t="s">
        <v>30</v>
      </c>
      <c r="B1" t="s">
        <v>0</v>
      </c>
      <c r="C1" s="1" t="s">
        <v>1</v>
      </c>
      <c r="J1" s="2" t="s">
        <v>3</v>
      </c>
      <c r="R1" s="2" t="s">
        <v>4</v>
      </c>
      <c r="Z1" s="2" t="s">
        <v>5</v>
      </c>
    </row>
    <row r="2" spans="1:32" x14ac:dyDescent="0.2">
      <c r="B2" t="str">
        <f>[4]Manu_water!R1</f>
        <v>photoacid generators</v>
      </c>
      <c r="C2" t="str">
        <f>[4]Manu_water!S1</f>
        <v>surfactant</v>
      </c>
      <c r="D2" t="str">
        <f>[4]Manu_water!T1</f>
        <v>Top antireflective coatings</v>
      </c>
      <c r="E2" t="str">
        <f>[4]Manu_water!U1</f>
        <v>polymer</v>
      </c>
      <c r="F2" t="str">
        <f>[4]Manu_water!V1</f>
        <v>immersion topcoat</v>
      </c>
      <c r="G2" t="str">
        <f>[4]Manu_water!W1</f>
        <v>PBO/PI</v>
      </c>
      <c r="H2" t="s">
        <v>2</v>
      </c>
      <c r="J2" t="str">
        <f>[4]Manu_solid!R1</f>
        <v>photoacid generators</v>
      </c>
      <c r="K2" t="str">
        <f>[4]Manu_solid!S1</f>
        <v>surfactant</v>
      </c>
      <c r="L2" t="str">
        <f>[4]Manu_solid!T1</f>
        <v>Top antireflective coatings</v>
      </c>
      <c r="M2" t="str">
        <f>[4]Manu_solid!U1</f>
        <v>polymer</v>
      </c>
      <c r="N2" t="str">
        <f>[4]Manu_solid!V1</f>
        <v>immersion topcoat</v>
      </c>
      <c r="O2" t="str">
        <f>[4]Manu_solid!W1</f>
        <v>PBO/PI</v>
      </c>
      <c r="P2" t="s">
        <v>2</v>
      </c>
      <c r="R2" t="str">
        <f>[4]Manu_gas!R1</f>
        <v>photoacid generators</v>
      </c>
      <c r="S2" t="str">
        <f>[4]Manu_gas!S1</f>
        <v>surfactant</v>
      </c>
      <c r="T2" t="str">
        <f>[4]Manu_gas!T1</f>
        <v>Top antireflective coatings</v>
      </c>
      <c r="U2" t="str">
        <f>[4]Manu_gas!U1</f>
        <v>polymer</v>
      </c>
      <c r="V2" t="str">
        <f>[4]Manu_gas!V1</f>
        <v>immersion topcoat</v>
      </c>
      <c r="W2" t="str">
        <f>[4]Manu_gas!W1</f>
        <v>PBO/PI</v>
      </c>
      <c r="X2" t="s">
        <v>2</v>
      </c>
      <c r="Z2" t="str">
        <f>[4]Manu_solvent!R1</f>
        <v>photoacid generators</v>
      </c>
      <c r="AA2" t="str">
        <f>[4]Manu_solvent!S1</f>
        <v>surfactant</v>
      </c>
      <c r="AB2" t="str">
        <f>[4]Manu_solvent!T1</f>
        <v>Top antireflective coatings</v>
      </c>
      <c r="AC2" t="str">
        <f>[4]Manu_solvent!U1</f>
        <v>polymer</v>
      </c>
      <c r="AD2" t="str">
        <f>[4]Manu_solvent!V1</f>
        <v>immersion topcoat</v>
      </c>
      <c r="AE2" t="str">
        <f>[4]Manu_solvent!W1</f>
        <v>PBO/PI</v>
      </c>
      <c r="AF2" t="s">
        <v>2</v>
      </c>
    </row>
    <row r="3" spans="1:32" x14ac:dyDescent="0.2">
      <c r="A3">
        <v>2020</v>
      </c>
      <c r="B3">
        <f>[5]Manu_water!R2</f>
        <v>5.6554649383497909E-3</v>
      </c>
      <c r="C3">
        <f>[5]Manu_water!S2</f>
        <v>4.4989172539165283E-3</v>
      </c>
      <c r="D3">
        <f>[5]Manu_water!T2</f>
        <v>0.20034108759781641</v>
      </c>
      <c r="E3">
        <f>[5]Manu_water!U2</f>
        <v>2.8579588795112093E-4</v>
      </c>
      <c r="F3">
        <f>[5]Manu_water!V2</f>
        <v>0.12241385473281161</v>
      </c>
      <c r="G3">
        <f>[5]Manu_water!W2</f>
        <v>9.2956161507577663E-4</v>
      </c>
      <c r="H3">
        <f>SUM([5]Manu_water!$X2:$AC2)</f>
        <v>2.7400384697874872E-2</v>
      </c>
      <c r="J3">
        <f>[5]Manu_solid!R2</f>
        <v>1.389404881047873E-3</v>
      </c>
      <c r="K3">
        <f>[5]Manu_solid!S2</f>
        <v>1.408426689508752E-5</v>
      </c>
      <c r="L3">
        <f>[5]Manu_solid!T2</f>
        <v>7.095752574544918E-4</v>
      </c>
      <c r="M3">
        <f>[5]Manu_solid!U2</f>
        <v>9.8619707814119218E-5</v>
      </c>
      <c r="N3">
        <f>[5]Manu_solid!V2</f>
        <v>2.1327604155418241E-4</v>
      </c>
      <c r="O3">
        <f>[5]Manu_solid!W2</f>
        <v>7.6457448859046546E-4</v>
      </c>
      <c r="P3">
        <f>SUM([5]Manu_solid!$X2:$AC2)</f>
        <v>2.6156246735576239E-4</v>
      </c>
      <c r="R3">
        <f>[5]Manu_gas!R2</f>
        <v>2.8766551762540462E-3</v>
      </c>
      <c r="S3">
        <f>[5]Manu_gas!S2</f>
        <v>0</v>
      </c>
      <c r="T3">
        <f>[5]Manu_gas!T2</f>
        <v>0</v>
      </c>
      <c r="U3">
        <f>[5]Manu_gas!U2</f>
        <v>1.9522676852999109E-4</v>
      </c>
      <c r="V3">
        <f>[5]Manu_gas!V2</f>
        <v>0</v>
      </c>
      <c r="W3">
        <f>[5]Manu_gas!W2</f>
        <v>0</v>
      </c>
      <c r="X3">
        <f>SUM([5]Manu_gas!$X2:$AC2)</f>
        <v>2.5191418521726779E-4</v>
      </c>
      <c r="Z3">
        <f>[5]Manu_solvent!R2</f>
        <v>0.1857105960724551</v>
      </c>
      <c r="AA3">
        <f>[5]Manu_solvent!S2</f>
        <v>9.4565792009873362E-5</v>
      </c>
      <c r="AB3">
        <f>[5]Manu_solvent!T2</f>
        <v>2.2654329320565429E-2</v>
      </c>
      <c r="AC3">
        <f>[5]Manu_solvent!U2</f>
        <v>1.271992966092313E-2</v>
      </c>
      <c r="AD3">
        <f>[5]Manu_solvent!V2</f>
        <v>3.2574897290209563E-2</v>
      </c>
      <c r="AE3">
        <f>[5]Manu_solvent!W2</f>
        <v>7.9139495683496791E-2</v>
      </c>
      <c r="AF3">
        <f>SUM([5]Manu_solvent!$X2:$AC2)</f>
        <v>2.7299445544983057E-2</v>
      </c>
    </row>
    <row r="4" spans="1:32" x14ac:dyDescent="0.2">
      <c r="A4">
        <v>2020.25</v>
      </c>
      <c r="B4">
        <f>[5]Manu_water!R3</f>
        <v>1.0121695666444344E-2</v>
      </c>
      <c r="C4">
        <f>[5]Manu_water!S3</f>
        <v>8.0517997669605872E-3</v>
      </c>
      <c r="D4">
        <f>[5]Manu_water!T3</f>
        <v>0.3585543434986363</v>
      </c>
      <c r="E4">
        <f>[5]Manu_water!U3</f>
        <v>5.1149446280654464E-4</v>
      </c>
      <c r="F4">
        <f>[5]Manu_water!V3</f>
        <v>0.21908645822555223</v>
      </c>
      <c r="G4">
        <f>[5]Manu_water!W3</f>
        <v>1.6636545135669909E-3</v>
      </c>
      <c r="H4">
        <f>SUM([5]Manu_water!$X3:$AC3)</f>
        <v>4.6358774571131529E-2</v>
      </c>
      <c r="J4">
        <f>[5]Manu_solid!R3</f>
        <v>2.4866449561160853E-3</v>
      </c>
      <c r="K4">
        <f>[5]Manu_solid!S3</f>
        <v>2.5206886569196829E-5</v>
      </c>
      <c r="L4">
        <f>[5]Manu_solid!T3</f>
        <v>1.2699406479724242E-3</v>
      </c>
      <c r="M4">
        <f>[5]Manu_solid!U3</f>
        <v>1.765016104050753E-4</v>
      </c>
      <c r="N4">
        <f>[5]Manu_solid!V3</f>
        <v>3.817042823335519E-4</v>
      </c>
      <c r="O4">
        <f>[5]Manu_solid!W3</f>
        <v>1.3683738423278277E-3</v>
      </c>
      <c r="P4">
        <f>SUM([5]Manu_solid!$X3:$AC3)</f>
        <v>4.4253814660329176E-4</v>
      </c>
      <c r="R4">
        <f>[5]Manu_gas!R3</f>
        <v>5.1484057542121762E-3</v>
      </c>
      <c r="S4">
        <f>[5]Manu_gas!S3</f>
        <v>0</v>
      </c>
      <c r="T4">
        <f>[5]Manu_gas!T3</f>
        <v>0</v>
      </c>
      <c r="U4">
        <f>[5]Manu_gas!U3</f>
        <v>3.4940114712841432E-4</v>
      </c>
      <c r="V4">
        <f>[5]Manu_gas!V3</f>
        <v>0</v>
      </c>
      <c r="W4">
        <f>[5]Manu_gas!W3</f>
        <v>0</v>
      </c>
      <c r="X4">
        <f>SUM([5]Manu_gas!$X3:$AC3)</f>
        <v>4.2621419562271167E-4</v>
      </c>
      <c r="Z4">
        <f>[5]Manu_solvent!R3</f>
        <v>0.33236986807805141</v>
      </c>
      <c r="AA4">
        <f>[5]Manu_solvent!S3</f>
        <v>1.6924623839317869E-4</v>
      </c>
      <c r="AB4">
        <f>[5]Manu_solvent!T3</f>
        <v>4.0544894082055374E-2</v>
      </c>
      <c r="AC4">
        <f>[5]Manu_solvent!U3</f>
        <v>2.2765105668572969E-2</v>
      </c>
      <c r="AD4">
        <f>[5]Manu_solvent!V3</f>
        <v>5.8299927650756658E-2</v>
      </c>
      <c r="AE4">
        <f>[5]Manu_solvent!W3</f>
        <v>0.14163749563231698</v>
      </c>
      <c r="AF4">
        <f>SUM([5]Manu_solvent!$X3:$AC3)</f>
        <v>4.6187995383689125E-2</v>
      </c>
    </row>
    <row r="5" spans="1:32" x14ac:dyDescent="0.2">
      <c r="A5">
        <v>2020.5</v>
      </c>
      <c r="B5">
        <f>[5]Manu_water!R4</f>
        <v>1.7563907320198618E-2</v>
      </c>
      <c r="C5">
        <f>[5]Manu_water!S4</f>
        <v>1.3972072420289677E-2</v>
      </c>
      <c r="D5">
        <f>[5]Manu_water!T4</f>
        <v>0.62218974626382939</v>
      </c>
      <c r="E5">
        <f>[5]Manu_water!U4</f>
        <v>8.8758263788866381E-4</v>
      </c>
      <c r="F5">
        <f>[5]Manu_water!V4</f>
        <v>0.38017486142575724</v>
      </c>
      <c r="G5">
        <f>[5]Manu_water!W4</f>
        <v>2.8868951065178141E-3</v>
      </c>
      <c r="H5">
        <f>SUM([5]Manu_water!$X4:$AC4)</f>
        <v>7.2024476722990283E-2</v>
      </c>
      <c r="J5">
        <f>[5]Manu_solid!R4</f>
        <v>4.3150083727823601E-3</v>
      </c>
      <c r="K5">
        <f>[5]Manu_solid!S4</f>
        <v>4.3740834947239601E-5</v>
      </c>
      <c r="L5">
        <f>[5]Manu_solid!T4</f>
        <v>2.2036939835177057E-3</v>
      </c>
      <c r="M5">
        <f>[5]Manu_solid!U4</f>
        <v>3.0627851589115867E-4</v>
      </c>
      <c r="N5">
        <f>[5]Manu_solid!V4</f>
        <v>6.6236121491534245E-4</v>
      </c>
      <c r="O5">
        <f>[5]Manu_solid!W4</f>
        <v>2.3745024685644356E-3</v>
      </c>
      <c r="P5">
        <f>SUM([5]Manu_solid!$X4:$AC4)</f>
        <v>6.8754143598334714E-4</v>
      </c>
      <c r="R5">
        <f>[5]Manu_gas!R4</f>
        <v>8.9338905746338994E-3</v>
      </c>
      <c r="S5">
        <f>[5]Manu_gas!S4</f>
        <v>0</v>
      </c>
      <c r="T5">
        <f>[5]Manu_gas!T4</f>
        <v>0</v>
      </c>
      <c r="U5">
        <f>[5]Manu_gas!U4</f>
        <v>6.0630644982535495E-4</v>
      </c>
      <c r="V5">
        <f>[5]Manu_gas!V4</f>
        <v>0</v>
      </c>
      <c r="W5">
        <f>[5]Manu_gas!W4</f>
        <v>0</v>
      </c>
      <c r="X5">
        <f>SUM([5]Manu_gas!$X4:$AC4)</f>
        <v>6.6218002299724609E-4</v>
      </c>
      <c r="Z5">
        <f>[5]Manu_solvent!R4</f>
        <v>0.5767525275733042</v>
      </c>
      <c r="AA5">
        <f>[5]Manu_solvent!S4</f>
        <v>2.9368846321718017E-4</v>
      </c>
      <c r="AB5">
        <f>[5]Manu_solvent!T4</f>
        <v>7.0356468464601987E-2</v>
      </c>
      <c r="AC5">
        <f>[5]Manu_solvent!U4</f>
        <v>3.9503677968002499E-2</v>
      </c>
      <c r="AD5">
        <f>[5]Manu_solvent!V4</f>
        <v>0.10116630254225842</v>
      </c>
      <c r="AE5">
        <f>[5]Manu_solvent!W4</f>
        <v>0.24577975156853926</v>
      </c>
      <c r="AF5">
        <f>SUM([5]Manu_solvent!$X4:$AC4)</f>
        <v>7.1759148708509579E-2</v>
      </c>
    </row>
    <row r="6" spans="1:32" x14ac:dyDescent="0.2">
      <c r="A6">
        <v>2020.75</v>
      </c>
      <c r="B6">
        <f>[5]Manu_water!R5</f>
        <v>2.9823792959134579E-2</v>
      </c>
      <c r="C6">
        <f>[5]Manu_water!S5</f>
        <v>2.3724800380468043E-2</v>
      </c>
      <c r="D6">
        <f>[5]Manu_water!T5</f>
        <v>1.0564880487913599</v>
      </c>
      <c r="E6">
        <f>[5]Manu_water!U5</f>
        <v>1.5071293843638136E-3</v>
      </c>
      <c r="F6">
        <f>[5]Manu_water!V5</f>
        <v>0.64554293920637962</v>
      </c>
      <c r="G6">
        <f>[5]Manu_water!W5</f>
        <v>4.9019936385403572E-3</v>
      </c>
      <c r="H6">
        <f>SUM([5]Manu_water!$X5:$AC5)</f>
        <v>0.10888739221754419</v>
      </c>
      <c r="J6">
        <f>[5]Manu_solid!R5</f>
        <v>7.3269525954967295E-3</v>
      </c>
      <c r="K6">
        <f>[5]Manu_solid!S5</f>
        <v>7.4272630886975104E-5</v>
      </c>
      <c r="L6">
        <f>[5]Manu_solid!T5</f>
        <v>3.7419073052236628E-3</v>
      </c>
      <c r="M6">
        <f>[5]Manu_solid!U5</f>
        <v>5.2006577347765411E-4</v>
      </c>
      <c r="N6">
        <f>[5]Manu_solid!V5</f>
        <v>1.1246998391456226E-3</v>
      </c>
      <c r="O6">
        <f>[5]Manu_solid!W5</f>
        <v>4.0319428195786482E-3</v>
      </c>
      <c r="P6">
        <f>SUM([5]Manu_solid!$X5:$AC5)</f>
        <v>1.0394326680590155E-3</v>
      </c>
      <c r="R6">
        <f>[5]Manu_gas!R5</f>
        <v>1.5169887768141117E-2</v>
      </c>
      <c r="S6">
        <f>[5]Manu_gas!S5</f>
        <v>0</v>
      </c>
      <c r="T6">
        <f>[5]Manu_gas!T5</f>
        <v>0</v>
      </c>
      <c r="U6">
        <f>[5]Manu_gas!U5</f>
        <v>1.0295179597414783E-3</v>
      </c>
      <c r="V6">
        <f>[5]Manu_gas!V5</f>
        <v>0</v>
      </c>
      <c r="W6">
        <f>[5]Manu_gas!W5</f>
        <v>0</v>
      </c>
      <c r="X6">
        <f>SUM([5]Manu_gas!$X5:$AC5)</f>
        <v>1.0010910063260228E-3</v>
      </c>
      <c r="Z6">
        <f>[5]Manu_solvent!R5</f>
        <v>0.97933493142625316</v>
      </c>
      <c r="AA6">
        <f>[5]Manu_solvent!S5</f>
        <v>4.986876645268328E-4</v>
      </c>
      <c r="AB6">
        <f>[5]Manu_solvent!T5</f>
        <v>0.1194663983686087</v>
      </c>
      <c r="AC6">
        <f>[5]Manu_solvent!U5</f>
        <v>6.7077871191403543E-2</v>
      </c>
      <c r="AD6">
        <f>[5]Manu_solvent!V5</f>
        <v>0.17178198486573237</v>
      </c>
      <c r="AE6">
        <f>[5]Manu_solvent!W5</f>
        <v>0.41733791295391298</v>
      </c>
      <c r="AF6">
        <f>SUM([5]Manu_solvent!$X5:$AC5)</f>
        <v>0.10848626642123774</v>
      </c>
    </row>
    <row r="7" spans="1:32" x14ac:dyDescent="0.2">
      <c r="A7">
        <v>2021</v>
      </c>
      <c r="B7">
        <f>[5]Manu_water!R6</f>
        <v>4.9400308073312478E-2</v>
      </c>
      <c r="C7">
        <f>[5]Manu_water!S6</f>
        <v>3.9297900484317597E-2</v>
      </c>
      <c r="D7">
        <f>[5]Manu_water!T6</f>
        <v>1.7499730888549072</v>
      </c>
      <c r="E7">
        <f>[5]Manu_water!U6</f>
        <v>2.4964180778726352E-3</v>
      </c>
      <c r="F7">
        <f>[5]Manu_water!V6</f>
        <v>1.0692811647077689</v>
      </c>
      <c r="G7">
        <f>[5]Manu_water!W6</f>
        <v>8.1196914238616871E-3</v>
      </c>
      <c r="H7">
        <f>SUM([5]Manu_water!$X6:$AC6)</f>
        <v>0.15862791112410207</v>
      </c>
      <c r="J7">
        <f>[5]Manu_solid!R6</f>
        <v>1.2136407865761888E-2</v>
      </c>
      <c r="K7">
        <f>[5]Manu_solid!S6</f>
        <v>1.2302562763426799E-4</v>
      </c>
      <c r="L7">
        <f>[5]Manu_solid!T6</f>
        <v>6.1981175202334652E-3</v>
      </c>
      <c r="M7">
        <f>[5]Manu_solid!U6</f>
        <v>8.6144004095605028E-4</v>
      </c>
      <c r="N7">
        <f>[5]Manu_solid!V6</f>
        <v>1.8629595041760576E-3</v>
      </c>
      <c r="O7">
        <f>[5]Manu_solid!W6</f>
        <v>6.6785340715745474E-3</v>
      </c>
      <c r="P7">
        <f>SUM([5]Manu_solid!$X6:$AC6)</f>
        <v>1.5142527480035239E-3</v>
      </c>
      <c r="R7">
        <f>[5]Manu_gas!R6</f>
        <v>2.5127492341788699E-2</v>
      </c>
      <c r="S7">
        <f>[5]Manu_gas!S6</f>
        <v>0</v>
      </c>
      <c r="T7">
        <f>[5]Manu_gas!T6</f>
        <v>0</v>
      </c>
      <c r="U7">
        <f>[5]Manu_gas!U6</f>
        <v>1.7052996729129974E-3</v>
      </c>
      <c r="V7">
        <f>[5]Manu_gas!V6</f>
        <v>0</v>
      </c>
      <c r="W7">
        <f>[5]Manu_gas!W6</f>
        <v>0</v>
      </c>
      <c r="X7">
        <f>SUM([5]Manu_gas!$X6:$AC6)</f>
        <v>1.4583963482324622E-3</v>
      </c>
      <c r="Z7">
        <f>[5]Manu_solvent!R6</f>
        <v>1.6221762062828216</v>
      </c>
      <c r="AA7">
        <f>[5]Manu_solvent!S6</f>
        <v>8.2602921411579935E-4</v>
      </c>
      <c r="AB7">
        <f>[5]Manu_solvent!T6</f>
        <v>0.19788485293956382</v>
      </c>
      <c r="AC7">
        <f>[5]Manu_solvent!U6</f>
        <v>0.11110818487433138</v>
      </c>
      <c r="AD7">
        <f>[5]Manu_solvent!V6</f>
        <v>0.28454070162839978</v>
      </c>
      <c r="AE7">
        <f>[5]Manu_solvent!W6</f>
        <v>0.69128100167695172</v>
      </c>
      <c r="AF7">
        <f>SUM([5]Manu_solvent!$X6:$AC6)</f>
        <v>0.15804354827115616</v>
      </c>
    </row>
    <row r="8" spans="1:32" x14ac:dyDescent="0.2">
      <c r="A8">
        <v>2021.25</v>
      </c>
      <c r="B8">
        <f>[5]Manu_water!R7</f>
        <v>0.10388252583765069</v>
      </c>
      <c r="C8">
        <f>[5]Manu_water!S7</f>
        <v>8.2638455540988087E-2</v>
      </c>
      <c r="D8">
        <f>[5]Manu_water!T7</f>
        <v>3.7246713168476853</v>
      </c>
      <c r="E8">
        <f>[5]Manu_water!U7</f>
        <v>5.2496477368383539E-3</v>
      </c>
      <c r="F8">
        <f>[5]Manu_water!V7</f>
        <v>2.236867670473405</v>
      </c>
      <c r="G8">
        <f>[5]Manu_water!W7</f>
        <v>1.7199266862562915E-2</v>
      </c>
      <c r="H8">
        <f>SUM([5]Manu_water!$X7:$AC7)</f>
        <v>0.36135878039447594</v>
      </c>
      <c r="J8">
        <f>[5]Manu_solid!R7</f>
        <v>2.5521312576031827E-2</v>
      </c>
      <c r="K8">
        <f>[5]Manu_solid!S7</f>
        <v>2.5870715062026686E-4</v>
      </c>
      <c r="L8">
        <f>[5]Manu_solid!T7</f>
        <v>1.3192174607194077E-2</v>
      </c>
      <c r="M8">
        <f>[5]Manu_solid!U7</f>
        <v>1.8114981627118266E-3</v>
      </c>
      <c r="N8">
        <f>[5]Manu_solid!V7</f>
        <v>3.8971918928652127E-3</v>
      </c>
      <c r="O8">
        <f>[5]Manu_solid!W7</f>
        <v>1.4146583133709756E-2</v>
      </c>
      <c r="P8">
        <f>SUM([5]Manu_solid!$X7:$AC7)</f>
        <v>3.4447812198806103E-3</v>
      </c>
      <c r="R8">
        <f>[5]Manu_gas!R7</f>
        <v>5.2839900685587027E-2</v>
      </c>
      <c r="S8">
        <f>[5]Manu_gas!S7</f>
        <v>0</v>
      </c>
      <c r="T8">
        <f>[5]Manu_gas!T7</f>
        <v>0</v>
      </c>
      <c r="U8">
        <f>[5]Manu_gas!U7</f>
        <v>3.5860269751642284E-3</v>
      </c>
      <c r="V8">
        <f>[5]Manu_gas!V7</f>
        <v>0</v>
      </c>
      <c r="W8">
        <f>[5]Manu_gas!W7</f>
        <v>0</v>
      </c>
      <c r="X8">
        <f>SUM([5]Manu_gas!$X7:$AC7)</f>
        <v>3.3032771083180259E-3</v>
      </c>
      <c r="Z8">
        <f>[5]Manu_solvent!R7</f>
        <v>3.4112289626273533</v>
      </c>
      <c r="AA8">
        <f>[5]Manu_solvent!S7</f>
        <v>1.7370337255932203E-3</v>
      </c>
      <c r="AB8">
        <f>[5]Manu_solvent!T7</f>
        <v>0.42118135443151727</v>
      </c>
      <c r="AC8">
        <f>[5]Manu_solvent!U7</f>
        <v>0.23364629363956618</v>
      </c>
      <c r="AD8">
        <f>[5]Manu_solvent!V7</f>
        <v>0.59524091269328117</v>
      </c>
      <c r="AE8">
        <f>[5]Manu_solvent!W7</f>
        <v>1.4642830378900151</v>
      </c>
      <c r="AF8">
        <f>SUM([5]Manu_solvent!$X7:$AC7)</f>
        <v>0.35875207808003701</v>
      </c>
    </row>
    <row r="9" spans="1:32" x14ac:dyDescent="0.2">
      <c r="A9">
        <v>2021.5</v>
      </c>
      <c r="B9">
        <f>[5]Manu_water!R8</f>
        <v>0.21759464693213959</v>
      </c>
      <c r="C9">
        <f>[5]Manu_water!S8</f>
        <v>0.17309634523674072</v>
      </c>
      <c r="D9">
        <f>[5]Manu_water!T8</f>
        <v>7.9392682103703933</v>
      </c>
      <c r="E9">
        <f>[5]Manu_water!U8</f>
        <v>1.0996028798920861E-2</v>
      </c>
      <c r="F9">
        <f>[5]Manu_water!V8</f>
        <v>4.6494263393784294</v>
      </c>
      <c r="G9">
        <f>[5]Manu_water!W8</f>
        <v>3.6409181417400016E-2</v>
      </c>
      <c r="H9">
        <f>SUM([5]Manu_water!$X8:$AC8)</f>
        <v>0.85500331353180803</v>
      </c>
      <c r="J9">
        <f>[5]Manu_solid!R8</f>
        <v>5.345750841585438E-2</v>
      </c>
      <c r="K9">
        <f>[5]Manu_solid!S8</f>
        <v>5.4189374626886636E-4</v>
      </c>
      <c r="L9">
        <f>[5]Manu_solid!T8</f>
        <v>2.8119585213009675E-2</v>
      </c>
      <c r="M9">
        <f>[5]Manu_solid!U8</f>
        <v>3.7944043038529744E-3</v>
      </c>
      <c r="N9">
        <f>[5]Manu_solid!V8</f>
        <v>8.1004821498737965E-3</v>
      </c>
      <c r="O9">
        <f>[5]Manu_solid!W8</f>
        <v>2.9946945754571436E-2</v>
      </c>
      <c r="P9">
        <f>SUM([5]Manu_solid!$X8:$AC8)</f>
        <v>8.1343088362443687E-3</v>
      </c>
      <c r="R9">
        <f>[5]Manu_gas!R8</f>
        <v>0.11067963010043089</v>
      </c>
      <c r="S9">
        <f>[5]Manu_gas!S8</f>
        <v>0</v>
      </c>
      <c r="T9">
        <f>[5]Manu_gas!T8</f>
        <v>0</v>
      </c>
      <c r="U9">
        <f>[5]Manu_gas!U8</f>
        <v>7.5113717851783366E-3</v>
      </c>
      <c r="V9">
        <f>[5]Manu_gas!V8</f>
        <v>0</v>
      </c>
      <c r="W9">
        <f>[5]Manu_gas!W8</f>
        <v>0</v>
      </c>
      <c r="X9">
        <f>SUM([5]Manu_gas!$X8:$AC8)</f>
        <v>7.7502925334735117E-3</v>
      </c>
      <c r="Z9">
        <f>[5]Manu_solvent!R8</f>
        <v>7.1452359840346205</v>
      </c>
      <c r="AA9">
        <f>[5]Manu_solvent!S8</f>
        <v>3.6384294392338172E-3</v>
      </c>
      <c r="AB9">
        <f>[5]Manu_solvent!T8</f>
        <v>0.89776290404838255</v>
      </c>
      <c r="AC9">
        <f>[5]Manu_solvent!U8</f>
        <v>0.48940071837450611</v>
      </c>
      <c r="AD9">
        <f>[5]Manu_solvent!V8</f>
        <v>1.2372340189288376</v>
      </c>
      <c r="AE9">
        <f>[5]Manu_solvent!W8</f>
        <v>3.0997453088541009</v>
      </c>
      <c r="AF9">
        <f>SUM([5]Manu_solvent!$X8:$AC8)</f>
        <v>0.8444348251863405</v>
      </c>
    </row>
    <row r="10" spans="1:32" x14ac:dyDescent="0.2">
      <c r="A10">
        <v>2021.75</v>
      </c>
      <c r="B10">
        <f>[5]Manu_water!R9</f>
        <v>0.31143325063718968</v>
      </c>
      <c r="C10">
        <f>[5]Manu_water!S9</f>
        <v>0.2477448697867437</v>
      </c>
      <c r="D10">
        <f>[5]Manu_water!T9</f>
        <v>11.493978469049747</v>
      </c>
      <c r="E10">
        <f>[5]Manu_water!U9</f>
        <v>1.5738112316779886E-2</v>
      </c>
      <c r="F10">
        <f>[5]Manu_water!V9</f>
        <v>6.620276662714728</v>
      </c>
      <c r="G10">
        <f>[5]Manu_water!W9</f>
        <v>5.2475553115821034E-2</v>
      </c>
      <c r="H10">
        <f>SUM([5]Manu_water!$X9:$AC9)</f>
        <v>1.194600660644682</v>
      </c>
      <c r="J10">
        <f>[5]Manu_solid!R9</f>
        <v>7.6511283028513746E-2</v>
      </c>
      <c r="K10">
        <f>[5]Manu_solid!S9</f>
        <v>7.7558769611234615E-4</v>
      </c>
      <c r="L10">
        <f>[5]Manu_solid!T9</f>
        <v>4.0709785641800889E-2</v>
      </c>
      <c r="M10">
        <f>[5]Manu_solid!U9</f>
        <v>5.4307570670578493E-3</v>
      </c>
      <c r="N10">
        <f>[5]Manu_solid!V9</f>
        <v>1.1534204226303765E-2</v>
      </c>
      <c r="O10">
        <f>[5]Manu_solid!W9</f>
        <v>4.316171035500431E-2</v>
      </c>
      <c r="P10">
        <f>SUM([5]Manu_solid!$X9:$AC9)</f>
        <v>1.1352840264445545E-2</v>
      </c>
      <c r="R10">
        <f>[5]Manu_gas!R9</f>
        <v>0.15841068458016225</v>
      </c>
      <c r="S10">
        <f>[5]Manu_gas!S9</f>
        <v>0</v>
      </c>
      <c r="T10">
        <f>[5]Manu_gas!T9</f>
        <v>0</v>
      </c>
      <c r="U10">
        <f>[5]Manu_gas!U9</f>
        <v>1.0750682357236965E-2</v>
      </c>
      <c r="V10">
        <f>[5]Manu_gas!V9</f>
        <v>0</v>
      </c>
      <c r="W10">
        <f>[5]Manu_gas!W9</f>
        <v>0</v>
      </c>
      <c r="X10">
        <f>SUM([5]Manu_gas!$X9:$AC9)</f>
        <v>1.0779135299018009E-2</v>
      </c>
      <c r="Z10">
        <f>[5]Manu_solvent!R9</f>
        <v>10.226648956909795</v>
      </c>
      <c r="AA10">
        <f>[5]Manu_solvent!S9</f>
        <v>5.2075173881828956E-3</v>
      </c>
      <c r="AB10">
        <f>[5]Manu_solvent!T9</f>
        <v>1.2997252663620835</v>
      </c>
      <c r="AC10">
        <f>[5]Manu_solvent!U9</f>
        <v>0.70045682987358382</v>
      </c>
      <c r="AD10">
        <f>[5]Manu_solvent!V9</f>
        <v>1.7616864756967732</v>
      </c>
      <c r="AE10">
        <f>[5]Manu_solvent!W9</f>
        <v>4.4675777720878536</v>
      </c>
      <c r="AF10">
        <f>SUM([5]Manu_solvent!$X9:$AC9)</f>
        <v>1.1765108845569459</v>
      </c>
    </row>
    <row r="11" spans="1:32" x14ac:dyDescent="0.2">
      <c r="A11">
        <v>2022</v>
      </c>
      <c r="B11">
        <f>[5]Manu_water!R10</f>
        <v>0.51614653805801136</v>
      </c>
      <c r="C11">
        <f>[5]Manu_water!S10</f>
        <v>0.4105941051587596</v>
      </c>
      <c r="D11">
        <f>[5]Manu_water!T10</f>
        <v>19.415751776081116</v>
      </c>
      <c r="E11">
        <f>[5]Manu_water!U10</f>
        <v>2.6083188520346325E-2</v>
      </c>
      <c r="F11">
        <f>[5]Manu_water!V10</f>
        <v>10.876090274232375</v>
      </c>
      <c r="G11">
        <f>[5]Manu_water!W10</f>
        <v>8.7990581288116876E-2</v>
      </c>
      <c r="H11">
        <f>SUM([5]Manu_water!$X10:$AC10)</f>
        <v>2.0762506049129317</v>
      </c>
      <c r="J11">
        <f>[5]Manu_solid!R10</f>
        <v>0.12680416678933848</v>
      </c>
      <c r="K11">
        <f>[5]Manu_solid!S10</f>
        <v>1.285401939226886E-3</v>
      </c>
      <c r="L11">
        <f>[5]Manu_solid!T10</f>
        <v>6.8767406777996476E-2</v>
      </c>
      <c r="M11">
        <f>[5]Manu_solid!U10</f>
        <v>9.000536883781482E-3</v>
      </c>
      <c r="N11">
        <f>[5]Manu_solid!V10</f>
        <v>1.8948912983233417E-2</v>
      </c>
      <c r="O11">
        <f>[5]Manu_solid!W10</f>
        <v>7.2373205388494399E-2</v>
      </c>
      <c r="P11">
        <f>SUM([5]Manu_solid!$X10:$AC10)</f>
        <v>1.9689422196243166E-2</v>
      </c>
      <c r="R11">
        <f>[5]Manu_gas!R10</f>
        <v>0.26253820447933451</v>
      </c>
      <c r="S11">
        <f>[5]Manu_gas!S10</f>
        <v>0</v>
      </c>
      <c r="T11">
        <f>[5]Manu_gas!T10</f>
        <v>0</v>
      </c>
      <c r="U11">
        <f>[5]Manu_gas!U10</f>
        <v>1.7817389341363336E-2</v>
      </c>
      <c r="V11">
        <f>[5]Manu_gas!V10</f>
        <v>0</v>
      </c>
      <c r="W11">
        <f>[5]Manu_gas!W10</f>
        <v>0</v>
      </c>
      <c r="X11">
        <f>SUM([5]Manu_gas!$X10:$AC10)</f>
        <v>1.856519753482606E-2</v>
      </c>
      <c r="Z11">
        <f>[5]Manu_solvent!R10</f>
        <v>16.948894969448197</v>
      </c>
      <c r="AA11">
        <f>[5]Manu_solvent!S10</f>
        <v>8.6305558776662347E-3</v>
      </c>
      <c r="AB11">
        <f>[5]Manu_solvent!T10</f>
        <v>2.1955098677745664</v>
      </c>
      <c r="AC11">
        <f>[5]Manu_solvent!U10</f>
        <v>1.1608855735816115</v>
      </c>
      <c r="AD11">
        <f>[5]Manu_solvent!V10</f>
        <v>2.8941783131938594</v>
      </c>
      <c r="AE11">
        <f>[5]Manu_solvent!W10</f>
        <v>7.4911981251201318</v>
      </c>
      <c r="AF11">
        <f>SUM([5]Manu_solvent!$X10:$AC10)</f>
        <v>2.0334419516109943</v>
      </c>
    </row>
    <row r="12" spans="1:32" x14ac:dyDescent="0.2">
      <c r="A12">
        <v>2022.25</v>
      </c>
      <c r="B12">
        <f>[5]Manu_water!R11</f>
        <v>0.78139846074576969</v>
      </c>
      <c r="C12">
        <f>[5]Manu_water!S11</f>
        <v>0.62160177024432817</v>
      </c>
      <c r="D12">
        <f>[5]Manu_water!T11</f>
        <v>29.896167932589108</v>
      </c>
      <c r="E12">
        <f>[5]Manu_water!U11</f>
        <v>3.9487552193655559E-2</v>
      </c>
      <c r="F12">
        <f>[5]Manu_water!V11</f>
        <v>16.33394981241695</v>
      </c>
      <c r="G12">
        <f>[5]Manu_water!W11</f>
        <v>0.1346102565600539</v>
      </c>
      <c r="H12">
        <f>SUM([5]Manu_water!$X11:$AC11)</f>
        <v>3.2826222204882289</v>
      </c>
      <c r="J12">
        <f>[5]Manu_solid!R11</f>
        <v>0.19196986405864935</v>
      </c>
      <c r="K12">
        <f>[5]Manu_solid!S11</f>
        <v>1.945980497187074E-3</v>
      </c>
      <c r="L12">
        <f>[5]Manu_solid!T11</f>
        <v>0.10588732102850407</v>
      </c>
      <c r="M12">
        <f>[5]Manu_solid!U11</f>
        <v>1.3625986320345933E-2</v>
      </c>
      <c r="N12">
        <f>[5]Manu_solid!V11</f>
        <v>2.8457891196552759E-2</v>
      </c>
      <c r="O12">
        <f>[5]Manu_solid!W11</f>
        <v>0.11071839284160277</v>
      </c>
      <c r="P12">
        <f>SUM([5]Manu_solid!$X11:$AC11)</f>
        <v>3.107068442244014E-2</v>
      </c>
      <c r="R12">
        <f>[5]Manu_gas!R11</f>
        <v>0.39745873262847098</v>
      </c>
      <c r="S12">
        <f>[5]Manu_gas!S11</f>
        <v>0</v>
      </c>
      <c r="T12">
        <f>[5]Manu_gas!T11</f>
        <v>0</v>
      </c>
      <c r="U12">
        <f>[5]Manu_gas!U11</f>
        <v>2.6973891287215414E-2</v>
      </c>
      <c r="V12">
        <f>[5]Manu_gas!V11</f>
        <v>0</v>
      </c>
      <c r="W12">
        <f>[5]Manu_gas!W11</f>
        <v>0</v>
      </c>
      <c r="X12">
        <f>SUM([5]Manu_gas!$X11:$AC11)</f>
        <v>2.9115430543917215E-2</v>
      </c>
      <c r="Z12">
        <f>[5]Manu_solvent!R11</f>
        <v>25.659070562205379</v>
      </c>
      <c r="AA12">
        <f>[5]Manu_solvent!S11</f>
        <v>1.3065869052541782E-2</v>
      </c>
      <c r="AB12">
        <f>[5]Manu_solvent!T11</f>
        <v>3.3806227264146251</v>
      </c>
      <c r="AC12">
        <f>[5]Manu_solvent!U11</f>
        <v>1.7574741539711489</v>
      </c>
      <c r="AD12">
        <f>[5]Manu_solvent!V11</f>
        <v>4.346540174265936</v>
      </c>
      <c r="AE12">
        <f>[5]Manu_solvent!W11</f>
        <v>11.460227751680952</v>
      </c>
      <c r="AF12">
        <f>SUM([5]Manu_solvent!$X11:$AC11)</f>
        <v>3.1990370800839889</v>
      </c>
    </row>
    <row r="13" spans="1:32" x14ac:dyDescent="0.2">
      <c r="A13">
        <v>2022.5</v>
      </c>
      <c r="B13">
        <f>[5]Manu_water!R12</f>
        <v>1.0027729696553185</v>
      </c>
      <c r="C13">
        <f>[5]Manu_water!S12</f>
        <v>0.79770499227244906</v>
      </c>
      <c r="D13">
        <f>[5]Manu_water!T12</f>
        <v>38.822850286997195</v>
      </c>
      <c r="E13">
        <f>[5]Manu_water!U12</f>
        <v>5.0674594290676979E-2</v>
      </c>
      <c r="F13">
        <f>[5]Manu_water!V12</f>
        <v>20.841917019404448</v>
      </c>
      <c r="G13">
        <f>[5]Manu_water!W12</f>
        <v>0.1740196688326483</v>
      </c>
      <c r="H13">
        <f>SUM([5]Manu_water!$X12:$AC12)</f>
        <v>4.215775241923172</v>
      </c>
      <c r="J13">
        <f>[5]Manu_solid!R12</f>
        <v>0.24635598908487066</v>
      </c>
      <c r="K13">
        <f>[5]Manu_solid!S12</f>
        <v>2.4972875428922827E-3</v>
      </c>
      <c r="L13">
        <f>[5]Manu_solid!T12</f>
        <v>0.13750416511072927</v>
      </c>
      <c r="M13">
        <f>[5]Manu_solid!U12</f>
        <v>1.7486303663684311E-2</v>
      </c>
      <c r="N13">
        <f>[5]Manu_solid!V12</f>
        <v>3.6311915591592532E-2</v>
      </c>
      <c r="O13">
        <f>[5]Manu_solid!W12</f>
        <v>0.14313306094460249</v>
      </c>
      <c r="P13">
        <f>SUM([5]Manu_solid!$X12:$AC12)</f>
        <v>3.9854803836091773E-2</v>
      </c>
      <c r="R13">
        <f>[5]Manu_gas!R12</f>
        <v>0.51006099148557704</v>
      </c>
      <c r="S13">
        <f>[5]Manu_gas!S12</f>
        <v>0</v>
      </c>
      <c r="T13">
        <f>[5]Manu_gas!T12</f>
        <v>0</v>
      </c>
      <c r="U13">
        <f>[5]Manu_gas!U12</f>
        <v>3.4615743987293432E-2</v>
      </c>
      <c r="V13">
        <f>[5]Manu_gas!V12</f>
        <v>0</v>
      </c>
      <c r="W13">
        <f>[5]Manu_gas!W12</f>
        <v>0</v>
      </c>
      <c r="X13">
        <f>SUM([5]Manu_gas!$X12:$AC12)</f>
        <v>3.7197861488781007E-2</v>
      </c>
      <c r="Z13">
        <f>[5]Manu_solvent!R12</f>
        <v>32.928427273456649</v>
      </c>
      <c r="AA13">
        <f>[5]Manu_solvent!S12</f>
        <v>1.6767502073705327E-2</v>
      </c>
      <c r="AB13">
        <f>[5]Manu_solvent!T12</f>
        <v>4.390041234727871</v>
      </c>
      <c r="AC13">
        <f>[5]Manu_solvent!U12</f>
        <v>2.2553763092752011</v>
      </c>
      <c r="AD13">
        <f>[5]Manu_solvent!V12</f>
        <v>5.546131258753614</v>
      </c>
      <c r="AE13">
        <f>[5]Manu_solvent!W12</f>
        <v>14.815401805615918</v>
      </c>
      <c r="AF13">
        <f>SUM([5]Manu_solvent!$X12:$AC12)</f>
        <v>4.0953835232203559</v>
      </c>
    </row>
    <row r="14" spans="1:32" x14ac:dyDescent="0.2">
      <c r="A14">
        <v>2022.75</v>
      </c>
      <c r="B14">
        <f>[5]Manu_water!R13</f>
        <v>1.3709034511963121</v>
      </c>
      <c r="C14">
        <f>[5]Manu_water!S13</f>
        <v>1.0905524580690695</v>
      </c>
      <c r="D14">
        <f>[5]Manu_water!T13</f>
        <v>53.965923256275332</v>
      </c>
      <c r="E14">
        <f>[5]Manu_water!U13</f>
        <v>6.9277870767638278E-2</v>
      </c>
      <c r="F14">
        <f>[5]Manu_water!V13</f>
        <v>28.260237386689568</v>
      </c>
      <c r="G14">
        <f>[5]Manu_water!W13</f>
        <v>0.2403871143120492</v>
      </c>
      <c r="H14">
        <f>SUM([5]Manu_water!$X13:$AC13)</f>
        <v>5.9073962015486892</v>
      </c>
      <c r="J14">
        <f>[5]Manu_solid!R13</f>
        <v>0.33679634960186222</v>
      </c>
      <c r="K14">
        <f>[5]Manu_solid!S13</f>
        <v>3.4140729903772305E-3</v>
      </c>
      <c r="L14">
        <f>[5]Manu_solid!T13</f>
        <v>0.19113844467697838</v>
      </c>
      <c r="M14">
        <f>[5]Manu_solid!U13</f>
        <v>2.3905744138128703E-2</v>
      </c>
      <c r="N14">
        <f>[5]Manu_solid!V13</f>
        <v>4.9236514742306656E-2</v>
      </c>
      <c r="O14">
        <f>[5]Manu_solid!W13</f>
        <v>0.19772100311380669</v>
      </c>
      <c r="P14">
        <f>SUM([5]Manu_solid!$X13:$AC13)</f>
        <v>5.5744021246240345E-2</v>
      </c>
      <c r="R14">
        <f>[5]Manu_gas!R13</f>
        <v>0.69731075199258763</v>
      </c>
      <c r="S14">
        <f>[5]Manu_gas!S13</f>
        <v>0</v>
      </c>
      <c r="T14">
        <f>[5]Manu_gas!T13</f>
        <v>0</v>
      </c>
      <c r="U14">
        <f>[5]Manu_gas!U13</f>
        <v>4.7323615946907843E-2</v>
      </c>
      <c r="V14">
        <f>[5]Manu_gas!V13</f>
        <v>0</v>
      </c>
      <c r="W14">
        <f>[5]Manu_gas!W13</f>
        <v>0</v>
      </c>
      <c r="X14">
        <f>SUM([5]Manu_gas!$X13:$AC13)</f>
        <v>5.171056405403425E-2</v>
      </c>
      <c r="Z14">
        <f>[5]Manu_solvent!R13</f>
        <v>45.016864193262975</v>
      </c>
      <c r="AA14">
        <f>[5]Manu_solvent!S13</f>
        <v>2.2923061506818547E-2</v>
      </c>
      <c r="AB14">
        <f>[5]Manu_solvent!T13</f>
        <v>6.1024017199622467</v>
      </c>
      <c r="AC14">
        <f>[5]Manu_solvent!U13</f>
        <v>3.0833531214892531</v>
      </c>
      <c r="AD14">
        <f>[5]Manu_solvent!V13</f>
        <v>7.520180883754195</v>
      </c>
      <c r="AE14">
        <f>[5]Manu_solvent!W13</f>
        <v>20.465684777566729</v>
      </c>
      <c r="AF14">
        <f>SUM([5]Manu_solvent!$X13:$AC13)</f>
        <v>5.7109360288466577</v>
      </c>
    </row>
    <row r="15" spans="1:32" x14ac:dyDescent="0.2">
      <c r="A15">
        <v>2023</v>
      </c>
      <c r="B15">
        <f>[5]Manu_water!R14</f>
        <v>1.8571749177426844</v>
      </c>
      <c r="C15">
        <f>[5]Manu_water!S14</f>
        <v>1.4773809708051269</v>
      </c>
      <c r="D15">
        <f>[5]Manu_water!T14</f>
        <v>74.362438060668197</v>
      </c>
      <c r="E15">
        <f>[5]Manu_water!U14</f>
        <v>9.3851338569467785E-2</v>
      </c>
      <c r="F15">
        <f>[5]Manu_water!V14</f>
        <v>37.956265243649966</v>
      </c>
      <c r="G15">
        <f>[5]Manu_water!W14</f>
        <v>0.32915064863360211</v>
      </c>
      <c r="H15">
        <f>SUM([5]Manu_water!$X14:$AC14)</f>
        <v>7.4221856726999524</v>
      </c>
      <c r="J15">
        <f>[5]Manu_solid!R14</f>
        <v>0.45626096595062504</v>
      </c>
      <c r="K15">
        <f>[5]Manu_solid!S14</f>
        <v>4.6250745955437782E-3</v>
      </c>
      <c r="L15">
        <f>[5]Manu_solid!T14</f>
        <v>0.26337955316369888</v>
      </c>
      <c r="M15">
        <f>[5]Manu_solid!U14</f>
        <v>3.2385321055661422E-2</v>
      </c>
      <c r="N15">
        <f>[5]Manu_solid!V14</f>
        <v>6.6129459128750456E-2</v>
      </c>
      <c r="O15">
        <f>[5]Manu_solid!W14</f>
        <v>0.27072997073759475</v>
      </c>
      <c r="P15">
        <f>SUM([5]Manu_solid!$X14:$AC14)</f>
        <v>6.9941896294819464E-2</v>
      </c>
      <c r="R15">
        <f>[5]Manu_gas!R14</f>
        <v>0.94465298584143442</v>
      </c>
      <c r="S15">
        <f>[5]Manu_gas!S14</f>
        <v>0</v>
      </c>
      <c r="T15">
        <f>[5]Manu_gas!T14</f>
        <v>0</v>
      </c>
      <c r="U15">
        <f>[5]Manu_gas!U14</f>
        <v>6.4109717191819557E-2</v>
      </c>
      <c r="V15">
        <f>[5]Manu_gas!V14</f>
        <v>0</v>
      </c>
      <c r="W15">
        <f>[5]Manu_gas!W14</f>
        <v>0</v>
      </c>
      <c r="X15">
        <f>SUM([5]Manu_gas!$X14:$AC14)</f>
        <v>6.4584179135086475E-2</v>
      </c>
      <c r="Z15">
        <f>[5]Manu_solvent!R14</f>
        <v>60.984740378470846</v>
      </c>
      <c r="AA15">
        <f>[5]Manu_solvent!S14</f>
        <v>3.105407228436537E-2</v>
      </c>
      <c r="AB15">
        <f>[5]Manu_solvent!T14</f>
        <v>8.4088150918318547</v>
      </c>
      <c r="AC15">
        <f>[5]Manu_solvent!U14</f>
        <v>4.1770454912608201</v>
      </c>
      <c r="AD15">
        <f>[5]Manu_solvent!V14</f>
        <v>10.100339087683679</v>
      </c>
      <c r="AE15">
        <f>[5]Manu_solvent!W14</f>
        <v>28.022689313215295</v>
      </c>
      <c r="AF15">
        <f>SUM([5]Manu_solvent!$X14:$AC14)</f>
        <v>7.1494130885473677</v>
      </c>
    </row>
    <row r="16" spans="1:32" x14ac:dyDescent="0.2">
      <c r="A16">
        <v>2023.25</v>
      </c>
      <c r="B16">
        <f>[5]Manu_water!R15</f>
        <v>2.4945789692849876</v>
      </c>
      <c r="C16">
        <f>[5]Manu_water!S15</f>
        <v>1.9844353184953651</v>
      </c>
      <c r="D16">
        <f>[5]Manu_water!T15</f>
        <v>101.00259316595637</v>
      </c>
      <c r="E16">
        <f>[5]Manu_water!U15</f>
        <v>0.12606221051014491</v>
      </c>
      <c r="F16">
        <f>[5]Manu_water!V15</f>
        <v>50.64339448120657</v>
      </c>
      <c r="G16">
        <f>[5]Manu_water!W15</f>
        <v>0.45001688009164853</v>
      </c>
      <c r="H16">
        <f>SUM([5]Manu_water!$X15:$AC15)</f>
        <v>10.346106870161266</v>
      </c>
      <c r="J16">
        <f>[5]Manu_solid!R15</f>
        <v>0.61285504089700393</v>
      </c>
      <c r="K16">
        <f>[5]Manu_solid!S15</f>
        <v>6.212454038223415E-3</v>
      </c>
      <c r="L16">
        <f>[5]Manu_solid!T15</f>
        <v>0.35773461105082838</v>
      </c>
      <c r="M16">
        <f>[5]Manu_solid!U15</f>
        <v>4.3500340246458463E-2</v>
      </c>
      <c r="N16">
        <f>[5]Manu_solid!V15</f>
        <v>8.8233662189575485E-2</v>
      </c>
      <c r="O16">
        <f>[5]Manu_solid!W15</f>
        <v>0.37014375418793588</v>
      </c>
      <c r="P16">
        <f>SUM([5]Manu_solid!$X15:$AC15)</f>
        <v>9.7663996294671818E-2</v>
      </c>
      <c r="R16">
        <f>[5]Manu_gas!R15</f>
        <v>1.2688688874909797</v>
      </c>
      <c r="S16">
        <f>[5]Manu_gas!S15</f>
        <v>0</v>
      </c>
      <c r="T16">
        <f>[5]Manu_gas!T15</f>
        <v>0</v>
      </c>
      <c r="U16">
        <f>[5]Manu_gas!U15</f>
        <v>8.6112918447070835E-2</v>
      </c>
      <c r="V16">
        <f>[5]Manu_gas!V15</f>
        <v>0</v>
      </c>
      <c r="W16">
        <f>[5]Manu_gas!W15</f>
        <v>0</v>
      </c>
      <c r="X16">
        <f>SUM([5]Manu_gas!$X15:$AC15)</f>
        <v>8.9502871151442717E-2</v>
      </c>
      <c r="Z16">
        <f>[5]Manu_solvent!R15</f>
        <v>81.915413212853053</v>
      </c>
      <c r="AA16">
        <f>[5]Manu_solvent!S15</f>
        <v>4.1712191399500081E-2</v>
      </c>
      <c r="AB16">
        <f>[5]Manu_solvent!T15</f>
        <v>11.421251802356723</v>
      </c>
      <c r="AC16">
        <f>[5]Manu_solvent!U15</f>
        <v>5.6106561297472952</v>
      </c>
      <c r="AD16">
        <f>[5]Manu_solvent!V15</f>
        <v>13.476443309898368</v>
      </c>
      <c r="AE16">
        <f>[5]Manu_solvent!W15</f>
        <v>38.312800745984426</v>
      </c>
      <c r="AF16">
        <f>SUM([5]Manu_solvent!$X15:$AC15)</f>
        <v>9.9602472447036448</v>
      </c>
    </row>
    <row r="17" spans="1:32" x14ac:dyDescent="0.2">
      <c r="A17">
        <v>2023.5</v>
      </c>
      <c r="B17">
        <f>[5]Manu_water!R16</f>
        <v>4.1729788548099513</v>
      </c>
      <c r="C17">
        <f>[5]Manu_water!S16</f>
        <v>3.3196009125310502</v>
      </c>
      <c r="D17">
        <f>[5]Manu_water!T16</f>
        <v>170.90302676723363</v>
      </c>
      <c r="E17">
        <f>[5]Manu_water!U16</f>
        <v>0.21087924869350472</v>
      </c>
      <c r="F17">
        <f>[5]Manu_water!V16</f>
        <v>83.992760122619188</v>
      </c>
      <c r="G17">
        <f>[5]Manu_water!W16</f>
        <v>0.77999109594023275</v>
      </c>
      <c r="H17">
        <f>SUM([5]Manu_water!$X16:$AC16)</f>
        <v>17.953759514713955</v>
      </c>
      <c r="J17">
        <f>[5]Manu_solid!R16</f>
        <v>1.0251954972024451</v>
      </c>
      <c r="K17">
        <f>[5]Manu_solid!S16</f>
        <v>1.0392310549068582E-2</v>
      </c>
      <c r="L17">
        <f>[5]Manu_solid!T16</f>
        <v>0.60531047660856097</v>
      </c>
      <c r="M17">
        <f>[5]Manu_solid!U16</f>
        <v>7.2768191450575587E-2</v>
      </c>
      <c r="N17">
        <f>[5]Manu_solid!V16</f>
        <v>0.14633673155102975</v>
      </c>
      <c r="O17">
        <f>[5]Manu_solid!W16</f>
        <v>0.64155111787291852</v>
      </c>
      <c r="P17">
        <f>SUM([5]Manu_solid!$X16:$AC16)</f>
        <v>0.17060932928637934</v>
      </c>
      <c r="R17">
        <f>[5]Manu_gas!R16</f>
        <v>2.1225878604050621</v>
      </c>
      <c r="S17">
        <f>[5]Manu_gas!S16</f>
        <v>0</v>
      </c>
      <c r="T17">
        <f>[5]Manu_gas!T16</f>
        <v>0</v>
      </c>
      <c r="U17">
        <f>[5]Manu_gas!U16</f>
        <v>0.14405131776950675</v>
      </c>
      <c r="V17">
        <f>[5]Manu_gas!V16</f>
        <v>0</v>
      </c>
      <c r="W17">
        <f>[5]Manu_gas!W16</f>
        <v>0</v>
      </c>
      <c r="X17">
        <f>SUM([5]Manu_gas!$X16:$AC16)</f>
        <v>0.15451686164789513</v>
      </c>
      <c r="Z17">
        <f>[5]Manu_solvent!R16</f>
        <v>137.02965166832678</v>
      </c>
      <c r="AA17">
        <f>[5]Manu_solvent!S16</f>
        <v>6.9776942258031924E-2</v>
      </c>
      <c r="AB17">
        <f>[5]Manu_solvent!T16</f>
        <v>19.325508794475159</v>
      </c>
      <c r="AC17">
        <f>[5]Manu_solvent!U16</f>
        <v>9.3856116319926048</v>
      </c>
      <c r="AD17">
        <f>[5]Manu_solvent!V16</f>
        <v>22.350864941614823</v>
      </c>
      <c r="AE17">
        <f>[5]Manu_solvent!W16</f>
        <v>66.405605577093425</v>
      </c>
      <c r="AF17">
        <f>SUM([5]Manu_solvent!$X16:$AC16)</f>
        <v>17.36184405305735</v>
      </c>
    </row>
    <row r="18" spans="1:32" x14ac:dyDescent="0.2">
      <c r="A18">
        <v>2023.75</v>
      </c>
      <c r="B18">
        <f>[5]Manu_water!R17</f>
        <v>5.7593964144887382</v>
      </c>
      <c r="C18">
        <f>[5]Manu_water!S17</f>
        <v>4.5815946493780153</v>
      </c>
      <c r="D18">
        <f>[5]Manu_water!T17</f>
        <v>236.74182154851866</v>
      </c>
      <c r="E18">
        <f>[5]Manu_water!U17</f>
        <v>0.29104800936518604</v>
      </c>
      <c r="F18">
        <f>[5]Manu_water!V17</f>
        <v>115.46032613419959</v>
      </c>
      <c r="G18">
        <f>[5]Manu_water!W17</f>
        <v>1.1027873258342691</v>
      </c>
      <c r="H18">
        <f>SUM([5]Manu_water!$X17:$AC17)</f>
        <v>26.664702329225815</v>
      </c>
      <c r="J18">
        <f>[5]Manu_solid!R17</f>
        <v>1.4149382194764724</v>
      </c>
      <c r="K18">
        <f>[5]Manu_solid!S17</f>
        <v>1.4343095950646739E-2</v>
      </c>
      <c r="L18">
        <f>[5]Manu_solid!T17</f>
        <v>0.83850068395738531</v>
      </c>
      <c r="M18">
        <f>[5]Manu_solid!U17</f>
        <v>0.10043205956967688</v>
      </c>
      <c r="N18">
        <f>[5]Manu_solid!V17</f>
        <v>0.20116122777282808</v>
      </c>
      <c r="O18">
        <f>[5]Manu_solid!W17</f>
        <v>0.9070545104264548</v>
      </c>
      <c r="P18">
        <f>SUM([5]Manu_solid!$X17:$AC17)</f>
        <v>0.25505916610403911</v>
      </c>
      <c r="R18">
        <f>[5]Manu_gas!R17</f>
        <v>2.9295199755357944</v>
      </c>
      <c r="S18">
        <f>[5]Manu_gas!S17</f>
        <v>0</v>
      </c>
      <c r="T18">
        <f>[5]Manu_gas!T17</f>
        <v>0</v>
      </c>
      <c r="U18">
        <f>[5]Manu_gas!U17</f>
        <v>0.19881448527058482</v>
      </c>
      <c r="V18">
        <f>[5]Manu_gas!V17</f>
        <v>0</v>
      </c>
      <c r="W18">
        <f>[5]Manu_gas!W17</f>
        <v>0</v>
      </c>
      <c r="X18">
        <f>SUM([5]Manu_gas!$X17:$AC17)</f>
        <v>0.22916231955604108</v>
      </c>
      <c r="Z18">
        <f>[5]Manu_solvent!R17</f>
        <v>189.12343243424957</v>
      </c>
      <c r="AA18">
        <f>[5]Manu_solvent!S17</f>
        <v>9.6303644240056691E-2</v>
      </c>
      <c r="AB18">
        <f>[5]Manu_solvent!T17</f>
        <v>26.770480552033955</v>
      </c>
      <c r="AC18">
        <f>[5]Manu_solvent!U17</f>
        <v>12.953686050619549</v>
      </c>
      <c r="AD18">
        <f>[5]Manu_solvent!V17</f>
        <v>30.724530921151761</v>
      </c>
      <c r="AE18">
        <f>[5]Manu_solvent!W17</f>
        <v>93.887302785799335</v>
      </c>
      <c r="AF18">
        <f>SUM([5]Manu_solvent!$X17:$AC17)</f>
        <v>25.93686847830601</v>
      </c>
    </row>
    <row r="19" spans="1:32" x14ac:dyDescent="0.2">
      <c r="A19">
        <v>2024</v>
      </c>
      <c r="B19">
        <f>[5]Manu_water!R18</f>
        <v>7.272576046853402</v>
      </c>
      <c r="C19">
        <f>[5]Manu_water!S18</f>
        <v>5.785327681150088</v>
      </c>
      <c r="D19">
        <f>[5]Manu_water!T18</f>
        <v>299.32417896467126</v>
      </c>
      <c r="E19">
        <f>[5]Manu_water!U18</f>
        <v>0.36751573065343746</v>
      </c>
      <c r="F19">
        <f>[5]Manu_water!V18</f>
        <v>145.4242964933168</v>
      </c>
      <c r="G19">
        <f>[5]Manu_water!W18</f>
        <v>1.4209308081216157</v>
      </c>
      <c r="H19">
        <f>SUM([5]Manu_water!$X18:$AC18)</f>
        <v>35.769717432050165</v>
      </c>
      <c r="J19">
        <f>[5]Manu_solid!R18</f>
        <v>1.7866882329639848</v>
      </c>
      <c r="K19">
        <f>[5]Manu_solid!S18</f>
        <v>1.8111490951722101E-2</v>
      </c>
      <c r="L19">
        <f>[5]Manu_solid!T18</f>
        <v>1.0601571245215</v>
      </c>
      <c r="M19">
        <f>[5]Manu_solid!U18</f>
        <v>0.12681880846491858</v>
      </c>
      <c r="N19">
        <f>[5]Manu_solid!V18</f>
        <v>0.25336607828903723</v>
      </c>
      <c r="O19">
        <f>[5]Manu_solid!W18</f>
        <v>1.1687309677190774</v>
      </c>
      <c r="P19">
        <f>SUM([5]Manu_solid!$X18:$AC18)</f>
        <v>0.34428792953902881</v>
      </c>
      <c r="R19">
        <f>[5]Manu_gas!R18</f>
        <v>3.6991995809254332</v>
      </c>
      <c r="S19">
        <f>[5]Manu_gas!S18</f>
        <v>0</v>
      </c>
      <c r="T19">
        <f>[5]Manu_gas!T18</f>
        <v>0</v>
      </c>
      <c r="U19">
        <f>[5]Manu_gas!U18</f>
        <v>0.25104947798157345</v>
      </c>
      <c r="V19">
        <f>[5]Manu_gas!V18</f>
        <v>0</v>
      </c>
      <c r="W19">
        <f>[5]Manu_gas!W18</f>
        <v>0</v>
      </c>
      <c r="X19">
        <f>SUM([5]Manu_gas!$X18:$AC18)</f>
        <v>0.3073947354048559</v>
      </c>
      <c r="Z19">
        <f>[5]Manu_solvent!R18</f>
        <v>238.8122722651861</v>
      </c>
      <c r="AA19">
        <f>[5]Manu_solvent!S18</f>
        <v>0.12160572496156272</v>
      </c>
      <c r="AB19">
        <f>[5]Manu_solvent!T18</f>
        <v>33.847218287475421</v>
      </c>
      <c r="AC19">
        <f>[5]Manu_solvent!U18</f>
        <v>16.357038153026231</v>
      </c>
      <c r="AD19">
        <f>[5]Manu_solvent!V18</f>
        <v>38.698083089618045</v>
      </c>
      <c r="AE19">
        <f>[5]Manu_solvent!W18</f>
        <v>120.97288198235388</v>
      </c>
      <c r="AF19">
        <f>SUM([5]Manu_solvent!$X18:$AC18)</f>
        <v>35.003383091131397</v>
      </c>
    </row>
    <row r="20" spans="1:32" x14ac:dyDescent="0.2">
      <c r="A20">
        <v>2024.25</v>
      </c>
      <c r="B20">
        <f>[5]Manu_water!R19</f>
        <v>8.6464932921058448</v>
      </c>
      <c r="C20">
        <f>[5]Manu_water!S19</f>
        <v>6.8782776096706026</v>
      </c>
      <c r="D20">
        <f>[5]Manu_water!T19</f>
        <v>355.9527899768467</v>
      </c>
      <c r="E20">
        <f>[5]Manu_water!U19</f>
        <v>0.43694590188757376</v>
      </c>
      <c r="F20">
        <f>[5]Manu_water!V19</f>
        <v>172.58507449440413</v>
      </c>
      <c r="G20">
        <f>[5]Manu_water!W19</f>
        <v>1.7189648111784916</v>
      </c>
      <c r="H20">
        <f>SUM([5]Manu_water!$X19:$AC19)</f>
        <v>44.250597539503516</v>
      </c>
      <c r="J20">
        <f>[5]Manu_solid!R19</f>
        <v>2.1242249956384605</v>
      </c>
      <c r="K20">
        <f>[5]Manu_solid!S19</f>
        <v>2.1533069439934806E-2</v>
      </c>
      <c r="L20">
        <f>[5]Manu_solid!T19</f>
        <v>1.2607263722981732</v>
      </c>
      <c r="M20">
        <f>[5]Manu_solid!U19</f>
        <v>0.15077710698937405</v>
      </c>
      <c r="N20">
        <f>[5]Manu_solid!V19</f>
        <v>0.30068705539777579</v>
      </c>
      <c r="O20">
        <f>[5]Manu_solid!W19</f>
        <v>1.4138671607095814</v>
      </c>
      <c r="P20">
        <f>SUM([5]Manu_solid!$X19:$AC19)</f>
        <v>0.42828469370320904</v>
      </c>
      <c r="R20">
        <f>[5]Manu_gas!R19</f>
        <v>4.3980433008289248</v>
      </c>
      <c r="S20">
        <f>[5]Manu_gas!S19</f>
        <v>0</v>
      </c>
      <c r="T20">
        <f>[5]Manu_gas!T19</f>
        <v>0</v>
      </c>
      <c r="U20">
        <f>[5]Manu_gas!U19</f>
        <v>0.29847713016263838</v>
      </c>
      <c r="V20">
        <f>[5]Manu_gas!V19</f>
        <v>0</v>
      </c>
      <c r="W20">
        <f>[5]Manu_gas!W19</f>
        <v>0</v>
      </c>
      <c r="X20">
        <f>SUM([5]Manu_gas!$X19:$AC19)</f>
        <v>0.38045830284197385</v>
      </c>
      <c r="Z20">
        <f>[5]Manu_solvent!R19</f>
        <v>283.92810152970401</v>
      </c>
      <c r="AA20">
        <f>[5]Manu_solvent!S19</f>
        <v>0.14457918052527657</v>
      </c>
      <c r="AB20">
        <f>[5]Manu_solvent!T19</f>
        <v>40.250713537593064</v>
      </c>
      <c r="AC20">
        <f>[5]Manu_solvent!U19</f>
        <v>19.447169717813143</v>
      </c>
      <c r="AD20">
        <f>[5]Manu_solvent!V19</f>
        <v>45.925692706509338</v>
      </c>
      <c r="AE20">
        <f>[5]Manu_solvent!W19</f>
        <v>146.34641324260519</v>
      </c>
      <c r="AF20">
        <f>SUM([5]Manu_solvent!$X19:$AC19)</f>
        <v>43.543970460554149</v>
      </c>
    </row>
    <row r="21" spans="1:32" x14ac:dyDescent="0.2">
      <c r="A21">
        <v>2024.5</v>
      </c>
      <c r="B21">
        <f>[5]Manu_water!R20</f>
        <v>11.845433692908891</v>
      </c>
      <c r="C21">
        <f>[5]Manu_water!S20</f>
        <v>9.4230318111921587</v>
      </c>
      <c r="D21">
        <f>[5]Manu_water!T20</f>
        <v>487.35780250050931</v>
      </c>
      <c r="E21">
        <f>[5]Manu_water!U20</f>
        <v>0.59860263962998628</v>
      </c>
      <c r="F21">
        <f>[5]Manu_water!V20</f>
        <v>235.72003097980976</v>
      </c>
      <c r="G21">
        <f>[5]Manu_water!W20</f>
        <v>2.4339298570331094</v>
      </c>
      <c r="H21">
        <f>SUM([5]Manu_water!$X20:$AC20)</f>
        <v>63.081549940484102</v>
      </c>
      <c r="J21">
        <f>[5]Manu_solid!R20</f>
        <v>2.9101238484309042</v>
      </c>
      <c r="K21">
        <f>[5]Manu_solid!S20</f>
        <v>2.9499652360619466E-2</v>
      </c>
      <c r="L21">
        <f>[5]Manu_solid!T20</f>
        <v>1.7261413638523315</v>
      </c>
      <c r="M21">
        <f>[5]Manu_solid!U20</f>
        <v>0.20656006578781219</v>
      </c>
      <c r="N21">
        <f>[5]Manu_solid!V20</f>
        <v>0.41068419283203789</v>
      </c>
      <c r="O21">
        <f>[5]Manu_solid!W20</f>
        <v>2.001933648641951</v>
      </c>
      <c r="P21">
        <f>SUM([5]Manu_solid!$X20:$AC20)</f>
        <v>0.61673689665656184</v>
      </c>
      <c r="R21">
        <f>[5]Manu_gas!R20</f>
        <v>6.0251859960470826</v>
      </c>
      <c r="S21">
        <f>[5]Manu_gas!S20</f>
        <v>0</v>
      </c>
      <c r="T21">
        <f>[5]Manu_gas!T20</f>
        <v>0</v>
      </c>
      <c r="U21">
        <f>[5]Manu_gas!U20</f>
        <v>0.4089046200289343</v>
      </c>
      <c r="V21">
        <f>[5]Manu_gas!V20</f>
        <v>0</v>
      </c>
      <c r="W21">
        <f>[5]Manu_gas!W20</f>
        <v>0</v>
      </c>
      <c r="X21">
        <f>SUM([5]Manu_gas!$X20:$AC20)</f>
        <v>0.54311516815930305</v>
      </c>
      <c r="Z21">
        <f>[5]Manu_solvent!R20</f>
        <v>388.97289185365179</v>
      </c>
      <c r="AA21">
        <f>[5]Manu_solvent!S20</f>
        <v>0.19806909442130213</v>
      </c>
      <c r="AB21">
        <f>[5]Manu_solvent!T20</f>
        <v>55.109834368863432</v>
      </c>
      <c r="AC21">
        <f>[5]Manu_solvent!U20</f>
        <v>26.642032975081083</v>
      </c>
      <c r="AD21">
        <f>[5]Manu_solvent!V20</f>
        <v>62.726198886327289</v>
      </c>
      <c r="AE21">
        <f>[5]Manu_solvent!W20</f>
        <v>207.21593737377333</v>
      </c>
      <c r="AF21">
        <f>SUM([5]Manu_solvent!$X20:$AC20)</f>
        <v>62.717729701362835</v>
      </c>
    </row>
    <row r="22" spans="1:32" x14ac:dyDescent="0.2">
      <c r="A22">
        <v>2024.75</v>
      </c>
      <c r="B22">
        <f>[5]Manu_water!R21</f>
        <v>14.18900867596607</v>
      </c>
      <c r="C22">
        <f>[5]Manu_water!S21</f>
        <v>11.287343594937312</v>
      </c>
      <c r="D22">
        <f>[5]Manu_water!T21</f>
        <v>583.30479087832691</v>
      </c>
      <c r="E22">
        <f>[5]Manu_water!U21</f>
        <v>0.7170339446710704</v>
      </c>
      <c r="F22">
        <f>[5]Manu_water!V21</f>
        <v>281.89789727018444</v>
      </c>
      <c r="G22">
        <f>[5]Manu_water!W21</f>
        <v>2.9729139096498516</v>
      </c>
      <c r="H22">
        <f>SUM([5]Manu_water!$X21:$AC21)</f>
        <v>78.478322531815053</v>
      </c>
      <c r="J22">
        <f>[5]Manu_solid!R21</f>
        <v>3.4858810241992773</v>
      </c>
      <c r="K22">
        <f>[5]Manu_solid!S21</f>
        <v>3.5336048821360114E-2</v>
      </c>
      <c r="L22">
        <f>[5]Manu_solid!T21</f>
        <v>2.0659698523391588</v>
      </c>
      <c r="M22">
        <f>[5]Manu_solid!U21</f>
        <v>0.24742720625973558</v>
      </c>
      <c r="N22">
        <f>[5]Manu_solid!V21</f>
        <v>0.49113777017690369</v>
      </c>
      <c r="O22">
        <f>[5]Manu_solid!W21</f>
        <v>2.4452538650799638</v>
      </c>
      <c r="P22">
        <f>SUM([5]Manu_solid!$X21:$AC21)</f>
        <v>0.77239748297890032</v>
      </c>
      <c r="R22">
        <f>[5]Manu_gas!R21</f>
        <v>7.2172466275675164</v>
      </c>
      <c r="S22">
        <f>[5]Manu_gas!S21</f>
        <v>0</v>
      </c>
      <c r="T22">
        <f>[5]Manu_gas!T21</f>
        <v>0</v>
      </c>
      <c r="U22">
        <f>[5]Manu_gas!U21</f>
        <v>0.48980487769784387</v>
      </c>
      <c r="V22">
        <f>[5]Manu_gas!V21</f>
        <v>0</v>
      </c>
      <c r="W22">
        <f>[5]Manu_gas!W21</f>
        <v>0</v>
      </c>
      <c r="X22">
        <f>SUM([5]Manu_gas!$X21:$AC21)</f>
        <v>0.67645395598136282</v>
      </c>
      <c r="Z22">
        <f>[5]Manu_solvent!R21</f>
        <v>465.92973126269203</v>
      </c>
      <c r="AA22">
        <f>[5]Manu_solvent!S21</f>
        <v>0.23725632780056075</v>
      </c>
      <c r="AB22">
        <f>[5]Manu_solvent!T21</f>
        <v>65.959404460002517</v>
      </c>
      <c r="AC22">
        <f>[5]Manu_solvent!U21</f>
        <v>31.91306007268426</v>
      </c>
      <c r="AD22">
        <f>[5]Manu_solvent!V21</f>
        <v>75.01434433173651</v>
      </c>
      <c r="AE22">
        <f>[5]Manu_solvent!W21</f>
        <v>253.10307967155325</v>
      </c>
      <c r="AF22">
        <f>SUM([5]Manu_solvent!$X21:$AC21)</f>
        <v>78.565098043883538</v>
      </c>
    </row>
    <row r="23" spans="1:32" x14ac:dyDescent="0.2">
      <c r="A23">
        <v>2025</v>
      </c>
      <c r="B23">
        <f>[5]Manu_water!R22</f>
        <v>17.600354821817682</v>
      </c>
      <c r="C23">
        <f>[5]Manu_water!S22</f>
        <v>14.001066374930653</v>
      </c>
      <c r="D23">
        <f>[5]Manu_water!T22</f>
        <v>722.50535012830881</v>
      </c>
      <c r="E23">
        <f>[5]Manu_water!U22</f>
        <v>0.88942449283823422</v>
      </c>
      <c r="F23">
        <f>[5]Manu_water!V22</f>
        <v>349.00694254362924</v>
      </c>
      <c r="G23">
        <f>[5]Manu_water!W22</f>
        <v>3.7792681476111021</v>
      </c>
      <c r="H23">
        <f>SUM([5]Manu_water!$X22:$AC22)</f>
        <v>96.845913309310504</v>
      </c>
      <c r="J23">
        <f>[5]Manu_solid!R22</f>
        <v>4.3239626032839293</v>
      </c>
      <c r="K23">
        <f>[5]Manu_solid!S22</f>
        <v>4.3831603141553939E-2</v>
      </c>
      <c r="L23">
        <f>[5]Manu_solid!T22</f>
        <v>2.5589953911936845</v>
      </c>
      <c r="M23">
        <f>[5]Manu_solid!U22</f>
        <v>0.30691408555685551</v>
      </c>
      <c r="N23">
        <f>[5]Manu_solid!V22</f>
        <v>0.60805878013644343</v>
      </c>
      <c r="O23">
        <f>[5]Manu_solid!W22</f>
        <v>3.1084889525805592</v>
      </c>
      <c r="P23">
        <f>SUM([5]Manu_solid!$X22:$AC22)</f>
        <v>0.95995594399667761</v>
      </c>
      <c r="R23">
        <f>[5]Manu_gas!R22</f>
        <v>8.9524296152498248</v>
      </c>
      <c r="S23">
        <f>[5]Manu_gas!S22</f>
        <v>0</v>
      </c>
      <c r="T23">
        <f>[5]Manu_gas!T22</f>
        <v>0</v>
      </c>
      <c r="U23">
        <f>[5]Manu_gas!U22</f>
        <v>0.60756461834724451</v>
      </c>
      <c r="V23">
        <f>[5]Manu_gas!V22</f>
        <v>0</v>
      </c>
      <c r="W23">
        <f>[5]Manu_gas!W22</f>
        <v>0</v>
      </c>
      <c r="X23">
        <f>SUM([5]Manu_gas!$X22:$AC22)</f>
        <v>0.83592890394640751</v>
      </c>
      <c r="Z23">
        <f>[5]Manu_solvent!R22</f>
        <v>577.94936767837305</v>
      </c>
      <c r="AA23">
        <f>[5]Manu_solvent!S22</f>
        <v>0.29429790680757645</v>
      </c>
      <c r="AB23">
        <f>[5]Manu_solvent!T22</f>
        <v>81.700036342697473</v>
      </c>
      <c r="AC23">
        <f>[5]Manu_solvent!U22</f>
        <v>39.58565348406789</v>
      </c>
      <c r="AD23">
        <f>[5]Manu_solvent!V22</f>
        <v>92.872374060462448</v>
      </c>
      <c r="AE23">
        <f>[5]Manu_solvent!W22</f>
        <v>321.75314729434513</v>
      </c>
      <c r="AF23">
        <f>SUM([5]Manu_solvent!$X22:$AC22)</f>
        <v>97.671527540670183</v>
      </c>
    </row>
    <row r="24" spans="1:32" x14ac:dyDescent="0.2">
      <c r="A24">
        <v>2025.25</v>
      </c>
      <c r="B24">
        <f>[5]Manu_water!R23</f>
        <v>21.056642148631799</v>
      </c>
      <c r="C24">
        <f>[5]Manu_water!S23</f>
        <v>16.75053982381641</v>
      </c>
      <c r="D24">
        <f>[5]Manu_water!T23</f>
        <v>862.17341541814324</v>
      </c>
      <c r="E24">
        <f>[5]Manu_water!U23</f>
        <v>1.0640861194859055</v>
      </c>
      <c r="F24">
        <f>[5]Manu_water!V23</f>
        <v>417.49718710504999</v>
      </c>
      <c r="G24">
        <f>[5]Manu_water!W23</f>
        <v>4.614169482307716</v>
      </c>
      <c r="H24">
        <f>SUM([5]Manu_water!$X23:$AC23)</f>
        <v>119.51480398295625</v>
      </c>
      <c r="J24">
        <f>[5]Manu_solid!R23</f>
        <v>5.1730850953386085</v>
      </c>
      <c r="K24">
        <f>[5]Manu_solid!S23</f>
        <v>5.2439078160427061E-2</v>
      </c>
      <c r="L24">
        <f>[5]Manu_solid!T23</f>
        <v>3.053676759726323</v>
      </c>
      <c r="M24">
        <f>[5]Manu_solid!U23</f>
        <v>0.3671846468648548</v>
      </c>
      <c r="N24">
        <f>[5]Manu_solid!V23</f>
        <v>0.72738619023247042</v>
      </c>
      <c r="O24">
        <f>[5]Manu_solid!W23</f>
        <v>3.7952043360972549</v>
      </c>
      <c r="P24">
        <f>SUM([5]Manu_solid!$X23:$AC23)</f>
        <v>1.1934851212060718</v>
      </c>
      <c r="R24">
        <f>[5]Manu_gas!R23</f>
        <v>10.710471957954583</v>
      </c>
      <c r="S24">
        <f>[5]Manu_gas!S23</f>
        <v>0</v>
      </c>
      <c r="T24">
        <f>[5]Manu_gas!T23</f>
        <v>0</v>
      </c>
      <c r="U24">
        <f>[5]Manu_gas!U23</f>
        <v>0.72687572950797785</v>
      </c>
      <c r="V24">
        <f>[5]Manu_gas!V23</f>
        <v>0</v>
      </c>
      <c r="W24">
        <f>[5]Manu_gas!W23</f>
        <v>0</v>
      </c>
      <c r="X24">
        <f>SUM([5]Manu_gas!$X23:$AC23)</f>
        <v>1.0335274655364468</v>
      </c>
      <c r="Z24">
        <f>[5]Manu_solvent!R23</f>
        <v>691.44475429244221</v>
      </c>
      <c r="AA24">
        <f>[5]Manu_solvent!S23</f>
        <v>0.35209095336286739</v>
      </c>
      <c r="AB24">
        <f>[5]Manu_solvent!T23</f>
        <v>97.493533246308317</v>
      </c>
      <c r="AC24">
        <f>[5]Manu_solvent!U23</f>
        <v>47.359325881344532</v>
      </c>
      <c r="AD24">
        <f>[5]Manu_solvent!V23</f>
        <v>111.09794735720469</v>
      </c>
      <c r="AE24">
        <f>[5]Manu_solvent!W23</f>
        <v>392.8336109255614</v>
      </c>
      <c r="AF24">
        <f>SUM([5]Manu_solvent!$X23:$AC23)</f>
        <v>121.50376225686983</v>
      </c>
    </row>
    <row r="25" spans="1:32" x14ac:dyDescent="0.2">
      <c r="A25">
        <v>2025.5</v>
      </c>
      <c r="B25">
        <f>[5]Manu_water!R24</f>
        <v>24.428206405609714</v>
      </c>
      <c r="C25">
        <f>[5]Manu_water!S24</f>
        <v>19.432616147117283</v>
      </c>
      <c r="D25">
        <f>[5]Manu_water!T24</f>
        <v>997.12503049914562</v>
      </c>
      <c r="E25">
        <f>[5]Manu_water!U24</f>
        <v>1.234466311231631</v>
      </c>
      <c r="F25">
        <f>[5]Manu_water!V24</f>
        <v>484.77890129210851</v>
      </c>
      <c r="G25">
        <f>[5]Manu_water!W24</f>
        <v>5.4455647454449361</v>
      </c>
      <c r="H25">
        <f>SUM([5]Manu_water!$X24:$AC24)</f>
        <v>142.531945475882</v>
      </c>
      <c r="J25">
        <f>[5]Manu_solid!R24</f>
        <v>6.0013932691982346</v>
      </c>
      <c r="K25">
        <f>[5]Manu_solid!S24</f>
        <v>6.0835560389007608E-2</v>
      </c>
      <c r="L25">
        <f>[5]Manu_solid!T24</f>
        <v>3.5316532355615546</v>
      </c>
      <c r="M25">
        <f>[5]Manu_solid!U24</f>
        <v>0.42597781162218262</v>
      </c>
      <c r="N25">
        <f>[5]Manu_solid!V24</f>
        <v>0.84460803331645817</v>
      </c>
      <c r="O25">
        <f>[5]Manu_solid!W24</f>
        <v>4.4790359378118509</v>
      </c>
      <c r="P25">
        <f>SUM([5]Manu_solid!$X24:$AC24)</f>
        <v>1.4326351654829712</v>
      </c>
      <c r="R25">
        <f>[5]Manu_gas!R24</f>
        <v>12.425419867213245</v>
      </c>
      <c r="S25">
        <f>[5]Manu_gas!S24</f>
        <v>0</v>
      </c>
      <c r="T25">
        <f>[5]Manu_gas!T24</f>
        <v>0</v>
      </c>
      <c r="U25">
        <f>[5]Manu_gas!U24</f>
        <v>0.84326219851738182</v>
      </c>
      <c r="V25">
        <f>[5]Manu_gas!V24</f>
        <v>0</v>
      </c>
      <c r="W25">
        <f>[5]Manu_gas!W24</f>
        <v>0</v>
      </c>
      <c r="X25">
        <f>SUM([5]Manu_gas!$X24:$AC24)</f>
        <v>1.23493381657737</v>
      </c>
      <c r="Z25">
        <f>[5]Manu_solvent!R24</f>
        <v>802.15805809424296</v>
      </c>
      <c r="AA25">
        <f>[5]Manu_solvent!S24</f>
        <v>0.40846733404047963</v>
      </c>
      <c r="AB25">
        <f>[5]Manu_solvent!T24</f>
        <v>112.7536996307726</v>
      </c>
      <c r="AC25">
        <f>[5]Manu_solvent!U24</f>
        <v>54.942444274534566</v>
      </c>
      <c r="AD25">
        <f>[5]Manu_solvent!V24</f>
        <v>129.00192508861755</v>
      </c>
      <c r="AE25">
        <f>[5]Manu_solvent!W24</f>
        <v>463.61558037356195</v>
      </c>
      <c r="AF25">
        <f>SUM([5]Manu_solvent!$X24:$AC24)</f>
        <v>145.95173487492065</v>
      </c>
    </row>
    <row r="26" spans="1:32" x14ac:dyDescent="0.2">
      <c r="A26">
        <v>2025.75</v>
      </c>
      <c r="B26">
        <f>[5]Manu_water!R25</f>
        <v>27.605263077639563</v>
      </c>
      <c r="C26">
        <f>[5]Manu_water!S25</f>
        <v>21.959961862151697</v>
      </c>
      <c r="D26">
        <f>[5]Manu_water!T25</f>
        <v>1123.1090314693167</v>
      </c>
      <c r="E26">
        <f>[5]Manu_water!U25</f>
        <v>1.3950171664755053</v>
      </c>
      <c r="F26">
        <f>[5]Manu_water!V25</f>
        <v>548.6091959917735</v>
      </c>
      <c r="G26">
        <f>[5]Manu_water!W25</f>
        <v>6.2445046631139158</v>
      </c>
      <c r="H26">
        <f>SUM([5]Manu_water!$X25:$AC25)</f>
        <v>164.32795921671581</v>
      </c>
      <c r="J26">
        <f>[5]Manu_solid!R25</f>
        <v>6.7819158426034916</v>
      </c>
      <c r="K26">
        <f>[5]Manu_solid!S25</f>
        <v>6.8747644470063471E-2</v>
      </c>
      <c r="L26">
        <f>[5]Manu_solid!T25</f>
        <v>3.9778678937499756</v>
      </c>
      <c r="M26">
        <f>[5]Manu_solid!U25</f>
        <v>0.48137916307957584</v>
      </c>
      <c r="N26">
        <f>[5]Manu_solid!V25</f>
        <v>0.95581662661249567</v>
      </c>
      <c r="O26">
        <f>[5]Manu_solid!W25</f>
        <v>5.1361726666304923</v>
      </c>
      <c r="P26">
        <f>SUM([5]Manu_solid!$X25:$AC25)</f>
        <v>1.6609802430353804</v>
      </c>
      <c r="R26">
        <f>[5]Manu_gas!R25</f>
        <v>14.04143139243258</v>
      </c>
      <c r="S26">
        <f>[5]Manu_gas!S25</f>
        <v>0</v>
      </c>
      <c r="T26">
        <f>[5]Manu_gas!T25</f>
        <v>0</v>
      </c>
      <c r="U26">
        <f>[5]Manu_gas!U25</f>
        <v>0.95293426160650718</v>
      </c>
      <c r="V26">
        <f>[5]Manu_gas!V25</f>
        <v>0</v>
      </c>
      <c r="W26">
        <f>[5]Manu_gas!W25</f>
        <v>0</v>
      </c>
      <c r="X26">
        <f>SUM([5]Manu_gas!$X25:$AC25)</f>
        <v>1.4263699420176474</v>
      </c>
      <c r="Z26">
        <f>[5]Manu_solvent!R25</f>
        <v>906.48424431418505</v>
      </c>
      <c r="AA26">
        <f>[5]Manu_solvent!S25</f>
        <v>0.46159132715614037</v>
      </c>
      <c r="AB26">
        <f>[5]Manu_solvent!T25</f>
        <v>126.99981899311852</v>
      </c>
      <c r="AC26">
        <f>[5]Manu_solvent!U25</f>
        <v>62.088087972712636</v>
      </c>
      <c r="AD26">
        <f>[5]Manu_solvent!V25</f>
        <v>145.98746400807838</v>
      </c>
      <c r="AE26">
        <f>[5]Manu_solvent!W25</f>
        <v>531.6344197278346</v>
      </c>
      <c r="AF26">
        <f>SUM([5]Manu_solvent!$X25:$AC25)</f>
        <v>169.33379405165223</v>
      </c>
    </row>
    <row r="27" spans="1:32" x14ac:dyDescent="0.2">
      <c r="A27">
        <v>2026</v>
      </c>
      <c r="B27">
        <f>[5]Manu_water!R26</f>
        <v>32.2480712480154</v>
      </c>
      <c r="C27">
        <f>[5]Manu_water!S26</f>
        <v>25.653311571154273</v>
      </c>
      <c r="D27">
        <f>[5]Manu_water!T26</f>
        <v>1305.5391997175418</v>
      </c>
      <c r="E27">
        <f>[5]Manu_water!U26</f>
        <v>1.6296389876880431</v>
      </c>
      <c r="F27">
        <f>[5]Manu_water!V26</f>
        <v>642.49813335548015</v>
      </c>
      <c r="G27">
        <f>[5]Manu_water!W26</f>
        <v>7.4340420194112582</v>
      </c>
      <c r="H27">
        <f>SUM([5]Manu_water!$X26:$AC26)</f>
        <v>191.82796358693867</v>
      </c>
      <c r="J27">
        <f>[5]Manu_solid!R26</f>
        <v>7.922536534979562</v>
      </c>
      <c r="K27">
        <f>[5]Manu_solid!S26</f>
        <v>8.0310009390912318E-2</v>
      </c>
      <c r="L27">
        <f>[5]Manu_solid!T26</f>
        <v>4.6240056139467764</v>
      </c>
      <c r="M27">
        <f>[5]Manu_solid!U26</f>
        <v>0.56234021406136703</v>
      </c>
      <c r="N27">
        <f>[5]Manu_solid!V26</f>
        <v>1.1193950136371194</v>
      </c>
      <c r="O27">
        <f>[5]Manu_solid!W26</f>
        <v>6.1145800159659682</v>
      </c>
      <c r="P27">
        <f>SUM([5]Manu_solid!$X26:$AC26)</f>
        <v>1.9514061340746496</v>
      </c>
      <c r="R27">
        <f>[5]Manu_gas!R26</f>
        <v>16.402998178056272</v>
      </c>
      <c r="S27">
        <f>[5]Manu_gas!S26</f>
        <v>0</v>
      </c>
      <c r="T27">
        <f>[5]Manu_gas!T26</f>
        <v>0</v>
      </c>
      <c r="U27">
        <f>[5]Manu_gas!U26</f>
        <v>1.1132040972235224</v>
      </c>
      <c r="V27">
        <f>[5]Manu_gas!V26</f>
        <v>0</v>
      </c>
      <c r="W27">
        <f>[5]Manu_gas!W26</f>
        <v>0</v>
      </c>
      <c r="X27">
        <f>SUM([5]Manu_gas!$X26:$AC26)</f>
        <v>1.6687869514555866</v>
      </c>
      <c r="Z27">
        <f>[5]Manu_solvent!R26</f>
        <v>1058.941855168395</v>
      </c>
      <c r="AA27">
        <f>[5]Manu_solvent!S26</f>
        <v>0.5392243487675541</v>
      </c>
      <c r="AB27">
        <f>[5]Manu_solvent!T26</f>
        <v>147.62880308747509</v>
      </c>
      <c r="AC27">
        <f>[5]Manu_solvent!U26</f>
        <v>72.530411283017131</v>
      </c>
      <c r="AD27">
        <f>[5]Manu_solvent!V26</f>
        <v>170.97174783759402</v>
      </c>
      <c r="AE27">
        <f>[5]Manu_solvent!W26</f>
        <v>632.90730465260367</v>
      </c>
      <c r="AF27">
        <f>SUM([5]Manu_solvent!$X26:$AC26)</f>
        <v>199.12011554110185</v>
      </c>
    </row>
    <row r="28" spans="1:32" x14ac:dyDescent="0.2">
      <c r="A28">
        <v>2026.25</v>
      </c>
      <c r="B28">
        <f>[5]Manu_water!R27</f>
        <v>35.835564950628168</v>
      </c>
      <c r="C28">
        <f>[5]Manu_water!S27</f>
        <v>28.50715957356288</v>
      </c>
      <c r="D28">
        <f>[5]Manu_water!T27</f>
        <v>1446.0305586569805</v>
      </c>
      <c r="E28">
        <f>[5]Manu_water!U27</f>
        <v>1.8109310581780849</v>
      </c>
      <c r="F28">
        <f>[5]Manu_water!V27</f>
        <v>715.11961551687227</v>
      </c>
      <c r="G28">
        <f>[5]Manu_water!W27</f>
        <v>8.3453352683621436</v>
      </c>
      <c r="H28">
        <f>SUM([5]Manu_water!$X27:$AC27)</f>
        <v>218.86295808238052</v>
      </c>
      <c r="J28">
        <f>[5]Manu_solid!R27</f>
        <v>8.8038931193584773</v>
      </c>
      <c r="K28">
        <f>[5]Manu_solid!S27</f>
        <v>8.9244238378774682E-2</v>
      </c>
      <c r="L28">
        <f>[5]Manu_solid!T27</f>
        <v>5.1216029534885736</v>
      </c>
      <c r="M28">
        <f>[5]Manu_solid!U27</f>
        <v>0.62489874542764912</v>
      </c>
      <c r="N28">
        <f>[5]Manu_solid!V27</f>
        <v>1.2459200894219267</v>
      </c>
      <c r="O28">
        <f>[5]Manu_solid!W27</f>
        <v>6.8641285757091213</v>
      </c>
      <c r="P28">
        <f>SUM([5]Manu_solid!$X27:$AC27)</f>
        <v>2.236465664172488</v>
      </c>
      <c r="R28">
        <f>[5]Manu_gas!R27</f>
        <v>18.22777871191121</v>
      </c>
      <c r="S28">
        <f>[5]Manu_gas!S27</f>
        <v>0</v>
      </c>
      <c r="T28">
        <f>[5]Manu_gas!T27</f>
        <v>0</v>
      </c>
      <c r="U28">
        <f>[5]Manu_gas!U27</f>
        <v>1.2370444552343258</v>
      </c>
      <c r="V28">
        <f>[5]Manu_gas!V27</f>
        <v>0</v>
      </c>
      <c r="W28">
        <f>[5]Manu_gas!W27</f>
        <v>0</v>
      </c>
      <c r="X28">
        <f>SUM([5]Manu_gas!$X27:$AC27)</f>
        <v>1.9075439272902774</v>
      </c>
      <c r="Z28">
        <f>[5]Manu_solvent!R27</f>
        <v>1176.7457141227037</v>
      </c>
      <c r="AA28">
        <f>[5]Manu_solvent!S27</f>
        <v>0.59921131482891576</v>
      </c>
      <c r="AB28">
        <f>[5]Manu_solvent!T27</f>
        <v>163.51539704715816</v>
      </c>
      <c r="AC28">
        <f>[5]Manu_solvent!U27</f>
        <v>80.599185124545755</v>
      </c>
      <c r="AD28">
        <f>[5]Manu_solvent!V27</f>
        <v>190.29666271453772</v>
      </c>
      <c r="AE28">
        <f>[5]Manu_solvent!W27</f>
        <v>710.4914980746496</v>
      </c>
      <c r="AF28">
        <f>SUM([5]Manu_solvent!$X27:$AC27)</f>
        <v>228.37057285152716</v>
      </c>
    </row>
    <row r="29" spans="1:32" x14ac:dyDescent="0.2">
      <c r="A29">
        <v>2026.5</v>
      </c>
      <c r="B29">
        <f>[5]Manu_water!R28</f>
        <v>43.013698700978011</v>
      </c>
      <c r="C29">
        <f>[5]Manu_water!S28</f>
        <v>34.217358493086643</v>
      </c>
      <c r="D29">
        <f>[5]Manu_water!T28</f>
        <v>1726.219348042373</v>
      </c>
      <c r="E29">
        <f>[5]Manu_water!U28</f>
        <v>2.1736741980218173</v>
      </c>
      <c r="F29">
        <f>[5]Manu_water!V28</f>
        <v>860.56917231280181</v>
      </c>
      <c r="G29">
        <f>[5]Manu_water!W28</f>
        <v>10.153454569509428</v>
      </c>
      <c r="H29">
        <f>SUM([5]Manu_water!$X28:$AC28)</f>
        <v>255.07641111816872</v>
      </c>
      <c r="J29">
        <f>[5]Manu_solid!R28</f>
        <v>10.567379265638197</v>
      </c>
      <c r="K29">
        <f>[5]Manu_solid!S28</f>
        <v>0.10712053195510129</v>
      </c>
      <c r="L29">
        <f>[5]Manu_solid!T28</f>
        <v>6.1139856681273317</v>
      </c>
      <c r="M29">
        <f>[5]Manu_solid!U28</f>
        <v>0.75007067396527516</v>
      </c>
      <c r="N29">
        <f>[5]Manu_solid!V28</f>
        <v>1.499330177577016</v>
      </c>
      <c r="O29">
        <f>[5]Manu_solid!W28</f>
        <v>8.3513262692934678</v>
      </c>
      <c r="P29">
        <f>SUM([5]Manu_solid!$X28:$AC28)</f>
        <v>2.6177094880117346</v>
      </c>
      <c r="R29">
        <f>[5]Manu_gas!R28</f>
        <v>21.878940169701618</v>
      </c>
      <c r="S29">
        <f>[5]Manu_gas!S28</f>
        <v>0</v>
      </c>
      <c r="T29">
        <f>[5]Manu_gas!T28</f>
        <v>0</v>
      </c>
      <c r="U29">
        <f>[5]Manu_gas!U28</f>
        <v>1.4848337831557488</v>
      </c>
      <c r="V29">
        <f>[5]Manu_gas!V28</f>
        <v>0</v>
      </c>
      <c r="W29">
        <f>[5]Manu_gas!W28</f>
        <v>0</v>
      </c>
      <c r="X29">
        <f>SUM([5]Manu_gas!$X28:$AC28)</f>
        <v>2.2279325338462002</v>
      </c>
      <c r="Z29">
        <f>[5]Manu_solvent!R28</f>
        <v>1412.4567497310777</v>
      </c>
      <c r="AA29">
        <f>[5]Manu_solvent!S28</f>
        <v>0.71923785741282309</v>
      </c>
      <c r="AB29">
        <f>[5]Manu_solvent!T28</f>
        <v>195.19880848700109</v>
      </c>
      <c r="AC29">
        <f>[5]Manu_solvent!U28</f>
        <v>96.743809376745688</v>
      </c>
      <c r="AD29">
        <f>[5]Manu_solvent!V28</f>
        <v>229.0014676884141</v>
      </c>
      <c r="AE29">
        <f>[5]Manu_solvent!W28</f>
        <v>864.42820039505239</v>
      </c>
      <c r="AF29">
        <f>SUM([5]Manu_solvent!$X28:$AC28)</f>
        <v>267.50963758168513</v>
      </c>
    </row>
    <row r="30" spans="1:32" x14ac:dyDescent="0.2">
      <c r="A30">
        <v>2026.75</v>
      </c>
      <c r="B30">
        <f>[5]Manu_water!R29</f>
        <v>50.846736997009074</v>
      </c>
      <c r="C30">
        <f>[5]Manu_water!S29</f>
        <v>40.448533387592448</v>
      </c>
      <c r="D30">
        <f>[5]Manu_water!T29</f>
        <v>2030.9996582130016</v>
      </c>
      <c r="E30">
        <f>[5]Manu_water!U29</f>
        <v>2.5695125878930041</v>
      </c>
      <c r="F30">
        <f>[5]Manu_water!V29</f>
        <v>1019.4403883142627</v>
      </c>
      <c r="G30">
        <f>[5]Manu_water!W29</f>
        <v>12.110363367595827</v>
      </c>
      <c r="H30">
        <f>SUM([5]Manu_water!$X29:$AC29)</f>
        <v>302.65207989585235</v>
      </c>
      <c r="J30">
        <f>[5]Manu_solid!R29</f>
        <v>12.491758916220222</v>
      </c>
      <c r="K30">
        <f>[5]Manu_solid!S29</f>
        <v>0.12662778788602289</v>
      </c>
      <c r="L30">
        <f>[5]Manu_solid!T29</f>
        <v>7.1934675140606705</v>
      </c>
      <c r="M30">
        <f>[5]Manu_solid!U29</f>
        <v>0.88666279441378326</v>
      </c>
      <c r="N30">
        <f>[5]Manu_solid!V29</f>
        <v>1.7761242066487024</v>
      </c>
      <c r="O30">
        <f>[5]Manu_solid!W29</f>
        <v>9.9609049343861784</v>
      </c>
      <c r="P30">
        <f>SUM([5]Manu_solid!$X29:$AC29)</f>
        <v>3.1178104133050635</v>
      </c>
      <c r="R30">
        <f>[5]Manu_gas!R29</f>
        <v>25.863219164568626</v>
      </c>
      <c r="S30">
        <f>[5]Manu_gas!S29</f>
        <v>0</v>
      </c>
      <c r="T30">
        <f>[5]Manu_gas!T29</f>
        <v>0</v>
      </c>
      <c r="U30">
        <f>[5]Manu_gas!U29</f>
        <v>1.7552304297578973</v>
      </c>
      <c r="V30">
        <f>[5]Manu_gas!V29</f>
        <v>0</v>
      </c>
      <c r="W30">
        <f>[5]Manu_gas!W29</f>
        <v>0</v>
      </c>
      <c r="X30">
        <f>SUM([5]Manu_gas!$X29:$AC29)</f>
        <v>2.6495787046445556</v>
      </c>
      <c r="Z30">
        <f>[5]Manu_solvent!R29</f>
        <v>1669.6731283792947</v>
      </c>
      <c r="AA30">
        <f>[5]Manu_solvent!S29</f>
        <v>0.85021514723472502</v>
      </c>
      <c r="AB30">
        <f>[5]Manu_solvent!T29</f>
        <v>229.66299953147833</v>
      </c>
      <c r="AC30">
        <f>[5]Manu_solvent!U29</f>
        <v>114.36140532030836</v>
      </c>
      <c r="AD30">
        <f>[5]Manu_solvent!V29</f>
        <v>271.27783873247643</v>
      </c>
      <c r="AE30">
        <f>[5]Manu_solvent!W29</f>
        <v>1031.0322994321355</v>
      </c>
      <c r="AF30">
        <f>SUM([5]Manu_solvent!$X29:$AC29)</f>
        <v>318.87507223019094</v>
      </c>
    </row>
    <row r="31" spans="1:32" x14ac:dyDescent="0.2">
      <c r="A31">
        <v>2027</v>
      </c>
      <c r="B31">
        <f>[5]Manu_water!R30</f>
        <v>60.070077931027633</v>
      </c>
      <c r="C31">
        <f>[5]Manu_water!S30</f>
        <v>47.785692775750292</v>
      </c>
      <c r="D31">
        <f>[5]Manu_water!T30</f>
        <v>2388.7645012247472</v>
      </c>
      <c r="E31">
        <f>[5]Manu_water!U30</f>
        <v>3.0356091760336268</v>
      </c>
      <c r="F31">
        <f>[5]Manu_water!V30</f>
        <v>1206.6831899278959</v>
      </c>
      <c r="G31">
        <f>[5]Manu_water!W30</f>
        <v>14.396105248135953</v>
      </c>
      <c r="H31">
        <f>SUM([5]Manu_water!$X30:$AC30)</f>
        <v>356.81887511215785</v>
      </c>
      <c r="J31">
        <f>[5]Manu_solid!R30</f>
        <v>14.757700806584644</v>
      </c>
      <c r="K31">
        <f>[5]Manu_solid!S30</f>
        <v>0.14959742818884261</v>
      </c>
      <c r="L31">
        <f>[5]Manu_solid!T30</f>
        <v>8.4606118808610038</v>
      </c>
      <c r="M31">
        <f>[5]Manu_solid!U30</f>
        <v>1.0474989410256883</v>
      </c>
      <c r="N31">
        <f>[5]Manu_solid!V30</f>
        <v>2.1023487473662068</v>
      </c>
      <c r="O31">
        <f>[5]Manu_solid!W30</f>
        <v>11.840952368596673</v>
      </c>
      <c r="P31">
        <f>SUM([5]Manu_solid!$X30:$AC30)</f>
        <v>3.6863509964470924</v>
      </c>
      <c r="R31">
        <f>[5]Manu_gas!R30</f>
        <v>30.554676317858345</v>
      </c>
      <c r="S31">
        <f>[5]Manu_gas!S30</f>
        <v>0</v>
      </c>
      <c r="T31">
        <f>[5]Manu_gas!T30</f>
        <v>0</v>
      </c>
      <c r="U31">
        <f>[5]Manu_gas!U30</f>
        <v>2.0736203526426888</v>
      </c>
      <c r="V31">
        <f>[5]Manu_gas!V30</f>
        <v>0</v>
      </c>
      <c r="W31">
        <f>[5]Manu_gas!W30</f>
        <v>0</v>
      </c>
      <c r="X31">
        <f>SUM([5]Manu_gas!$X30:$AC30)</f>
        <v>3.1304536844695989</v>
      </c>
      <c r="Z31">
        <f>[5]Manu_solvent!R30</f>
        <v>1972.543389499835</v>
      </c>
      <c r="AA31">
        <f>[5]Manu_solvent!S30</f>
        <v>1.004439874982229</v>
      </c>
      <c r="AB31">
        <f>[5]Manu_solvent!T30</f>
        <v>270.11861784767245</v>
      </c>
      <c r="AC31">
        <f>[5]Manu_solvent!U30</f>
        <v>135.1059858629051</v>
      </c>
      <c r="AD31">
        <f>[5]Manu_solvent!V30</f>
        <v>321.10402094206512</v>
      </c>
      <c r="AE31">
        <f>[5]Manu_solvent!W30</f>
        <v>1225.6320513526653</v>
      </c>
      <c r="AF31">
        <f>SUM([5]Manu_solvent!$X30:$AC30)</f>
        <v>377.2969860338614</v>
      </c>
    </row>
    <row r="32" spans="1:32" x14ac:dyDescent="0.2">
      <c r="A32">
        <v>2027.25</v>
      </c>
      <c r="B32">
        <f>[5]Manu_water!R31</f>
        <v>72.631246980451181</v>
      </c>
      <c r="C32">
        <f>[5]Manu_water!S31</f>
        <v>57.778091417037487</v>
      </c>
      <c r="D32">
        <f>[5]Manu_water!T31</f>
        <v>2874.5294266179349</v>
      </c>
      <c r="E32">
        <f>[5]Manu_water!U31</f>
        <v>3.6703811180963855</v>
      </c>
      <c r="F32">
        <f>[5]Manu_water!V31</f>
        <v>1461.9163776660598</v>
      </c>
      <c r="G32">
        <f>[5]Manu_water!W31</f>
        <v>17.48454395920654</v>
      </c>
      <c r="H32">
        <f>SUM([5]Manu_water!$X31:$AC31)</f>
        <v>430.08875359690393</v>
      </c>
      <c r="J32">
        <f>[5]Manu_solid!R31</f>
        <v>17.843662752982816</v>
      </c>
      <c r="K32">
        <f>[5]Manu_solid!S31</f>
        <v>0.18087953484761291</v>
      </c>
      <c r="L32">
        <f>[5]Manu_solid!T31</f>
        <v>10.181111535381149</v>
      </c>
      <c r="M32">
        <f>[5]Manu_solid!U31</f>
        <v>1.2665399632867811</v>
      </c>
      <c r="N32">
        <f>[5]Manu_solid!V31</f>
        <v>2.5470298177635464</v>
      </c>
      <c r="O32">
        <f>[5]Manu_solid!W31</f>
        <v>14.381226633113606</v>
      </c>
      <c r="P32">
        <f>SUM([5]Manu_solid!$X31:$AC31)</f>
        <v>4.4542860923257956</v>
      </c>
      <c r="R32">
        <f>[5]Manu_gas!R31</f>
        <v>36.943921474485542</v>
      </c>
      <c r="S32">
        <f>[5]Manu_gas!S31</f>
        <v>0</v>
      </c>
      <c r="T32">
        <f>[5]Manu_gas!T31</f>
        <v>0</v>
      </c>
      <c r="U32">
        <f>[5]Manu_gas!U31</f>
        <v>2.5072321722207707</v>
      </c>
      <c r="V32">
        <f>[5]Manu_gas!V31</f>
        <v>0</v>
      </c>
      <c r="W32">
        <f>[5]Manu_gas!W31</f>
        <v>0</v>
      </c>
      <c r="X32">
        <f>SUM([5]Manu_gas!$X31:$AC31)</f>
        <v>3.7819931876119659</v>
      </c>
      <c r="Z32">
        <f>[5]Manu_solvent!R31</f>
        <v>2385.0191482508017</v>
      </c>
      <c r="AA32">
        <f>[5]Manu_solvent!S31</f>
        <v>1.2144768768339724</v>
      </c>
      <c r="AB32">
        <f>[5]Manu_solvent!T31</f>
        <v>325.04833158831559</v>
      </c>
      <c r="AC32">
        <f>[5]Manu_solvent!U31</f>
        <v>163.35780750964199</v>
      </c>
      <c r="AD32">
        <f>[5]Manu_solvent!V31</f>
        <v>389.02276178860217</v>
      </c>
      <c r="AE32">
        <f>[5]Manu_solvent!W31</f>
        <v>1488.5704925269931</v>
      </c>
      <c r="AF32">
        <f>SUM([5]Manu_solvent!$X31:$AC31)</f>
        <v>456.24392577172995</v>
      </c>
    </row>
    <row r="33" spans="1:32" x14ac:dyDescent="0.2">
      <c r="A33">
        <v>2027.5</v>
      </c>
      <c r="B33">
        <f>[5]Manu_water!R32</f>
        <v>92.460077620150486</v>
      </c>
      <c r="C33">
        <f>[5]Manu_water!S32</f>
        <v>73.551908293702979</v>
      </c>
      <c r="D33">
        <f>[5]Manu_water!T32</f>
        <v>3639.0911821742739</v>
      </c>
      <c r="E33">
        <f>[5]Manu_water!U32</f>
        <v>4.6724204413847783</v>
      </c>
      <c r="F33">
        <f>[5]Manu_water!V32</f>
        <v>1865.1745924653046</v>
      </c>
      <c r="G33">
        <f>[5]Manu_water!W32</f>
        <v>22.32231358241107</v>
      </c>
      <c r="H33">
        <f>SUM([5]Manu_water!$X32:$AC32)</f>
        <v>538.20711303140047</v>
      </c>
      <c r="J33">
        <f>[5]Manu_solid!R32</f>
        <v>22.715105574500637</v>
      </c>
      <c r="K33">
        <f>[5]Manu_solid!S32</f>
        <v>0.23026089358493779</v>
      </c>
      <c r="L33">
        <f>[5]Manu_solid!T32</f>
        <v>12.889063813387354</v>
      </c>
      <c r="M33">
        <f>[5]Manu_solid!U32</f>
        <v>1.612314095970804</v>
      </c>
      <c r="N33">
        <f>[5]Manu_solid!V32</f>
        <v>3.2496080999711441</v>
      </c>
      <c r="O33">
        <f>[5]Manu_solid!W32</f>
        <v>18.360344505013433</v>
      </c>
      <c r="P33">
        <f>SUM([5]Manu_solid!$X32:$AC32)</f>
        <v>5.5858623360973585</v>
      </c>
      <c r="R33">
        <f>[5]Manu_gas!R32</f>
        <v>47.029866471149205</v>
      </c>
      <c r="S33">
        <f>[5]Manu_gas!S32</f>
        <v>0</v>
      </c>
      <c r="T33">
        <f>[5]Manu_gas!T32</f>
        <v>0</v>
      </c>
      <c r="U33">
        <f>[5]Manu_gas!U32</f>
        <v>3.1917238226360811</v>
      </c>
      <c r="V33">
        <f>[5]Manu_gas!V32</f>
        <v>0</v>
      </c>
      <c r="W33">
        <f>[5]Manu_gas!W32</f>
        <v>0</v>
      </c>
      <c r="X33">
        <f>SUM([5]Manu_gas!$X32:$AC32)</f>
        <v>4.744961948445046</v>
      </c>
      <c r="Z33">
        <f>[5]Manu_solvent!R32</f>
        <v>3036.1458014367754</v>
      </c>
      <c r="AA33">
        <f>[5]Manu_solvent!S32</f>
        <v>1.546037428356011</v>
      </c>
      <c r="AB33">
        <f>[5]Manu_solvent!T32</f>
        <v>411.50405569346782</v>
      </c>
      <c r="AC33">
        <f>[5]Manu_solvent!U32</f>
        <v>207.9556140109282</v>
      </c>
      <c r="AD33">
        <f>[5]Manu_solvent!V32</f>
        <v>496.33165225030979</v>
      </c>
      <c r="AE33">
        <f>[5]Manu_solvent!W32</f>
        <v>1900.4406063570877</v>
      </c>
      <c r="AF33">
        <f>SUM([5]Manu_solvent!$X32:$AC32)</f>
        <v>572.62616432670961</v>
      </c>
    </row>
    <row r="34" spans="1:32" x14ac:dyDescent="0.2">
      <c r="A34">
        <v>2027.75</v>
      </c>
      <c r="B34">
        <f>[5]Manu_water!R33</f>
        <v>96.144089208007003</v>
      </c>
      <c r="C34">
        <f>[5]Manu_water!S33</f>
        <v>76.48253618670735</v>
      </c>
      <c r="D34">
        <f>[5]Manu_water!T33</f>
        <v>3780.7316320275654</v>
      </c>
      <c r="E34">
        <f>[5]Manu_water!U33</f>
        <v>4.8585899914484898</v>
      </c>
      <c r="F34">
        <f>[5]Manu_water!V33</f>
        <v>1940.1597721344892</v>
      </c>
      <c r="G34">
        <f>[5]Manu_water!W33</f>
        <v>23.21433483512763</v>
      </c>
      <c r="H34">
        <f>SUM([5]Manu_water!$X33:$AC33)</f>
        <v>605.20650584236387</v>
      </c>
      <c r="J34">
        <f>[5]Manu_solid!R33</f>
        <v>23.620174165288919</v>
      </c>
      <c r="K34">
        <f>[5]Manu_solid!S33</f>
        <v>0.23943548895659728</v>
      </c>
      <c r="L34">
        <f>[5]Manu_solid!T33</f>
        <v>13.390731044386827</v>
      </c>
      <c r="M34">
        <f>[5]Manu_solid!U33</f>
        <v>1.6765557012744789</v>
      </c>
      <c r="N34">
        <f>[5]Manu_solid!V33</f>
        <v>3.3802513374541823</v>
      </c>
      <c r="O34">
        <f>[5]Manu_solid!W33</f>
        <v>19.094041639282466</v>
      </c>
      <c r="P34">
        <f>SUM([5]Manu_solid!$X33:$AC33)</f>
        <v>6.2861148565457619</v>
      </c>
      <c r="R34">
        <f>[5]Manu_gas!R33</f>
        <v>48.903740877429165</v>
      </c>
      <c r="S34">
        <f>[5]Manu_gas!S33</f>
        <v>0</v>
      </c>
      <c r="T34">
        <f>[5]Manu_gas!T33</f>
        <v>0</v>
      </c>
      <c r="U34">
        <f>[5]Manu_gas!U33</f>
        <v>3.3188959800739681</v>
      </c>
      <c r="V34">
        <f>[5]Manu_gas!V33</f>
        <v>0</v>
      </c>
      <c r="W34">
        <f>[5]Manu_gas!W33</f>
        <v>0</v>
      </c>
      <c r="X34">
        <f>SUM([5]Manu_gas!$X33:$AC33)</f>
        <v>5.3426341367769341</v>
      </c>
      <c r="Z34">
        <f>[5]Manu_solvent!R33</f>
        <v>3157.1190539238287</v>
      </c>
      <c r="AA34">
        <f>[5]Manu_solvent!S33</f>
        <v>1.6076382829942961</v>
      </c>
      <c r="AB34">
        <f>[5]Manu_solvent!T33</f>
        <v>427.5205874721666</v>
      </c>
      <c r="AC34">
        <f>[5]Manu_solvent!U33</f>
        <v>216.24147004193281</v>
      </c>
      <c r="AD34">
        <f>[5]Manu_solvent!V33</f>
        <v>516.2855580507852</v>
      </c>
      <c r="AE34">
        <f>[5]Manu_solvent!W33</f>
        <v>1976.3840520997294</v>
      </c>
      <c r="AF34">
        <f>SUM([5]Manu_solvent!$X33:$AC33)</f>
        <v>644.67806433307544</v>
      </c>
    </row>
    <row r="35" spans="1:32" x14ac:dyDescent="0.2">
      <c r="A35">
        <v>2028</v>
      </c>
      <c r="B35">
        <f>[5]Manu_water!R34</f>
        <v>103.08223178866122</v>
      </c>
      <c r="C35">
        <f>[5]Manu_water!S34</f>
        <v>82.001822347350782</v>
      </c>
      <c r="D35">
        <f>[5]Manu_water!T34</f>
        <v>4046.7371782416067</v>
      </c>
      <c r="E35">
        <f>[5]Manu_water!U34</f>
        <v>5.2092053062254458</v>
      </c>
      <c r="F35">
        <f>[5]Manu_water!V34</f>
        <v>2081.4967299943255</v>
      </c>
      <c r="G35">
        <f>[5]Manu_water!W34</f>
        <v>24.88184494559469</v>
      </c>
      <c r="H35">
        <f>SUM([5]Manu_water!$X34:$AC34)</f>
        <v>668.92000575571933</v>
      </c>
      <c r="J35">
        <f>[5]Manu_solid!R34</f>
        <v>25.32470054323511</v>
      </c>
      <c r="K35">
        <f>[5]Manu_solid!S34</f>
        <v>0.25671411289421087</v>
      </c>
      <c r="L35">
        <f>[5]Manu_solid!T34</f>
        <v>14.332879039101059</v>
      </c>
      <c r="M35">
        <f>[5]Manu_solid!U34</f>
        <v>1.7975426760918793</v>
      </c>
      <c r="N35">
        <f>[5]Manu_solid!V34</f>
        <v>3.6264962332092416</v>
      </c>
      <c r="O35">
        <f>[5]Manu_solid!W34</f>
        <v>20.465586751787839</v>
      </c>
      <c r="P35">
        <f>SUM([5]Manu_solid!$X34:$AC34)</f>
        <v>6.9511251155866978</v>
      </c>
      <c r="R35">
        <f>[5]Manu_gas!R34</f>
        <v>52.432830702190998</v>
      </c>
      <c r="S35">
        <f>[5]Manu_gas!S34</f>
        <v>0</v>
      </c>
      <c r="T35">
        <f>[5]Manu_gas!T34</f>
        <v>0</v>
      </c>
      <c r="U35">
        <f>[5]Manu_gas!U34</f>
        <v>3.5584008077737201</v>
      </c>
      <c r="V35">
        <f>[5]Manu_gas!V34</f>
        <v>0</v>
      </c>
      <c r="W35">
        <f>[5]Manu_gas!W34</f>
        <v>0</v>
      </c>
      <c r="X35">
        <f>SUM([5]Manu_gas!$X34:$AC34)</f>
        <v>5.911861438388164</v>
      </c>
      <c r="Z35">
        <f>[5]Manu_solvent!R34</f>
        <v>3384.9494106380448</v>
      </c>
      <c r="AA35">
        <f>[5]Manu_solvent!S34</f>
        <v>1.7236519008611304</v>
      </c>
      <c r="AB35">
        <f>[5]Manu_solvent!T34</f>
        <v>457.60017482634572</v>
      </c>
      <c r="AC35">
        <f>[5]Manu_solvent!U34</f>
        <v>231.84632067144241</v>
      </c>
      <c r="AD35">
        <f>[5]Manu_solvent!V34</f>
        <v>553.89598127978911</v>
      </c>
      <c r="AE35">
        <f>[5]Manu_solvent!W34</f>
        <v>2118.3497992317657</v>
      </c>
      <c r="AF35">
        <f>SUM([5]Manu_solvent!$X34:$AC34)</f>
        <v>713.13270308682775</v>
      </c>
    </row>
    <row r="36" spans="1:32" x14ac:dyDescent="0.2">
      <c r="A36">
        <v>2028.25</v>
      </c>
      <c r="B36">
        <f>[5]Manu_water!R35</f>
        <v>120.12038250715445</v>
      </c>
      <c r="C36">
        <f>[5]Manu_water!S35</f>
        <v>95.555655865524116</v>
      </c>
      <c r="D36">
        <f>[5]Manu_water!T35</f>
        <v>4705.3190655604858</v>
      </c>
      <c r="E36">
        <f>[5]Manu_water!U35</f>
        <v>6.0702191161806809</v>
      </c>
      <c r="F36">
        <f>[5]Manu_water!V35</f>
        <v>2428.3789106172626</v>
      </c>
      <c r="G36">
        <f>[5]Manu_water!W35</f>
        <v>29.101548831602269</v>
      </c>
      <c r="H36">
        <f>SUM([5]Manu_water!$X35:$AC35)</f>
        <v>766.85947115408453</v>
      </c>
      <c r="J36">
        <f>[5]Manu_solid!R35</f>
        <v>29.510543799335522</v>
      </c>
      <c r="K36">
        <f>[5]Manu_solid!S35</f>
        <v>0.29914561317471772</v>
      </c>
      <c r="L36">
        <f>[5]Manu_solid!T35</f>
        <v>16.6654680144953</v>
      </c>
      <c r="M36">
        <f>[5]Manu_solid!U35</f>
        <v>2.0946530753017845</v>
      </c>
      <c r="N36">
        <f>[5]Manu_solid!V35</f>
        <v>4.2308531381561538</v>
      </c>
      <c r="O36">
        <f>[5]Manu_solid!W35</f>
        <v>23.936338865820044</v>
      </c>
      <c r="P36">
        <f>SUM([5]Manu_solid!$X35:$AC35)</f>
        <v>7.9795974064966577</v>
      </c>
      <c r="R36">
        <f>[5]Manu_gas!R35</f>
        <v>61.099294908483401</v>
      </c>
      <c r="S36">
        <f>[5]Manu_gas!S35</f>
        <v>0</v>
      </c>
      <c r="T36">
        <f>[5]Manu_gas!T35</f>
        <v>0</v>
      </c>
      <c r="U36">
        <f>[5]Manu_gas!U35</f>
        <v>4.1465581286586346</v>
      </c>
      <c r="V36">
        <f>[5]Manu_gas!V35</f>
        <v>0</v>
      </c>
      <c r="W36">
        <f>[5]Manu_gas!W35</f>
        <v>0</v>
      </c>
      <c r="X36">
        <f>SUM([5]Manu_gas!$X35:$AC35)</f>
        <v>6.782441280597804</v>
      </c>
      <c r="Z36">
        <f>[5]Manu_solvent!R35</f>
        <v>3944.4374740238604</v>
      </c>
      <c r="AA36">
        <f>[5]Manu_solvent!S35</f>
        <v>2.0085491170302481</v>
      </c>
      <c r="AB36">
        <f>[5]Manu_solvent!T35</f>
        <v>532.07182284810688</v>
      </c>
      <c r="AC36">
        <f>[5]Manu_solvent!U35</f>
        <v>270.16749869198526</v>
      </c>
      <c r="AD36">
        <f>[5]Manu_solvent!V35</f>
        <v>646.20294629007685</v>
      </c>
      <c r="AE36">
        <f>[5]Manu_solvent!W35</f>
        <v>2477.6000437086836</v>
      </c>
      <c r="AF36">
        <f>SUM([5]Manu_solvent!$X35:$AC35)</f>
        <v>818.87866122487719</v>
      </c>
    </row>
    <row r="37" spans="1:32" x14ac:dyDescent="0.2">
      <c r="A37">
        <v>2028.5</v>
      </c>
      <c r="B37">
        <f>[5]Manu_water!R36</f>
        <v>141.76344696009943</v>
      </c>
      <c r="C37">
        <f>[5]Manu_water!S36</f>
        <v>112.77269410312539</v>
      </c>
      <c r="D37">
        <f>[5]Manu_water!T36</f>
        <v>5548.6476841110525</v>
      </c>
      <c r="E37">
        <f>[5]Manu_water!U36</f>
        <v>7.1639397723496892</v>
      </c>
      <c r="F37">
        <f>[5]Manu_water!V36</f>
        <v>2868.7579492331388</v>
      </c>
      <c r="G37">
        <f>[5]Manu_water!W36</f>
        <v>34.619269191090183</v>
      </c>
      <c r="H37">
        <f>SUM([5]Manu_water!$X36:$AC36)</f>
        <v>882.35714745998268</v>
      </c>
      <c r="J37">
        <f>[5]Manu_solid!R36</f>
        <v>34.82769804210055</v>
      </c>
      <c r="K37">
        <f>[5]Manu_solid!S36</f>
        <v>0.3530451067629149</v>
      </c>
      <c r="L37">
        <f>[5]Manu_solid!T36</f>
        <v>19.652399596039142</v>
      </c>
      <c r="M37">
        <f>[5]Manu_solid!U36</f>
        <v>2.4720637242615124</v>
      </c>
      <c r="N37">
        <f>[5]Manu_solid!V36</f>
        <v>4.9981053282324437</v>
      </c>
      <c r="O37">
        <f>[5]Manu_solid!W36</f>
        <v>28.474723577087158</v>
      </c>
      <c r="P37">
        <f>SUM([5]Manu_solid!$X36:$AC36)</f>
        <v>9.1996786928628342</v>
      </c>
      <c r="R37">
        <f>[5]Manu_gas!R36</f>
        <v>72.108050875898329</v>
      </c>
      <c r="S37">
        <f>[5]Manu_gas!S36</f>
        <v>0</v>
      </c>
      <c r="T37">
        <f>[5]Manu_gas!T36</f>
        <v>0</v>
      </c>
      <c r="U37">
        <f>[5]Manu_gas!U36</f>
        <v>4.8936771684360556</v>
      </c>
      <c r="V37">
        <f>[5]Manu_gas!V36</f>
        <v>0</v>
      </c>
      <c r="W37">
        <f>[5]Manu_gas!W36</f>
        <v>0</v>
      </c>
      <c r="X37">
        <f>SUM([5]Manu_gas!$X36:$AC36)</f>
        <v>7.8039560961936836</v>
      </c>
      <c r="Z37">
        <f>[5]Manu_solvent!R36</f>
        <v>4655.138794641327</v>
      </c>
      <c r="AA37">
        <f>[5]Manu_solvent!S36</f>
        <v>2.3704457168367146</v>
      </c>
      <c r="AB37">
        <f>[5]Manu_solvent!T36</f>
        <v>627.4344091212497</v>
      </c>
      <c r="AC37">
        <f>[5]Manu_solvent!U36</f>
        <v>318.84577014964816</v>
      </c>
      <c r="AD37">
        <f>[5]Manu_solvent!V36</f>
        <v>763.38986098191765</v>
      </c>
      <c r="AE37">
        <f>[5]Manu_solvent!W36</f>
        <v>2947.3586906778137</v>
      </c>
      <c r="AF37">
        <f>SUM([5]Manu_solvent!$X36:$AC36)</f>
        <v>944.18409937555168</v>
      </c>
    </row>
    <row r="38" spans="1:32" x14ac:dyDescent="0.2">
      <c r="A38">
        <v>2028.75</v>
      </c>
      <c r="B38">
        <f>[5]Manu_water!R37</f>
        <v>153.93707916160605</v>
      </c>
      <c r="C38">
        <f>[5]Manu_water!S37</f>
        <v>122.45680753167983</v>
      </c>
      <c r="D38">
        <f>[5]Manu_water!T37</f>
        <v>6026.7722405554332</v>
      </c>
      <c r="E38">
        <f>[5]Manu_water!U37</f>
        <v>7.7791277476172249</v>
      </c>
      <c r="F38">
        <f>[5]Manu_water!V37</f>
        <v>3116.31638988533</v>
      </c>
      <c r="G38">
        <f>[5]Manu_water!W37</f>
        <v>37.810938495796094</v>
      </c>
      <c r="H38">
        <f>SUM([5]Manu_water!$X37:$AC37)</f>
        <v>981.68733211763424</v>
      </c>
      <c r="J38">
        <f>[5]Manu_solid!R37</f>
        <v>37.818451973958581</v>
      </c>
      <c r="K38">
        <f>[5]Manu_solid!S37</f>
        <v>0.38336209871277227</v>
      </c>
      <c r="L38">
        <f>[5]Manu_solid!T37</f>
        <v>21.345838317483089</v>
      </c>
      <c r="M38">
        <f>[5]Manu_solid!U37</f>
        <v>2.6843468988256625</v>
      </c>
      <c r="N38">
        <f>[5]Manu_solid!V37</f>
        <v>5.4294150389744695</v>
      </c>
      <c r="O38">
        <f>[5]Manu_solid!W37</f>
        <v>31.099906122083365</v>
      </c>
      <c r="P38">
        <f>SUM([5]Manu_solid!$X37:$AC37)</f>
        <v>10.255090569765752</v>
      </c>
      <c r="R38">
        <f>[5]Manu_gas!R37</f>
        <v>78.300175213688902</v>
      </c>
      <c r="S38">
        <f>[5]Manu_gas!S37</f>
        <v>0</v>
      </c>
      <c r="T38">
        <f>[5]Manu_gas!T37</f>
        <v>0</v>
      </c>
      <c r="U38">
        <f>[5]Manu_gas!U37</f>
        <v>5.3139112078793724</v>
      </c>
      <c r="V38">
        <f>[5]Manu_gas!V37</f>
        <v>0</v>
      </c>
      <c r="W38">
        <f>[5]Manu_gas!W37</f>
        <v>0</v>
      </c>
      <c r="X38">
        <f>SUM([5]Manu_gas!$X37:$AC37)</f>
        <v>8.6781277560584869</v>
      </c>
      <c r="Z38">
        <f>[5]Manu_solvent!R37</f>
        <v>5054.8888624347455</v>
      </c>
      <c r="AA38">
        <f>[5]Manu_solvent!S37</f>
        <v>2.5740026627857571</v>
      </c>
      <c r="AB38">
        <f>[5]Manu_solvent!T37</f>
        <v>681.50015912698302</v>
      </c>
      <c r="AC38">
        <f>[5]Manu_solvent!U37</f>
        <v>346.2259673587385</v>
      </c>
      <c r="AD38">
        <f>[5]Manu_solvent!V37</f>
        <v>829.26631585845917</v>
      </c>
      <c r="AE38">
        <f>[5]Manu_solvent!W37</f>
        <v>3219.0858092102762</v>
      </c>
      <c r="AF38">
        <f>SUM([5]Manu_solvent!$X37:$AC37)</f>
        <v>1052.4585300963104</v>
      </c>
    </row>
    <row r="39" spans="1:32" x14ac:dyDescent="0.2">
      <c r="A39">
        <v>2029</v>
      </c>
      <c r="B39">
        <f>[5]Manu_water!R38</f>
        <v>166.8333713436445</v>
      </c>
      <c r="C39">
        <f>[5]Manu_water!S38</f>
        <v>132.71579632248492</v>
      </c>
      <c r="D39">
        <f>[5]Manu_water!T38</f>
        <v>6537.2556607894267</v>
      </c>
      <c r="E39">
        <f>[5]Manu_water!U38</f>
        <v>8.4308349574789538</v>
      </c>
      <c r="F39">
        <f>[5]Manu_water!V38</f>
        <v>3378.4202493690718</v>
      </c>
      <c r="G39">
        <f>[5]Manu_water!W38</f>
        <v>41.284863098188453</v>
      </c>
      <c r="H39">
        <f>SUM([5]Manu_water!$X38:$AC38)</f>
        <v>1083.7912407931349</v>
      </c>
      <c r="J39">
        <f>[5]Manu_solid!R38</f>
        <v>40.986745208992254</v>
      </c>
      <c r="K39">
        <f>[5]Manu_solid!S38</f>
        <v>0.41547878991833381</v>
      </c>
      <c r="L39">
        <f>[5]Manu_solid!T38</f>
        <v>23.153886824566932</v>
      </c>
      <c r="M39">
        <f>[5]Manu_solid!U38</f>
        <v>2.9092317811018931</v>
      </c>
      <c r="N39">
        <f>[5]Manu_solid!V38</f>
        <v>5.886066565460407</v>
      </c>
      <c r="O39">
        <f>[5]Manu_solid!W38</f>
        <v>33.957246704137681</v>
      </c>
      <c r="P39">
        <f>SUM([5]Manu_solid!$X38:$AC38)</f>
        <v>11.346165779087972</v>
      </c>
      <c r="R39">
        <f>[5]Manu_gas!R38</f>
        <v>84.859880925660022</v>
      </c>
      <c r="S39">
        <f>[5]Manu_gas!S38</f>
        <v>0</v>
      </c>
      <c r="T39">
        <f>[5]Manu_gas!T38</f>
        <v>0</v>
      </c>
      <c r="U39">
        <f>[5]Manu_gas!U38</f>
        <v>5.7590914850384411</v>
      </c>
      <c r="V39">
        <f>[5]Manu_gas!V38</f>
        <v>0</v>
      </c>
      <c r="W39">
        <f>[5]Manu_gas!W38</f>
        <v>0</v>
      </c>
      <c r="X39">
        <f>SUM([5]Manu_gas!$X38:$AC38)</f>
        <v>9.5723078797591885</v>
      </c>
      <c r="Z39">
        <f>[5]Manu_solvent!R38</f>
        <v>5478.3691835681193</v>
      </c>
      <c r="AA39">
        <f>[5]Manu_solvent!S38</f>
        <v>2.7896433037373844</v>
      </c>
      <c r="AB39">
        <f>[5]Manu_solvent!T38</f>
        <v>739.22501054580664</v>
      </c>
      <c r="AC39">
        <f>[5]Manu_solvent!U38</f>
        <v>375.23152768497886</v>
      </c>
      <c r="AD39">
        <f>[5]Manu_solvent!V38</f>
        <v>899.0133744792829</v>
      </c>
      <c r="AE39">
        <f>[5]Manu_solvent!W38</f>
        <v>3514.8431174048619</v>
      </c>
      <c r="AF39">
        <f>SUM([5]Manu_solvent!$X38:$AC38)</f>
        <v>1164.2718927921785</v>
      </c>
    </row>
    <row r="40" spans="1:32" x14ac:dyDescent="0.2">
      <c r="A40">
        <v>2029.25</v>
      </c>
      <c r="B40">
        <f>[5]Manu_water!R39</f>
        <v>186.73719944762337</v>
      </c>
      <c r="C40">
        <f>[5]Manu_water!S39</f>
        <v>148.54927361429318</v>
      </c>
      <c r="D40">
        <f>[5]Manu_water!T39</f>
        <v>7331.2245095549069</v>
      </c>
      <c r="E40">
        <f>[5]Manu_water!U39</f>
        <v>9.4366642374077845</v>
      </c>
      <c r="F40">
        <f>[5]Manu_water!V39</f>
        <v>3782.7143998554993</v>
      </c>
      <c r="G40">
        <f>[5]Manu_water!W39</f>
        <v>46.788812293432741</v>
      </c>
      <c r="H40">
        <f>SUM([5]Manu_water!$X39:$AC39)</f>
        <v>1219.3252053837221</v>
      </c>
      <c r="J40">
        <f>[5]Manu_solid!R39</f>
        <v>45.876613013083947</v>
      </c>
      <c r="K40">
        <f>[5]Manu_solid!S39</f>
        <v>0.46504692097497863</v>
      </c>
      <c r="L40">
        <f>[5]Manu_solid!T39</f>
        <v>25.965994201185531</v>
      </c>
      <c r="M40">
        <f>[5]Manu_solid!U39</f>
        <v>3.2563137157252218</v>
      </c>
      <c r="N40">
        <f>[5]Manu_solid!V39</f>
        <v>6.5904497108769062</v>
      </c>
      <c r="O40">
        <f>[5]Manu_solid!W39</f>
        <v>38.484304483775837</v>
      </c>
      <c r="P40">
        <f>SUM([5]Manu_solid!$X39:$AC39)</f>
        <v>12.802564030944708</v>
      </c>
      <c r="R40">
        <f>[5]Manu_gas!R39</f>
        <v>94.983973421455502</v>
      </c>
      <c r="S40">
        <f>[5]Manu_gas!S39</f>
        <v>0</v>
      </c>
      <c r="T40">
        <f>[5]Manu_gas!T39</f>
        <v>0</v>
      </c>
      <c r="U40">
        <f>[5]Manu_gas!U39</f>
        <v>6.4461720494968677</v>
      </c>
      <c r="V40">
        <f>[5]Manu_gas!V39</f>
        <v>0</v>
      </c>
      <c r="W40">
        <f>[5]Manu_gas!W39</f>
        <v>0</v>
      </c>
      <c r="X40">
        <f>SUM([5]Manu_gas!$X39:$AC39)</f>
        <v>10.75350033169191</v>
      </c>
      <c r="Z40">
        <f>[5]Manu_solvent!R39</f>
        <v>6131.9585562558686</v>
      </c>
      <c r="AA40">
        <f>[5]Manu_solvent!S39</f>
        <v>3.122457897974857</v>
      </c>
      <c r="AB40">
        <f>[5]Manu_solvent!T39</f>
        <v>829.00605339564811</v>
      </c>
      <c r="AC40">
        <f>[5]Manu_solvent!U39</f>
        <v>419.99801394660005</v>
      </c>
      <c r="AD40">
        <f>[5]Manu_solvent!V39</f>
        <v>1006.5979322556331</v>
      </c>
      <c r="AE40">
        <f>[5]Manu_solvent!W39</f>
        <v>3983.4293375272505</v>
      </c>
      <c r="AF40">
        <f>SUM([5]Manu_solvent!$X39:$AC39)</f>
        <v>1313.3679291312558</v>
      </c>
    </row>
    <row r="41" spans="1:32" x14ac:dyDescent="0.2">
      <c r="A41">
        <v>2029.5</v>
      </c>
      <c r="B41">
        <f>[5]Manu_water!R40</f>
        <v>214.6155344255385</v>
      </c>
      <c r="C41">
        <f>[5]Manu_water!S40</f>
        <v>170.72646392664336</v>
      </c>
      <c r="D41">
        <f>[5]Manu_water!T40</f>
        <v>8451.79439145996</v>
      </c>
      <c r="E41">
        <f>[5]Manu_water!U40</f>
        <v>10.845480945930584</v>
      </c>
      <c r="F41">
        <f>[5]Manu_water!V40</f>
        <v>4348.6685704713964</v>
      </c>
      <c r="G41">
        <f>[5]Manu_water!W40</f>
        <v>54.69619613127756</v>
      </c>
      <c r="H41">
        <f>SUM([5]Manu_water!$X40:$AC40)</f>
        <v>1372.3062635189222</v>
      </c>
      <c r="J41">
        <f>[5]Manu_solid!R40</f>
        <v>52.72561572392123</v>
      </c>
      <c r="K41">
        <f>[5]Manu_solid!S40</f>
        <v>0.53447461873278324</v>
      </c>
      <c r="L41">
        <f>[5]Manu_solid!T40</f>
        <v>29.934868843838682</v>
      </c>
      <c r="M41">
        <f>[5]Manu_solid!U40</f>
        <v>3.7424546926098499</v>
      </c>
      <c r="N41">
        <f>[5]Manu_solid!V40</f>
        <v>7.5764856908196689</v>
      </c>
      <c r="O41">
        <f>[5]Manu_solid!W40</f>
        <v>44.988213268150361</v>
      </c>
      <c r="P41">
        <f>SUM([5]Manu_solid!$X40:$AC40)</f>
        <v>14.455435593622706</v>
      </c>
      <c r="R41">
        <f>[5]Manu_gas!R40</f>
        <v>109.16430297769607</v>
      </c>
      <c r="S41">
        <f>[5]Manu_gas!S40</f>
        <v>0</v>
      </c>
      <c r="T41">
        <f>[5]Manu_gas!T40</f>
        <v>0</v>
      </c>
      <c r="U41">
        <f>[5]Manu_gas!U40</f>
        <v>7.4085327588399066</v>
      </c>
      <c r="V41">
        <f>[5]Manu_gas!V40</f>
        <v>0</v>
      </c>
      <c r="W41">
        <f>[5]Manu_gas!W40</f>
        <v>0</v>
      </c>
      <c r="X41">
        <f>SUM([5]Manu_gas!$X40:$AC40)</f>
        <v>12.080352030721629</v>
      </c>
      <c r="Z41">
        <f>[5]Manu_solvent!R40</f>
        <v>7047.4097636621473</v>
      </c>
      <c r="AA41">
        <f>[5]Manu_solvent!S40</f>
        <v>3.5886152972058309</v>
      </c>
      <c r="AB41">
        <f>[5]Manu_solvent!T40</f>
        <v>955.71874840879457</v>
      </c>
      <c r="AC41">
        <f>[5]Manu_solvent!U40</f>
        <v>482.70027872029084</v>
      </c>
      <c r="AD41">
        <f>[5]Manu_solvent!V40</f>
        <v>1157.2009748525513</v>
      </c>
      <c r="AE41">
        <f>[5]Manu_solvent!W40</f>
        <v>4656.6352433583115</v>
      </c>
      <c r="AF41">
        <f>SUM([5]Manu_solvent!$X40:$AC40)</f>
        <v>1482.4055526236311</v>
      </c>
    </row>
    <row r="42" spans="1:32" x14ac:dyDescent="0.2">
      <c r="A42">
        <v>2029.75</v>
      </c>
      <c r="B42">
        <f>[5]Manu_water!R41</f>
        <v>246.66690014182558</v>
      </c>
      <c r="C42">
        <f>[5]Manu_water!S41</f>
        <v>196.22329642485133</v>
      </c>
      <c r="D42">
        <f>[5]Manu_water!T41</f>
        <v>9749.8105271360837</v>
      </c>
      <c r="E42">
        <f>[5]Manu_water!U41</f>
        <v>12.465179525054872</v>
      </c>
      <c r="F42">
        <f>[5]Manu_water!V41</f>
        <v>4998.9716977265434</v>
      </c>
      <c r="G42">
        <f>[5]Manu_water!W41</f>
        <v>64.013843799232134</v>
      </c>
      <c r="H42">
        <f>SUM([5]Manu_water!$X41:$AC41)</f>
        <v>1570.3395799567754</v>
      </c>
      <c r="J42">
        <f>[5]Manu_solid!R41</f>
        <v>60.599826678441588</v>
      </c>
      <c r="K42">
        <f>[5]Manu_solid!S41</f>
        <v>0.61429475624953445</v>
      </c>
      <c r="L42">
        <f>[5]Manu_solid!T41</f>
        <v>34.532228999442168</v>
      </c>
      <c r="M42">
        <f>[5]Manu_solid!U41</f>
        <v>4.301364765687949</v>
      </c>
      <c r="N42">
        <f>[5]Manu_solid!V41</f>
        <v>8.7094789871586027</v>
      </c>
      <c r="O42">
        <f>[5]Manu_solid!W41</f>
        <v>52.652079315385727</v>
      </c>
      <c r="P42">
        <f>SUM([5]Manu_solid!$X41:$AC41)</f>
        <v>16.606535027828777</v>
      </c>
      <c r="R42">
        <f>[5]Manu_gas!R41</f>
        <v>125.46724678494245</v>
      </c>
      <c r="S42">
        <f>[5]Manu_gas!S41</f>
        <v>0</v>
      </c>
      <c r="T42">
        <f>[5]Manu_gas!T41</f>
        <v>0</v>
      </c>
      <c r="U42">
        <f>[5]Manu_gas!U41</f>
        <v>8.5149465769741042</v>
      </c>
      <c r="V42">
        <f>[5]Manu_gas!V41</f>
        <v>0</v>
      </c>
      <c r="W42">
        <f>[5]Manu_gas!W41</f>
        <v>0</v>
      </c>
      <c r="X42">
        <f>SUM([5]Manu_gas!$X41:$AC41)</f>
        <v>13.789804931155539</v>
      </c>
      <c r="Z42">
        <f>[5]Manu_solvent!R41</f>
        <v>8099.8923264564883</v>
      </c>
      <c r="AA42">
        <f>[5]Manu_solvent!S41</f>
        <v>4.1245505062468748</v>
      </c>
      <c r="AB42">
        <f>[5]Manu_solvent!T41</f>
        <v>1102.4968524592546</v>
      </c>
      <c r="AC42">
        <f>[5]Manu_solvent!U41</f>
        <v>554.78827181934366</v>
      </c>
      <c r="AD42">
        <f>[5]Manu_solvent!V41</f>
        <v>1330.2496679443186</v>
      </c>
      <c r="AE42">
        <f>[5]Manu_solvent!W41</f>
        <v>5449.9058834528078</v>
      </c>
      <c r="AF42">
        <f>SUM([5]Manu_solvent!$X41:$AC41)</f>
        <v>1702.1784057864602</v>
      </c>
    </row>
    <row r="43" spans="1:32" x14ac:dyDescent="0.2">
      <c r="A43">
        <v>2030</v>
      </c>
      <c r="B43">
        <f>[5]Manu_water!R42</f>
        <v>271.79192537359029</v>
      </c>
      <c r="C43">
        <f>[5]Manu_water!S42</f>
        <v>216.21023131923633</v>
      </c>
      <c r="D43">
        <f>[5]Manu_water!T42</f>
        <v>10774.892575621667</v>
      </c>
      <c r="E43">
        <f>[5]Manu_water!U42</f>
        <v>13.734859202001424</v>
      </c>
      <c r="F43">
        <f>[5]Manu_water!V42</f>
        <v>5508.457343876792</v>
      </c>
      <c r="G43">
        <f>[5]Manu_water!W42</f>
        <v>71.494568359208316</v>
      </c>
      <c r="H43">
        <f>SUM([5]Manu_water!$X42:$AC42)</f>
        <v>1732.3728471404061</v>
      </c>
      <c r="J43">
        <f>[5]Manu_solid!R42</f>
        <v>66.772410731920118</v>
      </c>
      <c r="K43">
        <f>[5]Manu_solid!S42</f>
        <v>0.67686566155395977</v>
      </c>
      <c r="L43">
        <f>[5]Manu_solid!T42</f>
        <v>38.162901405126284</v>
      </c>
      <c r="M43">
        <f>[5]Manu_solid!U42</f>
        <v>4.7394936682962667</v>
      </c>
      <c r="N43">
        <f>[5]Manu_solid!V42</f>
        <v>9.5971324482539213</v>
      </c>
      <c r="O43">
        <f>[5]Manu_solid!W42</f>
        <v>58.805056226188647</v>
      </c>
      <c r="P43">
        <f>SUM([5]Manu_solid!$X42:$AC42)</f>
        <v>18.375829196710015</v>
      </c>
      <c r="R43">
        <f>[5]Manu_gas!R42</f>
        <v>138.24710390975011</v>
      </c>
      <c r="S43">
        <f>[5]Manu_gas!S42</f>
        <v>0</v>
      </c>
      <c r="T43">
        <f>[5]Manu_gas!T42</f>
        <v>0</v>
      </c>
      <c r="U43">
        <f>[5]Manu_gas!U42</f>
        <v>9.382262976015058</v>
      </c>
      <c r="V43">
        <f>[5]Manu_gas!V42</f>
        <v>0</v>
      </c>
      <c r="W43">
        <f>[5]Manu_gas!W42</f>
        <v>0</v>
      </c>
      <c r="X43">
        <f>SUM([5]Manu_gas!$X42:$AC42)</f>
        <v>15.181931768194106</v>
      </c>
      <c r="Z43">
        <f>[5]Manu_solvent!R42</f>
        <v>8924.9320823369289</v>
      </c>
      <c r="AA43">
        <f>[5]Manu_solvent!S42</f>
        <v>4.5446694418623022</v>
      </c>
      <c r="AB43">
        <f>[5]Manu_solvent!T42</f>
        <v>1218.4118980719218</v>
      </c>
      <c r="AC43">
        <f>[5]Manu_solvent!U42</f>
        <v>611.29795884964096</v>
      </c>
      <c r="AD43">
        <f>[5]Manu_solvent!V42</f>
        <v>1465.8261729927453</v>
      </c>
      <c r="AE43">
        <f>[5]Manu_solvent!W42</f>
        <v>6086.7875698544158</v>
      </c>
      <c r="AF43">
        <f>SUM([5]Manu_solvent!$X42:$AC42)</f>
        <v>1882.7683071907654</v>
      </c>
    </row>
    <row r="44" spans="1:32" x14ac:dyDescent="0.2">
      <c r="A44">
        <v>2030.25</v>
      </c>
      <c r="B44">
        <f>[5]Manu_water!R43</f>
        <v>291.78314412601964</v>
      </c>
      <c r="C44">
        <f>[5]Manu_water!S43</f>
        <v>232.1132277930094</v>
      </c>
      <c r="D44">
        <f>[5]Manu_water!T43</f>
        <v>11596.506935350437</v>
      </c>
      <c r="E44">
        <f>[5]Manu_water!U43</f>
        <v>14.745104721486999</v>
      </c>
      <c r="F44">
        <f>[5]Manu_water!V43</f>
        <v>5913.6132039825898</v>
      </c>
      <c r="G44">
        <f>[5]Manu_water!W43</f>
        <v>77.586488032886507</v>
      </c>
      <c r="H44">
        <f>SUM([5]Manu_water!$X43:$AC43)</f>
        <v>1908.9091737997978</v>
      </c>
      <c r="J44">
        <f>[5]Manu_solid!R43</f>
        <v>71.683748210890656</v>
      </c>
      <c r="K44">
        <f>[5]Manu_solid!S43</f>
        <v>0.72665142869010091</v>
      </c>
      <c r="L44">
        <f>[5]Manu_solid!T43</f>
        <v>41.072924645107953</v>
      </c>
      <c r="M44">
        <f>[5]Manu_solid!U43</f>
        <v>5.0880995165694589</v>
      </c>
      <c r="N44">
        <f>[5]Manu_solid!V43</f>
        <v>10.303016910796572</v>
      </c>
      <c r="O44">
        <f>[5]Manu_solid!W43</f>
        <v>63.815726087655563</v>
      </c>
      <c r="P44">
        <f>SUM([5]Manu_solid!$X43:$AC43)</f>
        <v>20.313401333333896</v>
      </c>
      <c r="R44">
        <f>[5]Manu_gas!R43</f>
        <v>148.41564770423841</v>
      </c>
      <c r="S44">
        <f>[5]Manu_gas!S43</f>
        <v>0</v>
      </c>
      <c r="T44">
        <f>[5]Manu_gas!T43</f>
        <v>0</v>
      </c>
      <c r="U44">
        <f>[5]Manu_gas!U43</f>
        <v>10.072360267494641</v>
      </c>
      <c r="V44">
        <f>[5]Manu_gas!V43</f>
        <v>0</v>
      </c>
      <c r="W44">
        <f>[5]Manu_gas!W43</f>
        <v>0</v>
      </c>
      <c r="X44">
        <f>SUM([5]Manu_gas!$X43:$AC43)</f>
        <v>16.691614421247159</v>
      </c>
      <c r="Z44">
        <f>[5]Manu_solvent!R43</f>
        <v>9581.3911341035528</v>
      </c>
      <c r="AA44">
        <f>[5]Manu_solvent!S43</f>
        <v>4.8789453069192499</v>
      </c>
      <c r="AB44">
        <f>[5]Manu_solvent!T43</f>
        <v>1311.3190620639971</v>
      </c>
      <c r="AC44">
        <f>[5]Manu_solvent!U43</f>
        <v>656.2609988718159</v>
      </c>
      <c r="AD44">
        <f>[5]Manu_solvent!V43</f>
        <v>1573.6400357150615</v>
      </c>
      <c r="AE44">
        <f>[5]Manu_solvent!W43</f>
        <v>6605.4314584362</v>
      </c>
      <c r="AF44">
        <f>SUM([5]Manu_solvent!$X43:$AC43)</f>
        <v>2080.3475559907483</v>
      </c>
    </row>
    <row r="45" spans="1:32" x14ac:dyDescent="0.2">
      <c r="A45">
        <v>2030.5</v>
      </c>
      <c r="B45">
        <f>[5]Manu_water!R44</f>
        <v>314.17553882545963</v>
      </c>
      <c r="C45">
        <f>[5]Manu_water!S44</f>
        <v>249.92635756536282</v>
      </c>
      <c r="D45">
        <f>[5]Manu_water!T44</f>
        <v>12523.47521750419</v>
      </c>
      <c r="E45">
        <f>[5]Manu_water!U44</f>
        <v>15.876692379838884</v>
      </c>
      <c r="F45">
        <f>[5]Manu_water!V44</f>
        <v>6367.1808361127514</v>
      </c>
      <c r="G45">
        <f>[5]Manu_water!W44</f>
        <v>84.565740337408613</v>
      </c>
      <c r="H45">
        <f>SUM([5]Manu_water!$X44:$AC44)</f>
        <v>2085.2839812463076</v>
      </c>
      <c r="J45">
        <f>[5]Manu_solid!R44</f>
        <v>77.184993967500475</v>
      </c>
      <c r="K45">
        <f>[5]Manu_solid!S44</f>
        <v>0.78241704067868501</v>
      </c>
      <c r="L45">
        <f>[5]Manu_solid!T44</f>
        <v>44.356094190347896</v>
      </c>
      <c r="M45">
        <f>[5]Manu_solid!U44</f>
        <v>5.4785769479725737</v>
      </c>
      <c r="N45">
        <f>[5]Manu_solid!V44</f>
        <v>11.093246982130939</v>
      </c>
      <c r="O45">
        <f>[5]Manu_solid!W44</f>
        <v>69.556236641158591</v>
      </c>
      <c r="P45">
        <f>SUM([5]Manu_solid!$X44:$AC44)</f>
        <v>22.25895844223836</v>
      </c>
      <c r="R45">
        <f>[5]Manu_gas!R44</f>
        <v>159.80555089045876</v>
      </c>
      <c r="S45">
        <f>[5]Manu_gas!S44</f>
        <v>0</v>
      </c>
      <c r="T45">
        <f>[5]Manu_gas!T44</f>
        <v>0</v>
      </c>
      <c r="U45">
        <f>[5]Manu_gas!U44</f>
        <v>10.845346203129379</v>
      </c>
      <c r="V45">
        <f>[5]Manu_gas!V44</f>
        <v>0</v>
      </c>
      <c r="W45">
        <f>[5]Manu_gas!W44</f>
        <v>0</v>
      </c>
      <c r="X45">
        <f>SUM([5]Manu_gas!$X44:$AC44)</f>
        <v>18.192978319259286</v>
      </c>
      <c r="Z45">
        <f>[5]Manu_solvent!R44</f>
        <v>10316.698489458866</v>
      </c>
      <c r="AA45">
        <f>[5]Manu_solvent!S44</f>
        <v>5.2533715588426002</v>
      </c>
      <c r="AB45">
        <f>[5]Manu_solvent!T44</f>
        <v>1416.1395209395475</v>
      </c>
      <c r="AC45">
        <f>[5]Manu_solvent!U44</f>
        <v>706.62461859564633</v>
      </c>
      <c r="AD45">
        <f>[5]Manu_solvent!V44</f>
        <v>1694.3364966103763</v>
      </c>
      <c r="AE45">
        <f>[5]Manu_solvent!W44</f>
        <v>7199.6196205439228</v>
      </c>
      <c r="AF45">
        <f>SUM([5]Manu_solvent!$X44:$AC44)</f>
        <v>2278.5583413192603</v>
      </c>
    </row>
    <row r="46" spans="1:32" x14ac:dyDescent="0.2">
      <c r="A46">
        <v>2030.75</v>
      </c>
      <c r="B46">
        <f>[5]Manu_water!R45</f>
        <v>343.07826026590999</v>
      </c>
      <c r="C46">
        <f>[5]Manu_water!S45</f>
        <v>272.91844638406337</v>
      </c>
      <c r="D46">
        <f>[5]Manu_water!T45</f>
        <v>13728.506944338838</v>
      </c>
      <c r="E46">
        <f>[5]Manu_water!U45</f>
        <v>17.337275908924944</v>
      </c>
      <c r="F46">
        <f>[5]Manu_water!V45</f>
        <v>6952.2943858666795</v>
      </c>
      <c r="G46">
        <f>[5]Manu_water!W45</f>
        <v>93.773850971929662</v>
      </c>
      <c r="H46">
        <f>SUM([5]Manu_water!$X45:$AC45)</f>
        <v>2268.021152639009</v>
      </c>
      <c r="J46">
        <f>[5]Manu_solid!R45</f>
        <v>84.285662556676868</v>
      </c>
      <c r="K46">
        <f>[5]Manu_solid!S45</f>
        <v>0.85439585182846323</v>
      </c>
      <c r="L46">
        <f>[5]Manu_solid!T45</f>
        <v>48.624118828040068</v>
      </c>
      <c r="M46">
        <f>[5]Manu_solid!U45</f>
        <v>5.9825811235022703</v>
      </c>
      <c r="N46">
        <f>[5]Manu_solid!V45</f>
        <v>12.112663469125897</v>
      </c>
      <c r="O46">
        <f>[5]Manu_solid!W45</f>
        <v>77.13000729292915</v>
      </c>
      <c r="P46">
        <f>SUM([5]Manu_solid!$X45:$AC45)</f>
        <v>24.2846578365074</v>
      </c>
      <c r="R46">
        <f>[5]Manu_gas!R45</f>
        <v>174.50693515255637</v>
      </c>
      <c r="S46">
        <f>[5]Manu_gas!S45</f>
        <v>0</v>
      </c>
      <c r="T46">
        <f>[5]Manu_gas!T45</f>
        <v>0</v>
      </c>
      <c r="U46">
        <f>[5]Manu_gas!U45</f>
        <v>11.843068754688167</v>
      </c>
      <c r="V46">
        <f>[5]Manu_gas!V45</f>
        <v>0</v>
      </c>
      <c r="W46">
        <f>[5]Manu_gas!W45</f>
        <v>0</v>
      </c>
      <c r="X46">
        <f>SUM([5]Manu_gas!$X45:$AC45)</f>
        <v>19.741419392093974</v>
      </c>
      <c r="Z46">
        <f>[5]Manu_solvent!R45</f>
        <v>11265.787854406528</v>
      </c>
      <c r="AA46">
        <f>[5]Manu_solvent!S45</f>
        <v>5.7366578622768252</v>
      </c>
      <c r="AB46">
        <f>[5]Manu_solvent!T45</f>
        <v>1552.4030598310042</v>
      </c>
      <c r="AC46">
        <f>[5]Manu_solvent!U45</f>
        <v>771.63087143947666</v>
      </c>
      <c r="AD46">
        <f>[5]Manu_solvent!V45</f>
        <v>1850.0379392938517</v>
      </c>
      <c r="AE46">
        <f>[5]Manu_solvent!W45</f>
        <v>7983.5646759283745</v>
      </c>
      <c r="AF46">
        <f>SUM([5]Manu_solvent!$X45:$AC45)</f>
        <v>2484.748347990173</v>
      </c>
    </row>
    <row r="48" spans="1:32" x14ac:dyDescent="0.2">
      <c r="A48" t="s">
        <v>32</v>
      </c>
    </row>
    <row r="49" spans="1:32" x14ac:dyDescent="0.2">
      <c r="B49">
        <f>'Unit-upper left'!$B$8</f>
        <v>31.269344480026685</v>
      </c>
      <c r="C49">
        <f>'Unit-upper left'!$B$8</f>
        <v>31.269344480026685</v>
      </c>
      <c r="D49">
        <f>'Unit-upper left'!$B$8</f>
        <v>31.269344480026685</v>
      </c>
      <c r="E49">
        <f>'Unit-upper left'!$B$8</f>
        <v>31.269344480026685</v>
      </c>
      <c r="F49">
        <f>'Unit-upper left'!$B$8</f>
        <v>31.269344480026685</v>
      </c>
      <c r="G49">
        <f>'Unit-upper left'!$B$8</f>
        <v>31.269344480026685</v>
      </c>
      <c r="H49">
        <f>'Unit-upper left'!$B$8</f>
        <v>31.269344480026685</v>
      </c>
      <c r="J49">
        <f>'Unit-upper left'!$B$15</f>
        <v>1.1657216066399756</v>
      </c>
      <c r="K49">
        <f>'Unit-upper left'!$B$15</f>
        <v>1.1657216066399756</v>
      </c>
      <c r="L49">
        <f>'Unit-upper left'!$B$15</f>
        <v>1.1657216066399756</v>
      </c>
      <c r="M49">
        <f>'Unit-upper left'!$B$15</f>
        <v>1.1657216066399756</v>
      </c>
      <c r="N49">
        <f>'Unit-upper left'!$B$15</f>
        <v>1.1657216066399756</v>
      </c>
      <c r="O49">
        <f>'Unit-upper left'!$B$15</f>
        <v>1.1657216066399756</v>
      </c>
      <c r="P49">
        <f>'Unit-upper left'!$B$15</f>
        <v>1.1657216066399756</v>
      </c>
      <c r="R49">
        <f>'Unit-upper left'!$B$15</f>
        <v>1.1657216066399756</v>
      </c>
      <c r="S49">
        <f>'Unit-upper left'!$B$15</f>
        <v>1.1657216066399756</v>
      </c>
      <c r="T49">
        <f>'Unit-upper left'!$B$15</f>
        <v>1.1657216066399756</v>
      </c>
      <c r="U49">
        <f>'Unit-upper left'!$B$15</f>
        <v>1.1657216066399756</v>
      </c>
      <c r="V49">
        <f>'Unit-upper left'!$B$15</f>
        <v>1.1657216066399756</v>
      </c>
      <c r="W49">
        <f>'Unit-upper left'!$B$15</f>
        <v>1.1657216066399756</v>
      </c>
      <c r="X49">
        <f>'Unit-upper left'!$B$15</f>
        <v>1.1657216066399756</v>
      </c>
      <c r="Z49">
        <f>'Unit-upper left'!$B$15</f>
        <v>1.1657216066399756</v>
      </c>
      <c r="AA49">
        <f>'Unit-upper left'!$B$15</f>
        <v>1.1657216066399756</v>
      </c>
      <c r="AB49">
        <f>'Unit-upper left'!$B$15</f>
        <v>1.1657216066399756</v>
      </c>
      <c r="AC49">
        <f>'Unit-upper left'!$B$15</f>
        <v>1.1657216066399756</v>
      </c>
      <c r="AD49">
        <f>'Unit-upper left'!$B$15</f>
        <v>1.1657216066399756</v>
      </c>
      <c r="AE49">
        <f>'Unit-upper left'!$B$15</f>
        <v>1.1657216066399756</v>
      </c>
      <c r="AF49">
        <f>'Unit-upper left'!$B$15</f>
        <v>1.1657216066399756</v>
      </c>
    </row>
    <row r="50" spans="1:32" x14ac:dyDescent="0.2">
      <c r="A50" t="s">
        <v>44</v>
      </c>
    </row>
    <row r="51" spans="1:32" x14ac:dyDescent="0.2">
      <c r="A51">
        <v>2020</v>
      </c>
      <c r="B51">
        <f>1000*B3*B$49/1000000</f>
        <v>1.7684268135197248E-4</v>
      </c>
      <c r="C51">
        <f t="shared" ref="C51:P66" si="0">1000*C3*C$49/1000000</f>
        <v>1.4067819339985162E-4</v>
      </c>
      <c r="D51">
        <f t="shared" si="0"/>
        <v>6.2645344815993233E-3</v>
      </c>
      <c r="E51">
        <f t="shared" si="0"/>
        <v>8.9366500713187073E-6</v>
      </c>
      <c r="F51">
        <f t="shared" si="0"/>
        <v>3.827800992768231E-3</v>
      </c>
      <c r="G51">
        <f t="shared" si="0"/>
        <v>2.9066782357214426E-5</v>
      </c>
      <c r="H51">
        <f t="shared" si="0"/>
        <v>8.567920680031013E-4</v>
      </c>
      <c r="I51">
        <f t="shared" si="0"/>
        <v>0</v>
      </c>
      <c r="J51">
        <f>1000*J3*J$49/1000000</f>
        <v>1.6196592902085508E-6</v>
      </c>
      <c r="K51">
        <f t="shared" si="0"/>
        <v>1.6418334233287643E-8</v>
      </c>
      <c r="L51">
        <f t="shared" si="0"/>
        <v>8.2716720915182446E-7</v>
      </c>
      <c r="M51">
        <f t="shared" si="0"/>
        <v>1.1496312423944001E-7</v>
      </c>
      <c r="N51">
        <f t="shared" si="0"/>
        <v>2.4862048981835573E-7</v>
      </c>
      <c r="O51">
        <f t="shared" si="0"/>
        <v>8.9128100123561519E-7</v>
      </c>
      <c r="P51">
        <f t="shared" si="0"/>
        <v>3.0490901968267545E-7</v>
      </c>
      <c r="R51">
        <f t="shared" ref="R51:AF66" si="1">1000*R3*R$49/1000000</f>
        <v>3.3533790938120685E-6</v>
      </c>
      <c r="S51">
        <f t="shared" si="1"/>
        <v>0</v>
      </c>
      <c r="T51">
        <f t="shared" si="1"/>
        <v>0</v>
      </c>
      <c r="U51">
        <f t="shared" si="1"/>
        <v>2.2758006226991183E-7</v>
      </c>
      <c r="V51">
        <f t="shared" si="1"/>
        <v>0</v>
      </c>
      <c r="W51">
        <f t="shared" si="1"/>
        <v>0</v>
      </c>
      <c r="X51">
        <f t="shared" si="1"/>
        <v>2.9366180872687374E-7</v>
      </c>
      <c r="Z51">
        <f t="shared" si="1"/>
        <v>2.1648685442364992E-4</v>
      </c>
      <c r="AA51">
        <f t="shared" si="1"/>
        <v>1.1023738699493134E-7</v>
      </c>
      <c r="AB51">
        <f t="shared" si="1"/>
        <v>2.640864117292064E-5</v>
      </c>
      <c r="AC51">
        <f t="shared" si="1"/>
        <v>1.4827896840678792E-5</v>
      </c>
      <c r="AD51">
        <f t="shared" si="1"/>
        <v>3.7973261605275275E-5</v>
      </c>
      <c r="AE51">
        <f t="shared" si="1"/>
        <v>9.2254620056843287E-5</v>
      </c>
      <c r="AF51">
        <f t="shared" si="1"/>
        <v>3.1823553521078172E-5</v>
      </c>
    </row>
    <row r="52" spans="1:32" x14ac:dyDescent="0.2">
      <c r="A52">
        <v>2020.25</v>
      </c>
      <c r="B52">
        <f t="shared" ref="B52:P67" si="2">1000*B4*B$49/1000000</f>
        <v>3.1649878851604149E-4</v>
      </c>
      <c r="C52">
        <f t="shared" si="2"/>
        <v>2.5177450059728917E-4</v>
      </c>
      <c r="D52">
        <f t="shared" si="2"/>
        <v>1.1211759281668674E-2</v>
      </c>
      <c r="E52">
        <f t="shared" si="2"/>
        <v>1.5994096557124041E-5</v>
      </c>
      <c r="F52">
        <f t="shared" si="2"/>
        <v>6.8506899331637686E-3</v>
      </c>
      <c r="G52">
        <f t="shared" si="2"/>
        <v>5.2021386080477472E-5</v>
      </c>
      <c r="H52">
        <f t="shared" si="2"/>
        <v>1.449608491736613E-3</v>
      </c>
      <c r="I52">
        <f t="shared" si="0"/>
        <v>0</v>
      </c>
      <c r="J52">
        <f t="shared" si="0"/>
        <v>2.8987357533868339E-6</v>
      </c>
      <c r="K52">
        <f t="shared" si="0"/>
        <v>2.938421230983575E-8</v>
      </c>
      <c r="L52">
        <f t="shared" si="0"/>
        <v>1.4803972524918261E-6</v>
      </c>
      <c r="M52">
        <f t="shared" si="0"/>
        <v>2.0575174085594742E-7</v>
      </c>
      <c r="N52">
        <f t="shared" si="0"/>
        <v>4.4496092926322699E-7</v>
      </c>
      <c r="O52">
        <f t="shared" si="0"/>
        <v>1.595142953962512E-6</v>
      </c>
      <c r="P52">
        <f t="shared" si="0"/>
        <v>5.1587627925786641E-7</v>
      </c>
      <c r="R52">
        <f t="shared" si="1"/>
        <v>6.0016078274347134E-6</v>
      </c>
      <c r="S52">
        <f t="shared" si="1"/>
        <v>0</v>
      </c>
      <c r="T52">
        <f t="shared" si="1"/>
        <v>0</v>
      </c>
      <c r="U52">
        <f t="shared" si="1"/>
        <v>4.0730446659238562E-7</v>
      </c>
      <c r="V52">
        <f t="shared" si="1"/>
        <v>0</v>
      </c>
      <c r="W52">
        <f t="shared" si="1"/>
        <v>0</v>
      </c>
      <c r="X52">
        <f t="shared" si="1"/>
        <v>4.9684709689407229E-7</v>
      </c>
      <c r="Z52">
        <f t="shared" si="1"/>
        <v>3.8745073661466283E-4</v>
      </c>
      <c r="AA52">
        <f t="shared" si="1"/>
        <v>1.9729399693746857E-7</v>
      </c>
      <c r="AB52">
        <f t="shared" si="1"/>
        <v>4.726405907038123E-5</v>
      </c>
      <c r="AC52">
        <f t="shared" si="1"/>
        <v>2.6537775555297697E-5</v>
      </c>
      <c r="AD52">
        <f t="shared" si="1"/>
        <v>6.7961485328034389E-5</v>
      </c>
      <c r="AE52">
        <f t="shared" si="1"/>
        <v>1.6510988896896708E-4</v>
      </c>
      <c r="AF52">
        <f t="shared" si="1"/>
        <v>5.3842344186153866E-5</v>
      </c>
    </row>
    <row r="53" spans="1:32" x14ac:dyDescent="0.2">
      <c r="A53">
        <v>2020.5</v>
      </c>
      <c r="B53">
        <f t="shared" si="2"/>
        <v>5.4921186841055296E-4</v>
      </c>
      <c r="C53">
        <f t="shared" si="2"/>
        <v>4.3689754560991803E-4</v>
      </c>
      <c r="D53">
        <f t="shared" si="2"/>
        <v>1.9455465507864079E-2</v>
      </c>
      <c r="E53">
        <f t="shared" si="2"/>
        <v>2.7754127258631413E-5</v>
      </c>
      <c r="F53">
        <f t="shared" si="2"/>
        <v>1.1887818704568412E-2</v>
      </c>
      <c r="G53">
        <f t="shared" si="2"/>
        <v>9.0271317563408855E-5</v>
      </c>
      <c r="H53">
        <f t="shared" si="2"/>
        <v>2.252158173644847E-3</v>
      </c>
      <c r="I53">
        <f t="shared" si="0"/>
        <v>0</v>
      </c>
      <c r="J53">
        <f t="shared" si="0"/>
        <v>5.030098492984799E-6</v>
      </c>
      <c r="K53">
        <f t="shared" si="0"/>
        <v>5.0989636390470143E-8</v>
      </c>
      <c r="L53">
        <f t="shared" si="0"/>
        <v>2.5688936910091079E-6</v>
      </c>
      <c r="M53">
        <f t="shared" si="0"/>
        <v>3.5703548362394877E-7</v>
      </c>
      <c r="N53">
        <f t="shared" si="0"/>
        <v>7.7212877962711925E-7</v>
      </c>
      <c r="O53">
        <f t="shared" si="0"/>
        <v>2.7680088326255223E-6</v>
      </c>
      <c r="P53">
        <f t="shared" si="0"/>
        <v>8.0148190738606341E-7</v>
      </c>
      <c r="R53">
        <f t="shared" si="1"/>
        <v>1.0414429274207964E-5</v>
      </c>
      <c r="S53">
        <f t="shared" si="1"/>
        <v>0</v>
      </c>
      <c r="T53">
        <f t="shared" si="1"/>
        <v>0</v>
      </c>
      <c r="U53">
        <f t="shared" si="1"/>
        <v>7.0678452880659257E-7</v>
      </c>
      <c r="V53">
        <f t="shared" si="1"/>
        <v>0</v>
      </c>
      <c r="W53">
        <f t="shared" si="1"/>
        <v>0</v>
      </c>
      <c r="X53">
        <f t="shared" si="1"/>
        <v>7.7191756029324581E-7</v>
      </c>
      <c r="Z53">
        <f t="shared" si="1"/>
        <v>6.7233288307641894E-4</v>
      </c>
      <c r="AA53">
        <f t="shared" si="1"/>
        <v>3.4235898719315669E-7</v>
      </c>
      <c r="AB53">
        <f t="shared" si="1"/>
        <v>8.2016055456070599E-5</v>
      </c>
      <c r="AC53">
        <f t="shared" si="1"/>
        <v>4.6050290949048086E-5</v>
      </c>
      <c r="AD53">
        <f t="shared" si="1"/>
        <v>1.1793174473738734E-4</v>
      </c>
      <c r="AE53">
        <f t="shared" si="1"/>
        <v>2.8651076687805164E-4</v>
      </c>
      <c r="AF53">
        <f t="shared" si="1"/>
        <v>8.3651190123600731E-5</v>
      </c>
    </row>
    <row r="54" spans="1:32" x14ac:dyDescent="0.2">
      <c r="A54">
        <v>2020.75</v>
      </c>
      <c r="B54">
        <f t="shared" si="2"/>
        <v>9.3257045574017354E-4</v>
      </c>
      <c r="C54">
        <f t="shared" si="2"/>
        <v>7.4185895581672348E-4</v>
      </c>
      <c r="D54">
        <f t="shared" si="2"/>
        <v>3.3035688736688273E-2</v>
      </c>
      <c r="E54">
        <f t="shared" si="2"/>
        <v>4.7126947895642629E-5</v>
      </c>
      <c r="F54">
        <f t="shared" si="2"/>
        <v>2.0185704542693209E-2</v>
      </c>
      <c r="G54">
        <f t="shared" si="2"/>
        <v>1.5328212772241787E-4</v>
      </c>
      <c r="H54">
        <f t="shared" si="2"/>
        <v>3.4048373767821658E-3</v>
      </c>
      <c r="I54">
        <f t="shared" si="0"/>
        <v>0</v>
      </c>
      <c r="J54">
        <f t="shared" si="0"/>
        <v>8.5411869513973866E-6</v>
      </c>
      <c r="K54">
        <f t="shared" si="0"/>
        <v>8.6581210606942498E-8</v>
      </c>
      <c r="L54">
        <f t="shared" si="0"/>
        <v>4.3620221957431893E-6</v>
      </c>
      <c r="M54">
        <f t="shared" si="0"/>
        <v>6.0625190901683262E-7</v>
      </c>
      <c r="N54">
        <f t="shared" si="0"/>
        <v>1.3110869034765573E-6</v>
      </c>
      <c r="O54">
        <f t="shared" si="0"/>
        <v>4.7001228615197351E-6</v>
      </c>
      <c r="P54">
        <f t="shared" si="0"/>
        <v>1.2116891198038319E-6</v>
      </c>
      <c r="R54">
        <f t="shared" si="1"/>
        <v>1.7683865941625578E-5</v>
      </c>
      <c r="S54">
        <f t="shared" si="1"/>
        <v>0</v>
      </c>
      <c r="T54">
        <f t="shared" si="1"/>
        <v>0</v>
      </c>
      <c r="U54">
        <f t="shared" si="1"/>
        <v>1.2001313300945457E-6</v>
      </c>
      <c r="V54">
        <f t="shared" si="1"/>
        <v>0</v>
      </c>
      <c r="W54">
        <f t="shared" si="1"/>
        <v>0</v>
      </c>
      <c r="X54">
        <f t="shared" si="1"/>
        <v>1.1669934162872014E-6</v>
      </c>
      <c r="Z54">
        <f t="shared" si="1"/>
        <v>1.1416318897008624E-3</v>
      </c>
      <c r="AA54">
        <f t="shared" si="1"/>
        <v>5.8133098550375676E-7</v>
      </c>
      <c r="AB54">
        <f t="shared" si="1"/>
        <v>1.3926456184574587E-4</v>
      </c>
      <c r="AC54">
        <f t="shared" si="1"/>
        <v>7.8194123775232268E-5</v>
      </c>
      <c r="AD54">
        <f t="shared" si="1"/>
        <v>2.0024997138948553E-4</v>
      </c>
      <c r="AE54">
        <f t="shared" si="1"/>
        <v>4.864998224004097E-4</v>
      </c>
      <c r="AF54">
        <f t="shared" si="1"/>
        <v>1.2646478479093771E-4</v>
      </c>
    </row>
    <row r="55" spans="1:32" x14ac:dyDescent="0.2">
      <c r="A55">
        <v>2021</v>
      </c>
      <c r="B55">
        <f>1000*B7*B$49/1000000</f>
        <v>1.5447152505638512E-3</v>
      </c>
      <c r="C55">
        <f t="shared" si="2"/>
        <v>1.2288195875859345E-3</v>
      </c>
      <c r="D55">
        <f t="shared" si="2"/>
        <v>5.4720511346180445E-2</v>
      </c>
      <c r="E55">
        <f t="shared" si="2"/>
        <v>7.8061356843165514E-5</v>
      </c>
      <c r="F55">
        <f t="shared" si="2"/>
        <v>3.3435721085251384E-2</v>
      </c>
      <c r="G55">
        <f t="shared" si="2"/>
        <v>2.5389742820424946E-4</v>
      </c>
      <c r="H55">
        <f t="shared" si="2"/>
        <v>4.9601907970866048E-3</v>
      </c>
      <c r="I55">
        <f t="shared" si="0"/>
        <v>0</v>
      </c>
      <c r="J55">
        <f t="shared" si="0"/>
        <v>1.4147672876113986E-5</v>
      </c>
      <c r="K55">
        <f t="shared" si="0"/>
        <v>1.4341363230371026E-7</v>
      </c>
      <c r="L55">
        <f t="shared" si="0"/>
        <v>7.2252795138299362E-6</v>
      </c>
      <c r="M55">
        <f t="shared" si="0"/>
        <v>1.0041992685672933E-6</v>
      </c>
      <c r="N55">
        <f t="shared" si="0"/>
        <v>2.1716921463133259E-6</v>
      </c>
      <c r="O55">
        <f t="shared" si="0"/>
        <v>7.7853114679156994E-6</v>
      </c>
      <c r="P55">
        <f t="shared" si="0"/>
        <v>1.7651971462616659E-6</v>
      </c>
      <c r="R55">
        <f t="shared" si="1"/>
        <v>2.9291660743503607E-5</v>
      </c>
      <c r="S55">
        <f t="shared" si="1"/>
        <v>0</v>
      </c>
      <c r="T55">
        <f t="shared" si="1"/>
        <v>0</v>
      </c>
      <c r="U55">
        <f t="shared" si="1"/>
        <v>1.9879046745107641E-6</v>
      </c>
      <c r="V55">
        <f t="shared" si="1"/>
        <v>0</v>
      </c>
      <c r="W55">
        <f t="shared" si="1"/>
        <v>0</v>
      </c>
      <c r="X55">
        <f t="shared" si="1"/>
        <v>1.7000841341794192E-6</v>
      </c>
      <c r="Z55">
        <f t="shared" si="1"/>
        <v>1.8910058534411512E-3</v>
      </c>
      <c r="AA55">
        <f t="shared" si="1"/>
        <v>9.6292010261062605E-7</v>
      </c>
      <c r="AB55">
        <f t="shared" si="1"/>
        <v>2.3067864869842362E-4</v>
      </c>
      <c r="AC55">
        <f t="shared" si="1"/>
        <v>1.2952121178255702E-4</v>
      </c>
      <c r="AD55">
        <f t="shared" si="1"/>
        <v>3.3169524385672411E-4</v>
      </c>
      <c r="AE55">
        <f t="shared" si="1"/>
        <v>8.0584119991454776E-4</v>
      </c>
      <c r="AF55">
        <f t="shared" si="1"/>
        <v>1.842347790097347E-4</v>
      </c>
    </row>
    <row r="56" spans="1:32" x14ac:dyDescent="0.2">
      <c r="A56">
        <v>2021.25</v>
      </c>
      <c r="B56">
        <f t="shared" si="2"/>
        <v>3.2483384858727721E-3</v>
      </c>
      <c r="C56">
        <f t="shared" si="2"/>
        <v>2.5840503336085267E-3</v>
      </c>
      <c r="D56">
        <f t="shared" si="2"/>
        <v>0.11646803048138489</v>
      </c>
      <c r="E56">
        <f t="shared" si="2"/>
        <v>1.6415304348199098E-4</v>
      </c>
      <c r="F56">
        <f t="shared" si="2"/>
        <v>6.9945385744267716E-2</v>
      </c>
      <c r="G56">
        <f t="shared" si="2"/>
        <v>5.378098003293876E-4</v>
      </c>
      <c r="H56">
        <f t="shared" si="2"/>
        <v>1.1299452185037182E-2</v>
      </c>
      <c r="I56">
        <f t="shared" si="0"/>
        <v>0</v>
      </c>
      <c r="J56">
        <f t="shared" si="0"/>
        <v>2.9750745499692836E-5</v>
      </c>
      <c r="K56">
        <f t="shared" si="0"/>
        <v>3.0158051527030758E-7</v>
      </c>
      <c r="L56">
        <f t="shared" si="0"/>
        <v>1.537840297817337E-5</v>
      </c>
      <c r="M56">
        <f t="shared" si="0"/>
        <v>2.1117025486617944E-6</v>
      </c>
      <c r="N56">
        <f t="shared" si="0"/>
        <v>4.5430407947351237E-6</v>
      </c>
      <c r="O56">
        <f t="shared" si="0"/>
        <v>1.6490977619094117E-5</v>
      </c>
      <c r="P56">
        <f t="shared" si="0"/>
        <v>4.01565589816244E-6</v>
      </c>
      <c r="R56">
        <f t="shared" si="1"/>
        <v>6.159661392189925E-5</v>
      </c>
      <c r="S56">
        <f t="shared" si="1"/>
        <v>0</v>
      </c>
      <c r="T56">
        <f t="shared" si="1"/>
        <v>0</v>
      </c>
      <c r="U56">
        <f t="shared" si="1"/>
        <v>4.1803091269427365E-6</v>
      </c>
      <c r="V56">
        <f t="shared" si="1"/>
        <v>0</v>
      </c>
      <c r="W56">
        <f t="shared" si="1"/>
        <v>0</v>
      </c>
      <c r="X56">
        <f t="shared" si="1"/>
        <v>3.8507014978855417E-6</v>
      </c>
      <c r="Z56">
        <f t="shared" si="1"/>
        <v>3.9765433069307759E-3</v>
      </c>
      <c r="AA56">
        <f t="shared" si="1"/>
        <v>2.0248977453863508E-6</v>
      </c>
      <c r="AB56">
        <f t="shared" si="1"/>
        <v>4.9098020517470927E-4</v>
      </c>
      <c r="AC56">
        <f t="shared" si="1"/>
        <v>2.723665328069906E-4</v>
      </c>
      <c r="AD56">
        <f t="shared" si="1"/>
        <v>6.9388519308265727E-4</v>
      </c>
      <c r="AE56">
        <f t="shared" si="1"/>
        <v>1.7069463755048126E-3</v>
      </c>
      <c r="AF56">
        <f t="shared" si="1"/>
        <v>4.182050488448907E-4</v>
      </c>
    </row>
    <row r="57" spans="1:32" x14ac:dyDescent="0.2">
      <c r="A57">
        <v>2021.5</v>
      </c>
      <c r="B57">
        <f t="shared" si="2"/>
        <v>6.8040419719308546E-3</v>
      </c>
      <c r="C57">
        <f t="shared" si="2"/>
        <v>5.412609247441272E-3</v>
      </c>
      <c r="D57">
        <f t="shared" si="2"/>
        <v>0.2482557125893968</v>
      </c>
      <c r="E57">
        <f t="shared" si="2"/>
        <v>3.4383861242575053E-4</v>
      </c>
      <c r="F57">
        <f t="shared" si="2"/>
        <v>0.14538451384053355</v>
      </c>
      <c r="G57">
        <f t="shared" si="2"/>
        <v>1.1384912359764673E-3</v>
      </c>
      <c r="H57">
        <f t="shared" si="2"/>
        <v>2.6735393142390367E-2</v>
      </c>
      <c r="I57">
        <f t="shared" si="0"/>
        <v>0</v>
      </c>
      <c r="J57">
        <f t="shared" si="0"/>
        <v>6.2316572597499774E-5</v>
      </c>
      <c r="K57">
        <f t="shared" si="0"/>
        <v>6.3169724852869816E-7</v>
      </c>
      <c r="L57">
        <f t="shared" si="0"/>
        <v>3.2779608052559339E-5</v>
      </c>
      <c r="M57">
        <f t="shared" si="0"/>
        <v>4.4232190813291277E-6</v>
      </c>
      <c r="N57">
        <f t="shared" si="0"/>
        <v>9.4429070663093253E-6</v>
      </c>
      <c r="O57">
        <f t="shared" si="0"/>
        <v>3.4909801718979209E-5</v>
      </c>
      <c r="P57">
        <f t="shared" si="0"/>
        <v>9.4823395654925354E-6</v>
      </c>
      <c r="R57">
        <f t="shared" si="1"/>
        <v>1.290216362229925E-4</v>
      </c>
      <c r="S57">
        <f t="shared" si="1"/>
        <v>0</v>
      </c>
      <c r="T57">
        <f t="shared" si="1"/>
        <v>0</v>
      </c>
      <c r="U57">
        <f t="shared" si="1"/>
        <v>8.7561683854882722E-6</v>
      </c>
      <c r="V57">
        <f t="shared" si="1"/>
        <v>0</v>
      </c>
      <c r="W57">
        <f t="shared" si="1"/>
        <v>0</v>
      </c>
      <c r="X57">
        <f t="shared" si="1"/>
        <v>9.0346834640505478E-6</v>
      </c>
      <c r="Z57">
        <f t="shared" si="1"/>
        <v>8.3293559711306048E-3</v>
      </c>
      <c r="AA57">
        <f>1000*AA9*AA$49/1000000</f>
        <v>4.241395811549831E-6</v>
      </c>
      <c r="AB57">
        <f t="shared" si="1"/>
        <v>1.0465416148890509E-3</v>
      </c>
      <c r="AC57">
        <f t="shared" si="1"/>
        <v>5.7050499171428751E-4</v>
      </c>
      <c r="AD57">
        <f t="shared" si="1"/>
        <v>1.4422704283353586E-3</v>
      </c>
      <c r="AE57">
        <f t="shared" si="1"/>
        <v>3.6134400816121301E-3</v>
      </c>
      <c r="AF57">
        <f t="shared" si="1"/>
        <v>9.8437592111896778E-4</v>
      </c>
    </row>
    <row r="58" spans="1:32" x14ac:dyDescent="0.2">
      <c r="A58">
        <v>2021.75</v>
      </c>
      <c r="B58">
        <f t="shared" si="2"/>
        <v>9.7383135967087746E-3</v>
      </c>
      <c r="C58">
        <f t="shared" si="2"/>
        <v>7.7468196765210443E-3</v>
      </c>
      <c r="D58">
        <f t="shared" si="2"/>
        <v>0.35940917219472629</v>
      </c>
      <c r="E58">
        <f t="shared" si="2"/>
        <v>4.9212045549874113E-4</v>
      </c>
      <c r="F58">
        <f t="shared" si="2"/>
        <v>0.20701171151950828</v>
      </c>
      <c r="G58">
        <f t="shared" si="2"/>
        <v>1.6408761471585456E-3</v>
      </c>
      <c r="H58">
        <f t="shared" si="2"/>
        <v>3.7354379573766021E-2</v>
      </c>
      <c r="I58">
        <f t="shared" si="0"/>
        <v>0</v>
      </c>
      <c r="J58">
        <f t="shared" si="0"/>
        <v>8.9190855778084943E-5</v>
      </c>
      <c r="K58">
        <f t="shared" si="0"/>
        <v>9.0411933520228131E-7</v>
      </c>
      <c r="L58">
        <f t="shared" si="0"/>
        <v>4.7456276724329142E-5</v>
      </c>
      <c r="M58">
        <f t="shared" si="0"/>
        <v>6.3307508534820769E-6</v>
      </c>
      <c r="N58">
        <f t="shared" si="0"/>
        <v>1.3445671082000419E-5</v>
      </c>
      <c r="O58">
        <f t="shared" si="0"/>
        <v>5.0314538340364901E-5</v>
      </c>
      <c r="P58">
        <f t="shared" si="0"/>
        <v>1.3234251192996466E-5</v>
      </c>
      <c r="R58">
        <f t="shared" si="1"/>
        <v>1.8466275773772515E-4</v>
      </c>
      <c r="S58">
        <f t="shared" si="1"/>
        <v>0</v>
      </c>
      <c r="T58">
        <f t="shared" si="1"/>
        <v>0</v>
      </c>
      <c r="U58">
        <f t="shared" si="1"/>
        <v>1.2532302709954315E-5</v>
      </c>
      <c r="V58">
        <f t="shared" si="1"/>
        <v>0</v>
      </c>
      <c r="W58">
        <f t="shared" si="1"/>
        <v>0</v>
      </c>
      <c r="X58">
        <f t="shared" si="1"/>
        <v>1.2565470918960947E-5</v>
      </c>
      <c r="Z58">
        <f t="shared" si="1"/>
        <v>1.1921425652591917E-2</v>
      </c>
      <c r="AA58">
        <f t="shared" si="1"/>
        <v>6.0705155363581748E-6</v>
      </c>
      <c r="AB58">
        <f t="shared" si="1"/>
        <v>1.5151178256941785E-3</v>
      </c>
      <c r="AC58">
        <f t="shared" si="1"/>
        <v>8.165376611021782E-4</v>
      </c>
      <c r="AD58">
        <f t="shared" si="1"/>
        <v>2.0536359888451588E-3</v>
      </c>
      <c r="AE58">
        <f t="shared" si="1"/>
        <v>5.2079519382672952E-3</v>
      </c>
      <c r="AF58">
        <f t="shared" si="1"/>
        <v>1.371484158575142E-3</v>
      </c>
    </row>
    <row r="59" spans="1:32" x14ac:dyDescent="0.2">
      <c r="A59">
        <v>2022</v>
      </c>
      <c r="B59">
        <f t="shared" si="2"/>
        <v>1.6139563900709163E-2</v>
      </c>
      <c r="C59">
        <f t="shared" si="2"/>
        <v>1.2839008515677555E-2</v>
      </c>
      <c r="D59">
        <f t="shared" si="2"/>
        <v>0.60711783062497038</v>
      </c>
      <c r="E59">
        <f t="shared" si="2"/>
        <v>8.1560420698018673E-4</v>
      </c>
      <c r="F59">
        <f t="shared" si="2"/>
        <v>0.34008821338084</v>
      </c>
      <c r="G59">
        <f t="shared" si="2"/>
        <v>2.7514077972959168E-3</v>
      </c>
      <c r="H59">
        <f t="shared" si="2"/>
        <v>6.4922995391886243E-2</v>
      </c>
      <c r="I59">
        <f t="shared" si="0"/>
        <v>0</v>
      </c>
      <c r="J59">
        <f t="shared" si="0"/>
        <v>1.4781835703831108E-4</v>
      </c>
      <c r="K59">
        <f t="shared" si="0"/>
        <v>1.4984208137737059E-6</v>
      </c>
      <c r="L59">
        <f t="shared" si="0"/>
        <v>8.0163651913710797E-5</v>
      </c>
      <c r="M59">
        <f t="shared" si="0"/>
        <v>1.0492120316784109E-5</v>
      </c>
      <c r="N59">
        <f t="shared" si="0"/>
        <v>2.2089157286895952E-5</v>
      </c>
      <c r="O59">
        <f t="shared" si="0"/>
        <v>8.4367009263160619E-5</v>
      </c>
      <c r="P59">
        <f t="shared" si="0"/>
        <v>2.2952384876417381E-5</v>
      </c>
      <c r="R59">
        <f t="shared" si="1"/>
        <v>3.0604645753002426E-4</v>
      </c>
      <c r="S59">
        <f t="shared" si="1"/>
        <v>0</v>
      </c>
      <c r="T59">
        <f t="shared" si="1"/>
        <v>0</v>
      </c>
      <c r="U59">
        <f t="shared" si="1"/>
        <v>2.0770115729144044E-5</v>
      </c>
      <c r="V59">
        <f t="shared" si="1"/>
        <v>0</v>
      </c>
      <c r="W59">
        <f t="shared" si="1"/>
        <v>0</v>
      </c>
      <c r="X59">
        <f t="shared" si="1"/>
        <v>2.1641851897885949E-5</v>
      </c>
      <c r="Z59">
        <f t="shared" si="1"/>
        <v>1.9757693074557353E-2</v>
      </c>
      <c r="AA59">
        <f t="shared" si="1"/>
        <v>1.0060825463909166E-5</v>
      </c>
      <c r="AB59">
        <f t="shared" si="1"/>
        <v>2.5593532904560879E-3</v>
      </c>
      <c r="AC59">
        <f t="shared" si="1"/>
        <v>1.3532693959607256E-3</v>
      </c>
      <c r="AD59">
        <f t="shared" si="1"/>
        <v>3.3738061931589203E-3</v>
      </c>
      <c r="AE59">
        <f t="shared" si="1"/>
        <v>8.7326515140734116E-3</v>
      </c>
      <c r="AF59">
        <f t="shared" si="1"/>
        <v>2.3704272188410955E-3</v>
      </c>
    </row>
    <row r="60" spans="1:32" x14ac:dyDescent="0.2">
      <c r="A60">
        <v>2022.25</v>
      </c>
      <c r="B60">
        <f t="shared" si="2"/>
        <v>2.4433817645222084E-2</v>
      </c>
      <c r="C60">
        <f t="shared" si="2"/>
        <v>1.9437079883164298E-2</v>
      </c>
      <c r="D60">
        <f t="shared" si="2"/>
        <v>0.93483357371685605</v>
      </c>
      <c r="E60">
        <f t="shared" si="2"/>
        <v>1.2347498722164491E-3</v>
      </c>
      <c r="F60">
        <f t="shared" si="2"/>
        <v>0.51075190340393284</v>
      </c>
      <c r="G60">
        <f t="shared" si="2"/>
        <v>4.2091744829210976E-3</v>
      </c>
      <c r="H60">
        <f t="shared" si="2"/>
        <v>0.10264544501023654</v>
      </c>
      <c r="I60">
        <f t="shared" si="0"/>
        <v>0</v>
      </c>
      <c r="J60">
        <f t="shared" si="0"/>
        <v>2.2378341835690646E-4</v>
      </c>
      <c r="K60">
        <f t="shared" si="0"/>
        <v>2.2684715116709742E-6</v>
      </c>
      <c r="L60">
        <f t="shared" si="0"/>
        <v>1.2343513799215064E-4</v>
      </c>
      <c r="M60">
        <f t="shared" si="0"/>
        <v>1.5884106665407991E-5</v>
      </c>
      <c r="N60">
        <f t="shared" si="0"/>
        <v>3.3173978647231093E-5</v>
      </c>
      <c r="O60">
        <f t="shared" si="0"/>
        <v>1.2906682278790915E-4</v>
      </c>
      <c r="P60">
        <f t="shared" si="0"/>
        <v>3.6219768164330579E-5</v>
      </c>
      <c r="R60">
        <f t="shared" si="1"/>
        <v>4.6332623237274964E-4</v>
      </c>
      <c r="S60">
        <f t="shared" si="1"/>
        <v>0</v>
      </c>
      <c r="T60">
        <f t="shared" si="1"/>
        <v>0</v>
      </c>
      <c r="U60">
        <f t="shared" si="1"/>
        <v>3.1444047888664794E-5</v>
      </c>
      <c r="V60">
        <f t="shared" si="1"/>
        <v>0</v>
      </c>
      <c r="W60">
        <f t="shared" si="1"/>
        <v>0</v>
      </c>
      <c r="X60">
        <f t="shared" si="1"/>
        <v>3.3940486471669795E-5</v>
      </c>
      <c r="Z60">
        <f t="shared" si="1"/>
        <v>2.9911332960662555E-2</v>
      </c>
      <c r="AA60">
        <f t="shared" si="1"/>
        <v>1.5231165864076541E-5</v>
      </c>
      <c r="AB60">
        <f t="shared" si="1"/>
        <v>3.9408649560796708E-3</v>
      </c>
      <c r="AC60">
        <f t="shared" si="1"/>
        <v>2.0487255943954798E-3</v>
      </c>
      <c r="AD60">
        <f t="shared" si="1"/>
        <v>5.0668557952704869E-3</v>
      </c>
      <c r="AE60">
        <f t="shared" si="1"/>
        <v>1.3359435107149554E-2</v>
      </c>
      <c r="AF60">
        <f t="shared" si="1"/>
        <v>3.7291866446963638E-3</v>
      </c>
    </row>
    <row r="61" spans="1:32" x14ac:dyDescent="0.2">
      <c r="A61">
        <v>2022.5</v>
      </c>
      <c r="B61">
        <f t="shared" si="2"/>
        <v>3.1356053423411495E-2</v>
      </c>
      <c r="C61">
        <f t="shared" si="2"/>
        <v>2.4943712196804232E-2</v>
      </c>
      <c r="D61">
        <f t="shared" si="2"/>
        <v>1.2139650793206183</v>
      </c>
      <c r="E61">
        <f t="shared" si="2"/>
        <v>1.584561345260772E-3</v>
      </c>
      <c r="F61">
        <f t="shared" si="2"/>
        <v>0.65171308290388874</v>
      </c>
      <c r="G61">
        <f t="shared" si="2"/>
        <v>5.4414809710282433E-3</v>
      </c>
      <c r="H61">
        <f t="shared" si="2"/>
        <v>0.1318245282900635</v>
      </c>
      <c r="I61">
        <f t="shared" si="0"/>
        <v>0</v>
      </c>
      <c r="J61">
        <f t="shared" si="0"/>
        <v>2.871824994013957E-4</v>
      </c>
      <c r="K61">
        <f t="shared" si="0"/>
        <v>2.911142046742389E-6</v>
      </c>
      <c r="L61">
        <f t="shared" si="0"/>
        <v>1.6029157627256779E-4</v>
      </c>
      <c r="M61">
        <f t="shared" si="0"/>
        <v>2.0384162001024567E-5</v>
      </c>
      <c r="N61">
        <f t="shared" si="0"/>
        <v>4.2329584583606424E-5</v>
      </c>
      <c r="O61">
        <f t="shared" si="0"/>
        <v>1.6685330176763956E-4</v>
      </c>
      <c r="P61">
        <f t="shared" si="0"/>
        <v>4.6459605960129971E-5</v>
      </c>
      <c r="R61">
        <f t="shared" si="1"/>
        <v>5.9458911847894581E-4</v>
      </c>
      <c r="S61">
        <f t="shared" si="1"/>
        <v>0</v>
      </c>
      <c r="T61">
        <f t="shared" si="1"/>
        <v>0</v>
      </c>
      <c r="U61">
        <f t="shared" si="1"/>
        <v>4.0352320695905774E-5</v>
      </c>
      <c r="V61">
        <f t="shared" si="1"/>
        <v>0</v>
      </c>
      <c r="W61">
        <f t="shared" si="1"/>
        <v>0</v>
      </c>
      <c r="X61">
        <f t="shared" si="1"/>
        <v>4.3362350858273068E-5</v>
      </c>
      <c r="Z61">
        <f t="shared" si="1"/>
        <v>3.8385379145341472E-2</v>
      </c>
      <c r="AA61">
        <f t="shared" si="1"/>
        <v>1.9546239456698897E-5</v>
      </c>
      <c r="AB61">
        <f t="shared" si="1"/>
        <v>5.1175659213627163E-3</v>
      </c>
      <c r="AC61">
        <f t="shared" si="1"/>
        <v>2.6291408948260261E-3</v>
      </c>
      <c r="AD61">
        <f t="shared" si="1"/>
        <v>6.465245041590453E-3</v>
      </c>
      <c r="AE61">
        <f t="shared" si="1"/>
        <v>1.7270633995859385E-2</v>
      </c>
      <c r="AF61">
        <f t="shared" si="1"/>
        <v>4.7740770604953169E-3</v>
      </c>
    </row>
    <row r="62" spans="1:32" x14ac:dyDescent="0.2">
      <c r="A62">
        <v>2022.75</v>
      </c>
      <c r="B62">
        <f t="shared" si="2"/>
        <v>4.2867252264314933E-2</v>
      </c>
      <c r="C62">
        <f t="shared" si="2"/>
        <v>3.4100860484901588E-2</v>
      </c>
      <c r="D62">
        <f t="shared" si="2"/>
        <v>1.6874790444831567</v>
      </c>
      <c r="E62">
        <f t="shared" si="2"/>
        <v>2.1662736058760518E-3</v>
      </c>
      <c r="F62">
        <f t="shared" si="2"/>
        <v>0.88367909793172517</v>
      </c>
      <c r="G62">
        <f t="shared" si="2"/>
        <v>7.5167474859830193E-3</v>
      </c>
      <c r="H62">
        <f t="shared" si="2"/>
        <v>0.18472040680622712</v>
      </c>
      <c r="I62">
        <f t="shared" si="0"/>
        <v>0</v>
      </c>
      <c r="J62">
        <f t="shared" si="0"/>
        <v>3.9261078176836174E-4</v>
      </c>
      <c r="K62">
        <f t="shared" si="0"/>
        <v>3.9798586515286915E-6</v>
      </c>
      <c r="L62">
        <f t="shared" si="0"/>
        <v>2.2281421481951336E-4</v>
      </c>
      <c r="M62">
        <f t="shared" si="0"/>
        <v>2.786744246462357E-5</v>
      </c>
      <c r="N62">
        <f t="shared" si="0"/>
        <v>5.7396069070754559E-5</v>
      </c>
      <c r="O62">
        <f t="shared" si="0"/>
        <v>2.3048764541629436E-4</v>
      </c>
      <c r="P62">
        <f t="shared" si="0"/>
        <v>6.4982010007740224E-5</v>
      </c>
      <c r="R62">
        <f t="shared" si="1"/>
        <v>8.1287021014012876E-4</v>
      </c>
      <c r="S62">
        <f t="shared" si="1"/>
        <v>0</v>
      </c>
      <c r="T62">
        <f t="shared" si="1"/>
        <v>0</v>
      </c>
      <c r="U62">
        <f t="shared" si="1"/>
        <v>5.516616161364258E-5</v>
      </c>
      <c r="V62">
        <f t="shared" si="1"/>
        <v>0</v>
      </c>
      <c r="W62">
        <f t="shared" si="1"/>
        <v>0</v>
      </c>
      <c r="X62">
        <f t="shared" si="1"/>
        <v>6.028012180932818E-5</v>
      </c>
      <c r="Z62">
        <f t="shared" si="1"/>
        <v>5.24771312532641E-2</v>
      </c>
      <c r="AA62">
        <f t="shared" si="1"/>
        <v>2.6721908088835499E-5</v>
      </c>
      <c r="AB62">
        <f t="shared" si="1"/>
        <v>7.1137015373569411E-3</v>
      </c>
      <c r="AC62">
        <f t="shared" si="1"/>
        <v>3.5943313546208358E-3</v>
      </c>
      <c r="AD62">
        <f t="shared" si="1"/>
        <v>8.7664373420331728E-3</v>
      </c>
      <c r="AE62">
        <f t="shared" si="1"/>
        <v>2.3857290939892379E-2</v>
      </c>
      <c r="AF62">
        <f t="shared" si="1"/>
        <v>6.657361522965248E-3</v>
      </c>
    </row>
    <row r="63" spans="1:32" x14ac:dyDescent="0.2">
      <c r="A63">
        <v>2023</v>
      </c>
      <c r="B63">
        <f t="shared" si="2"/>
        <v>5.8072642262561217E-2</v>
      </c>
      <c r="C63">
        <f t="shared" si="2"/>
        <v>4.6196734504341759E-2</v>
      </c>
      <c r="D63">
        <f t="shared" si="2"/>
        <v>2.3252646920936817</v>
      </c>
      <c r="E63">
        <f t="shared" si="2"/>
        <v>2.934669835640303E-3</v>
      </c>
      <c r="F63">
        <f t="shared" si="2"/>
        <v>1.1868675330789549</v>
      </c>
      <c r="G63">
        <f t="shared" si="2"/>
        <v>1.029232501794833E-2</v>
      </c>
      <c r="H63">
        <f t="shared" si="2"/>
        <v>0.23208688059437338</v>
      </c>
      <c r="I63">
        <f t="shared" si="0"/>
        <v>0</v>
      </c>
      <c r="J63">
        <f t="shared" si="0"/>
        <v>5.3187326627506979E-4</v>
      </c>
      <c r="K63">
        <f t="shared" si="0"/>
        <v>5.3915493883470285E-6</v>
      </c>
      <c r="L63">
        <f t="shared" si="0"/>
        <v>3.0702723587010592E-4</v>
      </c>
      <c r="M63">
        <f t="shared" si="0"/>
        <v>3.7752268492557065E-5</v>
      </c>
      <c r="N63">
        <f t="shared" si="0"/>
        <v>7.7088539341799579E-5</v>
      </c>
      <c r="O63">
        <f t="shared" si="0"/>
        <v>3.1559577645382252E-4</v>
      </c>
      <c r="P63">
        <f t="shared" si="0"/>
        <v>8.1532779720243495E-5</v>
      </c>
      <c r="R63">
        <f t="shared" si="1"/>
        <v>1.101202396372327E-3</v>
      </c>
      <c r="S63">
        <f t="shared" si="1"/>
        <v>0</v>
      </c>
      <c r="T63">
        <f t="shared" si="1"/>
        <v>0</v>
      </c>
      <c r="U63">
        <f t="shared" si="1"/>
        <v>7.4734082526082356E-5</v>
      </c>
      <c r="V63">
        <f t="shared" si="1"/>
        <v>0</v>
      </c>
      <c r="W63">
        <f t="shared" si="1"/>
        <v>0</v>
      </c>
      <c r="X63">
        <f t="shared" si="1"/>
        <v>7.528717306487699E-5</v>
      </c>
      <c r="Z63">
        <f t="shared" si="1"/>
        <v>7.1091229534512829E-2</v>
      </c>
      <c r="AA63">
        <f t="shared" si="1"/>
        <v>3.6200403036044337E-5</v>
      </c>
      <c r="AB63">
        <f t="shared" si="1"/>
        <v>9.8023374387887028E-3</v>
      </c>
      <c r="AC63">
        <f t="shared" si="1"/>
        <v>4.86927218108083E-3</v>
      </c>
      <c r="AD63">
        <f t="shared" si="1"/>
        <v>1.1774183508903163E-2</v>
      </c>
      <c r="AE63">
        <f t="shared" si="1"/>
        <v>3.2666654408574206E-2</v>
      </c>
      <c r="AF63">
        <f t="shared" si="1"/>
        <v>8.3342253121143073E-3</v>
      </c>
    </row>
    <row r="64" spans="1:32" x14ac:dyDescent="0.2">
      <c r="A64">
        <v>2023.25</v>
      </c>
      <c r="B64">
        <f t="shared" si="2"/>
        <v>7.8003849123202185E-2</v>
      </c>
      <c r="C64">
        <f t="shared" si="2"/>
        <v>6.2051991572363047E-2</v>
      </c>
      <c r="D64">
        <f t="shared" si="2"/>
        <v>3.1582848790822786</v>
      </c>
      <c r="E64">
        <f t="shared" si="2"/>
        <v>3.9418826863553622E-3</v>
      </c>
      <c r="F64">
        <f t="shared" si="2"/>
        <v>1.5835857476707307</v>
      </c>
      <c r="G64">
        <f t="shared" si="2"/>
        <v>1.4071732845412622E-2</v>
      </c>
      <c r="H64">
        <f t="shared" si="2"/>
        <v>0.32351597975024338</v>
      </c>
      <c r="I64">
        <f t="shared" si="0"/>
        <v>0</v>
      </c>
      <c r="J64">
        <f t="shared" si="0"/>
        <v>7.1441836291186341E-4</v>
      </c>
      <c r="K64">
        <f t="shared" si="0"/>
        <v>7.2419919026148035E-6</v>
      </c>
      <c r="L64">
        <f t="shared" si="0"/>
        <v>4.1701896554489844E-4</v>
      </c>
      <c r="M64">
        <f t="shared" si="0"/>
        <v>5.0709286521487151E-5</v>
      </c>
      <c r="N64">
        <f t="shared" si="0"/>
        <v>1.028558864473608E-4</v>
      </c>
      <c r="O64">
        <f t="shared" si="0"/>
        <v>4.3148457181971283E-4</v>
      </c>
      <c r="P64">
        <f t="shared" si="0"/>
        <v>1.1384903067150546E-4</v>
      </c>
      <c r="R64">
        <f t="shared" si="1"/>
        <v>1.4791478781414633E-3</v>
      </c>
      <c r="S64">
        <f t="shared" si="1"/>
        <v>0</v>
      </c>
      <c r="T64">
        <f t="shared" si="1"/>
        <v>0</v>
      </c>
      <c r="U64">
        <f t="shared" si="1"/>
        <v>1.0038368964457661E-4</v>
      </c>
      <c r="V64">
        <f t="shared" si="1"/>
        <v>0</v>
      </c>
      <c r="W64">
        <f t="shared" si="1"/>
        <v>0</v>
      </c>
      <c r="X64">
        <f t="shared" si="1"/>
        <v>1.0433543075755053E-4</v>
      </c>
      <c r="Z64">
        <f t="shared" si="1"/>
        <v>9.5490567099064547E-2</v>
      </c>
      <c r="AA64">
        <f t="shared" si="1"/>
        <v>4.8624802774699404E-5</v>
      </c>
      <c r="AB64">
        <f t="shared" si="1"/>
        <v>1.3314000000882996E-2</v>
      </c>
      <c r="AC64">
        <f t="shared" si="1"/>
        <v>6.5404630778734445E-3</v>
      </c>
      <c r="AD64">
        <f t="shared" si="1"/>
        <v>1.5709781147007277E-2</v>
      </c>
      <c r="AE64">
        <f t="shared" si="1"/>
        <v>4.4662059640486217E-2</v>
      </c>
      <c r="AF64">
        <f t="shared" si="1"/>
        <v>1.1610875420627324E-2</v>
      </c>
    </row>
    <row r="65" spans="1:32" x14ac:dyDescent="0.2">
      <c r="A65">
        <v>2023.5</v>
      </c>
      <c r="B65">
        <f t="shared" si="2"/>
        <v>0.13048631331891963</v>
      </c>
      <c r="C65">
        <f t="shared" si="2"/>
        <v>0.10380174447014434</v>
      </c>
      <c r="D65">
        <f t="shared" si="2"/>
        <v>5.3440256166638491</v>
      </c>
      <c r="E65">
        <f t="shared" si="2"/>
        <v>6.5940558710864162E-3</v>
      </c>
      <c r="F65">
        <f t="shared" si="2"/>
        <v>2.6263985501024281</v>
      </c>
      <c r="G65">
        <f t="shared" si="2"/>
        <v>2.438981027030868E-2</v>
      </c>
      <c r="H65">
        <f t="shared" si="2"/>
        <v>0.56140229097714744</v>
      </c>
      <c r="I65">
        <f t="shared" si="0"/>
        <v>0</v>
      </c>
      <c r="J65">
        <f t="shared" si="0"/>
        <v>1.195092542118903E-3</v>
      </c>
      <c r="K65">
        <f t="shared" si="0"/>
        <v>1.2114540949961794E-5</v>
      </c>
      <c r="L65">
        <f t="shared" si="0"/>
        <v>7.05623501308141E-4</v>
      </c>
      <c r="M65">
        <f t="shared" si="0"/>
        <v>8.4827453050050308E-5</v>
      </c>
      <c r="N65">
        <f t="shared" si="0"/>
        <v>1.7058788981410918E-4</v>
      </c>
      <c r="O65">
        <f t="shared" si="0"/>
        <v>7.4786999986849092E-4</v>
      </c>
      <c r="P65">
        <f t="shared" si="0"/>
        <v>1.9888298144348675E-4</v>
      </c>
      <c r="R65">
        <f t="shared" si="1"/>
        <v>2.4743465308658973E-3</v>
      </c>
      <c r="S65">
        <f t="shared" si="1"/>
        <v>0</v>
      </c>
      <c r="T65">
        <f t="shared" si="1"/>
        <v>0</v>
      </c>
      <c r="U65">
        <f t="shared" si="1"/>
        <v>1.6792373358887506E-4</v>
      </c>
      <c r="V65">
        <f t="shared" si="1"/>
        <v>0</v>
      </c>
      <c r="W65">
        <f t="shared" si="1"/>
        <v>0</v>
      </c>
      <c r="X65">
        <f t="shared" si="1"/>
        <v>1.8012364421315114E-4</v>
      </c>
      <c r="Z65">
        <f t="shared" si="1"/>
        <v>0.15973842570011809</v>
      </c>
      <c r="AA65">
        <f t="shared" si="1"/>
        <v>8.1340489235457786E-5</v>
      </c>
      <c r="AB65">
        <f t="shared" si="1"/>
        <v>2.2528163161030561E-2</v>
      </c>
      <c r="AC65">
        <f t="shared" si="1"/>
        <v>1.0941010270945262E-2</v>
      </c>
      <c r="AD65">
        <f t="shared" si="1"/>
        <v>2.6054886189532334E-2</v>
      </c>
      <c r="AE65">
        <f t="shared" si="1"/>
        <v>7.7410449223229871E-2</v>
      </c>
      <c r="AF65">
        <f t="shared" si="1"/>
        <v>2.023907674376272E-2</v>
      </c>
    </row>
    <row r="66" spans="1:32" x14ac:dyDescent="0.2">
      <c r="A66">
        <v>2023.75</v>
      </c>
      <c r="B66">
        <f t="shared" si="2"/>
        <v>0.18009255048167891</v>
      </c>
      <c r="C66">
        <f t="shared" si="2"/>
        <v>0.14326346135924825</v>
      </c>
      <c r="D66">
        <f t="shared" si="2"/>
        <v>7.4027615708296342</v>
      </c>
      <c r="E66">
        <f t="shared" si="2"/>
        <v>9.1008804650660347E-3</v>
      </c>
      <c r="F66">
        <f t="shared" si="2"/>
        <v>3.6103687116665153</v>
      </c>
      <c r="G66">
        <f t="shared" si="2"/>
        <v>3.4483436779719191E-2</v>
      </c>
      <c r="H66">
        <f t="shared" si="2"/>
        <v>0.83378776258993192</v>
      </c>
      <c r="I66">
        <f t="shared" si="0"/>
        <v>0</v>
      </c>
      <c r="J66">
        <f t="shared" si="0"/>
        <v>1.6494240545044197E-3</v>
      </c>
      <c r="K66">
        <f t="shared" si="0"/>
        <v>1.6720056855779246E-5</v>
      </c>
      <c r="L66">
        <f t="shared" si="0"/>
        <v>9.774583644715216E-4</v>
      </c>
      <c r="M66">
        <f t="shared" si="0"/>
        <v>1.1707582183972546E-4</v>
      </c>
      <c r="N66">
        <f t="shared" si="0"/>
        <v>2.3449798963301124E-4</v>
      </c>
      <c r="O66">
        <f t="shared" si="0"/>
        <v>1.0573730412043636E-3</v>
      </c>
      <c r="P66">
        <f t="shared" si="0"/>
        <v>2.9732798089905285E-4</v>
      </c>
      <c r="R66">
        <f t="shared" si="1"/>
        <v>3.415004732565488E-3</v>
      </c>
      <c r="S66">
        <f t="shared" si="1"/>
        <v>0</v>
      </c>
      <c r="T66">
        <f t="shared" si="1"/>
        <v>0</v>
      </c>
      <c r="U66">
        <f t="shared" si="1"/>
        <v>2.317623411929259E-4</v>
      </c>
      <c r="V66">
        <f t="shared" si="1"/>
        <v>0</v>
      </c>
      <c r="W66">
        <f t="shared" si="1"/>
        <v>0</v>
      </c>
      <c r="X66">
        <f t="shared" si="1"/>
        <v>2.671394673342117E-4</v>
      </c>
      <c r="Z66">
        <f t="shared" si="1"/>
        <v>0.22046527151052026</v>
      </c>
      <c r="AA66">
        <f t="shared" si="1"/>
        <v>1.1226323888880352E-4</v>
      </c>
      <c r="AB66">
        <f t="shared" si="1"/>
        <v>3.1206927599641242E-2</v>
      </c>
      <c r="AC66">
        <f t="shared" si="1"/>
        <v>1.510039171483806E-2</v>
      </c>
      <c r="AD66">
        <f t="shared" si="1"/>
        <v>3.5816249548664636E-2</v>
      </c>
      <c r="AE66">
        <f t="shared" si="1"/>
        <v>0.10944645744655586</v>
      </c>
      <c r="AF66">
        <f t="shared" si="1"/>
        <v>3.0235167993740618E-2</v>
      </c>
    </row>
    <row r="67" spans="1:32" x14ac:dyDescent="0.2">
      <c r="A67">
        <v>2024</v>
      </c>
      <c r="B67">
        <f t="shared" si="2"/>
        <v>0.22740868566624972</v>
      </c>
      <c r="C67">
        <f t="shared" si="2"/>
        <v>0.18090340419171611</v>
      </c>
      <c r="D67">
        <f t="shared" si="2"/>
        <v>9.3596708632474641</v>
      </c>
      <c r="E67">
        <f t="shared" si="2"/>
        <v>1.1491975983631039E-2</v>
      </c>
      <c r="F67">
        <f t="shared" si="2"/>
        <v>4.5473224228150597</v>
      </c>
      <c r="G67">
        <f t="shared" si="2"/>
        <v>4.4431574921437504E-2</v>
      </c>
      <c r="H67">
        <f t="shared" si="2"/>
        <v>1.1184956163359923</v>
      </c>
      <c r="I67">
        <f t="shared" si="2"/>
        <v>0</v>
      </c>
      <c r="J67">
        <f t="shared" si="2"/>
        <v>2.0827810774955153E-3</v>
      </c>
      <c r="K67">
        <f t="shared" si="2"/>
        <v>2.1112956330886867E-5</v>
      </c>
      <c r="L67">
        <f t="shared" si="2"/>
        <v>1.2358480664880196E-3</v>
      </c>
      <c r="M67">
        <f t="shared" si="2"/>
        <v>1.4783542515589221E-4</v>
      </c>
      <c r="N67">
        <f t="shared" si="2"/>
        <v>2.9535431185116631E-4</v>
      </c>
      <c r="O67">
        <f t="shared" si="2"/>
        <v>1.3624149414193764E-3</v>
      </c>
      <c r="P67">
        <f t="shared" si="2"/>
        <v>4.0134387836898743E-4</v>
      </c>
      <c r="R67">
        <f t="shared" ref="R67:AF82" si="3">1000*R19*R$49/1000000</f>
        <v>4.3122368787583201E-3</v>
      </c>
      <c r="S67">
        <f t="shared" si="3"/>
        <v>0</v>
      </c>
      <c r="T67">
        <f t="shared" si="3"/>
        <v>0</v>
      </c>
      <c r="U67">
        <f t="shared" si="3"/>
        <v>2.9265380081880697E-4</v>
      </c>
      <c r="V67">
        <f t="shared" si="3"/>
        <v>0</v>
      </c>
      <c r="W67">
        <f t="shared" si="3"/>
        <v>0</v>
      </c>
      <c r="X67">
        <f t="shared" si="3"/>
        <v>3.5833668482881882E-4</v>
      </c>
      <c r="Z67">
        <f t="shared" si="3"/>
        <v>0.27838862571031603</v>
      </c>
      <c r="AA67">
        <f t="shared" si="3"/>
        <v>1.4175842107881187E-4</v>
      </c>
      <c r="AB67">
        <f t="shared" si="3"/>
        <v>3.9456433682369813E-2</v>
      </c>
      <c r="AC67">
        <f t="shared" si="3"/>
        <v>1.9067752795617118E-2</v>
      </c>
      <c r="AD67">
        <f t="shared" si="3"/>
        <v>4.5111191593116814E-2</v>
      </c>
      <c r="AE67">
        <f t="shared" si="3"/>
        <v>0.14102070234433772</v>
      </c>
      <c r="AF67">
        <f t="shared" si="3"/>
        <v>4.0804199974828252E-2</v>
      </c>
    </row>
    <row r="68" spans="1:32" x14ac:dyDescent="0.2">
      <c r="A68">
        <v>2024.25</v>
      </c>
      <c r="B68">
        <f t="shared" ref="B68:P83" si="4">1000*B20*B$49/1000000</f>
        <v>0.27037017729509766</v>
      </c>
      <c r="C68">
        <f t="shared" si="4"/>
        <v>0.21507923200604462</v>
      </c>
      <c r="D68">
        <f t="shared" si="4"/>
        <v>11.13041040841261</v>
      </c>
      <c r="E68">
        <f t="shared" si="4"/>
        <v>1.3663011925258487E-2</v>
      </c>
      <c r="F68">
        <f t="shared" si="4"/>
        <v>5.3966221464765898</v>
      </c>
      <c r="G68">
        <f t="shared" si="4"/>
        <v>5.3750902829784279E-2</v>
      </c>
      <c r="H68">
        <f t="shared" si="4"/>
        <v>1.3836871779097566</v>
      </c>
      <c r="I68">
        <f t="shared" si="4"/>
        <v>0</v>
      </c>
      <c r="J68">
        <f t="shared" si="4"/>
        <v>2.476254974780461E-3</v>
      </c>
      <c r="K68">
        <f t="shared" si="4"/>
        <v>2.5101564303410961E-5</v>
      </c>
      <c r="L68">
        <f t="shared" si="4"/>
        <v>1.4696559722488143E-3</v>
      </c>
      <c r="M68">
        <f t="shared" si="4"/>
        <v>1.7576413140418063E-4</v>
      </c>
      <c r="N68">
        <f t="shared" si="4"/>
        <v>3.5051739731413852E-4</v>
      </c>
      <c r="O68">
        <f t="shared" si="4"/>
        <v>1.6481754981578739E-3</v>
      </c>
      <c r="P68">
        <f t="shared" si="4"/>
        <v>4.992607212430146E-4</v>
      </c>
      <c r="R68">
        <f t="shared" si="3"/>
        <v>5.1268941027144757E-3</v>
      </c>
      <c r="S68">
        <f t="shared" si="3"/>
        <v>0</v>
      </c>
      <c r="T68">
        <f t="shared" si="3"/>
        <v>0</v>
      </c>
      <c r="U68">
        <f t="shared" si="3"/>
        <v>3.4794123971847992E-4</v>
      </c>
      <c r="V68">
        <f t="shared" si="3"/>
        <v>0</v>
      </c>
      <c r="W68">
        <f t="shared" si="3"/>
        <v>0</v>
      </c>
      <c r="X68">
        <f t="shared" si="3"/>
        <v>4.4350846404846422E-4</v>
      </c>
      <c r="Z68">
        <f t="shared" si="3"/>
        <v>0.33098112268544466</v>
      </c>
      <c r="AA68">
        <f t="shared" si="3"/>
        <v>1.6853907460861645E-4</v>
      </c>
      <c r="AB68">
        <f t="shared" si="3"/>
        <v>4.6921126453448404E-2</v>
      </c>
      <c r="AC68">
        <f t="shared" si="3"/>
        <v>2.2669985928049419E-2</v>
      </c>
      <c r="AD68">
        <f t="shared" si="3"/>
        <v>5.3536572287885879E-2</v>
      </c>
      <c r="AE68">
        <f t="shared" si="3"/>
        <v>0.17059917597116753</v>
      </c>
      <c r="AF68">
        <f t="shared" si="3"/>
        <v>5.0760147204760818E-2</v>
      </c>
    </row>
    <row r="69" spans="1:32" x14ac:dyDescent="0.2">
      <c r="A69">
        <v>2024.5</v>
      </c>
      <c r="B69">
        <f t="shared" si="4"/>
        <v>0.37039894665888279</v>
      </c>
      <c r="C69">
        <f t="shared" si="4"/>
        <v>0.29465202775041743</v>
      </c>
      <c r="D69">
        <f t="shared" si="4"/>
        <v>15.239359011417235</v>
      </c>
      <c r="E69">
        <f t="shared" si="4"/>
        <v>1.8717912145243314E-2</v>
      </c>
      <c r="F69">
        <f t="shared" si="4"/>
        <v>7.3708108495502334</v>
      </c>
      <c r="G69">
        <f t="shared" si="4"/>
        <v>7.6107391139790398E-2</v>
      </c>
      <c r="H69">
        <f t="shared" si="4"/>
        <v>1.9725187154230042</v>
      </c>
      <c r="I69">
        <f t="shared" si="4"/>
        <v>0</v>
      </c>
      <c r="J69">
        <f t="shared" si="4"/>
        <v>3.3923942481141824E-3</v>
      </c>
      <c r="K69">
        <f t="shared" si="4"/>
        <v>3.4388382145142065E-5</v>
      </c>
      <c r="L69">
        <f t="shared" si="4"/>
        <v>2.0122002839576586E-3</v>
      </c>
      <c r="M69">
        <f t="shared" si="4"/>
        <v>2.4079153175782746E-4</v>
      </c>
      <c r="N69">
        <f t="shared" si="4"/>
        <v>4.7874343708980473E-4</v>
      </c>
      <c r="O69">
        <f t="shared" si="4"/>
        <v>2.3336973092815236E-3</v>
      </c>
      <c r="P69">
        <f t="shared" si="4"/>
        <v>7.1894352604463981E-4</v>
      </c>
      <c r="R69">
        <f t="shared" si="3"/>
        <v>7.0236894996166879E-3</v>
      </c>
      <c r="S69">
        <f t="shared" si="3"/>
        <v>0</v>
      </c>
      <c r="T69">
        <f t="shared" si="3"/>
        <v>0</v>
      </c>
      <c r="U69">
        <f t="shared" si="3"/>
        <v>4.7666895062263803E-4</v>
      </c>
      <c r="V69">
        <f t="shared" si="3"/>
        <v>0</v>
      </c>
      <c r="W69">
        <f t="shared" si="3"/>
        <v>0</v>
      </c>
      <c r="X69">
        <f t="shared" si="3"/>
        <v>6.3312108641720331E-4</v>
      </c>
      <c r="Z69">
        <f t="shared" si="3"/>
        <v>0.45343410443103643</v>
      </c>
      <c r="AA69">
        <f t="shared" si="3"/>
        <v>2.3089342297452536E-4</v>
      </c>
      <c r="AB69">
        <f t="shared" si="3"/>
        <v>6.4242724662134432E-2</v>
      </c>
      <c r="AC69">
        <f t="shared" si="3"/>
        <v>3.1057193483866725E-2</v>
      </c>
      <c r="AD69">
        <f t="shared" si="3"/>
        <v>7.3121285344188089E-2</v>
      </c>
      <c r="AE69">
        <f t="shared" si="3"/>
        <v>0.24155609543676362</v>
      </c>
      <c r="AF69">
        <f t="shared" si="3"/>
        <v>7.3111412632284392E-2</v>
      </c>
    </row>
    <row r="70" spans="1:32" x14ac:dyDescent="0.2">
      <c r="A70">
        <v>2024.75</v>
      </c>
      <c r="B70">
        <f t="shared" si="4"/>
        <v>0.44368100011887035</v>
      </c>
      <c r="C70">
        <f t="shared" si="4"/>
        <v>0.35294783513451761</v>
      </c>
      <c r="D70">
        <f t="shared" si="4"/>
        <v>18.239558442824329</v>
      </c>
      <c r="E70">
        <f t="shared" si="4"/>
        <v>2.2421181419792095E-2</v>
      </c>
      <c r="F70">
        <f t="shared" si="4"/>
        <v>8.8147624579365704</v>
      </c>
      <c r="G70">
        <f t="shared" si="4"/>
        <v>9.2961069150304151E-2</v>
      </c>
      <c r="H70">
        <f t="shared" si="4"/>
        <v>2.4539657014619647</v>
      </c>
      <c r="I70">
        <f t="shared" si="4"/>
        <v>0</v>
      </c>
      <c r="J70">
        <f t="shared" si="4"/>
        <v>4.0635668280853852E-3</v>
      </c>
      <c r="K70">
        <f t="shared" si="4"/>
        <v>4.1191995604344524E-5</v>
      </c>
      <c r="L70">
        <f t="shared" si="4"/>
        <v>2.4083456955385574E-3</v>
      </c>
      <c r="M70">
        <f t="shared" si="4"/>
        <v>2.884312404075396E-4</v>
      </c>
      <c r="N70">
        <f t="shared" si="4"/>
        <v>5.7252991053219522E-4</v>
      </c>
      <c r="O70">
        <f t="shared" si="4"/>
        <v>2.8504852642436255E-3</v>
      </c>
      <c r="P70">
        <f t="shared" si="4"/>
        <v>9.004004348228369E-4</v>
      </c>
      <c r="R70">
        <f t="shared" si="3"/>
        <v>8.4133003342049505E-3</v>
      </c>
      <c r="S70">
        <f t="shared" si="3"/>
        <v>0</v>
      </c>
      <c r="T70">
        <f t="shared" si="3"/>
        <v>0</v>
      </c>
      <c r="U70">
        <f t="shared" si="3"/>
        <v>5.7097612897002731E-4</v>
      </c>
      <c r="V70">
        <f t="shared" si="3"/>
        <v>0</v>
      </c>
      <c r="W70">
        <f t="shared" si="3"/>
        <v>0</v>
      </c>
      <c r="X70">
        <f t="shared" si="3"/>
        <v>7.8855699238456162E-4</v>
      </c>
      <c r="Z70">
        <f t="shared" si="3"/>
        <v>0.54314435490887736</v>
      </c>
      <c r="AA70">
        <f t="shared" si="3"/>
        <v>2.7657482762917041E-4</v>
      </c>
      <c r="AB70">
        <f t="shared" si="3"/>
        <v>7.689030294013012E-2</v>
      </c>
      <c r="AC70">
        <f t="shared" si="3"/>
        <v>3.7201743660727551E-2</v>
      </c>
      <c r="AD70">
        <f t="shared" si="3"/>
        <v>8.744584199543623E-2</v>
      </c>
      <c r="AE70">
        <f t="shared" si="3"/>
        <v>0.29504772868024876</v>
      </c>
      <c r="AF70">
        <f t="shared" si="3"/>
        <v>9.1585032317543127E-2</v>
      </c>
    </row>
    <row r="71" spans="1:32" x14ac:dyDescent="0.2">
      <c r="A71">
        <v>2025</v>
      </c>
      <c r="B71">
        <f t="shared" si="4"/>
        <v>0.55035155789411572</v>
      </c>
      <c r="C71">
        <f t="shared" si="4"/>
        <v>0.43780416756542506</v>
      </c>
      <c r="D71">
        <f t="shared" si="4"/>
        <v>22.592268681824379</v>
      </c>
      <c r="E71">
        <f t="shared" si="4"/>
        <v>2.7811720855531775E-2</v>
      </c>
      <c r="F71">
        <f t="shared" si="4"/>
        <v>10.913218312317623</v>
      </c>
      <c r="G71">
        <f t="shared" si="4"/>
        <v>0.11817523759004389</v>
      </c>
      <c r="H71">
        <f t="shared" si="4"/>
        <v>3.0283082247516311</v>
      </c>
      <c r="I71">
        <f t="shared" si="4"/>
        <v>0</v>
      </c>
      <c r="J71">
        <f t="shared" si="4"/>
        <v>5.0405366329513137E-3</v>
      </c>
      <c r="K71">
        <f t="shared" si="4"/>
        <v>5.1095446835778066E-5</v>
      </c>
      <c r="L71">
        <f t="shared" si="4"/>
        <v>2.9830762188065947E-3</v>
      </c>
      <c r="M71">
        <f t="shared" si="4"/>
        <v>3.5777638091577654E-4</v>
      </c>
      <c r="N71">
        <f t="shared" si="4"/>
        <v>7.0882725811219859E-4</v>
      </c>
      <c r="O71">
        <f t="shared" si="4"/>
        <v>3.6236327360248247E-3</v>
      </c>
      <c r="P71">
        <f t="shared" si="4"/>
        <v>1.1190413853394015E-3</v>
      </c>
      <c r="R71">
        <f t="shared" si="3"/>
        <v>1.0436040634420324E-2</v>
      </c>
      <c r="S71">
        <f t="shared" si="3"/>
        <v>0</v>
      </c>
      <c r="T71">
        <f t="shared" si="3"/>
        <v>0</v>
      </c>
      <c r="U71">
        <f t="shared" si="3"/>
        <v>7.0825120303735344E-4</v>
      </c>
      <c r="V71">
        <f t="shared" si="3"/>
        <v>0</v>
      </c>
      <c r="W71">
        <f t="shared" si="3"/>
        <v>0</v>
      </c>
      <c r="X71">
        <f t="shared" si="3"/>
        <v>9.7446038494520008E-4</v>
      </c>
      <c r="Z71">
        <f t="shared" si="3"/>
        <v>0.67372806544659103</v>
      </c>
      <c r="AA71">
        <f t="shared" si="3"/>
        <v>3.4306942875450981E-4</v>
      </c>
      <c r="AB71">
        <f t="shared" si="3"/>
        <v>9.5239497627953709E-2</v>
      </c>
      <c r="AC71">
        <f t="shared" si="3"/>
        <v>4.6145851579340966E-2</v>
      </c>
      <c r="AD71">
        <f t="shared" si="3"/>
        <v>0.10826333310223107</v>
      </c>
      <c r="AE71">
        <f t="shared" si="3"/>
        <v>0.37507459580543273</v>
      </c>
      <c r="AF71">
        <f t="shared" si="3"/>
        <v>0.11385781000769067</v>
      </c>
    </row>
    <row r="72" spans="1:32" x14ac:dyDescent="0.2">
      <c r="A72">
        <v>2025.25</v>
      </c>
      <c r="B72">
        <f t="shared" si="4"/>
        <v>0.65842739693821695</v>
      </c>
      <c r="C72">
        <f t="shared" si="4"/>
        <v>0.52377839997732079</v>
      </c>
      <c r="D72">
        <f t="shared" si="4"/>
        <v>26.959597528231072</v>
      </c>
      <c r="E72">
        <f t="shared" si="4"/>
        <v>3.3273275426619613E-2</v>
      </c>
      <c r="F72">
        <f t="shared" si="4"/>
        <v>13.054863363029963</v>
      </c>
      <c r="G72">
        <f t="shared" si="4"/>
        <v>0.14428205503150637</v>
      </c>
      <c r="H72">
        <f t="shared" si="4"/>
        <v>3.7371495762059244</v>
      </c>
      <c r="I72">
        <f t="shared" si="4"/>
        <v>0</v>
      </c>
      <c r="J72">
        <f t="shared" si="4"/>
        <v>6.030377068623435E-3</v>
      </c>
      <c r="K72">
        <f t="shared" si="4"/>
        <v>6.1129366443892283E-5</v>
      </c>
      <c r="L72">
        <f t="shared" si="4"/>
        <v>3.5597369785073238E-3</v>
      </c>
      <c r="M72">
        <f t="shared" si="4"/>
        <v>4.2803507647683062E-4</v>
      </c>
      <c r="N72">
        <f t="shared" si="4"/>
        <v>8.4792979832552632E-4</v>
      </c>
      <c r="O72">
        <f t="shared" si="4"/>
        <v>4.4241516962022932E-3</v>
      </c>
      <c r="P72">
        <f t="shared" si="4"/>
        <v>1.3912713929932479E-3</v>
      </c>
      <c r="R72">
        <f t="shared" si="3"/>
        <v>1.2485428578699222E-2</v>
      </c>
      <c r="S72">
        <f t="shared" si="3"/>
        <v>0</v>
      </c>
      <c r="T72">
        <f t="shared" si="3"/>
        <v>0</v>
      </c>
      <c r="U72">
        <f t="shared" si="3"/>
        <v>8.4733474322964432E-4</v>
      </c>
      <c r="V72">
        <f t="shared" si="3"/>
        <v>0</v>
      </c>
      <c r="W72">
        <f t="shared" si="3"/>
        <v>0</v>
      </c>
      <c r="X72">
        <f t="shared" si="3"/>
        <v>1.2048052976316888E-3</v>
      </c>
      <c r="Z72">
        <f t="shared" si="3"/>
        <v>0.80603208987656882</v>
      </c>
      <c r="AA72">
        <f t="shared" si="3"/>
        <v>4.1044003183756246E-4</v>
      </c>
      <c r="AB72">
        <f t="shared" si="3"/>
        <v>0.1136503182128944</v>
      </c>
      <c r="AC72">
        <f t="shared" si="3"/>
        <v>5.5207789455787117E-2</v>
      </c>
      <c r="AD72">
        <f t="shared" si="3"/>
        <v>0.12950927768764409</v>
      </c>
      <c r="AE72">
        <f t="shared" si="3"/>
        <v>0.45793462807032848</v>
      </c>
      <c r="AF72">
        <f t="shared" si="3"/>
        <v>0.1416395609508799</v>
      </c>
    </row>
    <row r="73" spans="1:32" x14ac:dyDescent="0.2">
      <c r="A73">
        <v>2025.5</v>
      </c>
      <c r="B73">
        <f t="shared" si="4"/>
        <v>0.76385400112620461</v>
      </c>
      <c r="C73">
        <f t="shared" si="4"/>
        <v>0.60764516845233929</v>
      </c>
      <c r="D73">
        <f t="shared" si="4"/>
        <v>31.179446068334901</v>
      </c>
      <c r="E73">
        <f t="shared" si="4"/>
        <v>3.8600952334889707E-2</v>
      </c>
      <c r="F73">
        <f t="shared" si="4"/>
        <v>15.158718461151796</v>
      </c>
      <c r="G73">
        <f t="shared" si="4"/>
        <v>0.17027923991360655</v>
      </c>
      <c r="H73">
        <f t="shared" si="4"/>
        <v>4.4568805024937355</v>
      </c>
      <c r="I73">
        <f t="shared" si="4"/>
        <v>0</v>
      </c>
      <c r="J73">
        <f t="shared" si="4"/>
        <v>6.995953803848101E-3</v>
      </c>
      <c r="K73">
        <f t="shared" si="4"/>
        <v>7.0917327197517207E-5</v>
      </c>
      <c r="L73">
        <f t="shared" si="4"/>
        <v>4.1169244838540836E-3</v>
      </c>
      <c r="M73">
        <f t="shared" si="4"/>
        <v>4.9657153895719161E-4</v>
      </c>
      <c r="N73">
        <f t="shared" si="4"/>
        <v>9.8457783357869168E-4</v>
      </c>
      <c r="O73">
        <f t="shared" si="4"/>
        <v>5.2213089696242204E-3</v>
      </c>
      <c r="P73">
        <f t="shared" si="4"/>
        <v>1.6700537668357365E-3</v>
      </c>
      <c r="R73">
        <f t="shared" si="3"/>
        <v>1.4484580410784096E-2</v>
      </c>
      <c r="S73">
        <f t="shared" si="3"/>
        <v>0</v>
      </c>
      <c r="T73">
        <f t="shared" si="3"/>
        <v>0</v>
      </c>
      <c r="U73">
        <f t="shared" si="3"/>
        <v>9.8300896487444039E-4</v>
      </c>
      <c r="V73">
        <f t="shared" si="3"/>
        <v>0</v>
      </c>
      <c r="W73">
        <f t="shared" si="3"/>
        <v>0</v>
      </c>
      <c r="X73">
        <f t="shared" si="3"/>
        <v>1.4395890327546085E-3</v>
      </c>
      <c r="Z73">
        <f t="shared" si="3"/>
        <v>0.93509298026082377</v>
      </c>
      <c r="AA73">
        <f t="shared" si="3"/>
        <v>4.7615919689761554E-4</v>
      </c>
      <c r="AB73">
        <f t="shared" si="3"/>
        <v>0.13143942388818547</v>
      </c>
      <c r="AC73">
        <f t="shared" si="3"/>
        <v>6.4047594412437764E-2</v>
      </c>
      <c r="AD73">
        <f t="shared" si="3"/>
        <v>0.15038033137395304</v>
      </c>
      <c r="AE73">
        <f t="shared" si="3"/>
        <v>0.54044669921639343</v>
      </c>
      <c r="AF73">
        <f t="shared" si="3"/>
        <v>0.17013909087028428</v>
      </c>
    </row>
    <row r="74" spans="1:32" x14ac:dyDescent="0.2">
      <c r="A74">
        <v>2025.75</v>
      </c>
      <c r="B74">
        <f t="shared" si="4"/>
        <v>0.8631984806364732</v>
      </c>
      <c r="C74">
        <f t="shared" si="4"/>
        <v>0.68667361223586965</v>
      </c>
      <c r="D74">
        <f t="shared" si="4"/>
        <v>35.1188831936432</v>
      </c>
      <c r="E74">
        <f t="shared" si="4"/>
        <v>4.3621272334073306E-2</v>
      </c>
      <c r="F74">
        <f t="shared" si="4"/>
        <v>17.154649934377243</v>
      </c>
      <c r="G74">
        <f t="shared" si="4"/>
        <v>0.19526156741804201</v>
      </c>
      <c r="H74">
        <f t="shared" si="4"/>
        <v>5.1384275644472623</v>
      </c>
      <c r="I74">
        <f t="shared" si="4"/>
        <v>0</v>
      </c>
      <c r="J74">
        <f t="shared" si="4"/>
        <v>7.9058258321368473E-3</v>
      </c>
      <c r="K74">
        <f t="shared" si="4"/>
        <v>8.0140614564356221E-5</v>
      </c>
      <c r="L74">
        <f t="shared" si="4"/>
        <v>4.6370865521037979E-3</v>
      </c>
      <c r="M74">
        <f t="shared" si="4"/>
        <v>5.6115409138812993E-4</v>
      </c>
      <c r="N74">
        <f t="shared" si="4"/>
        <v>1.1142160936279202E-3</v>
      </c>
      <c r="O74">
        <f t="shared" si="4"/>
        <v>5.9873474529248249E-3</v>
      </c>
      <c r="P74">
        <f t="shared" si="4"/>
        <v>1.9362405575084607E-3</v>
      </c>
      <c r="R74">
        <f t="shared" si="3"/>
        <v>1.6368399962311497E-2</v>
      </c>
      <c r="S74">
        <f t="shared" si="3"/>
        <v>0</v>
      </c>
      <c r="T74">
        <f t="shared" si="3"/>
        <v>0</v>
      </c>
      <c r="U74">
        <f t="shared" si="3"/>
        <v>1.1108560584622165E-3</v>
      </c>
      <c r="V74">
        <f t="shared" si="3"/>
        <v>0</v>
      </c>
      <c r="W74">
        <f t="shared" si="3"/>
        <v>0</v>
      </c>
      <c r="X74">
        <f t="shared" si="3"/>
        <v>1.6627502604717808E-3</v>
      </c>
      <c r="Z74">
        <f t="shared" si="3"/>
        <v>1.0567082696757559</v>
      </c>
      <c r="AA74">
        <f t="shared" si="3"/>
        <v>5.3808698350353459E-4</v>
      </c>
      <c r="AB74">
        <f t="shared" si="3"/>
        <v>0.14804643303964421</v>
      </c>
      <c r="AC74">
        <f t="shared" si="3"/>
        <v>7.2377425664754719E-2</v>
      </c>
      <c r="AD74">
        <f t="shared" si="3"/>
        <v>0.17018074109279274</v>
      </c>
      <c r="AE74">
        <f t="shared" si="3"/>
        <v>0.61973772991024245</v>
      </c>
      <c r="AF74">
        <f t="shared" si="3"/>
        <v>0.19739606246033478</v>
      </c>
    </row>
    <row r="75" spans="1:32" x14ac:dyDescent="0.2">
      <c r="A75">
        <v>2026</v>
      </c>
      <c r="B75">
        <f t="shared" si="4"/>
        <v>1.0083760486706377</v>
      </c>
      <c r="C75">
        <f t="shared" si="4"/>
        <v>0.80216223657187757</v>
      </c>
      <c r="D75">
        <f t="shared" si="4"/>
        <v>40.82335496814617</v>
      </c>
      <c r="E75">
        <f t="shared" si="4"/>
        <v>5.0957742884099384E-2</v>
      </c>
      <c r="F75">
        <f t="shared" si="4"/>
        <v>20.090495459666631</v>
      </c>
      <c r="G75">
        <f t="shared" si="4"/>
        <v>0.23245762078396387</v>
      </c>
      <c r="H75">
        <f t="shared" si="4"/>
        <v>5.9983346743020007</v>
      </c>
      <c r="I75">
        <f t="shared" si="4"/>
        <v>0</v>
      </c>
      <c r="J75">
        <f t="shared" si="4"/>
        <v>9.2354720182202792E-3</v>
      </c>
      <c r="K75">
        <f t="shared" si="4"/>
        <v>9.3619113176445835E-5</v>
      </c>
      <c r="L75">
        <f t="shared" si="4"/>
        <v>5.3903032534023025E-3</v>
      </c>
      <c r="M75">
        <f t="shared" si="4"/>
        <v>6.5553213781388466E-4</v>
      </c>
      <c r="N75">
        <f t="shared" si="4"/>
        <v>1.3049029537618401E-3</v>
      </c>
      <c r="O75">
        <f t="shared" si="4"/>
        <v>7.1278980401405364E-3</v>
      </c>
      <c r="P75">
        <f t="shared" si="4"/>
        <v>2.2747962938206041E-3</v>
      </c>
      <c r="R75">
        <f t="shared" si="3"/>
        <v>1.912132938983635E-2</v>
      </c>
      <c r="S75">
        <f t="shared" si="3"/>
        <v>0</v>
      </c>
      <c r="T75">
        <f t="shared" si="3"/>
        <v>0</v>
      </c>
      <c r="U75">
        <f t="shared" si="3"/>
        <v>1.2976860687336081E-3</v>
      </c>
      <c r="V75">
        <f t="shared" si="3"/>
        <v>0</v>
      </c>
      <c r="W75">
        <f t="shared" si="3"/>
        <v>0</v>
      </c>
      <c r="X75">
        <f t="shared" si="3"/>
        <v>1.9453410061906335E-3</v>
      </c>
      <c r="Z75">
        <f t="shared" si="3"/>
        <v>1.2344314007452177</v>
      </c>
      <c r="AA75">
        <f t="shared" si="3"/>
        <v>6.2858547418470775E-4</v>
      </c>
      <c r="AB75">
        <f t="shared" si="3"/>
        <v>0.17209408552146804</v>
      </c>
      <c r="AC75">
        <f t="shared" si="3"/>
        <v>8.4550267571096946E-2</v>
      </c>
      <c r="AD75">
        <f t="shared" si="3"/>
        <v>0.19930546057928489</v>
      </c>
      <c r="AE75">
        <f t="shared" si="3"/>
        <v>0.73779372003380961</v>
      </c>
      <c r="AF75">
        <f t="shared" si="3"/>
        <v>0.23211862100291081</v>
      </c>
    </row>
    <row r="76" spans="1:32" x14ac:dyDescent="0.2">
      <c r="A76">
        <v>2026.25</v>
      </c>
      <c r="B76">
        <f t="shared" si="4"/>
        <v>1.1205546250775626</v>
      </c>
      <c r="C76">
        <f t="shared" si="4"/>
        <v>0.89140019285282834</v>
      </c>
      <c r="D76">
        <f t="shared" si="4"/>
        <v>45.21642766729056</v>
      </c>
      <c r="E76">
        <f t="shared" si="4"/>
        <v>5.6626627087749778E-2</v>
      </c>
      <c r="F76">
        <f t="shared" si="4"/>
        <v>22.361321602021313</v>
      </c>
      <c r="G76">
        <f t="shared" si="4"/>
        <v>0.26095316330773177</v>
      </c>
      <c r="H76">
        <f t="shared" si="4"/>
        <v>6.843701230195598</v>
      </c>
      <c r="I76">
        <f t="shared" si="4"/>
        <v>0</v>
      </c>
      <c r="J76">
        <f t="shared" si="4"/>
        <v>1.0262888431785192E-2</v>
      </c>
      <c r="K76">
        <f t="shared" si="4"/>
        <v>1.0403393694626619E-4</v>
      </c>
      <c r="L76">
        <f t="shared" si="4"/>
        <v>5.9703632235127441E-3</v>
      </c>
      <c r="M76">
        <f t="shared" si="4"/>
        <v>7.2845796950722424E-4</v>
      </c>
      <c r="N76">
        <f t="shared" si="4"/>
        <v>1.4523959683859502E-3</v>
      </c>
      <c r="O76">
        <f t="shared" si="4"/>
        <v>8.0016629914590031E-3</v>
      </c>
      <c r="P76">
        <f t="shared" si="4"/>
        <v>2.6070963472342931E-3</v>
      </c>
      <c r="R76">
        <f t="shared" si="3"/>
        <v>2.1248515485527083E-2</v>
      </c>
      <c r="S76">
        <f t="shared" si="3"/>
        <v>0</v>
      </c>
      <c r="T76">
        <f t="shared" si="3"/>
        <v>0</v>
      </c>
      <c r="U76">
        <f t="shared" si="3"/>
        <v>1.4420494498408316E-3</v>
      </c>
      <c r="V76">
        <f t="shared" si="3"/>
        <v>0</v>
      </c>
      <c r="W76">
        <f t="shared" si="3"/>
        <v>0</v>
      </c>
      <c r="X76">
        <f t="shared" si="3"/>
        <v>2.2236651716571508E-3</v>
      </c>
      <c r="Z76">
        <f t="shared" si="3"/>
        <v>1.3717579044738237</v>
      </c>
      <c r="AA76">
        <f t="shared" si="3"/>
        <v>6.9851357663921587E-4</v>
      </c>
      <c r="AB76">
        <f t="shared" si="3"/>
        <v>0.19061343135618672</v>
      </c>
      <c r="AC76">
        <f t="shared" si="3"/>
        <v>9.3956211577258295E-2</v>
      </c>
      <c r="AD76">
        <f t="shared" si="3"/>
        <v>0.22183293139781646</v>
      </c>
      <c r="AE76">
        <f t="shared" si="3"/>
        <v>0.82823529063962364</v>
      </c>
      <c r="AF76">
        <f t="shared" si="3"/>
        <v>0.26621651109377381</v>
      </c>
    </row>
    <row r="77" spans="1:32" x14ac:dyDescent="0.2">
      <c r="A77">
        <v>2026.5</v>
      </c>
      <c r="B77">
        <f t="shared" si="4"/>
        <v>1.345010162040958</v>
      </c>
      <c r="C77">
        <f t="shared" si="4"/>
        <v>1.069954369916893</v>
      </c>
      <c r="D77">
        <f t="shared" si="4"/>
        <v>53.977747442024047</v>
      </c>
      <c r="E77">
        <f t="shared" si="4"/>
        <v>6.7969367285289933E-2</v>
      </c>
      <c r="F77">
        <f t="shared" si="4"/>
        <v>26.909433897940442</v>
      </c>
      <c r="G77">
        <f t="shared" si="4"/>
        <v>0.31749186859629136</v>
      </c>
      <c r="H77">
        <f t="shared" si="4"/>
        <v>7.9760721679829265</v>
      </c>
      <c r="I77">
        <f t="shared" si="4"/>
        <v>0</v>
      </c>
      <c r="J77">
        <f t="shared" si="4"/>
        <v>1.2318622335513724E-2</v>
      </c>
      <c r="K77">
        <f t="shared" si="4"/>
        <v>1.2487271861482953E-4</v>
      </c>
      <c r="L77">
        <f t="shared" si="4"/>
        <v>7.127205196023177E-3</v>
      </c>
      <c r="M77">
        <f t="shared" si="4"/>
        <v>8.7437359114832995E-4</v>
      </c>
      <c r="N77">
        <f t="shared" si="4"/>
        <v>1.747801583488879E-3</v>
      </c>
      <c r="O77">
        <f t="shared" si="4"/>
        <v>9.7353214762154142E-3</v>
      </c>
      <c r="P77">
        <f t="shared" si="4"/>
        <v>3.0515205100817475E-3</v>
      </c>
      <c r="R77">
        <f t="shared" si="3"/>
        <v>2.5504753286204471E-2</v>
      </c>
      <c r="S77">
        <f t="shared" si="3"/>
        <v>0</v>
      </c>
      <c r="T77">
        <f t="shared" si="3"/>
        <v>0</v>
      </c>
      <c r="U77">
        <f t="shared" si="3"/>
        <v>1.7309028232936326E-3</v>
      </c>
      <c r="V77">
        <f t="shared" si="3"/>
        <v>0</v>
      </c>
      <c r="W77">
        <f t="shared" si="3"/>
        <v>0</v>
      </c>
      <c r="X77">
        <f t="shared" si="3"/>
        <v>2.5971490928406648E-3</v>
      </c>
      <c r="Z77">
        <f t="shared" si="3"/>
        <v>1.6465313516059901</v>
      </c>
      <c r="AA77">
        <f t="shared" si="3"/>
        <v>8.384311106995699E-4</v>
      </c>
      <c r="AB77">
        <f t="shared" si="3"/>
        <v>0.22754746864367578</v>
      </c>
      <c r="AC77">
        <f t="shared" si="3"/>
        <v>0.11277634889913152</v>
      </c>
      <c r="AD77">
        <f t="shared" si="3"/>
        <v>0.26695195883665052</v>
      </c>
      <c r="AE77">
        <f t="shared" si="3"/>
        <v>1.0076826305894233</v>
      </c>
      <c r="AF77">
        <f t="shared" si="3"/>
        <v>0.31184176451339962</v>
      </c>
    </row>
    <row r="78" spans="1:32" x14ac:dyDescent="0.2">
      <c r="A78">
        <v>2026.75</v>
      </c>
      <c r="B78">
        <f t="shared" si="4"/>
        <v>1.5899441348447945</v>
      </c>
      <c r="C78">
        <f t="shared" si="4"/>
        <v>1.2647991242084891</v>
      </c>
      <c r="D78">
        <f t="shared" si="4"/>
        <v>63.508027951478809</v>
      </c>
      <c r="E78">
        <f t="shared" si="4"/>
        <v>8.0346974256591194E-2</v>
      </c>
      <c r="F78">
        <f t="shared" si="4"/>
        <v>31.877232679050852</v>
      </c>
      <c r="G78">
        <f t="shared" si="4"/>
        <v>0.37868312391964992</v>
      </c>
      <c r="H78">
        <f t="shared" si="4"/>
        <v>9.463732143859966</v>
      </c>
      <c r="I78">
        <f t="shared" si="4"/>
        <v>0</v>
      </c>
      <c r="J78">
        <f t="shared" si="4"/>
        <v>1.4561913273575477E-2</v>
      </c>
      <c r="K78">
        <f t="shared" si="4"/>
        <v>1.4761274833976064E-4</v>
      </c>
      <c r="L78">
        <f t="shared" si="4"/>
        <v>8.3855805078032752E-3</v>
      </c>
      <c r="M78">
        <f t="shared" si="4"/>
        <v>1.0336019772519257E-3</v>
      </c>
      <c r="N78">
        <f t="shared" si="4"/>
        <v>2.0704663637666778E-3</v>
      </c>
      <c r="O78">
        <f t="shared" si="4"/>
        <v>1.1611642103700717E-2</v>
      </c>
      <c r="P78">
        <f t="shared" si="4"/>
        <v>3.6344989641968247E-3</v>
      </c>
      <c r="R78">
        <f t="shared" si="3"/>
        <v>3.0149313397402743E-2</v>
      </c>
      <c r="S78">
        <f t="shared" si="3"/>
        <v>0</v>
      </c>
      <c r="T78">
        <f t="shared" si="3"/>
        <v>0</v>
      </c>
      <c r="U78">
        <f t="shared" si="3"/>
        <v>2.0461100366007509E-3</v>
      </c>
      <c r="V78">
        <f t="shared" si="3"/>
        <v>0</v>
      </c>
      <c r="W78">
        <f t="shared" si="3"/>
        <v>0</v>
      </c>
      <c r="X78">
        <f t="shared" si="3"/>
        <v>3.0886711444973172E-3</v>
      </c>
      <c r="Z78">
        <f t="shared" si="3"/>
        <v>1.9463740417779056</v>
      </c>
      <c r="AA78">
        <f t="shared" si="3"/>
        <v>9.911141674241071E-4</v>
      </c>
      <c r="AB78">
        <f t="shared" si="3"/>
        <v>0.26772312079959087</v>
      </c>
      <c r="AC78">
        <f t="shared" si="3"/>
        <v>0.13331356114759532</v>
      </c>
      <c r="AD78">
        <f t="shared" si="3"/>
        <v>0.31623443801304263</v>
      </c>
      <c r="AE78">
        <f t="shared" si="3"/>
        <v>1.2018966285917372</v>
      </c>
      <c r="AF78">
        <f t="shared" si="3"/>
        <v>0.37171956151761643</v>
      </c>
    </row>
    <row r="79" spans="1:32" x14ac:dyDescent="0.2">
      <c r="A79">
        <v>2027</v>
      </c>
      <c r="B79">
        <f t="shared" si="4"/>
        <v>1.8783519597673519</v>
      </c>
      <c r="C79">
        <f t="shared" si="4"/>
        <v>1.4942272886216585</v>
      </c>
      <c r="D79">
        <f t="shared" si="4"/>
        <v>74.695100070455766</v>
      </c>
      <c r="E79">
        <f t="shared" si="4"/>
        <v>9.4921509032125442E-2</v>
      </c>
      <c r="F79">
        <f t="shared" si="4"/>
        <v>37.732192344112853</v>
      </c>
      <c r="G79">
        <f t="shared" si="4"/>
        <v>0.45015677417468314</v>
      </c>
      <c r="H79">
        <f t="shared" si="4"/>
        <v>11.157492322857683</v>
      </c>
      <c r="I79">
        <f t="shared" si="4"/>
        <v>0</v>
      </c>
      <c r="J79">
        <f t="shared" si="4"/>
        <v>1.7203370694563912E-2</v>
      </c>
      <c r="K79">
        <f t="shared" si="4"/>
        <v>1.7438895433750598E-4</v>
      </c>
      <c r="L79">
        <f t="shared" si="4"/>
        <v>9.8627180749145549E-3</v>
      </c>
      <c r="M79">
        <f t="shared" si="4"/>
        <v>1.2210921484861383E-3</v>
      </c>
      <c r="N79">
        <f t="shared" si="4"/>
        <v>2.4507533594972748E-3</v>
      </c>
      <c r="O79">
        <f t="shared" si="4"/>
        <v>1.3803254019267937E-2</v>
      </c>
      <c r="P79">
        <f t="shared" si="4"/>
        <v>4.297259006217179E-3</v>
      </c>
      <c r="R79">
        <f t="shared" si="3"/>
        <v>3.5618246367618248E-2</v>
      </c>
      <c r="S79">
        <f t="shared" si="3"/>
        <v>0</v>
      </c>
      <c r="T79">
        <f t="shared" si="3"/>
        <v>0</v>
      </c>
      <c r="U79">
        <f t="shared" si="3"/>
        <v>2.4172640490439882E-3</v>
      </c>
      <c r="V79">
        <f t="shared" si="3"/>
        <v>0</v>
      </c>
      <c r="W79">
        <f t="shared" si="3"/>
        <v>0</v>
      </c>
      <c r="X79">
        <f t="shared" si="3"/>
        <v>3.6492374985719321E-3</v>
      </c>
      <c r="Z79">
        <f t="shared" si="3"/>
        <v>2.2994364491748107</v>
      </c>
      <c r="AA79">
        <f t="shared" si="3"/>
        <v>1.1708972648375403E-3</v>
      </c>
      <c r="AB79">
        <f t="shared" si="3"/>
        <v>0.31488310918075829</v>
      </c>
      <c r="AC79">
        <f t="shared" si="3"/>
        <v>0.15749596690678358</v>
      </c>
      <c r="AD79">
        <f t="shared" si="3"/>
        <v>0.3743178951911405</v>
      </c>
      <c r="AE79">
        <f t="shared" si="3"/>
        <v>1.428745764052278</v>
      </c>
      <c r="AF79">
        <f t="shared" si="3"/>
        <v>0.43982324873981332</v>
      </c>
    </row>
    <row r="80" spans="1:32" x14ac:dyDescent="0.2">
      <c r="A80">
        <v>2027.25</v>
      </c>
      <c r="B80">
        <f t="shared" si="4"/>
        <v>2.2711314818456261</v>
      </c>
      <c r="C80">
        <f t="shared" si="4"/>
        <v>1.8066830439178185</v>
      </c>
      <c r="D80">
        <f t="shared" si="4"/>
        <v>89.884650858889785</v>
      </c>
      <c r="E80">
        <f t="shared" si="4"/>
        <v>0.11477041155474138</v>
      </c>
      <c r="F80">
        <f t="shared" si="4"/>
        <v>45.713166814232821</v>
      </c>
      <c r="G80">
        <f t="shared" si="4"/>
        <v>0.54673022813659899</v>
      </c>
      <c r="H80">
        <f t="shared" si="4"/>
        <v>13.448593393206906</v>
      </c>
      <c r="I80">
        <f t="shared" si="4"/>
        <v>0</v>
      </c>
      <c r="J80">
        <f t="shared" si="4"/>
        <v>2.0800743212749016E-2</v>
      </c>
      <c r="K80">
        <f t="shared" si="4"/>
        <v>2.108551819708508E-4</v>
      </c>
      <c r="L80">
        <f t="shared" si="4"/>
        <v>1.1868341696405301E-2</v>
      </c>
      <c r="M80">
        <f t="shared" si="4"/>
        <v>1.4764330008764023E-3</v>
      </c>
      <c r="N80">
        <f t="shared" si="4"/>
        <v>2.9691276913232454E-3</v>
      </c>
      <c r="O80">
        <f t="shared" si="4"/>
        <v>1.6764506616206799E-2</v>
      </c>
      <c r="P80">
        <f t="shared" si="4"/>
        <v>5.192457539980125E-3</v>
      </c>
      <c r="R80">
        <f t="shared" si="3"/>
        <v>4.3066327496818387E-2</v>
      </c>
      <c r="S80">
        <f t="shared" si="3"/>
        <v>0</v>
      </c>
      <c r="T80">
        <f t="shared" si="3"/>
        <v>0</v>
      </c>
      <c r="U80">
        <f t="shared" si="3"/>
        <v>2.9227347160206327E-3</v>
      </c>
      <c r="V80">
        <f t="shared" si="3"/>
        <v>0</v>
      </c>
      <c r="W80">
        <f t="shared" si="3"/>
        <v>0</v>
      </c>
      <c r="X80">
        <f t="shared" si="3"/>
        <v>4.4087511749644637E-3</v>
      </c>
      <c r="Z80">
        <f t="shared" si="3"/>
        <v>2.7802683533660302</v>
      </c>
      <c r="AA80">
        <f t="shared" si="3"/>
        <v>1.4157419360899984E-3</v>
      </c>
      <c r="AB80">
        <f t="shared" si="3"/>
        <v>0.37891586333477478</v>
      </c>
      <c r="AC80">
        <f t="shared" si="3"/>
        <v>0.1904297258273237</v>
      </c>
      <c r="AD80">
        <f t="shared" si="3"/>
        <v>0.45349223889172979</v>
      </c>
      <c r="AE80">
        <f t="shared" si="3"/>
        <v>1.7352587861454263</v>
      </c>
      <c r="AF80">
        <f t="shared" si="3"/>
        <v>0.53185340217035082</v>
      </c>
    </row>
    <row r="81" spans="1:32" x14ac:dyDescent="0.2">
      <c r="A81">
        <v>2027.5</v>
      </c>
      <c r="B81">
        <f t="shared" si="4"/>
        <v>2.8911660177544918</v>
      </c>
      <c r="C81">
        <f t="shared" si="4"/>
        <v>2.2999199575991298</v>
      </c>
      <c r="D81">
        <f t="shared" si="4"/>
        <v>113.79199576963492</v>
      </c>
      <c r="E81">
        <f t="shared" si="4"/>
        <v>0.14610352433717896</v>
      </c>
      <c r="F81">
        <f t="shared" si="4"/>
        <v>58.32278684719099</v>
      </c>
      <c r="G81">
        <f t="shared" si="4"/>
        <v>0.6980041129995902</v>
      </c>
      <c r="H81">
        <f t="shared" si="4"/>
        <v>16.82938361897952</v>
      </c>
      <c r="I81">
        <f t="shared" si="4"/>
        <v>0</v>
      </c>
      <c r="J81">
        <f t="shared" si="4"/>
        <v>2.647948936530355E-2</v>
      </c>
      <c r="K81">
        <f t="shared" si="4"/>
        <v>2.684200988161901E-4</v>
      </c>
      <c r="L81">
        <f t="shared" si="4"/>
        <v>1.5025060176627077E-2</v>
      </c>
      <c r="M81">
        <f t="shared" si="4"/>
        <v>1.8795093783633653E-3</v>
      </c>
      <c r="N81">
        <f t="shared" si="4"/>
        <v>3.7881383752486402E-3</v>
      </c>
      <c r="O81">
        <f t="shared" si="4"/>
        <v>2.1403050294847705E-2</v>
      </c>
      <c r="P81">
        <f t="shared" si="4"/>
        <v>6.5115604169051402E-3</v>
      </c>
      <c r="R81">
        <f t="shared" si="3"/>
        <v>5.4823731502811571E-2</v>
      </c>
      <c r="S81">
        <f t="shared" si="3"/>
        <v>0</v>
      </c>
      <c r="T81">
        <f t="shared" si="3"/>
        <v>0</v>
      </c>
      <c r="U81">
        <f t="shared" si="3"/>
        <v>3.7206614224744167E-3</v>
      </c>
      <c r="V81">
        <f t="shared" si="3"/>
        <v>0</v>
      </c>
      <c r="W81">
        <f t="shared" si="3"/>
        <v>0</v>
      </c>
      <c r="X81">
        <f t="shared" si="3"/>
        <v>5.5313046659869079E-3</v>
      </c>
      <c r="Z81">
        <f t="shared" si="3"/>
        <v>3.5393007616440944</v>
      </c>
      <c r="AA81">
        <f t="shared" si="3"/>
        <v>1.8022492349087052E-3</v>
      </c>
      <c r="AB81">
        <f t="shared" si="3"/>
        <v>0.47969916894185533</v>
      </c>
      <c r="AC81">
        <f t="shared" si="3"/>
        <v>0.24241835247462185</v>
      </c>
      <c r="AD81">
        <f t="shared" si="3"/>
        <v>0.57858453108750485</v>
      </c>
      <c r="AE81">
        <f t="shared" si="3"/>
        <v>2.2153846769664338</v>
      </c>
      <c r="AF81">
        <f t="shared" si="3"/>
        <v>0.66752269228301864</v>
      </c>
    </row>
    <row r="82" spans="1:32" x14ac:dyDescent="0.2">
      <c r="A82">
        <v>2027.75</v>
      </c>
      <c r="B82">
        <f t="shared" si="4"/>
        <v>3.0063626451635868</v>
      </c>
      <c r="C82">
        <f t="shared" si="4"/>
        <v>2.3915587707282588</v>
      </c>
      <c r="D82">
        <f t="shared" si="4"/>
        <v>118.22099978840343</v>
      </c>
      <c r="E82">
        <f t="shared" si="4"/>
        <v>0.15192492412981273</v>
      </c>
      <c r="F82">
        <f t="shared" si="4"/>
        <v>60.667524261163422</v>
      </c>
      <c r="G82">
        <f t="shared" si="4"/>
        <v>0.72589703283428941</v>
      </c>
      <c r="H82">
        <f t="shared" si="4"/>
        <v>18.924410712738155</v>
      </c>
      <c r="I82">
        <f t="shared" si="4"/>
        <v>0</v>
      </c>
      <c r="J82">
        <f t="shared" si="4"/>
        <v>2.753454737707664E-2</v>
      </c>
      <c r="K82">
        <f t="shared" si="4"/>
        <v>2.7911512287311275E-4</v>
      </c>
      <c r="L82">
        <f t="shared" si="4"/>
        <v>1.5609864507146409E-2</v>
      </c>
      <c r="M82">
        <f t="shared" si="4"/>
        <v>1.9543972057110967E-3</v>
      </c>
      <c r="N82">
        <f t="shared" si="4"/>
        <v>3.9404320199440158E-3</v>
      </c>
      <c r="O82">
        <f t="shared" si="4"/>
        <v>2.2258336896994951E-2</v>
      </c>
      <c r="P82">
        <f t="shared" si="4"/>
        <v>7.3278599100959447E-3</v>
      </c>
      <c r="R82">
        <f t="shared" si="3"/>
        <v>5.7008147386341773E-2</v>
      </c>
      <c r="S82">
        <f t="shared" si="3"/>
        <v>0</v>
      </c>
      <c r="T82">
        <f t="shared" si="3"/>
        <v>0</v>
      </c>
      <c r="U82">
        <f t="shared" si="3"/>
        <v>3.8689087541627825E-3</v>
      </c>
      <c r="V82">
        <f t="shared" si="3"/>
        <v>0</v>
      </c>
      <c r="W82">
        <f t="shared" si="3"/>
        <v>0</v>
      </c>
      <c r="X82">
        <f t="shared" si="3"/>
        <v>6.2280240496131864E-3</v>
      </c>
      <c r="Z82">
        <f t="shared" si="3"/>
        <v>3.6803218958937651</v>
      </c>
      <c r="AA82">
        <f t="shared" si="3"/>
        <v>1.8740586821480425E-3</v>
      </c>
      <c r="AB82">
        <f t="shared" si="3"/>
        <v>0.49836998609972022</v>
      </c>
      <c r="AC82">
        <f t="shared" si="3"/>
        <v>0.25207735387947205</v>
      </c>
      <c r="AD82">
        <f t="shared" si="3"/>
        <v>0.6018452302159778</v>
      </c>
      <c r="AE82">
        <f t="shared" si="3"/>
        <v>2.3039135925513219</v>
      </c>
      <c r="AF82">
        <f t="shared" si="3"/>
        <v>0.75151514891990223</v>
      </c>
    </row>
    <row r="83" spans="1:32" x14ac:dyDescent="0.2">
      <c r="A83">
        <v>2028</v>
      </c>
      <c r="B83">
        <f t="shared" si="4"/>
        <v>3.2233138155696048</v>
      </c>
      <c r="C83">
        <f t="shared" si="4"/>
        <v>2.564143230969262</v>
      </c>
      <c r="D83">
        <f t="shared" si="4"/>
        <v>126.53881884656796</v>
      </c>
      <c r="E83">
        <f t="shared" si="4"/>
        <v>0.16288843518754637</v>
      </c>
      <c r="F83">
        <f t="shared" si="4"/>
        <v>65.087038284241657</v>
      </c>
      <c r="G83">
        <f t="shared" si="4"/>
        <v>0.77803898090241119</v>
      </c>
      <c r="H83">
        <f t="shared" si="4"/>
        <v>20.916690089557022</v>
      </c>
      <c r="I83">
        <f t="shared" si="4"/>
        <v>0</v>
      </c>
      <c r="J83">
        <f t="shared" si="4"/>
        <v>2.9521550604936296E-2</v>
      </c>
      <c r="K83">
        <f t="shared" si="4"/>
        <v>2.992571881301956E-4</v>
      </c>
      <c r="L83">
        <f t="shared" si="4"/>
        <v>1.6708146781237315E-2</v>
      </c>
      <c r="M83">
        <f t="shared" si="4"/>
        <v>2.095434336377747E-3</v>
      </c>
      <c r="N83">
        <f t="shared" si="4"/>
        <v>4.2274850154504964E-3</v>
      </c>
      <c r="O83">
        <f t="shared" si="4"/>
        <v>2.385717666912392E-2</v>
      </c>
      <c r="P83">
        <f t="shared" si="4"/>
        <v>8.1030767376972113E-3</v>
      </c>
      <c r="R83">
        <f t="shared" ref="R83:AF94" si="5">1000*R35*R$49/1000000</f>
        <v>6.1122083646839936E-2</v>
      </c>
      <c r="S83">
        <f t="shared" si="5"/>
        <v>0</v>
      </c>
      <c r="T83">
        <f t="shared" si="5"/>
        <v>0</v>
      </c>
      <c r="U83">
        <f t="shared" si="5"/>
        <v>4.1481047067069687E-3</v>
      </c>
      <c r="V83">
        <f t="shared" si="5"/>
        <v>0</v>
      </c>
      <c r="W83">
        <f t="shared" si="5"/>
        <v>0</v>
      </c>
      <c r="X83">
        <f t="shared" si="5"/>
        <v>6.8915846141907678E-3</v>
      </c>
      <c r="Z83">
        <f t="shared" si="5"/>
        <v>3.9459086653640201</v>
      </c>
      <c r="AA83">
        <f t="shared" si="5"/>
        <v>2.0092982631598846E-3</v>
      </c>
      <c r="AB83">
        <f t="shared" si="5"/>
        <v>0.53343441099730149</v>
      </c>
      <c r="AC83">
        <f t="shared" si="5"/>
        <v>0.27026826542668081</v>
      </c>
      <c r="AD83">
        <f t="shared" si="5"/>
        <v>0.64568851320890164</v>
      </c>
      <c r="AE83">
        <f t="shared" si="5"/>
        <v>2.4694061313859237</v>
      </c>
      <c r="AF83">
        <f t="shared" si="5"/>
        <v>0.83131420038988557</v>
      </c>
    </row>
    <row r="84" spans="1:32" x14ac:dyDescent="0.2">
      <c r="A84">
        <v>2028.25</v>
      </c>
      <c r="B84">
        <f t="shared" ref="B84:P94" si="6">1000*B36*B$49/1000000</f>
        <v>3.756085619688784</v>
      </c>
      <c r="C84">
        <f t="shared" si="6"/>
        <v>2.9879627202739556</v>
      </c>
      <c r="D84">
        <f t="shared" si="6"/>
        <v>147.13224274944812</v>
      </c>
      <c r="E84">
        <f t="shared" si="6"/>
        <v>0.18981177261309684</v>
      </c>
      <c r="F84">
        <f t="shared" si="6"/>
        <v>75.933816684123116</v>
      </c>
      <c r="G84">
        <f t="shared" si="6"/>
        <v>0.90998635531768934</v>
      </c>
      <c r="H84">
        <f t="shared" si="6"/>
        <v>23.979192971288157</v>
      </c>
      <c r="I84">
        <f t="shared" si="6"/>
        <v>0</v>
      </c>
      <c r="J84">
        <f t="shared" si="6"/>
        <v>3.4401078530580775E-2</v>
      </c>
      <c r="K84">
        <f t="shared" si="6"/>
        <v>3.4872050480933258E-4</v>
      </c>
      <c r="L84">
        <f t="shared" si="6"/>
        <v>1.9427296149264583E-2</v>
      </c>
      <c r="M84">
        <f t="shared" si="6"/>
        <v>2.4417823482941622E-3</v>
      </c>
      <c r="N84">
        <f t="shared" si="6"/>
        <v>4.9319969176691751E-3</v>
      </c>
      <c r="O84">
        <f t="shared" si="6"/>
        <v>2.7903107399742635E-2</v>
      </c>
      <c r="P84">
        <f t="shared" si="6"/>
        <v>9.3019891090414652E-3</v>
      </c>
      <c r="R84">
        <f t="shared" si="5"/>
        <v>7.122476822528695E-2</v>
      </c>
      <c r="S84">
        <f t="shared" si="5"/>
        <v>0</v>
      </c>
      <c r="T84">
        <f t="shared" si="5"/>
        <v>0</v>
      </c>
      <c r="U84">
        <f t="shared" si="5"/>
        <v>4.8337324037659949E-3</v>
      </c>
      <c r="V84">
        <f t="shared" si="5"/>
        <v>0</v>
      </c>
      <c r="W84">
        <f t="shared" si="5"/>
        <v>0</v>
      </c>
      <c r="X84">
        <f t="shared" si="5"/>
        <v>7.9064383465597653E-3</v>
      </c>
      <c r="Z84">
        <f t="shared" si="5"/>
        <v>4.5981159895100214</v>
      </c>
      <c r="AA84">
        <f t="shared" si="5"/>
        <v>2.3414091037198049E-3</v>
      </c>
      <c r="AB84">
        <f t="shared" si="5"/>
        <v>0.62024762017835555</v>
      </c>
      <c r="AC84">
        <f t="shared" si="5"/>
        <v>0.31494009063712453</v>
      </c>
      <c r="AD84">
        <f t="shared" si="5"/>
        <v>0.75329273676475417</v>
      </c>
      <c r="AE84">
        <f t="shared" si="5"/>
        <v>2.8881919035633601</v>
      </c>
      <c r="AF84">
        <f t="shared" si="5"/>
        <v>0.95458454860625619</v>
      </c>
    </row>
    <row r="85" spans="1:32" x14ac:dyDescent="0.2">
      <c r="A85">
        <v>2028.5</v>
      </c>
      <c r="B85">
        <f t="shared" si="6"/>
        <v>4.4328500576713399</v>
      </c>
      <c r="C85">
        <f t="shared" si="6"/>
        <v>3.526328219851302</v>
      </c>
      <c r="D85">
        <f t="shared" si="6"/>
        <v>173.50257583277079</v>
      </c>
      <c r="E85">
        <f t="shared" si="6"/>
        <v>0.22401170057576639</v>
      </c>
      <c r="F85">
        <f t="shared" si="6"/>
        <v>89.70418054438592</v>
      </c>
      <c r="G85">
        <f t="shared" si="6"/>
        <v>1.0825218539829737</v>
      </c>
      <c r="H85">
        <f t="shared" si="6"/>
        <v>27.590729598339902</v>
      </c>
      <c r="I85">
        <f t="shared" si="6"/>
        <v>0</v>
      </c>
      <c r="J85">
        <f t="shared" si="6"/>
        <v>4.0599400117209382E-2</v>
      </c>
      <c r="K85">
        <f t="shared" si="6"/>
        <v>4.1155230907204685E-4</v>
      </c>
      <c r="L85">
        <f t="shared" si="6"/>
        <v>2.2909226831425558E-2</v>
      </c>
      <c r="M85">
        <f t="shared" si="6"/>
        <v>2.8817380963625321E-3</v>
      </c>
      <c r="N85">
        <f t="shared" si="6"/>
        <v>5.8263993733829464E-3</v>
      </c>
      <c r="O85">
        <f t="shared" si="6"/>
        <v>3.319360051691124E-2</v>
      </c>
      <c r="P85">
        <f t="shared" si="6"/>
        <v>1.0724264226415613E-2</v>
      </c>
      <c r="R85">
        <f t="shared" si="5"/>
        <v>8.4057912918729299E-2</v>
      </c>
      <c r="S85">
        <f t="shared" si="5"/>
        <v>0</v>
      </c>
      <c r="T85">
        <f t="shared" si="5"/>
        <v>0</v>
      </c>
      <c r="U85">
        <f t="shared" si="5"/>
        <v>5.7046652111666452E-3</v>
      </c>
      <c r="V85">
        <f t="shared" si="5"/>
        <v>0</v>
      </c>
      <c r="W85">
        <f t="shared" si="5"/>
        <v>0</v>
      </c>
      <c r="X85">
        <f t="shared" si="5"/>
        <v>9.0972402386027308E-3</v>
      </c>
      <c r="Z85">
        <f t="shared" si="5"/>
        <v>5.4265958748213681</v>
      </c>
      <c r="AA85">
        <f t="shared" si="5"/>
        <v>2.7632797894837431E-3</v>
      </c>
      <c r="AB85">
        <f t="shared" si="5"/>
        <v>0.73141384746202698</v>
      </c>
      <c r="AC85">
        <f t="shared" si="5"/>
        <v>0.37168540344920825</v>
      </c>
      <c r="AD85">
        <f t="shared" si="5"/>
        <v>0.88990005523650872</v>
      </c>
      <c r="AE85">
        <f t="shared" si="5"/>
        <v>3.4357997082412362</v>
      </c>
      <c r="AF85">
        <f t="shared" si="5"/>
        <v>1.1006558052879865</v>
      </c>
    </row>
    <row r="86" spans="1:32" x14ac:dyDescent="0.2">
      <c r="A86">
        <v>2028.75</v>
      </c>
      <c r="B86">
        <f t="shared" si="6"/>
        <v>4.8135115565533972</v>
      </c>
      <c r="C86">
        <f t="shared" si="6"/>
        <v>3.829144098632423</v>
      </c>
      <c r="D86">
        <f t="shared" si="6"/>
        <v>188.45321729259012</v>
      </c>
      <c r="E86">
        <f t="shared" si="6"/>
        <v>0.24324822529437706</v>
      </c>
      <c r="F86">
        <f t="shared" si="6"/>
        <v>97.44517070407754</v>
      </c>
      <c r="G86">
        <f t="shared" si="6"/>
        <v>1.1823232609381502</v>
      </c>
      <c r="H86">
        <f t="shared" si="6"/>
        <v>30.696719359664669</v>
      </c>
      <c r="I86">
        <f t="shared" si="6"/>
        <v>0</v>
      </c>
      <c r="J86">
        <f t="shared" si="6"/>
        <v>4.408578659571976E-2</v>
      </c>
      <c r="K86">
        <f t="shared" si="6"/>
        <v>4.4689348163632584E-4</v>
      </c>
      <c r="L86">
        <f t="shared" si="6"/>
        <v>2.4883304938533541E-2</v>
      </c>
      <c r="M86">
        <f t="shared" si="6"/>
        <v>3.1292011796780869E-3</v>
      </c>
      <c r="N86">
        <f t="shared" si="6"/>
        <v>6.3291864223485638E-3</v>
      </c>
      <c r="O86">
        <f t="shared" si="6"/>
        <v>3.6253832530987434E-2</v>
      </c>
      <c r="P86">
        <f t="shared" si="6"/>
        <v>1.1954580655225797E-2</v>
      </c>
      <c r="R86">
        <f t="shared" si="5"/>
        <v>9.1276206050293004E-2</v>
      </c>
      <c r="S86">
        <f t="shared" si="5"/>
        <v>0</v>
      </c>
      <c r="T86">
        <f t="shared" si="5"/>
        <v>0</v>
      </c>
      <c r="U86">
        <f t="shared" si="5"/>
        <v>6.1945411107913149E-3</v>
      </c>
      <c r="V86">
        <f t="shared" si="5"/>
        <v>0</v>
      </c>
      <c r="W86">
        <f t="shared" si="5"/>
        <v>0</v>
      </c>
      <c r="X86">
        <f t="shared" si="5"/>
        <v>1.0116281030419467E-2</v>
      </c>
      <c r="Z86">
        <f t="shared" si="5"/>
        <v>5.8925931661039508</v>
      </c>
      <c r="AA86">
        <f t="shared" si="5"/>
        <v>3.0005705195581879E-3</v>
      </c>
      <c r="AB86">
        <f t="shared" si="5"/>
        <v>0.79443946042290559</v>
      </c>
      <c r="AC86">
        <f t="shared" si="5"/>
        <v>0.40360309092990837</v>
      </c>
      <c r="AD86">
        <f t="shared" si="5"/>
        <v>0.96669366205493656</v>
      </c>
      <c r="AE86">
        <f t="shared" si="5"/>
        <v>3.7525578814245488</v>
      </c>
      <c r="AF86">
        <f t="shared" si="5"/>
        <v>1.226873648625818</v>
      </c>
    </row>
    <row r="87" spans="1:32" x14ac:dyDescent="0.2">
      <c r="A87">
        <v>2029</v>
      </c>
      <c r="B87">
        <f t="shared" si="6"/>
        <v>5.2167701593086324</v>
      </c>
      <c r="C87">
        <f t="shared" si="6"/>
        <v>4.1499359531488391</v>
      </c>
      <c r="D87">
        <f t="shared" si="6"/>
        <v>204.41569921122905</v>
      </c>
      <c r="E87">
        <f t="shared" si="6"/>
        <v>0.26362668253966054</v>
      </c>
      <c r="F87">
        <f t="shared" si="6"/>
        <v>105.64098657581917</v>
      </c>
      <c r="G87">
        <f t="shared" si="6"/>
        <v>1.2909506060279965</v>
      </c>
      <c r="H87">
        <f t="shared" si="6"/>
        <v>33.88944165279608</v>
      </c>
      <c r="I87">
        <f t="shared" si="6"/>
        <v>0</v>
      </c>
      <c r="J87">
        <f t="shared" si="6"/>
        <v>4.7779134475969764E-2</v>
      </c>
      <c r="K87">
        <f t="shared" si="6"/>
        <v>4.8433260250843298E-4</v>
      </c>
      <c r="L87">
        <f t="shared" si="6"/>
        <v>2.6990986149094325E-2</v>
      </c>
      <c r="M87">
        <f t="shared" si="6"/>
        <v>3.3913543459541764E-3</v>
      </c>
      <c r="N87">
        <f t="shared" si="6"/>
        <v>6.8615149734783491E-3</v>
      </c>
      <c r="O87">
        <f t="shared" si="6"/>
        <v>3.9584696185017393E-2</v>
      </c>
      <c r="P87">
        <f t="shared" si="6"/>
        <v>1.3226470601201941E-2</v>
      </c>
      <c r="R87">
        <f t="shared" si="5"/>
        <v>9.8922996731937426E-2</v>
      </c>
      <c r="S87">
        <f t="shared" si="5"/>
        <v>0</v>
      </c>
      <c r="T87">
        <f t="shared" si="5"/>
        <v>0</v>
      </c>
      <c r="U87">
        <f t="shared" si="5"/>
        <v>6.7134973787256148E-3</v>
      </c>
      <c r="V87">
        <f t="shared" si="5"/>
        <v>0</v>
      </c>
      <c r="W87">
        <f t="shared" si="5"/>
        <v>0</v>
      </c>
      <c r="X87">
        <f t="shared" si="5"/>
        <v>1.1158646120845378E-2</v>
      </c>
      <c r="Z87">
        <f t="shared" si="5"/>
        <v>6.3862533264359591</v>
      </c>
      <c r="AA87">
        <f t="shared" si="5"/>
        <v>3.2519474739851934E-3</v>
      </c>
      <c r="AB87">
        <f t="shared" si="5"/>
        <v>0.86173056696191053</v>
      </c>
      <c r="AC87">
        <f t="shared" si="5"/>
        <v>0.43741549931490603</v>
      </c>
      <c r="AD87">
        <f t="shared" si="5"/>
        <v>1.0479993152888156</v>
      </c>
      <c r="AE87">
        <f t="shared" si="5"/>
        <v>4.097328565908656</v>
      </c>
      <c r="AF87">
        <f t="shared" si="5"/>
        <v>1.3572169014314639</v>
      </c>
    </row>
    <row r="88" spans="1:32" x14ac:dyDescent="0.2">
      <c r="A88">
        <v>2029.25</v>
      </c>
      <c r="B88">
        <f t="shared" si="6"/>
        <v>5.8391498167631841</v>
      </c>
      <c r="C88">
        <f t="shared" si="6"/>
        <v>4.6450384089030727</v>
      </c>
      <c r="D88">
        <f t="shared" si="6"/>
        <v>229.24258464968705</v>
      </c>
      <c r="E88">
        <f t="shared" si="6"/>
        <v>0.29507830478185226</v>
      </c>
      <c r="F88">
        <f t="shared" si="6"/>
        <v>118.282999638639</v>
      </c>
      <c r="G88">
        <f t="shared" si="6"/>
        <v>1.4630554894146559</v>
      </c>
      <c r="H88">
        <f t="shared" si="6"/>
        <v>38.127499880322887</v>
      </c>
      <c r="I88">
        <f t="shared" si="6"/>
        <v>0</v>
      </c>
      <c r="J88">
        <f t="shared" si="6"/>
        <v>5.347935902881263E-2</v>
      </c>
      <c r="K88">
        <f t="shared" si="6"/>
        <v>5.4211524388192585E-4</v>
      </c>
      <c r="L88">
        <f t="shared" si="6"/>
        <v>3.0269120478210287E-2</v>
      </c>
      <c r="M88">
        <f t="shared" si="6"/>
        <v>3.7959552564189943E-3</v>
      </c>
      <c r="N88">
        <f t="shared" si="6"/>
        <v>7.6826296254433905E-3</v>
      </c>
      <c r="O88">
        <f t="shared" si="6"/>
        <v>4.4861985253249186E-2</v>
      </c>
      <c r="P88">
        <f t="shared" si="6"/>
        <v>1.4924225511264027E-2</v>
      </c>
      <c r="R88">
        <f t="shared" si="5"/>
        <v>0.11072487010190786</v>
      </c>
      <c r="S88">
        <f t="shared" si="5"/>
        <v>0</v>
      </c>
      <c r="T88">
        <f t="shared" si="5"/>
        <v>0</v>
      </c>
      <c r="U88">
        <f t="shared" si="5"/>
        <v>7.5144420382171929E-3</v>
      </c>
      <c r="V88">
        <f t="shared" si="5"/>
        <v>0</v>
      </c>
      <c r="W88">
        <f t="shared" si="5"/>
        <v>0</v>
      </c>
      <c r="X88">
        <f t="shared" si="5"/>
        <v>1.2535587683663403E-2</v>
      </c>
      <c r="Z88">
        <f t="shared" si="5"/>
        <v>7.1481565800483367</v>
      </c>
      <c r="AA88">
        <f t="shared" si="5"/>
        <v>3.6399166374929313E-3</v>
      </c>
      <c r="AB88">
        <f t="shared" si="5"/>
        <v>0.9663902684786404</v>
      </c>
      <c r="AC88">
        <f t="shared" si="5"/>
        <v>0.48960075960342947</v>
      </c>
      <c r="AD88">
        <f t="shared" si="5"/>
        <v>1.1734129588295139</v>
      </c>
      <c r="AE88">
        <f t="shared" si="5"/>
        <v>4.6435696472790804</v>
      </c>
      <c r="AF88">
        <f t="shared" si="5"/>
        <v>1.5310213724563049</v>
      </c>
    </row>
    <row r="89" spans="1:32" x14ac:dyDescent="0.2">
      <c r="A89">
        <v>2029.5</v>
      </c>
      <c r="B89">
        <f t="shared" si="6"/>
        <v>6.7108870767171895</v>
      </c>
      <c r="C89">
        <f t="shared" si="6"/>
        <v>5.3385046123790607</v>
      </c>
      <c r="D89">
        <f t="shared" si="6"/>
        <v>264.28207030091903</v>
      </c>
      <c r="E89">
        <f t="shared" si="6"/>
        <v>0.33913107974986906</v>
      </c>
      <c r="F89">
        <f t="shared" si="6"/>
        <v>135.9800155595353</v>
      </c>
      <c r="G89">
        <f t="shared" si="6"/>
        <v>1.7103141985760211</v>
      </c>
      <c r="H89">
        <f t="shared" si="6"/>
        <v>42.911117286071459</v>
      </c>
      <c r="I89">
        <f t="shared" si="6"/>
        <v>0</v>
      </c>
      <c r="J89">
        <f t="shared" si="6"/>
        <v>6.1463389472771419E-2</v>
      </c>
      <c r="K89">
        <f t="shared" si="6"/>
        <v>6.2304861125746843E-4</v>
      </c>
      <c r="L89">
        <f t="shared" si="6"/>
        <v>3.4895723403196577E-2</v>
      </c>
      <c r="M89">
        <f t="shared" si="6"/>
        <v>4.3626602970464699E-3</v>
      </c>
      <c r="N89">
        <f t="shared" si="6"/>
        <v>8.832073072187089E-3</v>
      </c>
      <c r="O89">
        <f t="shared" si="6"/>
        <v>5.2443732250810102E-2</v>
      </c>
      <c r="P89">
        <f t="shared" si="6"/>
        <v>1.6851013604878552E-2</v>
      </c>
      <c r="R89">
        <f t="shared" si="5"/>
        <v>0.12725518665489294</v>
      </c>
      <c r="S89">
        <f t="shared" si="5"/>
        <v>0</v>
      </c>
      <c r="T89">
        <f t="shared" si="5"/>
        <v>0</v>
      </c>
      <c r="U89">
        <f t="shared" si="5"/>
        <v>8.6362867104797479E-3</v>
      </c>
      <c r="V89">
        <f t="shared" si="5"/>
        <v>0</v>
      </c>
      <c r="W89">
        <f t="shared" si="5"/>
        <v>0</v>
      </c>
      <c r="X89">
        <f t="shared" si="5"/>
        <v>1.408232737802931E-2</v>
      </c>
      <c r="Z89">
        <f t="shared" si="5"/>
        <v>8.2153178323464893</v>
      </c>
      <c r="AA89">
        <f t="shared" si="5"/>
        <v>4.1833263898715754E-3</v>
      </c>
      <c r="AB89">
        <f t="shared" si="5"/>
        <v>1.1141019948910464</v>
      </c>
      <c r="AC89">
        <f t="shared" si="5"/>
        <v>0.56269414443538157</v>
      </c>
      <c r="AD89">
        <f t="shared" si="5"/>
        <v>1.348974179610462</v>
      </c>
      <c r="AE89">
        <f t="shared" si="5"/>
        <v>5.4283403174239844</v>
      </c>
      <c r="AF89">
        <f t="shared" si="5"/>
        <v>1.7280721824964405</v>
      </c>
    </row>
    <row r="90" spans="1:32" x14ac:dyDescent="0.2">
      <c r="A90">
        <v>2029.75</v>
      </c>
      <c r="B90">
        <f t="shared" si="6"/>
        <v>7.7131122723550867</v>
      </c>
      <c r="C90">
        <f t="shared" si="6"/>
        <v>6.1357738509150641</v>
      </c>
      <c r="D90">
        <f t="shared" si="6"/>
        <v>304.87018398800876</v>
      </c>
      <c r="E90">
        <f t="shared" si="6"/>
        <v>0.38977799257431622</v>
      </c>
      <c r="F90">
        <f t="shared" si="6"/>
        <v>156.31456806211511</v>
      </c>
      <c r="G90">
        <f t="shared" si="6"/>
        <v>2.0016709332488096</v>
      </c>
      <c r="H90">
        <f t="shared" si="6"/>
        <v>49.103489276288819</v>
      </c>
      <c r="I90">
        <f t="shared" si="6"/>
        <v>0</v>
      </c>
      <c r="J90">
        <f t="shared" si="6"/>
        <v>7.064252731769699E-2</v>
      </c>
      <c r="K90">
        <f t="shared" si="6"/>
        <v>7.1609667020571942E-4</v>
      </c>
      <c r="L90">
        <f t="shared" si="6"/>
        <v>4.0254965470089277E-2</v>
      </c>
      <c r="M90">
        <f t="shared" si="6"/>
        <v>5.0141938454023385E-3</v>
      </c>
      <c r="N90">
        <f t="shared" si="6"/>
        <v>1.0152827837907635E-2</v>
      </c>
      <c r="O90">
        <f t="shared" si="6"/>
        <v>6.1377666492466877E-2</v>
      </c>
      <c r="P90">
        <f t="shared" si="6"/>
        <v>1.9358596693363594E-2</v>
      </c>
      <c r="R90">
        <f t="shared" si="5"/>
        <v>0.14625988050283742</v>
      </c>
      <c r="S90">
        <f t="shared" si="5"/>
        <v>0</v>
      </c>
      <c r="T90">
        <f t="shared" si="5"/>
        <v>0</v>
      </c>
      <c r="U90">
        <f t="shared" si="5"/>
        <v>9.9260572041638129E-3</v>
      </c>
      <c r="V90">
        <f t="shared" si="5"/>
        <v>0</v>
      </c>
      <c r="W90">
        <f t="shared" si="5"/>
        <v>0</v>
      </c>
      <c r="X90">
        <f t="shared" si="5"/>
        <v>1.6075073559598495E-2</v>
      </c>
      <c r="Z90">
        <f t="shared" si="5"/>
        <v>9.4422194964076667</v>
      </c>
      <c r="AA90">
        <f t="shared" si="5"/>
        <v>4.8080776428098314E-3</v>
      </c>
      <c r="AB90">
        <f t="shared" si="5"/>
        <v>1.2852044021643185</v>
      </c>
      <c r="AC90">
        <f t="shared" si="5"/>
        <v>0.64672867557026081</v>
      </c>
      <c r="AD90">
        <f t="shared" si="5"/>
        <v>1.550700780148345</v>
      </c>
      <c r="AE90">
        <f t="shared" si="5"/>
        <v>6.3530730424952626</v>
      </c>
      <c r="AF90">
        <f t="shared" si="5"/>
        <v>1.9842661459812647</v>
      </c>
    </row>
    <row r="91" spans="1:32" x14ac:dyDescent="0.2">
      <c r="A91">
        <v>2030</v>
      </c>
      <c r="B91">
        <f t="shared" si="6"/>
        <v>8.4987553413964996</v>
      </c>
      <c r="C91">
        <f t="shared" si="6"/>
        <v>6.7607522032274554</v>
      </c>
      <c r="D91">
        <f t="shared" si="6"/>
        <v>336.92382768239588</v>
      </c>
      <c r="E91">
        <f t="shared" si="6"/>
        <v>0.4294800437720469</v>
      </c>
      <c r="F91">
        <f t="shared" si="6"/>
        <v>172.24585023921622</v>
      </c>
      <c r="G91">
        <f t="shared" si="6"/>
        <v>2.235588286474901</v>
      </c>
      <c r="H91">
        <f t="shared" si="6"/>
        <v>54.170163325077965</v>
      </c>
      <c r="I91">
        <f t="shared" si="6"/>
        <v>0</v>
      </c>
      <c r="J91">
        <f t="shared" si="6"/>
        <v>7.7838041917638268E-2</v>
      </c>
      <c r="K91">
        <f t="shared" si="6"/>
        <v>7.8903692646611196E-4</v>
      </c>
      <c r="L91">
        <f t="shared" si="6"/>
        <v>4.4487318740026795E-2</v>
      </c>
      <c r="M91">
        <f t="shared" si="6"/>
        <v>5.5249301736663156E-3</v>
      </c>
      <c r="N91">
        <f t="shared" si="6"/>
        <v>1.1187584656715203E-2</v>
      </c>
      <c r="O91">
        <f t="shared" si="6"/>
        <v>6.8550324622546732E-2</v>
      </c>
      <c r="P91">
        <f t="shared" si="6"/>
        <v>2.1421101134530572E-2</v>
      </c>
      <c r="R91">
        <f t="shared" si="5"/>
        <v>0.16115763608299757</v>
      </c>
      <c r="S91">
        <f t="shared" si="5"/>
        <v>0</v>
      </c>
      <c r="T91">
        <f t="shared" si="5"/>
        <v>0</v>
      </c>
      <c r="U91">
        <f t="shared" si="5"/>
        <v>1.0937106670319031E-2</v>
      </c>
      <c r="V91">
        <f t="shared" si="5"/>
        <v>0</v>
      </c>
      <c r="W91">
        <f t="shared" si="5"/>
        <v>0</v>
      </c>
      <c r="X91">
        <f t="shared" si="5"/>
        <v>1.7697905892717723E-2</v>
      </c>
      <c r="Z91">
        <f t="shared" si="5"/>
        <v>10.403986166174468</v>
      </c>
      <c r="AA91">
        <f t="shared" si="5"/>
        <v>5.2978193634153244E-3</v>
      </c>
      <c r="AB91">
        <f t="shared" si="5"/>
        <v>1.4203290753696627</v>
      </c>
      <c r="AC91">
        <f t="shared" si="5"/>
        <v>0.712603238725941</v>
      </c>
      <c r="AD91">
        <f t="shared" si="5"/>
        <v>1.70874524143603</v>
      </c>
      <c r="AE91">
        <f t="shared" si="5"/>
        <v>7.0954997852069219</v>
      </c>
      <c r="AF91">
        <f t="shared" si="5"/>
        <v>2.1947836959892459</v>
      </c>
    </row>
    <row r="92" spans="1:32" x14ac:dyDescent="0.2">
      <c r="A92">
        <v>2030.25</v>
      </c>
      <c r="B92">
        <f t="shared" si="6"/>
        <v>9.1238676471417826</v>
      </c>
      <c r="C92">
        <f t="shared" si="6"/>
        <v>7.2580284782305151</v>
      </c>
      <c r="D92">
        <f t="shared" si="6"/>
        <v>362.61517012649136</v>
      </c>
      <c r="E92">
        <f t="shared" si="6"/>
        <v>0.46106975893024493</v>
      </c>
      <c r="F92">
        <f t="shared" si="6"/>
        <v>184.91480839696592</v>
      </c>
      <c r="G92">
        <f t="shared" si="6"/>
        <v>2.4260786212957961</v>
      </c>
      <c r="H92">
        <f t="shared" si="6"/>
        <v>59.690338536629014</v>
      </c>
      <c r="I92">
        <f t="shared" si="6"/>
        <v>0</v>
      </c>
      <c r="J92">
        <f t="shared" si="6"/>
        <v>8.3563294134374924E-2</v>
      </c>
      <c r="K92">
        <f t="shared" si="6"/>
        <v>8.4707327091985811E-4</v>
      </c>
      <c r="L92">
        <f t="shared" si="6"/>
        <v>4.7879595706697899E-2</v>
      </c>
      <c r="M92">
        <f t="shared" si="6"/>
        <v>5.9313075431994319E-3</v>
      </c>
      <c r="N92">
        <f t="shared" si="6"/>
        <v>1.2010449426492618E-2</v>
      </c>
      <c r="O92">
        <f t="shared" si="6"/>
        <v>7.4391370743798438E-2</v>
      </c>
      <c r="P92">
        <f t="shared" si="6"/>
        <v>2.3679770838616613E-2</v>
      </c>
      <c r="R92">
        <f t="shared" si="5"/>
        <v>0.1730113272922974</v>
      </c>
      <c r="S92">
        <f t="shared" si="5"/>
        <v>0</v>
      </c>
      <c r="T92">
        <f t="shared" si="5"/>
        <v>0</v>
      </c>
      <c r="U92">
        <f t="shared" si="5"/>
        <v>1.1741567993680507E-2</v>
      </c>
      <c r="V92">
        <f t="shared" si="5"/>
        <v>0</v>
      </c>
      <c r="W92">
        <f t="shared" si="5"/>
        <v>0</v>
      </c>
      <c r="X92">
        <f t="shared" si="5"/>
        <v>1.9457775580551225E-2</v>
      </c>
      <c r="Z92">
        <f t="shared" si="5"/>
        <v>11.169234666693212</v>
      </c>
      <c r="AA92">
        <f t="shared" si="5"/>
        <v>5.6874919618904764E-3</v>
      </c>
      <c r="AB92">
        <f t="shared" si="5"/>
        <v>1.5286329638468685</v>
      </c>
      <c r="AC92">
        <f t="shared" si="5"/>
        <v>0.76501762598000844</v>
      </c>
      <c r="AD92">
        <f t="shared" si="5"/>
        <v>1.8344261907067501</v>
      </c>
      <c r="AE92">
        <f t="shared" si="5"/>
        <v>7.7000941722784839</v>
      </c>
      <c r="AF92">
        <f t="shared" si="5"/>
        <v>2.4251060953390815</v>
      </c>
    </row>
    <row r="93" spans="1:32" x14ac:dyDescent="0.2">
      <c r="A93">
        <v>2030.5</v>
      </c>
      <c r="B93">
        <f t="shared" si="6"/>
        <v>9.8240631507312948</v>
      </c>
      <c r="C93">
        <f t="shared" si="6"/>
        <v>7.8150333693496536</v>
      </c>
      <c r="D93">
        <f t="shared" si="6"/>
        <v>391.60086066321566</v>
      </c>
      <c r="E93">
        <f t="shared" si="6"/>
        <v>0.49645376322859669</v>
      </c>
      <c r="F93">
        <f t="shared" si="6"/>
        <v>199.09757093103397</v>
      </c>
      <c r="G93">
        <f t="shared" si="6"/>
        <v>2.6443152658189182</v>
      </c>
      <c r="H93">
        <f t="shared" si="6"/>
        <v>65.205463148272301</v>
      </c>
      <c r="I93">
        <f t="shared" si="6"/>
        <v>0</v>
      </c>
      <c r="J93">
        <f t="shared" si="6"/>
        <v>8.9976215176291466E-2</v>
      </c>
      <c r="K93">
        <f t="shared" si="6"/>
        <v>9.1208044972245178E-4</v>
      </c>
      <c r="L93">
        <f t="shared" si="6"/>
        <v>5.1706857383846436E-2</v>
      </c>
      <c r="M93">
        <f t="shared" si="6"/>
        <v>6.3864955218913225E-3</v>
      </c>
      <c r="N93">
        <f t="shared" si="6"/>
        <v>1.2931637694863739E-2</v>
      </c>
      <c r="O93">
        <f t="shared" si="6"/>
        <v>8.1083207929161738E-2</v>
      </c>
      <c r="P93">
        <f t="shared" si="6"/>
        <v>2.5947748797418551E-2</v>
      </c>
      <c r="R93">
        <f t="shared" si="5"/>
        <v>0.18628878353401196</v>
      </c>
      <c r="S93">
        <f t="shared" si="5"/>
        <v>0</v>
      </c>
      <c r="T93">
        <f t="shared" si="5"/>
        <v>0</v>
      </c>
      <c r="U93">
        <f t="shared" si="5"/>
        <v>1.2642654400478737E-2</v>
      </c>
      <c r="V93">
        <f t="shared" si="5"/>
        <v>0</v>
      </c>
      <c r="W93">
        <f t="shared" si="5"/>
        <v>0</v>
      </c>
      <c r="X93">
        <f t="shared" si="5"/>
        <v>2.1207947915893175E-2</v>
      </c>
      <c r="Z93">
        <f t="shared" si="5"/>
        <v>12.0263983383522</v>
      </c>
      <c r="AA93">
        <f t="shared" si="5"/>
        <v>6.1239687338507489E-3</v>
      </c>
      <c r="AB93">
        <f t="shared" si="5"/>
        <v>1.6508244375760148</v>
      </c>
      <c r="AC93">
        <f t="shared" si="5"/>
        <v>0.82372758568067683</v>
      </c>
      <c r="AD93">
        <f t="shared" si="5"/>
        <v>1.9751246630173953</v>
      </c>
      <c r="AE93">
        <f t="shared" si="5"/>
        <v>8.3927521512571541</v>
      </c>
      <c r="AF93">
        <f t="shared" si="5"/>
        <v>2.656164690465606</v>
      </c>
    </row>
    <row r="94" spans="1:32" x14ac:dyDescent="0.2">
      <c r="A94">
        <v>2030.75</v>
      </c>
      <c r="B94">
        <f t="shared" si="6"/>
        <v>10.727832303862991</v>
      </c>
      <c r="C94">
        <f t="shared" si="6"/>
        <v>8.5339809149369703</v>
      </c>
      <c r="D94">
        <f t="shared" si="6"/>
        <v>429.28141283896963</v>
      </c>
      <c r="E94">
        <f t="shared" si="6"/>
        <v>0.54212525274144185</v>
      </c>
      <c r="F94">
        <f t="shared" si="6"/>
        <v>217.39368807822075</v>
      </c>
      <c r="G94">
        <f t="shared" si="6"/>
        <v>2.9322468492599536</v>
      </c>
      <c r="H94">
        <f t="shared" si="6"/>
        <v>70.919534709856364</v>
      </c>
      <c r="I94">
        <f t="shared" si="6"/>
        <v>0</v>
      </c>
      <c r="J94">
        <f t="shared" si="6"/>
        <v>9.8253617972284185E-2</v>
      </c>
      <c r="K94">
        <f t="shared" si="6"/>
        <v>9.9598770510000664E-4</v>
      </c>
      <c r="L94">
        <f t="shared" si="6"/>
        <v>5.6682185921675954E-2</v>
      </c>
      <c r="M94">
        <f t="shared" si="6"/>
        <v>6.9740240791430572E-3</v>
      </c>
      <c r="N94">
        <f t="shared" si="6"/>
        <v>1.4119993519918781E-2</v>
      </c>
      <c r="O94">
        <f t="shared" si="6"/>
        <v>8.9912116021666405E-2</v>
      </c>
      <c r="P94">
        <f t="shared" si="6"/>
        <v>2.8309150349875477E-2</v>
      </c>
      <c r="R94">
        <f t="shared" si="5"/>
        <v>0.20342650481585606</v>
      </c>
      <c r="S94">
        <f t="shared" si="5"/>
        <v>0</v>
      </c>
      <c r="T94">
        <f t="shared" si="5"/>
        <v>0</v>
      </c>
      <c r="U94">
        <f t="shared" si="5"/>
        <v>1.3805721136262786E-2</v>
      </c>
      <c r="V94">
        <f t="shared" si="5"/>
        <v>0</v>
      </c>
      <c r="W94">
        <f t="shared" si="5"/>
        <v>0</v>
      </c>
      <c r="X94">
        <f t="shared" si="5"/>
        <v>2.3012999131105355E-2</v>
      </c>
      <c r="Z94">
        <f t="shared" si="5"/>
        <v>13.132772317703902</v>
      </c>
      <c r="AA94">
        <f t="shared" si="5"/>
        <v>6.6873460199571881E-3</v>
      </c>
      <c r="AB94">
        <f t="shared" si="5"/>
        <v>1.8096697890590121</v>
      </c>
      <c r="AC94">
        <f t="shared" si="5"/>
        <v>0.89950677918743105</v>
      </c>
      <c r="AD94">
        <f t="shared" si="5"/>
        <v>2.1566291989385382</v>
      </c>
      <c r="AE94">
        <f t="shared" si="5"/>
        <v>9.3066138407373824</v>
      </c>
      <c r="AF94">
        <f t="shared" si="5"/>
        <v>2.8965248363151295</v>
      </c>
    </row>
    <row r="99" spans="6:31" x14ac:dyDescent="0.2">
      <c r="F99">
        <v>2025</v>
      </c>
      <c r="G99">
        <f>SUM(B74:G74)</f>
        <v>54.062288060644903</v>
      </c>
      <c r="O99">
        <f>SUM(J74:O74)</f>
        <v>2.0285770636745873E-2</v>
      </c>
      <c r="W99">
        <f>SUM(R74:W74)</f>
        <v>1.7479256020773715E-2</v>
      </c>
      <c r="AE99">
        <f>SUM(Z74:AE74)</f>
        <v>2.0675886863666935</v>
      </c>
    </row>
    <row r="100" spans="6:31" x14ac:dyDescent="0.2">
      <c r="F100">
        <v>2030</v>
      </c>
      <c r="G100">
        <f>SUM(B94:G94)</f>
        <v>669.4112862379917</v>
      </c>
      <c r="O100">
        <f>SUM(J94:O94)</f>
        <v>0.26693792521978837</v>
      </c>
      <c r="W100">
        <f>SUM(R94:W94)</f>
        <v>0.21723222595211883</v>
      </c>
      <c r="AE100">
        <f>SUM(Z94:AE94)</f>
        <v>27.31187927164622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D429A-20CF-BF46-BB47-F6A4AE19C42C}">
  <dimension ref="A1:AF100"/>
  <sheetViews>
    <sheetView tabSelected="1" topLeftCell="P22" workbookViewId="0">
      <selection activeCell="AH58" sqref="AH58"/>
    </sheetView>
  </sheetViews>
  <sheetFormatPr baseColWidth="10" defaultRowHeight="16" x14ac:dyDescent="0.2"/>
  <cols>
    <col min="2" max="2" width="17.5" customWidth="1"/>
    <col min="4" max="4" width="18.83203125" customWidth="1"/>
  </cols>
  <sheetData>
    <row r="1" spans="1:32" x14ac:dyDescent="0.2">
      <c r="A1" t="s">
        <v>30</v>
      </c>
      <c r="B1" t="s">
        <v>0</v>
      </c>
      <c r="C1" s="1" t="s">
        <v>1</v>
      </c>
      <c r="J1" s="2" t="s">
        <v>3</v>
      </c>
      <c r="R1" s="2" t="s">
        <v>4</v>
      </c>
      <c r="Z1" s="2" t="s">
        <v>5</v>
      </c>
    </row>
    <row r="2" spans="1:32" x14ac:dyDescent="0.2">
      <c r="B2" t="str">
        <f>[4]Manu_water!R1</f>
        <v>photoacid generators</v>
      </c>
      <c r="C2" t="str">
        <f>[4]Manu_water!S1</f>
        <v>surfactant</v>
      </c>
      <c r="D2" t="str">
        <f>[4]Manu_water!T1</f>
        <v>Top antireflective coatings</v>
      </c>
      <c r="E2" t="str">
        <f>[4]Manu_water!U1</f>
        <v>polymer</v>
      </c>
      <c r="F2" t="str">
        <f>[4]Manu_water!V1</f>
        <v>immersion topcoat</v>
      </c>
      <c r="G2" t="str">
        <f>[4]Manu_water!W1</f>
        <v>PBO/PI</v>
      </c>
      <c r="H2" t="s">
        <v>2</v>
      </c>
      <c r="J2" t="str">
        <f>[4]Manu_solid!R1</f>
        <v>photoacid generators</v>
      </c>
      <c r="K2" t="str">
        <f>[4]Manu_solid!S1</f>
        <v>surfactant</v>
      </c>
      <c r="L2" t="str">
        <f>[4]Manu_solid!T1</f>
        <v>Top antireflective coatings</v>
      </c>
      <c r="M2" t="str">
        <f>[4]Manu_solid!U1</f>
        <v>polymer</v>
      </c>
      <c r="N2" t="str">
        <f>[4]Manu_solid!V1</f>
        <v>immersion topcoat</v>
      </c>
      <c r="O2" t="str">
        <f>[4]Manu_solid!W1</f>
        <v>PBO/PI</v>
      </c>
      <c r="P2" t="s">
        <v>2</v>
      </c>
      <c r="R2" t="str">
        <f>[4]Manu_gas!R1</f>
        <v>photoacid generators</v>
      </c>
      <c r="S2" t="str">
        <f>[4]Manu_gas!S1</f>
        <v>surfactant</v>
      </c>
      <c r="T2" t="str">
        <f>[4]Manu_gas!T1</f>
        <v>Top antireflective coatings</v>
      </c>
      <c r="U2" t="str">
        <f>[4]Manu_gas!U1</f>
        <v>polymer</v>
      </c>
      <c r="V2" t="str">
        <f>[4]Manu_gas!V1</f>
        <v>immersion topcoat</v>
      </c>
      <c r="W2" t="str">
        <f>[4]Manu_gas!W1</f>
        <v>PBO/PI</v>
      </c>
      <c r="X2" t="s">
        <v>2</v>
      </c>
      <c r="Z2" t="str">
        <f>[4]Manu_solvent!R1</f>
        <v>photoacid generators</v>
      </c>
      <c r="AA2" t="str">
        <f>[4]Manu_solvent!S1</f>
        <v>surfactant</v>
      </c>
      <c r="AB2" t="str">
        <f>[4]Manu_solvent!T1</f>
        <v>Top antireflective coatings</v>
      </c>
      <c r="AC2" t="str">
        <f>[4]Manu_solvent!U1</f>
        <v>polymer</v>
      </c>
      <c r="AD2" t="str">
        <f>[4]Manu_solvent!V1</f>
        <v>immersion topcoat</v>
      </c>
      <c r="AE2" t="str">
        <f>[4]Manu_solvent!W1</f>
        <v>PBO/PI</v>
      </c>
      <c r="AF2" t="s">
        <v>2</v>
      </c>
    </row>
    <row r="3" spans="1:32" x14ac:dyDescent="0.2">
      <c r="A3">
        <v>2020</v>
      </c>
      <c r="B3">
        <f>[6]Manu_water!R2</f>
        <v>5.6521984914115562E-3</v>
      </c>
      <c r="C3">
        <f>[6]Manu_water!S2</f>
        <v>4.4963187983254101E-3</v>
      </c>
      <c r="D3">
        <f>[6]Manu_water!T2</f>
        <v>0.20022537588546019</v>
      </c>
      <c r="E3">
        <f>[6]Manu_water!U2</f>
        <v>2.8563081980670938E-4</v>
      </c>
      <c r="F3">
        <f>[6]Manu_water!V2</f>
        <v>0.1223431517286646</v>
      </c>
      <c r="G3">
        <f>[6]Manu_water!W2</f>
        <v>9.2902472487761147E-4</v>
      </c>
      <c r="H3">
        <f>SUM([6]Manu_water!$X2:$AC2)</f>
        <v>2.6389843797381511E-2</v>
      </c>
      <c r="J3">
        <f>[6]Manu_solid!R2</f>
        <v>1.388602397544016E-3</v>
      </c>
      <c r="K3">
        <f>[6]Manu_solid!S2</f>
        <v>1.407613219511533E-5</v>
      </c>
      <c r="L3">
        <f>[6]Manu_solid!T2</f>
        <v>7.0916542555695089E-4</v>
      </c>
      <c r="M3">
        <f>[6]Manu_solid!U2</f>
        <v>9.8562747679780023E-5</v>
      </c>
      <c r="N3">
        <f>[6]Manu_solid!V2</f>
        <v>2.131528589546035E-4</v>
      </c>
      <c r="O3">
        <f>[6]Manu_solid!W2</f>
        <v>7.6413289059197467E-4</v>
      </c>
      <c r="P3">
        <f>SUM([6]Manu_solid!$X2:$AC2)</f>
        <v>2.5191590311181376E-4</v>
      </c>
      <c r="R3">
        <f>[6]Manu_gas!R2</f>
        <v>2.874993696323525E-3</v>
      </c>
      <c r="S3">
        <f>[6]Manu_gas!S2</f>
        <v>0</v>
      </c>
      <c r="T3">
        <f>[6]Manu_gas!T2</f>
        <v>0</v>
      </c>
      <c r="U3">
        <f>[6]Manu_gas!U2</f>
        <v>1.951140107130339E-4</v>
      </c>
      <c r="V3">
        <f>[6]Manu_gas!V2</f>
        <v>0</v>
      </c>
      <c r="W3">
        <f>[6]Manu_gas!W2</f>
        <v>0</v>
      </c>
      <c r="X3">
        <f>SUM([6]Manu_gas!$X2:$AC2)</f>
        <v>2.4262345479930203E-4</v>
      </c>
      <c r="Z3">
        <f>[6]Manu_solvent!R2</f>
        <v>0.18560333454496769</v>
      </c>
      <c r="AA3">
        <f>[6]Manu_solvent!S2</f>
        <v>9.4511173310060073E-5</v>
      </c>
      <c r="AB3">
        <f>[6]Manu_solvent!T2</f>
        <v>2.2641244779249441E-2</v>
      </c>
      <c r="AC3">
        <f>[6]Manu_solvent!U2</f>
        <v>1.27125829660451E-2</v>
      </c>
      <c r="AD3">
        <f>[6]Manu_solvent!V2</f>
        <v>3.2556082891273867E-2</v>
      </c>
      <c r="AE3">
        <f>[6]Manu_solvent!W2</f>
        <v>7.9093786804353014E-2</v>
      </c>
      <c r="AF3">
        <f>SUM([6]Manu_solvent!$X2:$AC2)</f>
        <v>2.629262733464835E-2</v>
      </c>
    </row>
    <row r="4" spans="1:32" x14ac:dyDescent="0.2">
      <c r="A4">
        <v>2020.25</v>
      </c>
      <c r="B4">
        <f>[6]Manu_water!R3</f>
        <v>1.0118169747193777E-2</v>
      </c>
      <c r="C4">
        <f>[6]Manu_water!S3</f>
        <v>8.0489949013792042E-3</v>
      </c>
      <c r="D4">
        <f>[6]Manu_water!T3</f>
        <v>0.35842944015202527</v>
      </c>
      <c r="E4">
        <f>[6]Manu_water!U3</f>
        <v>5.1131628236796977E-4</v>
      </c>
      <c r="F4">
        <f>[6]Manu_water!V3</f>
        <v>0.21901013888282028</v>
      </c>
      <c r="G4">
        <f>[6]Manu_water!W3</f>
        <v>1.6630749751508015E-3</v>
      </c>
      <c r="H4">
        <f>SUM([6]Manu_water!$X3:$AC3)</f>
        <v>4.4867334966301298E-2</v>
      </c>
      <c r="J4">
        <f>[6]Manu_solid!R3</f>
        <v>2.485778726819233E-3</v>
      </c>
      <c r="K4">
        <f>[6]Manu_solid!S3</f>
        <v>2.5198105684103062E-5</v>
      </c>
      <c r="L4">
        <f>[6]Manu_solid!T3</f>
        <v>1.269498260814647E-3</v>
      </c>
      <c r="M4">
        <f>[6]Manu_solid!U3</f>
        <v>1.7644012560584879E-4</v>
      </c>
      <c r="N4">
        <f>[6]Manu_solid!V3</f>
        <v>3.8157131464498903E-4</v>
      </c>
      <c r="O4">
        <f>[6]Manu_solid!W3</f>
        <v>1.3678971657084512E-3</v>
      </c>
      <c r="P4">
        <f>SUM([6]Manu_solid!$X3:$AC3)</f>
        <v>4.2830095149625521E-4</v>
      </c>
      <c r="R4">
        <f>[6]Manu_gas!R3</f>
        <v>5.1466122935553121E-3</v>
      </c>
      <c r="S4">
        <f>[6]Manu_gas!S3</f>
        <v>0</v>
      </c>
      <c r="T4">
        <f>[6]Manu_gas!T3</f>
        <v>0</v>
      </c>
      <c r="U4">
        <f>[6]Manu_gas!U3</f>
        <v>3.4927943232178219E-4</v>
      </c>
      <c r="V4">
        <f>[6]Manu_gas!V3</f>
        <v>0</v>
      </c>
      <c r="W4">
        <f>[6]Manu_gas!W3</f>
        <v>0</v>
      </c>
      <c r="X4">
        <f>SUM([6]Manu_gas!$X3:$AC3)</f>
        <v>4.125021694232869E-4</v>
      </c>
      <c r="Z4">
        <f>[6]Manu_solvent!R3</f>
        <v>0.33225408616217633</v>
      </c>
      <c r="AA4">
        <f>[6]Manu_solvent!S3</f>
        <v>1.6918728102183482E-4</v>
      </c>
      <c r="AB4">
        <f>[6]Manu_solvent!T3</f>
        <v>4.0530770161788729E-2</v>
      </c>
      <c r="AC4">
        <f>[6]Manu_solvent!U3</f>
        <v>2.275717538426458E-2</v>
      </c>
      <c r="AD4">
        <f>[6]Manu_solvent!V3</f>
        <v>5.8279618717946909E-2</v>
      </c>
      <c r="AE4">
        <f>[6]Manu_solvent!W3</f>
        <v>0.14158815583897505</v>
      </c>
      <c r="AF4">
        <f>SUM([6]Manu_solvent!$X3:$AC3)</f>
        <v>4.4702050032022128E-2</v>
      </c>
    </row>
    <row r="5" spans="1:32" x14ac:dyDescent="0.2">
      <c r="A5">
        <v>2020.5</v>
      </c>
      <c r="B5">
        <f>[6]Manu_water!R4</f>
        <v>1.7561201192230855E-2</v>
      </c>
      <c r="C5">
        <f>[6]Manu_water!S4</f>
        <v>1.3969919697933835E-2</v>
      </c>
      <c r="D5">
        <f>[6]Manu_water!T4</f>
        <v>0.62209388347869132</v>
      </c>
      <c r="E5">
        <f>[6]Manu_water!U4</f>
        <v>8.8744588516295763E-4</v>
      </c>
      <c r="F5">
        <f>[6]Manu_water!V4</f>
        <v>0.38011628665612379</v>
      </c>
      <c r="G5">
        <f>[6]Manu_water!W4</f>
        <v>2.8864503132582436E-3</v>
      </c>
      <c r="H5">
        <f>SUM([6]Manu_water!$X4:$AC4)</f>
        <v>6.9484996516570391E-2</v>
      </c>
      <c r="J5">
        <f>[6]Manu_solid!R4</f>
        <v>4.3143435454961621E-3</v>
      </c>
      <c r="K5">
        <f>[6]Manu_solid!S4</f>
        <v>4.3734095655427933E-5</v>
      </c>
      <c r="L5">
        <f>[6]Manu_solid!T4</f>
        <v>2.2033544532632774E-3</v>
      </c>
      <c r="M5">
        <f>[6]Manu_solid!U4</f>
        <v>3.0623132657031638E-4</v>
      </c>
      <c r="N5">
        <f>[6]Manu_solid!V4</f>
        <v>6.622591627821943E-4</v>
      </c>
      <c r="O5">
        <f>[6]Manu_solid!W4</f>
        <v>2.3741366212946579E-3</v>
      </c>
      <c r="P5">
        <f>SUM([6]Manu_solid!$X4:$AC4)</f>
        <v>6.6329970668223162E-4</v>
      </c>
      <c r="R5">
        <f>[6]Manu_gas!R4</f>
        <v>8.9325141012385322E-3</v>
      </c>
      <c r="S5">
        <f>[6]Manu_gas!S4</f>
        <v>0</v>
      </c>
      <c r="T5">
        <f>[6]Manu_gas!T4</f>
        <v>0</v>
      </c>
      <c r="U5">
        <f>[6]Manu_gas!U4</f>
        <v>6.0621303423103443E-4</v>
      </c>
      <c r="V5">
        <f>[6]Manu_gas!V4</f>
        <v>0</v>
      </c>
      <c r="W5">
        <f>[6]Manu_gas!W4</f>
        <v>0</v>
      </c>
      <c r="X5">
        <f>SUM([6]Manu_gas!$X4:$AC4)</f>
        <v>6.3883250090478183E-4</v>
      </c>
      <c r="Z5">
        <f>[6]Manu_solvent!R4</f>
        <v>0.57666366544730396</v>
      </c>
      <c r="AA5">
        <f>[6]Manu_solvent!S4</f>
        <v>2.9364321368644474E-4</v>
      </c>
      <c r="AB5">
        <f>[6]Manu_solvent!T4</f>
        <v>7.0345628416111972E-2</v>
      </c>
      <c r="AC5">
        <f>[6]Manu_solvent!U4</f>
        <v>3.9497591508661223E-2</v>
      </c>
      <c r="AD5">
        <f>[6]Manu_solvent!V4</f>
        <v>0.10115071552305399</v>
      </c>
      <c r="AE5">
        <f>[6]Manu_solvent!W4</f>
        <v>0.24574188348784953</v>
      </c>
      <c r="AF5">
        <f>SUM([6]Manu_solvent!$X4:$AC4)</f>
        <v>6.9229023589021749E-2</v>
      </c>
    </row>
    <row r="6" spans="1:32" x14ac:dyDescent="0.2">
      <c r="A6">
        <v>2020.75</v>
      </c>
      <c r="B6">
        <f>[6]Manu_water!R5</f>
        <v>2.9846855902919935E-2</v>
      </c>
      <c r="C6">
        <f>[6]Manu_water!S5</f>
        <v>2.3743146931433024E-2</v>
      </c>
      <c r="D6">
        <f>[6]Manu_water!T5</f>
        <v>1.0573050382505</v>
      </c>
      <c r="E6">
        <f>[6]Manu_water!U5</f>
        <v>1.5082948578606452E-3</v>
      </c>
      <c r="F6">
        <f>[6]Manu_water!V5</f>
        <v>0.64604214199183196</v>
      </c>
      <c r="G6">
        <f>[6]Manu_water!W5</f>
        <v>4.905784383864964E-3</v>
      </c>
      <c r="H6">
        <f>SUM([6]Manu_water!$X5:$AC5)</f>
        <v>0.10648964423546765</v>
      </c>
      <c r="J6">
        <f>[6]Manu_solid!R5</f>
        <v>7.3326185782260061E-3</v>
      </c>
      <c r="K6">
        <f>[6]Manu_solid!S5</f>
        <v>7.4330066422196426E-5</v>
      </c>
      <c r="L6">
        <f>[6]Manu_solid!T5</f>
        <v>3.7448009478246785E-3</v>
      </c>
      <c r="M6">
        <f>[6]Manu_solid!U5</f>
        <v>5.2046794390965925E-4</v>
      </c>
      <c r="N6">
        <f>[6]Manu_solid!V5</f>
        <v>1.1255695772504027E-3</v>
      </c>
      <c r="O6">
        <f>[6]Manu_solid!W5</f>
        <v>4.0350607486335181E-3</v>
      </c>
      <c r="P6">
        <f>SUM([6]Manu_solid!$X5:$AC5)</f>
        <v>1.016543906269555E-3</v>
      </c>
      <c r="R6">
        <f>[6]Manu_gas!R5</f>
        <v>1.5181618746467928E-2</v>
      </c>
      <c r="S6">
        <f>[6]Manu_gas!S5</f>
        <v>0</v>
      </c>
      <c r="T6">
        <f>[6]Manu_gas!T5</f>
        <v>0</v>
      </c>
      <c r="U6">
        <f>[6]Manu_gas!U5</f>
        <v>1.030314093045652E-3</v>
      </c>
      <c r="V6">
        <f>[6]Manu_gas!V5</f>
        <v>0</v>
      </c>
      <c r="W6">
        <f>[6]Manu_gas!W5</f>
        <v>0</v>
      </c>
      <c r="X6">
        <f>SUM([6]Manu_gas!$X5:$AC5)</f>
        <v>9.7904654469085418E-4</v>
      </c>
      <c r="Z6">
        <f>[6]Manu_solvent!R5</f>
        <v>0.98009225785020848</v>
      </c>
      <c r="AA6">
        <f>[6]Manu_solvent!S5</f>
        <v>4.9907330312046173E-4</v>
      </c>
      <c r="AB6">
        <f>[6]Manu_solvent!T5</f>
        <v>0.11955878255440258</v>
      </c>
      <c r="AC6">
        <f>[6]Manu_solvent!U5</f>
        <v>6.7129742969572387E-2</v>
      </c>
      <c r="AD6">
        <f>[6]Manu_solvent!V5</f>
        <v>0.17191482505362279</v>
      </c>
      <c r="AE6">
        <f>[6]Manu_solvent!W5</f>
        <v>0.41766064322632163</v>
      </c>
      <c r="AF6">
        <f>SUM([6]Manu_solvent!$X5:$AC5)</f>
        <v>0.10609735140456759</v>
      </c>
    </row>
    <row r="7" spans="1:32" x14ac:dyDescent="0.2">
      <c r="A7">
        <v>2021</v>
      </c>
      <c r="B7">
        <f>[6]Manu_water!R6</f>
        <v>4.9392079242833856E-2</v>
      </c>
      <c r="C7">
        <f>[6]Manu_water!S6</f>
        <v>3.9291354457099081E-2</v>
      </c>
      <c r="D7">
        <f>[6]Manu_water!T6</f>
        <v>1.7496815880029501</v>
      </c>
      <c r="E7">
        <f>[6]Manu_water!U6</f>
        <v>2.4960022383370586E-3</v>
      </c>
      <c r="F7">
        <f>[6]Manu_water!V6</f>
        <v>1.0691030497570422</v>
      </c>
      <c r="G7">
        <f>[6]Manu_water!W6</f>
        <v>8.1183388905097416E-3</v>
      </c>
      <c r="H7">
        <f>SUM([6]Manu_water!$X6:$AC6)</f>
        <v>0.15561660137312472</v>
      </c>
      <c r="J7">
        <f>[6]Manu_solid!R6</f>
        <v>1.2134386249969566E-2</v>
      </c>
      <c r="K7">
        <f>[6]Manu_solid!S6</f>
        <v>1.2300513470469304E-4</v>
      </c>
      <c r="L7">
        <f>[6]Manu_solid!T6</f>
        <v>6.1970850720494408E-3</v>
      </c>
      <c r="M7">
        <f>[6]Manu_solid!U6</f>
        <v>8.6129654703180191E-4</v>
      </c>
      <c r="N7">
        <f>[6]Manu_solid!V6</f>
        <v>1.8626491826710658E-3</v>
      </c>
      <c r="O7">
        <f>[6]Manu_solid!W6</f>
        <v>6.6774215982547628E-3</v>
      </c>
      <c r="P7">
        <f>SUM([6]Manu_solid!$X6:$AC6)</f>
        <v>1.4855069615073511E-3</v>
      </c>
      <c r="R7">
        <f>[6]Manu_gas!R6</f>
        <v>2.512330674289473E-2</v>
      </c>
      <c r="S7">
        <f>[6]Manu_gas!S6</f>
        <v>0</v>
      </c>
      <c r="T7">
        <f>[6]Manu_gas!T6</f>
        <v>0</v>
      </c>
      <c r="U7">
        <f>[6]Manu_gas!U6</f>
        <v>1.7050156135119344E-3</v>
      </c>
      <c r="V7">
        <f>[6]Manu_gas!V6</f>
        <v>0</v>
      </c>
      <c r="W7">
        <f>[6]Manu_gas!W6</f>
        <v>0</v>
      </c>
      <c r="X7">
        <f>SUM([6]Manu_gas!$X6:$AC6)</f>
        <v>1.4307109105746064E-3</v>
      </c>
      <c r="Z7">
        <f>[6]Manu_solvent!R6</f>
        <v>1.6219059931297348</v>
      </c>
      <c r="AA7">
        <f>[6]Manu_solvent!S6</f>
        <v>8.2589161873151051E-4</v>
      </c>
      <c r="AB7">
        <f>[6]Manu_solvent!T6</f>
        <v>0.19785189037368855</v>
      </c>
      <c r="AC7">
        <f>[6]Manu_solvent!U6</f>
        <v>0.11108967708655079</v>
      </c>
      <c r="AD7">
        <f>[6]Manu_solvent!V6</f>
        <v>0.28449330440985421</v>
      </c>
      <c r="AE7">
        <f>[6]Manu_solvent!W6</f>
        <v>0.69116585190567015</v>
      </c>
      <c r="AF7">
        <f>SUM([6]Manu_solvent!$X6:$AC6)</f>
        <v>0.15504333176060989</v>
      </c>
    </row>
    <row r="8" spans="1:32" x14ac:dyDescent="0.2">
      <c r="A8">
        <v>2021.25</v>
      </c>
      <c r="B8">
        <f>[6]Manu_water!R7</f>
        <v>0.10390176286216427</v>
      </c>
      <c r="C8">
        <f>[6]Manu_water!S7</f>
        <v>8.2653758576625588E-2</v>
      </c>
      <c r="D8">
        <f>[6]Manu_water!T7</f>
        <v>3.7253753109922432</v>
      </c>
      <c r="E8">
        <f>[6]Manu_water!U7</f>
        <v>5.2506198695564136E-3</v>
      </c>
      <c r="F8">
        <f>[6]Manu_water!V7</f>
        <v>2.2372781652190925</v>
      </c>
      <c r="G8">
        <f>[6]Manu_water!W7</f>
        <v>1.7202491571339198E-2</v>
      </c>
      <c r="H8">
        <f>SUM([6]Manu_water!$X7:$AC7)</f>
        <v>0.3519031853362618</v>
      </c>
      <c r="J8">
        <f>[6]Manu_solid!R7</f>
        <v>2.5526038627036906E-2</v>
      </c>
      <c r="K8">
        <f>[6]Manu_solid!S7</f>
        <v>2.5875505815580466E-4</v>
      </c>
      <c r="L8">
        <f>[6]Manu_solid!T7</f>
        <v>1.3194668038932721E-2</v>
      </c>
      <c r="M8">
        <f>[6]Manu_solid!U7</f>
        <v>1.8118336169596076E-3</v>
      </c>
      <c r="N8">
        <f>[6]Manu_solid!V7</f>
        <v>3.897907079023104E-3</v>
      </c>
      <c r="O8">
        <f>[6]Manu_solid!W7</f>
        <v>1.4149235491577691E-2</v>
      </c>
      <c r="P8">
        <f>SUM([6]Manu_solid!$X7:$AC7)</f>
        <v>3.3546689709838457E-3</v>
      </c>
      <c r="R8">
        <f>[6]Manu_gas!R7</f>
        <v>5.2849685608090481E-2</v>
      </c>
      <c r="S8">
        <f>[6]Manu_gas!S7</f>
        <v>0</v>
      </c>
      <c r="T8">
        <f>[6]Manu_gas!T7</f>
        <v>0</v>
      </c>
      <c r="U8">
        <f>[6]Manu_gas!U7</f>
        <v>3.5866910376547334E-3</v>
      </c>
      <c r="V8">
        <f>[6]Manu_gas!V7</f>
        <v>0</v>
      </c>
      <c r="W8">
        <f>[6]Manu_gas!W7</f>
        <v>0</v>
      </c>
      <c r="X8">
        <f>SUM([6]Manu_gas!$X7:$AC7)</f>
        <v>3.2169477255194444E-3</v>
      </c>
      <c r="Z8">
        <f>[6]Manu_solvent!R7</f>
        <v>3.4118606559236646</v>
      </c>
      <c r="AA8">
        <f>[6]Manu_solvent!S7</f>
        <v>1.7373553904746887E-3</v>
      </c>
      <c r="AB8">
        <f>[6]Manu_solvent!T7</f>
        <v>0.42126096124298962</v>
      </c>
      <c r="AC8">
        <f>[6]Manu_solvent!U7</f>
        <v>0.23368956039152489</v>
      </c>
      <c r="AD8">
        <f>[6]Manu_solvent!V7</f>
        <v>0.5953501472583399</v>
      </c>
      <c r="AE8">
        <f>[6]Manu_solvent!W7</f>
        <v>1.4645575778690143</v>
      </c>
      <c r="AF8">
        <f>SUM([6]Manu_solvent!$X7:$AC7)</f>
        <v>0.34937186115643337</v>
      </c>
    </row>
    <row r="9" spans="1:32" x14ac:dyDescent="0.2">
      <c r="A9">
        <v>2021.5</v>
      </c>
      <c r="B9">
        <f>[6]Manu_water!R8</f>
        <v>0.21746587534499778</v>
      </c>
      <c r="C9">
        <f>[6]Manu_water!S8</f>
        <v>0.17299390755539673</v>
      </c>
      <c r="D9">
        <f>[6]Manu_water!T8</f>
        <v>7.9344864512909883</v>
      </c>
      <c r="E9">
        <f>[6]Manu_water!U8</f>
        <v>1.098952139581762E-2</v>
      </c>
      <c r="F9">
        <f>[6]Manu_water!V8</f>
        <v>4.6466966283511084</v>
      </c>
      <c r="G9">
        <f>[6]Manu_water!W8</f>
        <v>3.6387402346843761E-2</v>
      </c>
      <c r="H9">
        <f>SUM([6]Manu_water!$X8:$AC8)</f>
        <v>0.83274290054268252</v>
      </c>
      <c r="J9">
        <f>[6]Manu_solid!R8</f>
        <v>5.3425872489601539E-2</v>
      </c>
      <c r="K9">
        <f>[6]Manu_solid!S8</f>
        <v>5.4157305585320992E-4</v>
      </c>
      <c r="L9">
        <f>[6]Manu_solid!T8</f>
        <v>2.8102649007009511E-2</v>
      </c>
      <c r="M9">
        <f>[6]Manu_solid!U8</f>
        <v>3.7921587915145326E-3</v>
      </c>
      <c r="N9">
        <f>[6]Manu_solid!V8</f>
        <v>8.0957262996167768E-3</v>
      </c>
      <c r="O9">
        <f>[6]Manu_solid!W8</f>
        <v>2.9929032233334683E-2</v>
      </c>
      <c r="P9">
        <f>SUM([6]Manu_solid!$X8:$AC8)</f>
        <v>7.9225532928743903E-3</v>
      </c>
      <c r="R9">
        <f>[6]Manu_gas!R8</f>
        <v>0.11061413036579471</v>
      </c>
      <c r="S9">
        <f>[6]Manu_gas!S8</f>
        <v>0</v>
      </c>
      <c r="T9">
        <f>[6]Manu_gas!T8</f>
        <v>0</v>
      </c>
      <c r="U9">
        <f>[6]Manu_gas!U8</f>
        <v>7.5069265872838697E-3</v>
      </c>
      <c r="V9">
        <f>[6]Manu_gas!V8</f>
        <v>0</v>
      </c>
      <c r="W9">
        <f>[6]Manu_gas!W8</f>
        <v>0</v>
      </c>
      <c r="X9">
        <f>SUM([6]Manu_gas!$X8:$AC8)</f>
        <v>7.5486104646172759E-3</v>
      </c>
      <c r="Z9">
        <f>[6]Manu_solvent!R8</f>
        <v>7.1410074637509648</v>
      </c>
      <c r="AA9">
        <f>[6]Manu_solvent!S8</f>
        <v>3.6362762321572664E-3</v>
      </c>
      <c r="AB9">
        <f>[6]Manu_solvent!T8</f>
        <v>0.89722218848067059</v>
      </c>
      <c r="AC9">
        <f>[6]Manu_solvent!U8</f>
        <v>0.48911109310962941</v>
      </c>
      <c r="AD9">
        <f>[6]Manu_solvent!V8</f>
        <v>1.2365076301018449</v>
      </c>
      <c r="AE9">
        <f>[6]Manu_solvent!W8</f>
        <v>3.0978911179835613</v>
      </c>
      <c r="AF9">
        <f>SUM([6]Manu_solvent!$X8:$AC8)</f>
        <v>0.82245631388002405</v>
      </c>
    </row>
    <row r="10" spans="1:32" x14ac:dyDescent="0.2">
      <c r="A10">
        <v>2021.75</v>
      </c>
      <c r="B10">
        <f>[6]Manu_water!R9</f>
        <v>0.31145649175146095</v>
      </c>
      <c r="C10">
        <f>[6]Manu_water!S9</f>
        <v>0.24776335807216932</v>
      </c>
      <c r="D10">
        <f>[6]Manu_water!T9</f>
        <v>11.494955119492941</v>
      </c>
      <c r="E10">
        <f>[6]Manu_water!U9</f>
        <v>1.5739286794026672E-2</v>
      </c>
      <c r="F10">
        <f>[6]Manu_water!V9</f>
        <v>6.620739606627934</v>
      </c>
      <c r="G10">
        <f>[6]Manu_water!W9</f>
        <v>5.2479800568117366E-2</v>
      </c>
      <c r="H10">
        <f>SUM([6]Manu_water!$X9:$AC9)</f>
        <v>1.1620835766293405</v>
      </c>
      <c r="J10">
        <f>[6]Manu_solid!R9</f>
        <v>7.6516992783230903E-2</v>
      </c>
      <c r="K10">
        <f>[6]Manu_solid!S9</f>
        <v>7.7564557536010086E-4</v>
      </c>
      <c r="L10">
        <f>[6]Manu_solid!T9</f>
        <v>4.0713244777407974E-2</v>
      </c>
      <c r="M10">
        <f>[6]Manu_solid!U9</f>
        <v>5.4311623444176565E-3</v>
      </c>
      <c r="N10">
        <f>[6]Manu_solid!V9</f>
        <v>1.1535010792239342E-2</v>
      </c>
      <c r="O10">
        <f>[6]Manu_solid!W9</f>
        <v>4.3165203930486125E-2</v>
      </c>
      <c r="P10">
        <f>SUM([6]Manu_solid!$X9:$AC9)</f>
        <v>1.104387719478819E-2</v>
      </c>
      <c r="R10">
        <f>[6]Manu_gas!R9</f>
        <v>0.15842250618499915</v>
      </c>
      <c r="S10">
        <f>[6]Manu_gas!S9</f>
        <v>0</v>
      </c>
      <c r="T10">
        <f>[6]Manu_gas!T9</f>
        <v>0</v>
      </c>
      <c r="U10">
        <f>[6]Manu_gas!U9</f>
        <v>1.0751484640990053E-2</v>
      </c>
      <c r="V10">
        <f>[6]Manu_gas!V9</f>
        <v>0</v>
      </c>
      <c r="W10">
        <f>[6]Manu_gas!W9</f>
        <v>0</v>
      </c>
      <c r="X10">
        <f>SUM([6]Manu_gas!$X9:$AC9)</f>
        <v>1.0485974765737847E-2</v>
      </c>
      <c r="Z10">
        <f>[6]Manu_solvent!R9</f>
        <v>10.227412133983959</v>
      </c>
      <c r="AA10">
        <f>[6]Manu_solvent!S9</f>
        <v>5.2079060059892482E-3</v>
      </c>
      <c r="AB10">
        <f>[6]Manu_solvent!T9</f>
        <v>1.2998357048199978</v>
      </c>
      <c r="AC10">
        <f>[6]Manu_solvent!U9</f>
        <v>0.70050910238203234</v>
      </c>
      <c r="AD10">
        <f>[6]Manu_solvent!V9</f>
        <v>1.7618096672297632</v>
      </c>
      <c r="AE10">
        <f>[6]Manu_solvent!W9</f>
        <v>4.4679393847310811</v>
      </c>
      <c r="AF10">
        <f>SUM([6]Manu_solvent!$X9:$AC9)</f>
        <v>1.1445028635221142</v>
      </c>
    </row>
    <row r="11" spans="1:32" x14ac:dyDescent="0.2">
      <c r="A11">
        <v>2022</v>
      </c>
      <c r="B11">
        <f>[6]Manu_water!R10</f>
        <v>0.51605521507913743</v>
      </c>
      <c r="C11">
        <f>[6]Manu_water!S10</f>
        <v>0.41052145781149202</v>
      </c>
      <c r="D11">
        <f>[6]Manu_water!T10</f>
        <v>19.412295149200418</v>
      </c>
      <c r="E11">
        <f>[6]Manu_water!U10</f>
        <v>2.6078573562580313E-2</v>
      </c>
      <c r="F11">
        <f>[6]Manu_water!V10</f>
        <v>10.874171528939463</v>
      </c>
      <c r="G11">
        <f>[6]Manu_water!W10</f>
        <v>8.7974953396478039E-2</v>
      </c>
      <c r="H11">
        <f>SUM([6]Manu_water!$X10:$AC10)</f>
        <v>1.9967995589705205</v>
      </c>
      <c r="J11">
        <f>[6]Manu_solid!R10</f>
        <v>0.12678173104020335</v>
      </c>
      <c r="K11">
        <f>[6]Manu_solid!S10</f>
        <v>1.2851745101433115E-3</v>
      </c>
      <c r="L11">
        <f>[6]Manu_solid!T10</f>
        <v>6.8755163972797559E-2</v>
      </c>
      <c r="M11">
        <f>[6]Manu_solid!U10</f>
        <v>8.9989443983551805E-3</v>
      </c>
      <c r="N11">
        <f>[6]Manu_solid!V10</f>
        <v>1.894557004136041E-2</v>
      </c>
      <c r="O11">
        <f>[6]Manu_solid!W10</f>
        <v>7.2360351278488402E-2</v>
      </c>
      <c r="P11">
        <f>SUM([6]Manu_solid!$X10:$AC10)</f>
        <v>1.8936667549744476E-2</v>
      </c>
      <c r="R11">
        <f>[6]Manu_gas!R10</f>
        <v>0.26249175299873073</v>
      </c>
      <c r="S11">
        <f>[6]Manu_gas!S10</f>
        <v>0</v>
      </c>
      <c r="T11">
        <f>[6]Manu_gas!T10</f>
        <v>0</v>
      </c>
      <c r="U11">
        <f>[6]Manu_gas!U10</f>
        <v>1.7814236870213315E-2</v>
      </c>
      <c r="V11">
        <f>[6]Manu_gas!V10</f>
        <v>0</v>
      </c>
      <c r="W11">
        <f>[6]Manu_gas!W10</f>
        <v>0</v>
      </c>
      <c r="X11">
        <f>SUM([6]Manu_gas!$X10:$AC10)</f>
        <v>1.7857551920575913E-2</v>
      </c>
      <c r="Z11">
        <f>[6]Manu_solvent!R10</f>
        <v>16.945896162979288</v>
      </c>
      <c r="AA11">
        <f>[6]Manu_solvent!S10</f>
        <v>8.6290288538193767E-3</v>
      </c>
      <c r="AB11">
        <f>[6]Manu_solvent!T10</f>
        <v>2.1951189965627114</v>
      </c>
      <c r="AC11">
        <f>[6]Manu_solvent!U10</f>
        <v>1.1606801754613212</v>
      </c>
      <c r="AD11">
        <f>[6]Manu_solvent!V10</f>
        <v>2.8936677261285384</v>
      </c>
      <c r="AE11">
        <f>[6]Manu_solvent!W10</f>
        <v>7.4898676232546961</v>
      </c>
      <c r="AF11">
        <f>SUM([6]Manu_solvent!$X10:$AC10)</f>
        <v>1.9558158592126822</v>
      </c>
    </row>
    <row r="12" spans="1:32" x14ac:dyDescent="0.2">
      <c r="A12">
        <v>2022.25</v>
      </c>
      <c r="B12">
        <f>[6]Manu_water!R11</f>
        <v>0.78197521593261898</v>
      </c>
      <c r="C12">
        <f>[6]Manu_water!S11</f>
        <v>0.62206057847489593</v>
      </c>
      <c r="D12">
        <f>[6]Manu_water!T11</f>
        <v>29.919107861597276</v>
      </c>
      <c r="E12">
        <f>[6]Manu_water!U11</f>
        <v>3.9516698207741549E-2</v>
      </c>
      <c r="F12">
        <f>[6]Manu_water!V11</f>
        <v>16.345777534075527</v>
      </c>
      <c r="G12">
        <f>[6]Manu_water!W11</f>
        <v>0.13471204756146851</v>
      </c>
      <c r="H12">
        <f>SUM([6]Manu_water!$X11:$AC11)</f>
        <v>3.1341144331337212</v>
      </c>
      <c r="J12">
        <f>[6]Manu_solid!R11</f>
        <v>0.1921115582395016</v>
      </c>
      <c r="K12">
        <f>[6]Manu_solid!S11</f>
        <v>1.9474168378015525E-3</v>
      </c>
      <c r="L12">
        <f>[6]Manu_solid!T11</f>
        <v>0.10596857049274096</v>
      </c>
      <c r="M12">
        <f>[6]Manu_solid!U11</f>
        <v>1.3636043747741806E-2</v>
      </c>
      <c r="N12">
        <f>[6]Manu_solid!V11</f>
        <v>2.8478498093226771E-2</v>
      </c>
      <c r="O12">
        <f>[6]Manu_solid!W11</f>
        <v>0.11080211704190047</v>
      </c>
      <c r="P12">
        <f>SUM([6]Manu_solid!$X11:$AC11)</f>
        <v>2.9666428304628283E-2</v>
      </c>
      <c r="R12">
        <f>[6]Manu_gas!R11</f>
        <v>0.39775209945361584</v>
      </c>
      <c r="S12">
        <f>[6]Manu_gas!S11</f>
        <v>0</v>
      </c>
      <c r="T12">
        <f>[6]Manu_gas!T11</f>
        <v>0</v>
      </c>
      <c r="U12">
        <f>[6]Manu_gas!U11</f>
        <v>2.6993800888386842E-2</v>
      </c>
      <c r="V12">
        <f>[6]Manu_gas!V11</f>
        <v>0</v>
      </c>
      <c r="W12">
        <f>[6]Manu_gas!W11</f>
        <v>0</v>
      </c>
      <c r="X12">
        <f>SUM([6]Manu_gas!$X11:$AC11)</f>
        <v>2.780385434696786E-2</v>
      </c>
      <c r="Z12">
        <f>[6]Manu_solvent!R11</f>
        <v>25.67800968581507</v>
      </c>
      <c r="AA12">
        <f>[6]Manu_solvent!S11</f>
        <v>1.3075513053810424E-2</v>
      </c>
      <c r="AB12">
        <f>[6]Manu_solvent!T11</f>
        <v>3.3832167460067764</v>
      </c>
      <c r="AC12">
        <f>[6]Manu_solvent!U11</f>
        <v>1.7587713568515961</v>
      </c>
      <c r="AD12">
        <f>[6]Manu_solvent!V11</f>
        <v>4.3496875861258619</v>
      </c>
      <c r="AE12">
        <f>[6]Manu_solvent!W11</f>
        <v>11.468893867392294</v>
      </c>
      <c r="AF12">
        <f>SUM([6]Manu_solvent!$X11:$AC11)</f>
        <v>3.0546884286176952</v>
      </c>
    </row>
    <row r="13" spans="1:32" x14ac:dyDescent="0.2">
      <c r="A13">
        <v>2022.5</v>
      </c>
      <c r="B13">
        <f>[6]Manu_water!R12</f>
        <v>1.0032685774193046</v>
      </c>
      <c r="C13">
        <f>[6]Manu_water!S12</f>
        <v>0.79809924780137176</v>
      </c>
      <c r="D13">
        <f>[6]Manu_water!T12</f>
        <v>38.842518035882428</v>
      </c>
      <c r="E13">
        <f>[6]Manu_water!U12</f>
        <v>5.0699639563263385E-2</v>
      </c>
      <c r="F13">
        <f>[6]Manu_water!V12</f>
        <v>20.852092292806898</v>
      </c>
      <c r="G13">
        <f>[6]Manu_water!W12</f>
        <v>0.17410701385173988</v>
      </c>
      <c r="H13">
        <f>SUM([6]Manu_water!$X12:$AC12)</f>
        <v>4.0512960958580608</v>
      </c>
      <c r="J13">
        <f>[6]Manu_solid!R12</f>
        <v>0.24647774739367004</v>
      </c>
      <c r="K13">
        <f>[6]Manu_solid!S12</f>
        <v>2.4985217954425773E-3</v>
      </c>
      <c r="L13">
        <f>[6]Manu_solid!T12</f>
        <v>0.13757382504991664</v>
      </c>
      <c r="M13">
        <f>[6]Manu_solid!U12</f>
        <v>1.7494946046478218E-2</v>
      </c>
      <c r="N13">
        <f>[6]Manu_solid!V12</f>
        <v>3.6329643503500403E-2</v>
      </c>
      <c r="O13">
        <f>[6]Manu_solid!W12</f>
        <v>0.1432049031680977</v>
      </c>
      <c r="P13">
        <f>SUM([6]Manu_solid!$X12:$AC12)</f>
        <v>3.8300203327928509E-2</v>
      </c>
      <c r="R13">
        <f>[6]Manu_gas!R12</f>
        <v>0.51031308263196451</v>
      </c>
      <c r="S13">
        <f>[6]Manu_gas!S12</f>
        <v>0</v>
      </c>
      <c r="T13">
        <f>[6]Manu_gas!T12</f>
        <v>0</v>
      </c>
      <c r="U13">
        <f>[6]Manu_gas!U12</f>
        <v>3.4632852377722186E-2</v>
      </c>
      <c r="V13">
        <f>[6]Manu_gas!V12</f>
        <v>0</v>
      </c>
      <c r="W13">
        <f>[6]Manu_gas!W12</f>
        <v>0</v>
      </c>
      <c r="X13">
        <f>SUM([6]Manu_gas!$X12:$AC12)</f>
        <v>3.5747950634054296E-2</v>
      </c>
      <c r="Z13">
        <f>[6]Manu_solvent!R12</f>
        <v>32.944701729097581</v>
      </c>
      <c r="AA13">
        <f>[6]Manu_solvent!S12</f>
        <v>1.677578919797159E-2</v>
      </c>
      <c r="AB13">
        <f>[6]Manu_solvent!T12</f>
        <v>4.3922652401257807</v>
      </c>
      <c r="AC13">
        <f>[6]Manu_solvent!U12</f>
        <v>2.2564910002804557</v>
      </c>
      <c r="AD13">
        <f>[6]Manu_solvent!V12</f>
        <v>5.5488389464308625</v>
      </c>
      <c r="AE13">
        <f>[6]Manu_solvent!W12</f>
        <v>14.822838042923125</v>
      </c>
      <c r="AF13">
        <f>SUM([6]Manu_solvent!$X12:$AC12)</f>
        <v>3.9356934751733692</v>
      </c>
    </row>
    <row r="14" spans="1:32" x14ac:dyDescent="0.2">
      <c r="A14">
        <v>2022.75</v>
      </c>
      <c r="B14">
        <f>[6]Manu_water!R13</f>
        <v>1.3711021710719387</v>
      </c>
      <c r="C14">
        <f>[6]Manu_water!S13</f>
        <v>1.0907105395507688</v>
      </c>
      <c r="D14">
        <f>[6]Manu_water!T13</f>
        <v>53.973378501218185</v>
      </c>
      <c r="E14">
        <f>[6]Manu_water!U13</f>
        <v>6.9287912969990734E-2</v>
      </c>
      <c r="F14">
        <f>[6]Manu_water!V13</f>
        <v>28.264429973030079</v>
      </c>
      <c r="G14">
        <f>[6]Manu_water!W13</f>
        <v>0.24042093567110118</v>
      </c>
      <c r="H14">
        <f>SUM([6]Manu_water!$X13:$AC13)</f>
        <v>5.6239132263972529</v>
      </c>
      <c r="J14">
        <f>[6]Manu_solid!R13</f>
        <v>0.33684517005573583</v>
      </c>
      <c r="K14">
        <f>[6]Manu_solid!S13</f>
        <v>3.4145678787367542E-3</v>
      </c>
      <c r="L14">
        <f>[6]Manu_solid!T13</f>
        <v>0.19116484993120333</v>
      </c>
      <c r="M14">
        <f>[6]Manu_solid!U13</f>
        <v>2.3909209405137657E-2</v>
      </c>
      <c r="N14">
        <f>[6]Manu_solid!V13</f>
        <v>4.9243819293090803E-2</v>
      </c>
      <c r="O14">
        <f>[6]Manu_solid!W13</f>
        <v>0.19774882154765894</v>
      </c>
      <c r="P14">
        <f>SUM([6]Manu_solid!$X13:$AC13)</f>
        <v>5.3071630312134757E-2</v>
      </c>
      <c r="R14">
        <f>[6]Manu_gas!R13</f>
        <v>0.69741183096046688</v>
      </c>
      <c r="S14">
        <f>[6]Manu_gas!S13</f>
        <v>0</v>
      </c>
      <c r="T14">
        <f>[6]Manu_gas!T13</f>
        <v>0</v>
      </c>
      <c r="U14">
        <f>[6]Manu_gas!U13</f>
        <v>4.7330475761190864E-2</v>
      </c>
      <c r="V14">
        <f>[6]Manu_gas!V13</f>
        <v>0</v>
      </c>
      <c r="W14">
        <f>[6]Manu_gas!W13</f>
        <v>0</v>
      </c>
      <c r="X14">
        <f>SUM([6]Manu_gas!$X13:$AC13)</f>
        <v>4.9239699204957403E-2</v>
      </c>
      <c r="Z14">
        <f>[6]Manu_solvent!R13</f>
        <v>45.023389631393421</v>
      </c>
      <c r="AA14">
        <f>[6]Manu_solvent!S13</f>
        <v>2.2926384328661061E-2</v>
      </c>
      <c r="AB14">
        <f>[6]Manu_solvent!T13</f>
        <v>6.1032447500971356</v>
      </c>
      <c r="AC14">
        <f>[6]Manu_solvent!U13</f>
        <v>3.0838000702136732</v>
      </c>
      <c r="AD14">
        <f>[6]Manu_solvent!V13</f>
        <v>7.521296550520189</v>
      </c>
      <c r="AE14">
        <f>[6]Manu_solvent!W13</f>
        <v>20.468564205089656</v>
      </c>
      <c r="AF14">
        <f>SUM([6]Manu_solvent!$X13:$AC13)</f>
        <v>5.4375934907630743</v>
      </c>
    </row>
    <row r="15" spans="1:32" x14ac:dyDescent="0.2">
      <c r="A15">
        <v>2023</v>
      </c>
      <c r="B15">
        <f>[6]Manu_water!R14</f>
        <v>1.8562815977751266</v>
      </c>
      <c r="C15">
        <f>[6]Manu_water!S14</f>
        <v>1.4766703355772326</v>
      </c>
      <c r="D15">
        <f>[6]Manu_water!T14</f>
        <v>74.324088012969298</v>
      </c>
      <c r="E15">
        <f>[6]Manu_water!U14</f>
        <v>9.3806195123944586E-2</v>
      </c>
      <c r="F15">
        <f>[6]Manu_water!V14</f>
        <v>37.938683061226797</v>
      </c>
      <c r="G15">
        <f>[6]Manu_water!W14</f>
        <v>0.3289851300708827</v>
      </c>
      <c r="H15">
        <f>SUM([6]Manu_water!$X14:$AC14)</f>
        <v>7.1568908170305043</v>
      </c>
      <c r="J15">
        <f>[6]Manu_solid!R14</f>
        <v>0.45604149979942565</v>
      </c>
      <c r="K15">
        <f>[6]Manu_solid!S14</f>
        <v>4.6228498877641452E-3</v>
      </c>
      <c r="L15">
        <f>[6]Manu_solid!T14</f>
        <v>0.26324372358777104</v>
      </c>
      <c r="M15">
        <f>[6]Manu_solid!U14</f>
        <v>3.2369743387840044E-2</v>
      </c>
      <c r="N15">
        <f>[6]Manu_solid!V14</f>
        <v>6.6098826499157326E-2</v>
      </c>
      <c r="O15">
        <f>[6]Manu_solid!W14</f>
        <v>0.27059382992843162</v>
      </c>
      <c r="P15">
        <f>SUM([6]Manu_solid!$X14:$AC14)</f>
        <v>6.7439979642910736E-2</v>
      </c>
      <c r="R15">
        <f>[6]Manu_gas!R14</f>
        <v>0.94419859817627527</v>
      </c>
      <c r="S15">
        <f>[6]Manu_gas!S14</f>
        <v>0</v>
      </c>
      <c r="T15">
        <f>[6]Manu_gas!T14</f>
        <v>0</v>
      </c>
      <c r="U15">
        <f>[6]Manu_gas!U14</f>
        <v>6.4078879767764968E-2</v>
      </c>
      <c r="V15">
        <f>[6]Manu_gas!V14</f>
        <v>0</v>
      </c>
      <c r="W15">
        <f>[6]Manu_gas!W14</f>
        <v>0</v>
      </c>
      <c r="X15">
        <f>SUM([6]Manu_gas!$X14:$AC14)</f>
        <v>6.226788814179525E-2</v>
      </c>
      <c r="Z15">
        <f>[6]Manu_solvent!R14</f>
        <v>60.955406099951389</v>
      </c>
      <c r="AA15">
        <f>[6]Manu_solvent!S14</f>
        <v>3.1039134960702115E-2</v>
      </c>
      <c r="AB15">
        <f>[6]Manu_solvent!T14</f>
        <v>8.4044785145453531</v>
      </c>
      <c r="AC15">
        <f>[6]Manu_solvent!U14</f>
        <v>4.175036290023451</v>
      </c>
      <c r="AD15">
        <f>[6]Manu_solvent!V14</f>
        <v>10.095660386993934</v>
      </c>
      <c r="AE15">
        <f>[6]Manu_solvent!W14</f>
        <v>28.008597664671054</v>
      </c>
      <c r="AF15">
        <f>SUM([6]Manu_solvent!$X14:$AC14)</f>
        <v>6.8933423846903921</v>
      </c>
    </row>
    <row r="16" spans="1:32" x14ac:dyDescent="0.2">
      <c r="A16">
        <v>2023.25</v>
      </c>
      <c r="B16">
        <f>[6]Manu_water!R15</f>
        <v>2.4956511895848479</v>
      </c>
      <c r="C16">
        <f>[6]Manu_water!S15</f>
        <v>1.9852882687761337</v>
      </c>
      <c r="D16">
        <f>[6]Manu_water!T15</f>
        <v>101.0463924197296</v>
      </c>
      <c r="E16">
        <f>[6]Manu_water!U15</f>
        <v>0.12611639458802676</v>
      </c>
      <c r="F16">
        <f>[6]Manu_water!V15</f>
        <v>50.664935149248528</v>
      </c>
      <c r="G16">
        <f>[6]Manu_water!W15</f>
        <v>0.4502240724402059</v>
      </c>
      <c r="H16">
        <f>SUM([6]Manu_water!$X15:$AC15)</f>
        <v>10.073489840341404</v>
      </c>
      <c r="J16">
        <f>[6]Manu_solid!R15</f>
        <v>0.61311845834091427</v>
      </c>
      <c r="K16">
        <f>[6]Manu_solid!S15</f>
        <v>6.2151242761327979E-3</v>
      </c>
      <c r="L16">
        <f>[6]Manu_solid!T15</f>
        <v>0.35788974082048824</v>
      </c>
      <c r="M16">
        <f>[6]Manu_solid!U15</f>
        <v>4.3519037569107841E-2</v>
      </c>
      <c r="N16">
        <f>[6]Manu_solid!V15</f>
        <v>8.8271191507008115E-2</v>
      </c>
      <c r="O16">
        <f>[6]Manu_solid!W15</f>
        <v>0.37031417213696582</v>
      </c>
      <c r="P16">
        <f>SUM([6]Manu_solid!$X15:$AC15)</f>
        <v>9.5092657100120589E-2</v>
      </c>
      <c r="R16">
        <f>[6]Manu_gas!R15</f>
        <v>1.2694142729030193</v>
      </c>
      <c r="S16">
        <f>[6]Manu_gas!S15</f>
        <v>0</v>
      </c>
      <c r="T16">
        <f>[6]Manu_gas!T15</f>
        <v>0</v>
      </c>
      <c r="U16">
        <f>[6]Manu_gas!U15</f>
        <v>8.614993151435632E-2</v>
      </c>
      <c r="V16">
        <f>[6]Manu_gas!V15</f>
        <v>0</v>
      </c>
      <c r="W16">
        <f>[6]Manu_gas!W15</f>
        <v>0</v>
      </c>
      <c r="X16">
        <f>SUM([6]Manu_gas!$X15:$AC15)</f>
        <v>8.7124177996731167E-2</v>
      </c>
      <c r="Z16">
        <f>[6]Manu_solvent!R15</f>
        <v>81.950622107820777</v>
      </c>
      <c r="AA16">
        <f>[6]Manu_solvent!S15</f>
        <v>4.1730120139748784E-2</v>
      </c>
      <c r="AB16">
        <f>[6]Manu_solvent!T15</f>
        <v>11.426204569314674</v>
      </c>
      <c r="AC16">
        <f>[6]Manu_solvent!U15</f>
        <v>5.613067702791052</v>
      </c>
      <c r="AD16">
        <f>[6]Manu_solvent!V15</f>
        <v>13.482175382060957</v>
      </c>
      <c r="AE16">
        <f>[6]Manu_solvent!W15</f>
        <v>38.330440349113886</v>
      </c>
      <c r="AF16">
        <f>SUM([6]Manu_solvent!$X15:$AC15)</f>
        <v>9.6971375627725749</v>
      </c>
    </row>
    <row r="17" spans="1:32" x14ac:dyDescent="0.2">
      <c r="A17">
        <v>2023.5</v>
      </c>
      <c r="B17">
        <f>[6]Manu_water!R16</f>
        <v>4.1740000844833194</v>
      </c>
      <c r="C17">
        <f>[6]Manu_water!S16</f>
        <v>3.3204132998144678</v>
      </c>
      <c r="D17">
        <f>[6]Manu_water!T16</f>
        <v>170.94470241093507</v>
      </c>
      <c r="E17">
        <f>[6]Manu_water!U16</f>
        <v>0.21093085598742017</v>
      </c>
      <c r="F17">
        <f>[6]Manu_water!V16</f>
        <v>84.013287620282696</v>
      </c>
      <c r="G17">
        <f>[6]Manu_water!W16</f>
        <v>0.78018826350736714</v>
      </c>
      <c r="H17">
        <f>SUM([6]Manu_water!$X16:$AC16)</f>
        <v>17.300292919858446</v>
      </c>
      <c r="J17">
        <f>[6]Manu_solid!R16</f>
        <v>1.0254463875374249</v>
      </c>
      <c r="K17">
        <f>[6]Manu_solid!S16</f>
        <v>1.0394853800850302E-2</v>
      </c>
      <c r="L17">
        <f>[6]Manu_solid!T16</f>
        <v>0.60545808489981867</v>
      </c>
      <c r="M17">
        <f>[6]Manu_solid!U16</f>
        <v>7.2785999601292894E-2</v>
      </c>
      <c r="N17">
        <f>[6]Manu_solid!V16</f>
        <v>0.1463724956682062</v>
      </c>
      <c r="O17">
        <f>[6]Manu_solid!W16</f>
        <v>0.64171329033073476</v>
      </c>
      <c r="P17">
        <f>SUM([6]Manu_solid!$X16:$AC16)</f>
        <v>0.16438624629656373</v>
      </c>
      <c r="R17">
        <f>[6]Manu_gas!R16</f>
        <v>2.1231073094084705</v>
      </c>
      <c r="S17">
        <f>[6]Manu_gas!S16</f>
        <v>0</v>
      </c>
      <c r="T17">
        <f>[6]Manu_gas!T16</f>
        <v>0</v>
      </c>
      <c r="U17">
        <f>[6]Manu_gas!U16</f>
        <v>0.14408657063929409</v>
      </c>
      <c r="V17">
        <f>[6]Manu_gas!V16</f>
        <v>0</v>
      </c>
      <c r="W17">
        <f>[6]Manu_gas!W16</f>
        <v>0</v>
      </c>
      <c r="X17">
        <f>SUM([6]Manu_gas!$X16:$AC16)</f>
        <v>0.14888347862251311</v>
      </c>
      <c r="Z17">
        <f>[6]Manu_solvent!R16</f>
        <v>137.06318616521349</v>
      </c>
      <c r="AA17">
        <f>[6]Manu_solvent!S16</f>
        <v>6.9794018377137737E-2</v>
      </c>
      <c r="AB17">
        <f>[6]Manu_solvent!T16</f>
        <v>19.330221426159351</v>
      </c>
      <c r="AC17">
        <f>[6]Manu_solvent!U16</f>
        <v>9.3879085200034922</v>
      </c>
      <c r="AD17">
        <f>[6]Manu_solvent!V16</f>
        <v>22.356327404417534</v>
      </c>
      <c r="AE17">
        <f>[6]Manu_solvent!W16</f>
        <v>66.4223917067863</v>
      </c>
      <c r="AF17">
        <f>SUM([6]Manu_solvent!$X16:$AC16)</f>
        <v>16.728200244933085</v>
      </c>
    </row>
    <row r="18" spans="1:32" x14ac:dyDescent="0.2">
      <c r="A18">
        <v>2023.75</v>
      </c>
      <c r="B18">
        <f>[6]Manu_water!R17</f>
        <v>5.7640361417067361</v>
      </c>
      <c r="C18">
        <f>[6]Manu_water!S17</f>
        <v>4.5852855481921839</v>
      </c>
      <c r="D18">
        <f>[6]Manu_water!T17</f>
        <v>236.9336704652049</v>
      </c>
      <c r="E18">
        <f>[6]Manu_water!U17</f>
        <v>0.29128247549212227</v>
      </c>
      <c r="F18">
        <f>[6]Manu_water!V17</f>
        <v>115.55262875163137</v>
      </c>
      <c r="G18">
        <f>[6]Manu_water!W17</f>
        <v>1.1037207669998401</v>
      </c>
      <c r="H18">
        <f>SUM([6]Manu_water!$X17:$AC17)</f>
        <v>26.069001397798107</v>
      </c>
      <c r="J18">
        <f>[6]Manu_solid!R17</f>
        <v>1.4160780832566728</v>
      </c>
      <c r="K18">
        <f>[6]Manu_solid!S17</f>
        <v>1.4354650642819895E-2</v>
      </c>
      <c r="L18">
        <f>[6]Manu_solid!T17</f>
        <v>0.83918018133898731</v>
      </c>
      <c r="M18">
        <f>[6]Manu_solid!U17</f>
        <v>0.10051296689516898</v>
      </c>
      <c r="N18">
        <f>[6]Manu_solid!V17</f>
        <v>0.2013220423874312</v>
      </c>
      <c r="O18">
        <f>[6]Manu_solid!W17</f>
        <v>0.90782227588731423</v>
      </c>
      <c r="P18">
        <f>SUM([6]Manu_solid!$X17:$AC17)</f>
        <v>0.24939610295983827</v>
      </c>
      <c r="R18">
        <f>[6]Manu_gas!R17</f>
        <v>2.9318799751933922</v>
      </c>
      <c r="S18">
        <f>[6]Manu_gas!S17</f>
        <v>0</v>
      </c>
      <c r="T18">
        <f>[6]Manu_gas!T17</f>
        <v>0</v>
      </c>
      <c r="U18">
        <f>[6]Manu_gas!U17</f>
        <v>0.19897464875166102</v>
      </c>
      <c r="V18">
        <f>[6]Manu_gas!V17</f>
        <v>0</v>
      </c>
      <c r="W18">
        <f>[6]Manu_gas!W17</f>
        <v>0</v>
      </c>
      <c r="X18">
        <f>SUM([6]Manu_gas!$X17:$AC17)</f>
        <v>0.22402393971111306</v>
      </c>
      <c r="Z18">
        <f>[6]Manu_solvent!R17</f>
        <v>189.27578887472987</v>
      </c>
      <c r="AA18">
        <f>[6]Manu_solvent!S17</f>
        <v>9.6381225744647858E-2</v>
      </c>
      <c r="AB18">
        <f>[6]Manu_solvent!T17</f>
        <v>26.792174596877761</v>
      </c>
      <c r="AC18">
        <f>[6]Manu_solvent!U17</f>
        <v>12.964121444438121</v>
      </c>
      <c r="AD18">
        <f>[6]Manu_solvent!V17</f>
        <v>30.749093077853882</v>
      </c>
      <c r="AE18">
        <f>[6]Manu_solvent!W17</f>
        <v>93.966772572304549</v>
      </c>
      <c r="AF18">
        <f>SUM([6]Manu_solvent!$X17:$AC17)</f>
        <v>25.360089005694185</v>
      </c>
    </row>
    <row r="19" spans="1:32" x14ac:dyDescent="0.2">
      <c r="A19">
        <v>2024</v>
      </c>
      <c r="B19">
        <f>[6]Manu_water!R18</f>
        <v>7.2715246890044796</v>
      </c>
      <c r="C19">
        <f>[6]Manu_water!S18</f>
        <v>5.7844913269302118</v>
      </c>
      <c r="D19">
        <f>[6]Manu_water!T18</f>
        <v>299.28065495396277</v>
      </c>
      <c r="E19">
        <f>[6]Manu_water!U18</f>
        <v>0.36746260084832633</v>
      </c>
      <c r="F19">
        <f>[6]Manu_water!V18</f>
        <v>145.40390429209711</v>
      </c>
      <c r="G19">
        <f>[6]Manu_water!W18</f>
        <v>1.4206677081875987</v>
      </c>
      <c r="H19">
        <f>SUM([6]Manu_water!$X18:$AC18)</f>
        <v>35.039620899213325</v>
      </c>
      <c r="J19">
        <f>[6]Manu_solid!R18</f>
        <v>1.7864299408972948</v>
      </c>
      <c r="K19">
        <f>[6]Manu_solid!S18</f>
        <v>1.8108872669280629E-2</v>
      </c>
      <c r="L19">
        <f>[6]Manu_solid!T18</f>
        <v>1.0600029696176099</v>
      </c>
      <c r="M19">
        <f>[6]Manu_solid!U18</f>
        <v>0.12680047494061966</v>
      </c>
      <c r="N19">
        <f>[6]Manu_solid!V18</f>
        <v>0.25333054989264608</v>
      </c>
      <c r="O19">
        <f>[6]Manu_solid!W18</f>
        <v>1.1685145651759468</v>
      </c>
      <c r="P19">
        <f>SUM([6]Manu_solid!$X18:$AC18)</f>
        <v>0.33730779517754694</v>
      </c>
      <c r="R19">
        <f>[6]Manu_gas!R18</f>
        <v>3.6986648072098913</v>
      </c>
      <c r="S19">
        <f>[6]Manu_gas!S18</f>
        <v>0</v>
      </c>
      <c r="T19">
        <f>[6]Manu_gas!T18</f>
        <v>0</v>
      </c>
      <c r="U19">
        <f>[6]Manu_gas!U18</f>
        <v>0.25101318508653281</v>
      </c>
      <c r="V19">
        <f>[6]Manu_gas!V18</f>
        <v>0</v>
      </c>
      <c r="W19">
        <f>[6]Manu_gas!W18</f>
        <v>0</v>
      </c>
      <c r="X19">
        <f>SUM([6]Manu_gas!$X18:$AC18)</f>
        <v>0.30110159717029833</v>
      </c>
      <c r="Z19">
        <f>[6]Manu_solvent!R18</f>
        <v>238.77774843824398</v>
      </c>
      <c r="AA19">
        <f>[6]Manu_solvent!S18</f>
        <v>0.12158814506516992</v>
      </c>
      <c r="AB19">
        <f>[6]Manu_solvent!T18</f>
        <v>33.842296644672309</v>
      </c>
      <c r="AC19">
        <f>[6]Manu_solvent!U18</f>
        <v>16.354673502545232</v>
      </c>
      <c r="AD19">
        <f>[6]Manu_solvent!V18</f>
        <v>38.692656629829628</v>
      </c>
      <c r="AE19">
        <f>[6]Manu_solvent!W18</f>
        <v>120.95048261069871</v>
      </c>
      <c r="AF19">
        <f>SUM([6]Manu_solvent!$X18:$AC18)</f>
        <v>34.292776307931433</v>
      </c>
    </row>
    <row r="20" spans="1:32" x14ac:dyDescent="0.2">
      <c r="A20">
        <v>2024.25</v>
      </c>
      <c r="B20">
        <f>[6]Manu_water!R19</f>
        <v>8.5308814295109077</v>
      </c>
      <c r="C20">
        <f>[6]Manu_water!S19</f>
        <v>6.7863084773259237</v>
      </c>
      <c r="D20">
        <f>[6]Manu_water!T19</f>
        <v>351.18743698914727</v>
      </c>
      <c r="E20">
        <f>[6]Manu_water!U19</f>
        <v>0.43110351840749073</v>
      </c>
      <c r="F20">
        <f>[6]Manu_water!V19</f>
        <v>170.29995168597284</v>
      </c>
      <c r="G20">
        <f>[6]Manu_water!W19</f>
        <v>1.6938509235135166</v>
      </c>
      <c r="H20">
        <f>SUM([6]Manu_water!$X19:$AC19)</f>
        <v>43.200936977884119</v>
      </c>
      <c r="J20">
        <f>[6]Manu_solid!R19</f>
        <v>2.095822081298528</v>
      </c>
      <c r="K20">
        <f>[6]Manu_solid!S19</f>
        <v>2.1245151762648243E-2</v>
      </c>
      <c r="L20">
        <f>[6]Manu_solid!T19</f>
        <v>1.2438482739826824</v>
      </c>
      <c r="M20">
        <f>[6]Manu_solid!U19</f>
        <v>0.14876107325328908</v>
      </c>
      <c r="N20">
        <f>[6]Manu_solid!V19</f>
        <v>0.29670579079246495</v>
      </c>
      <c r="O20">
        <f>[6]Manu_solid!W19</f>
        <v>1.3932107163098186</v>
      </c>
      <c r="P20">
        <f>SUM([6]Manu_solid!$X19:$AC19)</f>
        <v>0.41813951703233132</v>
      </c>
      <c r="R20">
        <f>[6]Manu_gas!R19</f>
        <v>4.3392372669138526</v>
      </c>
      <c r="S20">
        <f>[6]Manu_gas!S19</f>
        <v>0</v>
      </c>
      <c r="T20">
        <f>[6]Manu_gas!T19</f>
        <v>0</v>
      </c>
      <c r="U20">
        <f>[6]Manu_gas!U19</f>
        <v>0.29448620623610289</v>
      </c>
      <c r="V20">
        <f>[6]Manu_gas!V19</f>
        <v>0</v>
      </c>
      <c r="W20">
        <f>[6]Manu_gas!W19</f>
        <v>0</v>
      </c>
      <c r="X20">
        <f>SUM([6]Manu_gas!$X19:$AC19)</f>
        <v>0.37141209090850713</v>
      </c>
      <c r="Z20">
        <f>[6]Manu_solvent!R19</f>
        <v>280.13171199328201</v>
      </c>
      <c r="AA20">
        <f>[6]Manu_solvent!S19</f>
        <v>0.14264601897778104</v>
      </c>
      <c r="AB20">
        <f>[6]Manu_solvent!T19</f>
        <v>39.711853151006736</v>
      </c>
      <c r="AC20">
        <f>[6]Manu_solvent!U19</f>
        <v>19.187142509403817</v>
      </c>
      <c r="AD20">
        <f>[6]Manu_solvent!V19</f>
        <v>45.31761087669819</v>
      </c>
      <c r="AE20">
        <f>[6]Manu_solvent!W19</f>
        <v>144.2083081700371</v>
      </c>
      <c r="AF20">
        <f>SUM([6]Manu_solvent!$X19:$AC19)</f>
        <v>42.511549847496639</v>
      </c>
    </row>
    <row r="21" spans="1:32" x14ac:dyDescent="0.2">
      <c r="A21">
        <v>2024.5</v>
      </c>
      <c r="B21">
        <f>[6]Manu_water!R20</f>
        <v>11.14107331677398</v>
      </c>
      <c r="C21">
        <f>[6]Manu_water!S20</f>
        <v>8.86271376772231</v>
      </c>
      <c r="D21">
        <f>[6]Manu_water!T20</f>
        <v>458.40803339315136</v>
      </c>
      <c r="E21">
        <f>[6]Manu_water!U20</f>
        <v>0.56300816573093992</v>
      </c>
      <c r="F21">
        <f>[6]Manu_water!V20</f>
        <v>221.8152444308904</v>
      </c>
      <c r="G21">
        <f>[6]Manu_water!W20</f>
        <v>2.2772303331136179</v>
      </c>
      <c r="H21">
        <f>SUM([6]Manu_water!$X20:$AC20)</f>
        <v>58.123962171502306</v>
      </c>
      <c r="J21">
        <f>[6]Manu_solid!R20</f>
        <v>2.7370802958164453</v>
      </c>
      <c r="K21">
        <f>[6]Manu_solid!S20</f>
        <v>2.7745526106465197E-2</v>
      </c>
      <c r="L21">
        <f>[6]Manu_solid!T20</f>
        <v>1.6236060321642078</v>
      </c>
      <c r="M21">
        <f>[6]Manu_solid!U20</f>
        <v>0.19427746563954973</v>
      </c>
      <c r="N21">
        <f>[6]Manu_solid!V20</f>
        <v>0.38645852131567082</v>
      </c>
      <c r="O21">
        <f>[6]Manu_solid!W20</f>
        <v>1.8730465943358761</v>
      </c>
      <c r="P21">
        <f>SUM([6]Manu_solid!$X20:$AC20)</f>
        <v>0.5674828382081254</v>
      </c>
      <c r="R21">
        <f>[6]Manu_gas!R20</f>
        <v>5.6669127251410893</v>
      </c>
      <c r="S21">
        <f>[6]Manu_gas!S20</f>
        <v>0</v>
      </c>
      <c r="T21">
        <f>[6]Manu_gas!T20</f>
        <v>0</v>
      </c>
      <c r="U21">
        <f>[6]Manu_gas!U20</f>
        <v>0.38459008504155767</v>
      </c>
      <c r="V21">
        <f>[6]Manu_gas!V20</f>
        <v>0</v>
      </c>
      <c r="W21">
        <f>[6]Manu_gas!W20</f>
        <v>0</v>
      </c>
      <c r="X21">
        <f>SUM([6]Manu_gas!$X20:$AC20)</f>
        <v>0.50031329820586445</v>
      </c>
      <c r="Z21">
        <f>[6]Manu_solvent!R20</f>
        <v>365.84354939856422</v>
      </c>
      <c r="AA21">
        <f>[6]Manu_solvent!S20</f>
        <v>0.18629138957198058</v>
      </c>
      <c r="AB21">
        <f>[6]Manu_solvent!T20</f>
        <v>51.836229283774706</v>
      </c>
      <c r="AC21">
        <f>[6]Manu_solvent!U20</f>
        <v>25.057828221264373</v>
      </c>
      <c r="AD21">
        <f>[6]Manu_solvent!V20</f>
        <v>59.026070378308603</v>
      </c>
      <c r="AE21">
        <f>[6]Manu_solvent!W20</f>
        <v>193.87510972371848</v>
      </c>
      <c r="AF21">
        <f>SUM([6]Manu_solvent!$X20:$AC20)</f>
        <v>57.706240276009325</v>
      </c>
    </row>
    <row r="22" spans="1:32" x14ac:dyDescent="0.2">
      <c r="A22">
        <v>2024.75</v>
      </c>
      <c r="B22">
        <f>[6]Manu_water!R21</f>
        <v>12.6321074149513</v>
      </c>
      <c r="C22">
        <f>[6]Manu_water!S21</f>
        <v>10.048830047036589</v>
      </c>
      <c r="D22">
        <f>[6]Manu_water!T21</f>
        <v>519.45162377237955</v>
      </c>
      <c r="E22">
        <f>[6]Manu_water!U21</f>
        <v>0.63835677432444082</v>
      </c>
      <c r="F22">
        <f>[6]Manu_water!V21</f>
        <v>251.1946215439724</v>
      </c>
      <c r="G22">
        <f>[6]Manu_water!W21</f>
        <v>2.6201438761558862</v>
      </c>
      <c r="H22">
        <f>SUM([6]Manu_water!$X21:$AC21)</f>
        <v>69.196638208981</v>
      </c>
      <c r="J22">
        <f>[6]Manu_solid!R21</f>
        <v>3.1033897109395934</v>
      </c>
      <c r="K22">
        <f>[6]Manu_solid!S21</f>
        <v>3.1458770272475914E-2</v>
      </c>
      <c r="L22">
        <f>[6]Manu_solid!T21</f>
        <v>1.839812412386332</v>
      </c>
      <c r="M22">
        <f>[6]Manu_solid!U21</f>
        <v>0.22027804184434935</v>
      </c>
      <c r="N22">
        <f>[6]Manu_solid!V21</f>
        <v>0.43764486184617751</v>
      </c>
      <c r="O22">
        <f>[6]Manu_solid!W21</f>
        <v>2.1550966946736727</v>
      </c>
      <c r="P22">
        <f>SUM([6]Manu_solid!$X21:$AC21)</f>
        <v>0.67942702871475724</v>
      </c>
      <c r="R22">
        <f>[6]Manu_gas!R21</f>
        <v>6.4253279930721137</v>
      </c>
      <c r="S22">
        <f>[6]Manu_gas!S21</f>
        <v>0</v>
      </c>
      <c r="T22">
        <f>[6]Manu_gas!T21</f>
        <v>0</v>
      </c>
      <c r="U22">
        <f>[6]Manu_gas!U21</f>
        <v>0.43606061344697727</v>
      </c>
      <c r="V22">
        <f>[6]Manu_gas!V21</f>
        <v>0</v>
      </c>
      <c r="W22">
        <f>[6]Manu_gas!W21</f>
        <v>0</v>
      </c>
      <c r="X22">
        <f>SUM([6]Manu_gas!$X21:$AC21)</f>
        <v>0.59620464114971383</v>
      </c>
      <c r="Z22">
        <f>[6]Manu_solvent!R21</f>
        <v>414.80518812417932</v>
      </c>
      <c r="AA22">
        <f>[6]Manu_solvent!S21</f>
        <v>0.21122317182948108</v>
      </c>
      <c r="AB22">
        <f>[6]Manu_solvent!T21</f>
        <v>58.738965092701235</v>
      </c>
      <c r="AC22">
        <f>[6]Manu_solvent!U21</f>
        <v>28.41137192767934</v>
      </c>
      <c r="AD22">
        <f>[6]Manu_solvent!V21</f>
        <v>66.844059559335989</v>
      </c>
      <c r="AE22">
        <f>[6]Manu_solvent!W21</f>
        <v>223.06952181999887</v>
      </c>
      <c r="AF22">
        <f>SUM([6]Manu_solvent!$X21:$AC21)</f>
        <v>69.102964794894945</v>
      </c>
    </row>
    <row r="23" spans="1:32" x14ac:dyDescent="0.2">
      <c r="A23">
        <v>2025</v>
      </c>
      <c r="B23">
        <f>[6]Manu_water!R22</f>
        <v>14.288225133005948</v>
      </c>
      <c r="C23">
        <f>[6]Manu_water!S22</f>
        <v>11.366270196961199</v>
      </c>
      <c r="D23">
        <f>[6]Manu_water!T22</f>
        <v>587.02978871977177</v>
      </c>
      <c r="E23">
        <f>[6]Manu_water!U22</f>
        <v>0.72204779512336392</v>
      </c>
      <c r="F23">
        <f>[6]Manu_water!V22</f>
        <v>283.77427607543547</v>
      </c>
      <c r="G23">
        <f>[6]Manu_water!W22</f>
        <v>3.0116073874562637</v>
      </c>
      <c r="H23">
        <f>SUM([6]Manu_water!$X22:$AC22)</f>
        <v>81.234116797940189</v>
      </c>
      <c r="J23">
        <f>[6]Manu_solid!R22</f>
        <v>3.510256001534334</v>
      </c>
      <c r="K23">
        <f>[6]Manu_solid!S22</f>
        <v>3.5583135679216643E-2</v>
      </c>
      <c r="L23">
        <f>[6]Manu_solid!T22</f>
        <v>2.0791631834428959</v>
      </c>
      <c r="M23">
        <f>[6]Manu_solid!U22</f>
        <v>0.24915733775383689</v>
      </c>
      <c r="N23">
        <f>[6]Manu_solid!V22</f>
        <v>0.49440689886265232</v>
      </c>
      <c r="O23">
        <f>[6]Manu_solid!W22</f>
        <v>2.4770796693363208</v>
      </c>
      <c r="P23">
        <f>SUM([6]Manu_solid!$X22:$AC22)</f>
        <v>0.80234630463013046</v>
      </c>
      <c r="R23">
        <f>[6]Manu_gas!R22</f>
        <v>7.267713129937281</v>
      </c>
      <c r="S23">
        <f>[6]Manu_gas!S22</f>
        <v>0</v>
      </c>
      <c r="T23">
        <f>[6]Manu_gas!T22</f>
        <v>0</v>
      </c>
      <c r="U23">
        <f>[6]Manu_gas!U22</f>
        <v>0.49322983188004443</v>
      </c>
      <c r="V23">
        <f>[6]Manu_gas!V22</f>
        <v>0</v>
      </c>
      <c r="W23">
        <f>[6]Manu_gas!W22</f>
        <v>0</v>
      </c>
      <c r="X23">
        <f>SUM([6]Manu_gas!$X22:$AC22)</f>
        <v>0.70071896177344262</v>
      </c>
      <c r="Z23">
        <f>[6]Manu_solvent!R22</f>
        <v>469.18773879663132</v>
      </c>
      <c r="AA23">
        <f>[6]Manu_solvent!S22</f>
        <v>0.23891533956045458</v>
      </c>
      <c r="AB23">
        <f>[6]Manu_solvent!T22</f>
        <v>66.380622737442906</v>
      </c>
      <c r="AC23">
        <f>[6]Manu_solvent!U22</f>
        <v>32.136211726617326</v>
      </c>
      <c r="AD23">
        <f>[6]Manu_solvent!V22</f>
        <v>75.513657477229643</v>
      </c>
      <c r="AE23">
        <f>[6]Manu_solvent!W22</f>
        <v>256.39730166843555</v>
      </c>
      <c r="AF23">
        <f>SUM([6]Manu_solvent!$X22:$AC22)</f>
        <v>81.624652520038637</v>
      </c>
    </row>
    <row r="24" spans="1:32" x14ac:dyDescent="0.2">
      <c r="A24">
        <v>2025.25</v>
      </c>
      <c r="B24">
        <f>[6]Manu_water!R23</f>
        <v>16.166381205075677</v>
      </c>
      <c r="C24">
        <f>[6]Manu_water!S23</f>
        <v>12.860341657096203</v>
      </c>
      <c r="D24">
        <f>[6]Manu_water!T23</f>
        <v>662.92580085488828</v>
      </c>
      <c r="E24">
        <f>[6]Manu_water!U23</f>
        <v>0.8169594050757335</v>
      </c>
      <c r="F24">
        <f>[6]Manu_water!V23</f>
        <v>320.99206398982869</v>
      </c>
      <c r="G24">
        <f>[6]Manu_water!W23</f>
        <v>3.4652950768952553</v>
      </c>
      <c r="H24">
        <f>SUM([6]Manu_water!$X23:$AC23)</f>
        <v>94.293262083580785</v>
      </c>
      <c r="J24">
        <f>[6]Manu_solid!R23</f>
        <v>3.9716715071293192</v>
      </c>
      <c r="K24">
        <f>[6]Manu_solid!S23</f>
        <v>4.0260461359424619E-2</v>
      </c>
      <c r="L24">
        <f>[6]Manu_solid!T23</f>
        <v>2.3479744043276303</v>
      </c>
      <c r="M24">
        <f>[6]Manu_solid!U23</f>
        <v>0.28190852710359821</v>
      </c>
      <c r="N24">
        <f>[6]Manu_solid!V23</f>
        <v>0.55924974282921258</v>
      </c>
      <c r="O24">
        <f>[6]Manu_solid!W23</f>
        <v>2.8502427039398204</v>
      </c>
      <c r="P24">
        <f>SUM([6]Manu_solid!$X23:$AC23)</f>
        <v>0.93687831581315151</v>
      </c>
      <c r="R24">
        <f>[6]Manu_gas!R23</f>
        <v>8.2230381908170394</v>
      </c>
      <c r="S24">
        <f>[6]Manu_gas!S23</f>
        <v>0</v>
      </c>
      <c r="T24">
        <f>[6]Manu_gas!T23</f>
        <v>0</v>
      </c>
      <c r="U24">
        <f>[6]Manu_gas!U23</f>
        <v>0.5580638189601842</v>
      </c>
      <c r="V24">
        <f>[6]Manu_gas!V23</f>
        <v>0</v>
      </c>
      <c r="W24">
        <f>[6]Manu_gas!W23</f>
        <v>0</v>
      </c>
      <c r="X24">
        <f>SUM([6]Manu_gas!$X23:$AC23)</f>
        <v>0.81455198347652535</v>
      </c>
      <c r="Z24">
        <f>[6]Manu_solvent!R23</f>
        <v>530.86144510784834</v>
      </c>
      <c r="AA24">
        <f>[6]Manu_solvent!S23</f>
        <v>0.27032024055613668</v>
      </c>
      <c r="AB24">
        <f>[6]Manu_solvent!T23</f>
        <v>74.962852541836256</v>
      </c>
      <c r="AC24">
        <f>[6]Manu_solvent!U23</f>
        <v>36.360446761117153</v>
      </c>
      <c r="AD24">
        <f>[6]Manu_solvent!V23</f>
        <v>85.417484305707106</v>
      </c>
      <c r="AE24">
        <f>[6]Manu_solvent!W23</f>
        <v>295.02262177385512</v>
      </c>
      <c r="AF24">
        <f>SUM([6]Manu_solvent!$X23:$AC23)</f>
        <v>95.353979645964785</v>
      </c>
    </row>
    <row r="25" spans="1:32" x14ac:dyDescent="0.2">
      <c r="A25">
        <v>2025.5</v>
      </c>
      <c r="B25">
        <f>[6]Manu_water!R24</f>
        <v>17.809292306583568</v>
      </c>
      <c r="C25">
        <f>[6]Manu_water!S24</f>
        <v>14.167275955477969</v>
      </c>
      <c r="D25">
        <f>[6]Manu_water!T24</f>
        <v>728.68563506956536</v>
      </c>
      <c r="E25">
        <f>[6]Manu_water!U24</f>
        <v>0.89998303658943324</v>
      </c>
      <c r="F25">
        <f>[6]Manu_water!V24</f>
        <v>353.77740240882105</v>
      </c>
      <c r="G25">
        <f>[6]Manu_water!W24</f>
        <v>3.8704211262423134</v>
      </c>
      <c r="H25">
        <f>SUM([6]Manu_water!$X24:$AC24)</f>
        <v>107.27982144061384</v>
      </c>
      <c r="J25">
        <f>[6]Manu_solid!R24</f>
        <v>4.3752932656312575</v>
      </c>
      <c r="K25">
        <f>[6]Manu_solid!S24</f>
        <v>4.4351937248812971E-2</v>
      </c>
      <c r="L25">
        <f>[6]Manu_solid!T24</f>
        <v>2.5808849463065027</v>
      </c>
      <c r="M25">
        <f>[6]Manu_solid!U24</f>
        <v>0.31055752671043824</v>
      </c>
      <c r="N25">
        <f>[6]Manu_solid!V24</f>
        <v>0.61637013344413805</v>
      </c>
      <c r="O25">
        <f>[6]Manu_solid!W24</f>
        <v>3.1834632640088292</v>
      </c>
      <c r="P25">
        <f>SUM([6]Manu_solid!$X24:$AC24)</f>
        <v>1.0718097644551809</v>
      </c>
      <c r="R25">
        <f>[6]Manu_gas!R24</f>
        <v>9.0587057753210534</v>
      </c>
      <c r="S25">
        <f>[6]Manu_gas!S24</f>
        <v>0</v>
      </c>
      <c r="T25">
        <f>[6]Manu_gas!T24</f>
        <v>0</v>
      </c>
      <c r="U25">
        <f>[6]Manu_gas!U24</f>
        <v>0.61477714471250022</v>
      </c>
      <c r="V25">
        <f>[6]Manu_gas!V24</f>
        <v>0</v>
      </c>
      <c r="W25">
        <f>[6]Manu_gas!W24</f>
        <v>0</v>
      </c>
      <c r="X25">
        <f>SUM([6]Manu_gas!$X24:$AC24)</f>
        <v>0.92818796792230363</v>
      </c>
      <c r="Z25">
        <f>[6]Manu_solvent!R24</f>
        <v>584.81032522310738</v>
      </c>
      <c r="AA25">
        <f>[6]Manu_solvent!S24</f>
        <v>0.29779157867060135</v>
      </c>
      <c r="AB25">
        <f>[6]Manu_solvent!T24</f>
        <v>82.398895533455303</v>
      </c>
      <c r="AC25">
        <f>[6]Manu_solvent!U24</f>
        <v>40.05558303693816</v>
      </c>
      <c r="AD25">
        <f>[6]Manu_solvent!V24</f>
        <v>94.141815664722614</v>
      </c>
      <c r="AE25">
        <f>[6]Manu_solvent!W24</f>
        <v>329.51358042962966</v>
      </c>
      <c r="AF25">
        <f>SUM([6]Manu_solvent!$X24:$AC24)</f>
        <v>109.14783183482224</v>
      </c>
    </row>
    <row r="26" spans="1:32" x14ac:dyDescent="0.2">
      <c r="A26">
        <v>2025.75</v>
      </c>
      <c r="B26">
        <f>[6]Manu_water!R25</f>
        <v>19.595255224338104</v>
      </c>
      <c r="C26">
        <f>[6]Manu_water!S25</f>
        <v>15.588007844567441</v>
      </c>
      <c r="D26">
        <f>[6]Manu_water!T25</f>
        <v>799.50676833544469</v>
      </c>
      <c r="E26">
        <f>[6]Manu_water!U25</f>
        <v>0.99023571492649809</v>
      </c>
      <c r="F26">
        <f>[6]Manu_water!V25</f>
        <v>389.65921099176677</v>
      </c>
      <c r="G26">
        <f>[6]Manu_water!W25</f>
        <v>4.3195402996686454</v>
      </c>
      <c r="H26">
        <f>SUM([6]Manu_water!$X25:$AC25)</f>
        <v>120.76996622957947</v>
      </c>
      <c r="J26">
        <f>[6]Manu_solid!R25</f>
        <v>4.8140592419654169</v>
      </c>
      <c r="K26">
        <f>[6]Manu_solid!S25</f>
        <v>4.8799666776373936E-2</v>
      </c>
      <c r="L26">
        <f>[6]Manu_solid!T25</f>
        <v>2.8317217789947513</v>
      </c>
      <c r="M26">
        <f>[6]Manu_solid!U25</f>
        <v>0.34170105655914373</v>
      </c>
      <c r="N26">
        <f>[6]Manu_solid!V25</f>
        <v>0.67888536192933602</v>
      </c>
      <c r="O26">
        <f>[6]Manu_solid!W25</f>
        <v>3.5528686447491022</v>
      </c>
      <c r="P26">
        <f>SUM([6]Manu_solid!$X25:$AC25)</f>
        <v>1.2131387338097279</v>
      </c>
      <c r="R26">
        <f>[6]Manu_gas!R25</f>
        <v>9.9671367404072697</v>
      </c>
      <c r="S26">
        <f>[6]Manu_gas!S25</f>
        <v>0</v>
      </c>
      <c r="T26">
        <f>[6]Manu_gas!T25</f>
        <v>0</v>
      </c>
      <c r="U26">
        <f>[6]Manu_gas!U25</f>
        <v>0.67642862216810085</v>
      </c>
      <c r="V26">
        <f>[6]Manu_gas!V25</f>
        <v>0</v>
      </c>
      <c r="W26">
        <f>[6]Manu_gas!W25</f>
        <v>0</v>
      </c>
      <c r="X26">
        <f>SUM([6]Manu_gas!$X25:$AC25)</f>
        <v>1.0466729845283322</v>
      </c>
      <c r="Z26">
        <f>[6]Manu_solvent!R25</f>
        <v>643.45665079227877</v>
      </c>
      <c r="AA26">
        <f>[6]Manu_solvent!S25</f>
        <v>0.32765490549851067</v>
      </c>
      <c r="AB26">
        <f>[6]Manu_solvent!T25</f>
        <v>90.407264136713138</v>
      </c>
      <c r="AC26">
        <f>[6]Manu_solvent!U25</f>
        <v>44.072462805179356</v>
      </c>
      <c r="AD26">
        <f>[6]Manu_solvent!V25</f>
        <v>103.6901321663769</v>
      </c>
      <c r="AE26">
        <f>[6]Manu_solvent!W25</f>
        <v>367.74995369451688</v>
      </c>
      <c r="AF26">
        <f>SUM([6]Manu_solvent!$X25:$AC25)</f>
        <v>123.61962321414831</v>
      </c>
    </row>
    <row r="27" spans="1:32" x14ac:dyDescent="0.2">
      <c r="A27">
        <v>2026</v>
      </c>
      <c r="B27">
        <f>[6]Manu_water!R26</f>
        <v>21.57152037585395</v>
      </c>
      <c r="C27">
        <f>[6]Manu_water!S26</f>
        <v>17.160124988850001</v>
      </c>
      <c r="D27">
        <f>[6]Manu_water!T26</f>
        <v>877.16028553104206</v>
      </c>
      <c r="E27">
        <f>[6]Manu_water!U26</f>
        <v>1.0901052145982852</v>
      </c>
      <c r="F27">
        <f>[6]Manu_water!V26</f>
        <v>429.62412623609555</v>
      </c>
      <c r="G27">
        <f>[6]Manu_water!W26</f>
        <v>4.8258806732978288</v>
      </c>
      <c r="H27">
        <f>SUM([6]Manu_water!$X26:$AC26)</f>
        <v>135.00560223266976</v>
      </c>
      <c r="J27">
        <f>[6]Manu_solid!R26</f>
        <v>5.2995776701924937</v>
      </c>
      <c r="K27">
        <f>[6]Manu_solid!S26</f>
        <v>5.3721321521444557E-2</v>
      </c>
      <c r="L27">
        <f>[6]Manu_solid!T26</f>
        <v>3.1067577944072653</v>
      </c>
      <c r="M27">
        <f>[6]Manu_solid!U26</f>
        <v>0.37616306700926749</v>
      </c>
      <c r="N27">
        <f>[6]Manu_solid!V26</f>
        <v>0.74851439977773082</v>
      </c>
      <c r="O27">
        <f>[6]Manu_solid!W26</f>
        <v>3.969339081933279</v>
      </c>
      <c r="P27">
        <f>SUM([6]Manu_solid!$X26:$AC26)</f>
        <v>1.3634804288526912</v>
      </c>
      <c r="R27">
        <f>[6]Manu_gas!R26</f>
        <v>10.972365035468965</v>
      </c>
      <c r="S27">
        <f>[6]Manu_gas!S26</f>
        <v>0</v>
      </c>
      <c r="T27">
        <f>[6]Manu_gas!T26</f>
        <v>0</v>
      </c>
      <c r="U27">
        <f>[6]Manu_gas!U26</f>
        <v>0.74464933673263145</v>
      </c>
      <c r="V27">
        <f>[6]Manu_gas!V26</f>
        <v>0</v>
      </c>
      <c r="W27">
        <f>[6]Manu_gas!W26</f>
        <v>0</v>
      </c>
      <c r="X27">
        <f>SUM([6]Manu_gas!$X26:$AC26)</f>
        <v>1.1721624303064908</v>
      </c>
      <c r="Z27">
        <f>[6]Manu_solvent!R26</f>
        <v>708.35200126939083</v>
      </c>
      <c r="AA27">
        <f>[6]Manu_solvent!S26</f>
        <v>0.36070030164398487</v>
      </c>
      <c r="AB27">
        <f>[6]Manu_solvent!T26</f>
        <v>99.18823050034203</v>
      </c>
      <c r="AC27">
        <f>[6]Manu_solvent!U26</f>
        <v>48.517358846909602</v>
      </c>
      <c r="AD27">
        <f>[6]Manu_solvent!V26</f>
        <v>114.32498238114589</v>
      </c>
      <c r="AE27">
        <f>[6]Manu_solvent!W26</f>
        <v>410.85793186758326</v>
      </c>
      <c r="AF27">
        <f>SUM([6]Manu_solvent!$X26:$AC26)</f>
        <v>139.03879278540737</v>
      </c>
    </row>
    <row r="28" spans="1:32" x14ac:dyDescent="0.2">
      <c r="A28">
        <v>2026.25</v>
      </c>
      <c r="B28">
        <f>[6]Manu_water!R27</f>
        <v>23.597070975921554</v>
      </c>
      <c r="C28">
        <f>[6]Manu_water!S27</f>
        <v>18.771448662971149</v>
      </c>
      <c r="D28">
        <f>[6]Manu_water!T27</f>
        <v>956.4837296939794</v>
      </c>
      <c r="E28">
        <f>[6]Manu_water!U27</f>
        <v>1.1924653279836159</v>
      </c>
      <c r="F28">
        <f>[6]Manu_water!V27</f>
        <v>470.62726072596934</v>
      </c>
      <c r="G28">
        <f>[6]Manu_water!W27</f>
        <v>5.3404099631766311</v>
      </c>
      <c r="H28">
        <f>SUM([6]Manu_water!$X27:$AC27)</f>
        <v>150.10178611838427</v>
      </c>
      <c r="J28">
        <f>[6]Manu_solid!R27</f>
        <v>5.7972042882021819</v>
      </c>
      <c r="K28">
        <f>[6]Manu_solid!S27</f>
        <v>5.8765715850088579E-2</v>
      </c>
      <c r="L28">
        <f>[6]Manu_solid!T27</f>
        <v>3.3877084171127132</v>
      </c>
      <c r="M28">
        <f>[6]Manu_solid!U27</f>
        <v>0.41148451458589569</v>
      </c>
      <c r="N28">
        <f>[6]Manu_solid!V27</f>
        <v>0.81995227937396953</v>
      </c>
      <c r="O28">
        <f>[6]Manu_solid!W27</f>
        <v>4.3925449913574024</v>
      </c>
      <c r="P28">
        <f>SUM([6]Manu_solid!$X27:$AC27)</f>
        <v>1.5226560146090666</v>
      </c>
      <c r="R28">
        <f>[6]Manu_gas!R27</f>
        <v>12.002662399517192</v>
      </c>
      <c r="S28">
        <f>[6]Manu_gas!S27</f>
        <v>0</v>
      </c>
      <c r="T28">
        <f>[6]Manu_gas!T27</f>
        <v>0</v>
      </c>
      <c r="U28">
        <f>[6]Manu_gas!U27</f>
        <v>0.81457138601697698</v>
      </c>
      <c r="V28">
        <f>[6]Manu_gas!V27</f>
        <v>0</v>
      </c>
      <c r="W28">
        <f>[6]Manu_gas!W27</f>
        <v>0</v>
      </c>
      <c r="X28">
        <f>SUM([6]Manu_gas!$X27:$AC27)</f>
        <v>1.305482938724027</v>
      </c>
      <c r="Z28">
        <f>[6]Manu_solvent!R27</f>
        <v>774.86575626815056</v>
      </c>
      <c r="AA28">
        <f>[6]Manu_solvent!S27</f>
        <v>0.39456980642202333</v>
      </c>
      <c r="AB28">
        <f>[6]Manu_solvent!T27</f>
        <v>108.15803019772699</v>
      </c>
      <c r="AC28">
        <f>[6]Manu_solvent!U27</f>
        <v>53.073104738425727</v>
      </c>
      <c r="AD28">
        <f>[6]Manu_solvent!V27</f>
        <v>125.23610757608084</v>
      </c>
      <c r="AE28">
        <f>[6]Manu_solvent!W27</f>
        <v>454.66308459226491</v>
      </c>
      <c r="AF28">
        <f>SUM([6]Manu_solvent!$X27:$AC27)</f>
        <v>155.37207823785579</v>
      </c>
    </row>
    <row r="29" spans="1:32" x14ac:dyDescent="0.2">
      <c r="A29">
        <v>2026.5</v>
      </c>
      <c r="B29">
        <f>[6]Manu_water!R28</f>
        <v>26.717145457409899</v>
      </c>
      <c r="C29">
        <f>[6]Manu_water!S28</f>
        <v>21.253465096861099</v>
      </c>
      <c r="D29">
        <f>[6]Manu_water!T28</f>
        <v>1078.2716375492585</v>
      </c>
      <c r="E29">
        <f>[6]Manu_water!U28</f>
        <v>1.3501366187848256</v>
      </c>
      <c r="F29">
        <f>[6]Manu_water!V28</f>
        <v>533.84890945613563</v>
      </c>
      <c r="G29">
        <f>[6]Manu_water!W28</f>
        <v>6.1263338658513655</v>
      </c>
      <c r="H29">
        <f>SUM([6]Manu_water!$X28:$AC28)</f>
        <v>167.98202411311578</v>
      </c>
      <c r="J29">
        <f>[6]Manu_solid!R28</f>
        <v>6.5637277767339208</v>
      </c>
      <c r="K29">
        <f>[6]Manu_solid!S28</f>
        <v>6.653589252147929E-2</v>
      </c>
      <c r="L29">
        <f>[6]Manu_solid!T28</f>
        <v>3.8190612020428647</v>
      </c>
      <c r="M29">
        <f>[6]Manu_solid!U28</f>
        <v>0.46589221352434129</v>
      </c>
      <c r="N29">
        <f>[6]Manu_solid!V28</f>
        <v>0.93010045672798869</v>
      </c>
      <c r="O29">
        <f>[6]Manu_solid!W28</f>
        <v>5.0389759069773143</v>
      </c>
      <c r="P29">
        <f>SUM([6]Manu_solid!$X28:$AC28)</f>
        <v>1.7108935267162531</v>
      </c>
      <c r="R29">
        <f>[6]Manu_gas!R28</f>
        <v>13.589689903942059</v>
      </c>
      <c r="S29">
        <f>[6]Manu_gas!S28</f>
        <v>0</v>
      </c>
      <c r="T29">
        <f>[6]Manu_gas!T28</f>
        <v>0</v>
      </c>
      <c r="U29">
        <f>[6]Manu_gas!U28</f>
        <v>0.92227642269104282</v>
      </c>
      <c r="V29">
        <f>[6]Manu_gas!V28</f>
        <v>0</v>
      </c>
      <c r="W29">
        <f>[6]Manu_gas!W28</f>
        <v>0</v>
      </c>
      <c r="X29">
        <f>SUM([6]Manu_gas!$X28:$AC28)</f>
        <v>1.4636734468304735</v>
      </c>
      <c r="Z29">
        <f>[6]Manu_solvent!R28</f>
        <v>877.32079720006891</v>
      </c>
      <c r="AA29">
        <f>[6]Manu_solvent!S28</f>
        <v>0.44674099264421813</v>
      </c>
      <c r="AB29">
        <f>[6]Manu_solvent!T28</f>
        <v>121.92966039549697</v>
      </c>
      <c r="AC29">
        <f>[6]Manu_solvent!U28</f>
        <v>60.090587540282385</v>
      </c>
      <c r="AD29">
        <f>[6]Manu_solvent!V28</f>
        <v>142.05968296628436</v>
      </c>
      <c r="AE29">
        <f>[6]Manu_solvent!W28</f>
        <v>521.57378776089115</v>
      </c>
      <c r="AF29">
        <f>SUM([6]Manu_solvent!$X28:$AC28)</f>
        <v>174.6968245296504</v>
      </c>
    </row>
    <row r="30" spans="1:32" x14ac:dyDescent="0.2">
      <c r="A30">
        <v>2026.75</v>
      </c>
      <c r="B30">
        <f>[6]Manu_water!R29</f>
        <v>30.468578745088756</v>
      </c>
      <c r="C30">
        <f>[6]Manu_water!S29</f>
        <v>24.237726891220287</v>
      </c>
      <c r="D30">
        <f>[6]Manu_water!T29</f>
        <v>1224.2383694599803</v>
      </c>
      <c r="E30">
        <f>[6]Manu_water!U29</f>
        <v>1.5397132882945854</v>
      </c>
      <c r="F30">
        <f>[6]Manu_water!V29</f>
        <v>609.93621372271696</v>
      </c>
      <c r="G30">
        <f>[6]Manu_water!W29</f>
        <v>7.0635452682024411</v>
      </c>
      <c r="H30">
        <f>SUM([6]Manu_water!$X29:$AC29)</f>
        <v>189.62968893552886</v>
      </c>
      <c r="J30">
        <f>[6]Manu_solid!R29</f>
        <v>7.4853601761290722</v>
      </c>
      <c r="K30">
        <f>[6]Manu_solid!S29</f>
        <v>7.5878393666610922E-2</v>
      </c>
      <c r="L30">
        <f>[6]Manu_solid!T29</f>
        <v>4.3360514141718225</v>
      </c>
      <c r="M30">
        <f>[6]Manu_solid!U29</f>
        <v>0.53130951497489221</v>
      </c>
      <c r="N30">
        <f>[6]Manu_solid!V29</f>
        <v>1.0626638753207984</v>
      </c>
      <c r="O30">
        <f>[6]Manu_solid!W29</f>
        <v>5.8098424283916188</v>
      </c>
      <c r="P30">
        <f>SUM([6]Manu_solid!$X29:$AC29)</f>
        <v>1.9384471793767659</v>
      </c>
      <c r="R30">
        <f>[6]Manu_gas!R29</f>
        <v>15.497858392830613</v>
      </c>
      <c r="S30">
        <f>[6]Manu_gas!S29</f>
        <v>0</v>
      </c>
      <c r="T30">
        <f>[6]Manu_gas!T29</f>
        <v>0</v>
      </c>
      <c r="U30">
        <f>[6]Manu_gas!U29</f>
        <v>1.0517759786237659</v>
      </c>
      <c r="V30">
        <f>[6]Manu_gas!V29</f>
        <v>0</v>
      </c>
      <c r="W30">
        <f>[6]Manu_gas!W29</f>
        <v>0</v>
      </c>
      <c r="X30">
        <f>SUM([6]Manu_gas!$X29:$AC29)</f>
        <v>1.6555289732708764</v>
      </c>
      <c r="Z30">
        <f>[6]Manu_solvent!R29</f>
        <v>1000.5080010065476</v>
      </c>
      <c r="AA30">
        <f>[6]Manu_solvent!S29</f>
        <v>0.50946921461867334</v>
      </c>
      <c r="AB30">
        <f>[6]Manu_solvent!T29</f>
        <v>138.43540294787104</v>
      </c>
      <c r="AC30">
        <f>[6]Manu_solvent!U29</f>
        <v>68.528084380435075</v>
      </c>
      <c r="AD30">
        <f>[6]Manu_solvent!V29</f>
        <v>162.30686925890313</v>
      </c>
      <c r="AE30">
        <f>[6]Manu_solvent!W29</f>
        <v>601.36455851559856</v>
      </c>
      <c r="AF30">
        <f>SUM([6]Manu_solvent!$X29:$AC29)</f>
        <v>198.06889141376317</v>
      </c>
    </row>
    <row r="31" spans="1:32" x14ac:dyDescent="0.2">
      <c r="A31">
        <v>2027</v>
      </c>
      <c r="B31">
        <f>[6]Manu_water!R30</f>
        <v>34.699358554807652</v>
      </c>
      <c r="C31">
        <f>[6]Manu_water!S30</f>
        <v>27.603308411211096</v>
      </c>
      <c r="D31">
        <f>[6]Manu_water!T30</f>
        <v>1388.3463955287798</v>
      </c>
      <c r="E31">
        <f>[6]Manu_water!U30</f>
        <v>1.753513477249006</v>
      </c>
      <c r="F31">
        <f>[6]Manu_water!V30</f>
        <v>695.82516331801401</v>
      </c>
      <c r="G31">
        <f>[6]Manu_water!W30</f>
        <v>8.1120233270314657</v>
      </c>
      <c r="H31">
        <f>SUM([6]Manu_water!$X30:$AC30)</f>
        <v>213.37609348163761</v>
      </c>
      <c r="J31">
        <f>[6]Manu_solid!R30</f>
        <v>8.5247559079285242</v>
      </c>
      <c r="K31">
        <f>[6]Manu_solid!S30</f>
        <v>8.6414650661215425E-2</v>
      </c>
      <c r="L31">
        <f>[6]Manu_solid!T30</f>
        <v>4.9172951133269533</v>
      </c>
      <c r="M31">
        <f>[6]Manu_solid!U30</f>
        <v>0.60508563651550218</v>
      </c>
      <c r="N31">
        <f>[6]Manu_solid!V30</f>
        <v>1.2123042507743271</v>
      </c>
      <c r="O31">
        <f>[6]Manu_solid!W30</f>
        <v>6.6722269789436304</v>
      </c>
      <c r="P31">
        <f>SUM([6]Manu_solid!$X30:$AC30)</f>
        <v>2.1876920282598906</v>
      </c>
      <c r="R31">
        <f>[6]Manu_gas!R30</f>
        <v>17.649846738950604</v>
      </c>
      <c r="S31">
        <f>[6]Manu_gas!S30</f>
        <v>0</v>
      </c>
      <c r="T31">
        <f>[6]Manu_gas!T30</f>
        <v>0</v>
      </c>
      <c r="U31">
        <f>[6]Manu_gas!U30</f>
        <v>1.197822586571504</v>
      </c>
      <c r="V31">
        <f>[6]Manu_gas!V30</f>
        <v>0</v>
      </c>
      <c r="W31">
        <f>[6]Manu_gas!W30</f>
        <v>0</v>
      </c>
      <c r="X31">
        <f>SUM([6]Manu_gas!$X30:$AC30)</f>
        <v>1.8663417370946809</v>
      </c>
      <c r="Z31">
        <f>[6]Manu_solvent!R30</f>
        <v>1139.4356840315729</v>
      </c>
      <c r="AA31">
        <f>[6]Manu_solvent!S30</f>
        <v>0.58021265443958925</v>
      </c>
      <c r="AB31">
        <f>[6]Manu_solvent!T30</f>
        <v>156.99254123282384</v>
      </c>
      <c r="AC31">
        <f>[6]Manu_solvent!U30</f>
        <v>78.043698424040272</v>
      </c>
      <c r="AD31">
        <f>[6]Manu_solvent!V30</f>
        <v>185.16231905694681</v>
      </c>
      <c r="AE31">
        <f>[6]Manu_solvent!W30</f>
        <v>690.62816779681509</v>
      </c>
      <c r="AF31">
        <f>SUM([6]Manu_solvent!$X30:$AC30)</f>
        <v>223.68071493036365</v>
      </c>
    </row>
    <row r="32" spans="1:32" x14ac:dyDescent="0.2">
      <c r="A32">
        <v>2027.25</v>
      </c>
      <c r="B32">
        <f>[6]Manu_water!R31</f>
        <v>39.820592336692208</v>
      </c>
      <c r="C32">
        <f>[6]Manu_water!S31</f>
        <v>31.677245262348833</v>
      </c>
      <c r="D32">
        <f>[6]Manu_water!T31</f>
        <v>1586.3945020537367</v>
      </c>
      <c r="E32">
        <f>[6]Manu_water!U31</f>
        <v>2.0123122801863373</v>
      </c>
      <c r="F32">
        <f>[6]Manu_water!V31</f>
        <v>799.88465158377812</v>
      </c>
      <c r="G32">
        <f>[6]Manu_water!W31</f>
        <v>9.3711908932175572</v>
      </c>
      <c r="H32">
        <f>SUM([6]Manu_water!$X31:$AC31)</f>
        <v>241.20230472682368</v>
      </c>
      <c r="J32">
        <f>[6]Manu_solid!R31</f>
        <v>9.7829136882531049</v>
      </c>
      <c r="K32">
        <f>[6]Manu_solid!S31</f>
        <v>9.9168478012719968E-2</v>
      </c>
      <c r="L32">
        <f>[6]Manu_solid!T31</f>
        <v>5.6187490080863451</v>
      </c>
      <c r="M32">
        <f>[6]Manu_solid!U31</f>
        <v>0.69438944879669395</v>
      </c>
      <c r="N32">
        <f>[6]Manu_solid!V31</f>
        <v>1.3936023219111018</v>
      </c>
      <c r="O32">
        <f>[6]Manu_solid!W31</f>
        <v>7.7079059294863024</v>
      </c>
      <c r="P32">
        <f>SUM([6]Manu_solid!$X31:$AC31)</f>
        <v>2.4793360795730326</v>
      </c>
      <c r="R32">
        <f>[6]Manu_gas!R31</f>
        <v>20.254764960186002</v>
      </c>
      <c r="S32">
        <f>[6]Manu_gas!S31</f>
        <v>0</v>
      </c>
      <c r="T32">
        <f>[6]Manu_gas!T31</f>
        <v>0</v>
      </c>
      <c r="U32">
        <f>[6]Manu_gas!U31</f>
        <v>1.3746076843526387</v>
      </c>
      <c r="V32">
        <f>[6]Manu_gas!V31</f>
        <v>0</v>
      </c>
      <c r="W32">
        <f>[6]Manu_gas!W31</f>
        <v>0</v>
      </c>
      <c r="X32">
        <f>SUM([6]Manu_gas!$X31:$AC31)</f>
        <v>2.1137814247802216</v>
      </c>
      <c r="Z32">
        <f>[6]Manu_solvent!R31</f>
        <v>1307.6035338242527</v>
      </c>
      <c r="AA32">
        <f>[6]Manu_solvent!S31</f>
        <v>0.66584549522826264</v>
      </c>
      <c r="AB32">
        <f>[6]Manu_solvent!T31</f>
        <v>179.38758301046315</v>
      </c>
      <c r="AC32">
        <f>[6]Manu_solvent!U31</f>
        <v>89.562067681532767</v>
      </c>
      <c r="AD32">
        <f>[6]Manu_solvent!V31</f>
        <v>212.85303388434664</v>
      </c>
      <c r="AE32">
        <f>[6]Manu_solvent!W31</f>
        <v>797.8291155907491</v>
      </c>
      <c r="AF32">
        <f>SUM([6]Manu_solvent!$X31:$AC31)</f>
        <v>253.66294320394064</v>
      </c>
    </row>
    <row r="33" spans="1:32" x14ac:dyDescent="0.2">
      <c r="A33">
        <v>2027.5</v>
      </c>
      <c r="B33">
        <f>[6]Manu_water!R32</f>
        <v>46.452534826742806</v>
      </c>
      <c r="C33">
        <f>[6]Manu_water!S32</f>
        <v>36.952949527288858</v>
      </c>
      <c r="D33">
        <f>[6]Manu_water!T32</f>
        <v>1842.1095104208998</v>
      </c>
      <c r="E33">
        <f>[6]Manu_water!U32</f>
        <v>2.3474539375825607</v>
      </c>
      <c r="F33">
        <f>[6]Manu_water!V32</f>
        <v>934.75822722644239</v>
      </c>
      <c r="G33">
        <f>[6]Manu_water!W32</f>
        <v>10.989229319395408</v>
      </c>
      <c r="H33">
        <f>SUM([6]Manu_water!$X32:$AC32)</f>
        <v>279.01554081011085</v>
      </c>
      <c r="J33">
        <f>[6]Manu_solid!R32</f>
        <v>11.412214438403945</v>
      </c>
      <c r="K33">
        <f>[6]Manu_solid!S32</f>
        <v>0.11568454682067175</v>
      </c>
      <c r="L33">
        <f>[6]Manu_solid!T32</f>
        <v>6.5244496063648434</v>
      </c>
      <c r="M33">
        <f>[6]Manu_solid!U32</f>
        <v>0.81003692212355971</v>
      </c>
      <c r="N33">
        <f>[6]Manu_solid!V32</f>
        <v>1.6285863634324724</v>
      </c>
      <c r="O33">
        <f>[6]Manu_solid!W32</f>
        <v>9.0387600462559625</v>
      </c>
      <c r="P33">
        <f>SUM([6]Manu_solid!$X32:$AC32)</f>
        <v>2.8750927288209049</v>
      </c>
      <c r="R33">
        <f>[6]Manu_gas!R32</f>
        <v>23.628105949934923</v>
      </c>
      <c r="S33">
        <f>[6]Manu_gas!S32</f>
        <v>0</v>
      </c>
      <c r="T33">
        <f>[6]Manu_gas!T32</f>
        <v>0</v>
      </c>
      <c r="U33">
        <f>[6]Manu_gas!U32</f>
        <v>1.6035424784894956</v>
      </c>
      <c r="V33">
        <f>[6]Manu_gas!V32</f>
        <v>0</v>
      </c>
      <c r="W33">
        <f>[6]Manu_gas!W32</f>
        <v>0</v>
      </c>
      <c r="X33">
        <f>SUM([6]Manu_gas!$X32:$AC32)</f>
        <v>2.4505694160581739</v>
      </c>
      <c r="Z33">
        <f>[6]Manu_solvent!R32</f>
        <v>1525.3790847951184</v>
      </c>
      <c r="AA33">
        <f>[6]Manu_solvent!S32</f>
        <v>0.77673910008165326</v>
      </c>
      <c r="AB33">
        <f>[6]Manu_solvent!T32</f>
        <v>208.30352871696931</v>
      </c>
      <c r="AC33">
        <f>[6]Manu_solvent!U32</f>
        <v>104.47823158818159</v>
      </c>
      <c r="AD33">
        <f>[6]Manu_solvent!V32</f>
        <v>248.74352098086541</v>
      </c>
      <c r="AE33">
        <f>[6]Manu_solvent!W32</f>
        <v>935.58302341943602</v>
      </c>
      <c r="AF33">
        <f>SUM([6]Manu_solvent!$X32:$AC32)</f>
        <v>294.36638233674682</v>
      </c>
    </row>
    <row r="34" spans="1:32" x14ac:dyDescent="0.2">
      <c r="A34">
        <v>2027.75</v>
      </c>
      <c r="B34">
        <f>[6]Manu_water!R33</f>
        <v>50.362538194208312</v>
      </c>
      <c r="C34">
        <f>[6]Manu_water!S33</f>
        <v>40.06335367699527</v>
      </c>
      <c r="D34">
        <f>[6]Manu_water!T33</f>
        <v>1992.4387432933531</v>
      </c>
      <c r="E34">
        <f>[6]Manu_water!U33</f>
        <v>2.5450438610421062</v>
      </c>
      <c r="F34">
        <f>[6]Manu_water!V33</f>
        <v>1014.3432931320323</v>
      </c>
      <c r="G34">
        <f>[6]Manu_water!W33</f>
        <v>11.935970668817131</v>
      </c>
      <c r="H34">
        <f>SUM([6]Manu_water!$X33:$AC33)</f>
        <v>308.91360376447756</v>
      </c>
      <c r="J34">
        <f>[6]Manu_solid!R33</f>
        <v>12.372803500999277</v>
      </c>
      <c r="K34">
        <f>[6]Manu_solid!S33</f>
        <v>0.12542194800490469</v>
      </c>
      <c r="L34">
        <f>[6]Manu_solid!T33</f>
        <v>7.0568910810390078</v>
      </c>
      <c r="M34">
        <f>[6]Manu_solid!U33</f>
        <v>0.87821936050044513</v>
      </c>
      <c r="N34">
        <f>[6]Manu_solid!V33</f>
        <v>1.7672437716173595</v>
      </c>
      <c r="O34">
        <f>[6]Manu_solid!W33</f>
        <v>9.81746505227383</v>
      </c>
      <c r="P34">
        <f>SUM([6]Manu_solid!$X33:$AC33)</f>
        <v>3.1875760672802711</v>
      </c>
      <c r="R34">
        <f>[6]Manu_gas!R33</f>
        <v>25.616931192209769</v>
      </c>
      <c r="S34">
        <f>[6]Manu_gas!S33</f>
        <v>0</v>
      </c>
      <c r="T34">
        <f>[6]Manu_gas!T33</f>
        <v>0</v>
      </c>
      <c r="U34">
        <f>[6]Manu_gas!U33</f>
        <v>1.7385158769090443</v>
      </c>
      <c r="V34">
        <f>[6]Manu_gas!V33</f>
        <v>0</v>
      </c>
      <c r="W34">
        <f>[6]Manu_gas!W33</f>
        <v>0</v>
      </c>
      <c r="X34">
        <f>SUM([6]Manu_gas!$X33:$AC33)</f>
        <v>2.7172769183670136</v>
      </c>
      <c r="Z34">
        <f>[6]Manu_solvent!R33</f>
        <v>1653.773313020889</v>
      </c>
      <c r="AA34">
        <f>[6]Manu_solvent!S33</f>
        <v>0.84211879374721743</v>
      </c>
      <c r="AB34">
        <f>[6]Manu_solvent!T33</f>
        <v>225.30257763317201</v>
      </c>
      <c r="AC34">
        <f>[6]Manu_solvent!U33</f>
        <v>113.27237466046559</v>
      </c>
      <c r="AD34">
        <f>[6]Manu_solvent!V33</f>
        <v>269.92147794797222</v>
      </c>
      <c r="AE34">
        <f>[6]Manu_solvent!W33</f>
        <v>1016.1851392133855</v>
      </c>
      <c r="AF34">
        <f>SUM([6]Manu_solvent!$X33:$AC33)</f>
        <v>326.51909524938611</v>
      </c>
    </row>
    <row r="35" spans="1:32" x14ac:dyDescent="0.2">
      <c r="A35">
        <v>2028</v>
      </c>
      <c r="B35">
        <f>[6]Manu_water!R34</f>
        <v>57.204802723731902</v>
      </c>
      <c r="C35">
        <f>[6]Manu_water!S34</f>
        <v>45.506368934502433</v>
      </c>
      <c r="D35">
        <f>[6]Manu_water!T34</f>
        <v>2254.7683642774846</v>
      </c>
      <c r="E35">
        <f>[6]Manu_water!U34</f>
        <v>2.8908140299191936</v>
      </c>
      <c r="F35">
        <f>[6]Manu_water!V34</f>
        <v>1153.7271184474155</v>
      </c>
      <c r="G35">
        <f>[6]Manu_water!W34</f>
        <v>13.580437491001534</v>
      </c>
      <c r="H35">
        <f>SUM([6]Manu_water!$X34:$AC34)</f>
        <v>341.76559366012327</v>
      </c>
      <c r="J35">
        <f>[6]Manu_solid!R34</f>
        <v>14.053775063615799</v>
      </c>
      <c r="K35">
        <f>[6]Manu_solid!S34</f>
        <v>0.14246179898994502</v>
      </c>
      <c r="L35">
        <f>[6]Manu_solid!T34</f>
        <v>7.9860195517870274</v>
      </c>
      <c r="M35">
        <f>[6]Manu_solid!U34</f>
        <v>0.9975344187749331</v>
      </c>
      <c r="N35">
        <f>[6]Manu_solid!V34</f>
        <v>2.0100858141690718</v>
      </c>
      <c r="O35">
        <f>[6]Manu_solid!W34</f>
        <v>11.170056810780482</v>
      </c>
      <c r="P35">
        <f>SUM([6]Manu_solid!$X34:$AC34)</f>
        <v>3.5304690230937705</v>
      </c>
      <c r="R35">
        <f>[6]Manu_gas!R34</f>
        <v>29.097252596500315</v>
      </c>
      <c r="S35">
        <f>[6]Manu_gas!S34</f>
        <v>0</v>
      </c>
      <c r="T35">
        <f>[6]Manu_gas!T34</f>
        <v>0</v>
      </c>
      <c r="U35">
        <f>[6]Manu_gas!U34</f>
        <v>1.9747109922687449</v>
      </c>
      <c r="V35">
        <f>[6]Manu_gas!V34</f>
        <v>0</v>
      </c>
      <c r="W35">
        <f>[6]Manu_gas!W34</f>
        <v>0</v>
      </c>
      <c r="X35">
        <f>SUM([6]Manu_gas!$X34:$AC34)</f>
        <v>3.0107822129480439</v>
      </c>
      <c r="Z35">
        <f>[6]Manu_solvent!R34</f>
        <v>1878.4552866720269</v>
      </c>
      <c r="AA35">
        <f>[6]Manu_solvent!S34</f>
        <v>0.95652922178963107</v>
      </c>
      <c r="AB35">
        <f>[6]Manu_solvent!T34</f>
        <v>254.96649578182439</v>
      </c>
      <c r="AC35">
        <f>[6]Manu_solvent!U34</f>
        <v>128.66158217668524</v>
      </c>
      <c r="AD35">
        <f>[6]Manu_solvent!V34</f>
        <v>307.0121635037479</v>
      </c>
      <c r="AE35">
        <f>[6]Manu_solvent!W34</f>
        <v>1156.1890645748122</v>
      </c>
      <c r="AF35">
        <f>SUM([6]Manu_solvent!$X34:$AC34)</f>
        <v>361.81571376361956</v>
      </c>
    </row>
    <row r="36" spans="1:32" x14ac:dyDescent="0.2">
      <c r="A36">
        <v>2028.25</v>
      </c>
      <c r="B36">
        <f>[6]Manu_water!R35</f>
        <v>64.861382657074415</v>
      </c>
      <c r="C36">
        <f>[6]Manu_water!S35</f>
        <v>51.597171360758267</v>
      </c>
      <c r="D36">
        <f>[6]Manu_water!T35</f>
        <v>2550.7209559772077</v>
      </c>
      <c r="E36">
        <f>[6]Manu_water!U35</f>
        <v>3.2777351910566295</v>
      </c>
      <c r="F36">
        <f>[6]Manu_water!V35</f>
        <v>1309.608539340642</v>
      </c>
      <c r="G36">
        <f>[6]Manu_water!W35</f>
        <v>15.476682020825148</v>
      </c>
      <c r="H36">
        <f>SUM([6]Manu_water!$X35:$AC35)</f>
        <v>385.36995525353069</v>
      </c>
      <c r="J36">
        <f>[6]Manu_solid!R35</f>
        <v>15.934803351738008</v>
      </c>
      <c r="K36">
        <f>[6]Manu_solid!S35</f>
        <v>0.16152960622777635</v>
      </c>
      <c r="L36">
        <f>[6]Manu_solid!T35</f>
        <v>9.0342350674741034</v>
      </c>
      <c r="M36">
        <f>[6]Manu_solid!U35</f>
        <v>1.1310494673364426</v>
      </c>
      <c r="N36">
        <f>[6]Manu_solid!V35</f>
        <v>2.2816708604247684</v>
      </c>
      <c r="O36">
        <f>[6]Manu_solid!W35</f>
        <v>12.729738458687349</v>
      </c>
      <c r="P36">
        <f>SUM([6]Manu_solid!$X35:$AC35)</f>
        <v>3.9883628606722077</v>
      </c>
      <c r="R36">
        <f>[6]Manu_gas!R35</f>
        <v>32.991775953598413</v>
      </c>
      <c r="S36">
        <f>[6]Manu_gas!S35</f>
        <v>0</v>
      </c>
      <c r="T36">
        <f>[6]Manu_gas!T35</f>
        <v>0</v>
      </c>
      <c r="U36">
        <f>[6]Manu_gas!U35</f>
        <v>2.2390162924823453</v>
      </c>
      <c r="V36">
        <f>[6]Manu_gas!V35</f>
        <v>0</v>
      </c>
      <c r="W36">
        <f>[6]Manu_gas!W35</f>
        <v>0</v>
      </c>
      <c r="X36">
        <f>SUM([6]Manu_gas!$X35:$AC35)</f>
        <v>3.3983795730238358</v>
      </c>
      <c r="Z36">
        <f>[6]Manu_solvent!R35</f>
        <v>2129.8772367323054</v>
      </c>
      <c r="AA36">
        <f>[6]Manu_solvent!S35</f>
        <v>1.0845559275293557</v>
      </c>
      <c r="AB36">
        <f>[6]Manu_solvent!T35</f>
        <v>288.43245903495313</v>
      </c>
      <c r="AC36">
        <f>[6]Manu_solvent!U35</f>
        <v>145.88229864421055</v>
      </c>
      <c r="AD36">
        <f>[6]Manu_solvent!V35</f>
        <v>348.49293613468876</v>
      </c>
      <c r="AE36">
        <f>[6]Manu_solvent!W35</f>
        <v>1317.6284284093406</v>
      </c>
      <c r="AF36">
        <f>SUM([6]Manu_solvent!$X35:$AC35)</f>
        <v>408.89566235163591</v>
      </c>
    </row>
    <row r="37" spans="1:32" x14ac:dyDescent="0.2">
      <c r="A37">
        <v>2028.5</v>
      </c>
      <c r="B37">
        <f>[6]Manu_water!R36</f>
        <v>72.81009393300134</v>
      </c>
      <c r="C37">
        <f>[6]Manu_water!S36</f>
        <v>57.920364006366484</v>
      </c>
      <c r="D37">
        <f>[6]Manu_water!T36</f>
        <v>2860.4449192430766</v>
      </c>
      <c r="E37">
        <f>[6]Manu_water!U36</f>
        <v>3.679419052937928</v>
      </c>
      <c r="F37">
        <f>[6]Manu_water!V36</f>
        <v>1471.3437611498423</v>
      </c>
      <c r="G37">
        <f>[6]Manu_water!W36</f>
        <v>17.503140248782106</v>
      </c>
      <c r="H37">
        <f>SUM([6]Manu_water!$X36:$AC36)</f>
        <v>433.42175571072232</v>
      </c>
      <c r="J37">
        <f>[6]Manu_solid!R36</f>
        <v>17.88760093163701</v>
      </c>
      <c r="K37">
        <f>[6]Manu_solid!S36</f>
        <v>0.18132493204139777</v>
      </c>
      <c r="L37">
        <f>[6]Manu_solid!T36</f>
        <v>10.131226521445825</v>
      </c>
      <c r="M37">
        <f>[6]Manu_solid!U36</f>
        <v>1.2696586872813977</v>
      </c>
      <c r="N37">
        <f>[6]Manu_solid!V36</f>
        <v>2.5634547153866376</v>
      </c>
      <c r="O37">
        <f>[6]Manu_solid!W36</f>
        <v>14.396522282548052</v>
      </c>
      <c r="P37">
        <f>SUM([6]Manu_solid!$X36:$AC36)</f>
        <v>4.4959670340994382</v>
      </c>
      <c r="R37">
        <f>[6]Manu_gas!R36</f>
        <v>37.034892069727334</v>
      </c>
      <c r="S37">
        <f>[6]Manu_gas!S36</f>
        <v>0</v>
      </c>
      <c r="T37">
        <f>[6]Manu_gas!T36</f>
        <v>0</v>
      </c>
      <c r="U37">
        <f>[6]Manu_gas!U36</f>
        <v>2.5134059727815421</v>
      </c>
      <c r="V37">
        <f>[6]Manu_gas!V36</f>
        <v>0</v>
      </c>
      <c r="W37">
        <f>[6]Manu_gas!W36</f>
        <v>0</v>
      </c>
      <c r="X37">
        <f>SUM([6]Manu_gas!$X36:$AC36)</f>
        <v>3.8233718988700609</v>
      </c>
      <c r="Z37">
        <f>[6]Manu_solvent!R36</f>
        <v>2390.8920118483834</v>
      </c>
      <c r="AA37">
        <f>[6]Manu_solvent!S36</f>
        <v>1.2174674008493853</v>
      </c>
      <c r="AB37">
        <f>[6]Manu_solvent!T36</f>
        <v>323.45567242781175</v>
      </c>
      <c r="AC37">
        <f>[6]Manu_solvent!U36</f>
        <v>163.76005925751906</v>
      </c>
      <c r="AD37">
        <f>[6]Manu_solvent!V36</f>
        <v>391.53143247273272</v>
      </c>
      <c r="AE37">
        <f>[6]Manu_solvent!W36</f>
        <v>1490.1537129985854</v>
      </c>
      <c r="AF37">
        <f>SUM([6]Manu_solvent!$X36:$AC36)</f>
        <v>461.02789654715343</v>
      </c>
    </row>
    <row r="38" spans="1:32" x14ac:dyDescent="0.2">
      <c r="A38">
        <v>2028.75</v>
      </c>
      <c r="B38">
        <f>[6]Manu_water!R37</f>
        <v>78.568404266027017</v>
      </c>
      <c r="C38">
        <f>[6]Manu_water!S37</f>
        <v>62.501094678920914</v>
      </c>
      <c r="D38">
        <f>[6]Manu_water!T37</f>
        <v>3086.6049944181959</v>
      </c>
      <c r="E38">
        <f>[6]Manu_water!U37</f>
        <v>3.9704121777587829</v>
      </c>
      <c r="F38">
        <f>[6]Manu_water!V37</f>
        <v>1588.4426107979211</v>
      </c>
      <c r="G38">
        <f>[6]Manu_water!W37</f>
        <v>19.01284762556768</v>
      </c>
      <c r="H38">
        <f>SUM([6]Manu_water!$X37:$AC37)</f>
        <v>479.81261185306732</v>
      </c>
      <c r="J38">
        <f>[6]Manu_solid!R37</f>
        <v>19.302272328331899</v>
      </c>
      <c r="K38">
        <f>[6]Manu_solid!S37</f>
        <v>0.19566532323454672</v>
      </c>
      <c r="L38">
        <f>[6]Manu_solid!T37</f>
        <v>10.932248396152179</v>
      </c>
      <c r="M38">
        <f>[6]Manu_solid!U37</f>
        <v>1.3700718078181717</v>
      </c>
      <c r="N38">
        <f>[6]Manu_solid!V37</f>
        <v>2.767470667486188</v>
      </c>
      <c r="O38">
        <f>[6]Manu_solid!W37</f>
        <v>15.638272938778609</v>
      </c>
      <c r="P38">
        <f>SUM([6]Manu_solid!$X37:$AC37)</f>
        <v>4.988883268183514</v>
      </c>
      <c r="R38">
        <f>[6]Manu_gas!R37</f>
        <v>39.963859609363233</v>
      </c>
      <c r="S38">
        <f>[6]Manu_gas!S37</f>
        <v>0</v>
      </c>
      <c r="T38">
        <f>[6]Manu_gas!T37</f>
        <v>0</v>
      </c>
      <c r="U38">
        <f>[6]Manu_gas!U37</f>
        <v>2.7121829664971964</v>
      </c>
      <c r="V38">
        <f>[6]Manu_gas!V37</f>
        <v>0</v>
      </c>
      <c r="W38">
        <f>[6]Manu_gas!W37</f>
        <v>0</v>
      </c>
      <c r="X38">
        <f>SUM([6]Manu_gas!$X37:$AC37)</f>
        <v>4.2316422736435877</v>
      </c>
      <c r="Z38">
        <f>[6]Manu_solvent!R37</f>
        <v>2579.9797802235171</v>
      </c>
      <c r="AA38">
        <f>[6]Manu_solvent!S37</f>
        <v>1.3137528845748139</v>
      </c>
      <c r="AB38">
        <f>[6]Manu_solvent!T37</f>
        <v>349.02958182210637</v>
      </c>
      <c r="AC38">
        <f>[6]Manu_solvent!U37</f>
        <v>176.711302559405</v>
      </c>
      <c r="AD38">
        <f>[6]Manu_solvent!V37</f>
        <v>422.69198213774894</v>
      </c>
      <c r="AE38">
        <f>[6]Manu_solvent!W37</f>
        <v>1618.6847092131027</v>
      </c>
      <c r="AF38">
        <f>SUM([6]Manu_solvent!$X37:$AC37)</f>
        <v>511.59604515951077</v>
      </c>
    </row>
    <row r="39" spans="1:32" x14ac:dyDescent="0.2">
      <c r="A39">
        <v>2029</v>
      </c>
      <c r="B39">
        <f>[6]Manu_water!R38</f>
        <v>84.708153410183883</v>
      </c>
      <c r="C39">
        <f>[6]Manu_water!S38</f>
        <v>67.385259581449063</v>
      </c>
      <c r="D39">
        <f>[6]Manu_water!T38</f>
        <v>3329.6392013240534</v>
      </c>
      <c r="E39">
        <f>[6]Manu_water!U38</f>
        <v>4.2806811083559291</v>
      </c>
      <c r="F39">
        <f>[6]Manu_water!V38</f>
        <v>1713.2266901464668</v>
      </c>
      <c r="G39">
        <f>[6]Manu_water!W38</f>
        <v>20.666735836483863</v>
      </c>
      <c r="H39">
        <f>SUM([6]Manu_water!$X38:$AC38)</f>
        <v>528.01991259868214</v>
      </c>
      <c r="J39">
        <f>[6]Manu_solid!R38</f>
        <v>20.810653605962131</v>
      </c>
      <c r="K39">
        <f>[6]Manu_solid!S38</f>
        <v>0.21095564269684414</v>
      </c>
      <c r="L39">
        <f>[6]Manu_solid!T38</f>
        <v>11.793035676501114</v>
      </c>
      <c r="M39">
        <f>[6]Manu_solid!U38</f>
        <v>1.477136438798877</v>
      </c>
      <c r="N39">
        <f>[6]Manu_solid!V38</f>
        <v>2.9848762426192401</v>
      </c>
      <c r="O39">
        <f>[6]Manu_solid!W38</f>
        <v>16.998613891480229</v>
      </c>
      <c r="P39">
        <f>SUM([6]Manu_solid!$X38:$AC38)</f>
        <v>5.5040231040055074</v>
      </c>
      <c r="R39">
        <f>[6]Manu_gas!R38</f>
        <v>43.086846198259629</v>
      </c>
      <c r="S39">
        <f>[6]Manu_gas!S38</f>
        <v>0</v>
      </c>
      <c r="T39">
        <f>[6]Manu_gas!T38</f>
        <v>0</v>
      </c>
      <c r="U39">
        <f>[6]Manu_gas!U38</f>
        <v>2.9241272359896131</v>
      </c>
      <c r="V39">
        <f>[6]Manu_gas!V38</f>
        <v>0</v>
      </c>
      <c r="W39">
        <f>[6]Manu_gas!W38</f>
        <v>0</v>
      </c>
      <c r="X39">
        <f>SUM([6]Manu_gas!$X38:$AC38)</f>
        <v>4.6538201383616515</v>
      </c>
      <c r="Z39">
        <f>[6]Manu_solvent!R38</f>
        <v>2781.5929960645158</v>
      </c>
      <c r="AA39">
        <f>[6]Manu_solvent!S38</f>
        <v>1.4164164581073824</v>
      </c>
      <c r="AB39">
        <f>[6]Manu_solvent!T38</f>
        <v>376.51159774517328</v>
      </c>
      <c r="AC39">
        <f>[6]Manu_solvent!U38</f>
        <v>190.52045496344701</v>
      </c>
      <c r="AD39">
        <f>[6]Manu_solvent!V38</f>
        <v>455.89760724533494</v>
      </c>
      <c r="AE39">
        <f>[6]Manu_solvent!W38</f>
        <v>1759.4907373515575</v>
      </c>
      <c r="AF39">
        <f>SUM([6]Manu_solvent!$X38:$AC38)</f>
        <v>564.3875638465089</v>
      </c>
    </row>
    <row r="40" spans="1:32" x14ac:dyDescent="0.2">
      <c r="A40">
        <v>2029.25</v>
      </c>
      <c r="B40">
        <f>[6]Manu_water!R39</f>
        <v>92.412182492034802</v>
      </c>
      <c r="C40">
        <f>[6]Manu_water!S39</f>
        <v>73.513807762516421</v>
      </c>
      <c r="D40">
        <f>[6]Manu_water!T39</f>
        <v>3636.9549131066619</v>
      </c>
      <c r="E40">
        <f>[6]Manu_water!U39</f>
        <v>4.6700000867689226</v>
      </c>
      <c r="F40">
        <f>[6]Manu_water!V39</f>
        <v>1869.7138682258942</v>
      </c>
      <c r="G40">
        <f>[6]Manu_water!W39</f>
        <v>22.797109171888398</v>
      </c>
      <c r="H40">
        <f>SUM([6]Manu_water!$X39:$AC39)</f>
        <v>579.37375572320207</v>
      </c>
      <c r="J40">
        <f>[6]Manu_solid!R39</f>
        <v>22.703338951330348</v>
      </c>
      <c r="K40">
        <f>[6]Manu_solid!S39</f>
        <v>0.23014161643006037</v>
      </c>
      <c r="L40">
        <f>[6]Manu_solid!T39</f>
        <v>12.881497498899307</v>
      </c>
      <c r="M40">
        <f>[6]Manu_solid!U39</f>
        <v>1.6114789031808254</v>
      </c>
      <c r="N40">
        <f>[6]Manu_solid!V39</f>
        <v>3.2575166718223807</v>
      </c>
      <c r="O40">
        <f>[6]Manu_solid!W39</f>
        <v>18.750869015838937</v>
      </c>
      <c r="P40">
        <f>SUM([6]Manu_solid!$X39:$AC39)</f>
        <v>6.0558526588967982</v>
      </c>
      <c r="R40">
        <f>[6]Manu_gas!R39</f>
        <v>47.005504589374112</v>
      </c>
      <c r="S40">
        <f>[6]Manu_gas!S39</f>
        <v>0</v>
      </c>
      <c r="T40">
        <f>[6]Manu_gas!T39</f>
        <v>0</v>
      </c>
      <c r="U40">
        <f>[6]Manu_gas!U39</f>
        <v>3.1900704818069396</v>
      </c>
      <c r="V40">
        <f>[6]Manu_gas!V39</f>
        <v>0</v>
      </c>
      <c r="W40">
        <f>[6]Manu_gas!W39</f>
        <v>0</v>
      </c>
      <c r="X40">
        <f>SUM([6]Manu_gas!$X39:$AC39)</f>
        <v>5.1013741670485144</v>
      </c>
      <c r="Z40">
        <f>[6]Manu_solvent!R39</f>
        <v>3034.5730513820426</v>
      </c>
      <c r="AA40">
        <f>[6]Manu_solvent!S39</f>
        <v>1.5452365674589772</v>
      </c>
      <c r="AB40">
        <f>[6]Manu_solvent!T39</f>
        <v>411.26248895568438</v>
      </c>
      <c r="AC40">
        <f>[6]Manu_solvent!U39</f>
        <v>207.8478911857718</v>
      </c>
      <c r="AD40">
        <f>[6]Manu_solvent!V39</f>
        <v>497.53957468683353</v>
      </c>
      <c r="AE40">
        <f>[6]Manu_solvent!W39</f>
        <v>1940.8629763157708</v>
      </c>
      <c r="AF40">
        <f>SUM([6]Manu_solvent!$X39:$AC39)</f>
        <v>620.88007835217866</v>
      </c>
    </row>
    <row r="41" spans="1:32" x14ac:dyDescent="0.2">
      <c r="A41">
        <v>2029.5</v>
      </c>
      <c r="B41">
        <f>[6]Manu_water!R40</f>
        <v>105.01501013025187</v>
      </c>
      <c r="C41">
        <f>[6]Manu_water!S40</f>
        <v>83.539345773588437</v>
      </c>
      <c r="D41">
        <f>[6]Manu_water!T40</f>
        <v>4143.525663813768</v>
      </c>
      <c r="E41">
        <f>[6]Manu_water!U40</f>
        <v>5.3068772232771995</v>
      </c>
      <c r="F41">
        <f>[6]Manu_water!V40</f>
        <v>2125.5621055418105</v>
      </c>
      <c r="G41">
        <f>[6]Manu_water!W40</f>
        <v>26.371762954351638</v>
      </c>
      <c r="H41">
        <f>SUM([6]Manu_water!$X40:$AC40)</f>
        <v>637.30898805654863</v>
      </c>
      <c r="J41">
        <f>[6]Manu_solid!R40</f>
        <v>25.799535360719318</v>
      </c>
      <c r="K41">
        <f>[6]Manu_solid!S40</f>
        <v>0.26152746887974915</v>
      </c>
      <c r="L41">
        <f>[6]Manu_solid!T40</f>
        <v>14.675687972565417</v>
      </c>
      <c r="M41">
        <f>[6]Manu_solid!U40</f>
        <v>1.8312463657787521</v>
      </c>
      <c r="N41">
        <f>[6]Manu_solid!V40</f>
        <v>3.703269314874539</v>
      </c>
      <c r="O41">
        <f>[6]Manu_solid!W40</f>
        <v>21.6910604386442</v>
      </c>
      <c r="P41">
        <f>SUM([6]Manu_solid!$X40:$AC40)</f>
        <v>6.6818092261229296</v>
      </c>
      <c r="R41">
        <f>[6]Manu_gas!R40</f>
        <v>53.415939408813244</v>
      </c>
      <c r="S41">
        <f>[6]Manu_gas!S40</f>
        <v>0</v>
      </c>
      <c r="T41">
        <f>[6]Manu_gas!T40</f>
        <v>0</v>
      </c>
      <c r="U41">
        <f>[6]Manu_gas!U40</f>
        <v>3.6251203567456924</v>
      </c>
      <c r="V41">
        <f>[6]Manu_gas!V40</f>
        <v>0</v>
      </c>
      <c r="W41">
        <f>[6]Manu_gas!W40</f>
        <v>0</v>
      </c>
      <c r="X41">
        <f>SUM([6]Manu_gas!$X40:$AC40)</f>
        <v>5.6038642294930137</v>
      </c>
      <c r="Z41">
        <f>[6]Manu_solvent!R40</f>
        <v>3448.4167686369906</v>
      </c>
      <c r="AA41">
        <f>[6]Manu_solvent!S40</f>
        <v>1.7559701481926018</v>
      </c>
      <c r="AB41">
        <f>[6]Manu_solvent!T40</f>
        <v>468.54490040851067</v>
      </c>
      <c r="AC41">
        <f>[6]Manu_solvent!U40</f>
        <v>236.19340881064724</v>
      </c>
      <c r="AD41">
        <f>[6]Manu_solvent!V40</f>
        <v>565.62198309263022</v>
      </c>
      <c r="AE41">
        <f>[6]Manu_solvent!W40</f>
        <v>2245.1960006136642</v>
      </c>
      <c r="AF41">
        <f>SUM([6]Manu_solvent!$X40:$AC40)</f>
        <v>684.89606902111836</v>
      </c>
    </row>
    <row r="42" spans="1:32" x14ac:dyDescent="0.2">
      <c r="A42">
        <v>2029.75</v>
      </c>
      <c r="B42">
        <f>[6]Manu_water!R41</f>
        <v>115.5571206328602</v>
      </c>
      <c r="C42">
        <f>[6]Manu_water!S41</f>
        <v>91.925585163257139</v>
      </c>
      <c r="D42">
        <f>[6]Manu_water!T41</f>
        <v>4570.4600309041798</v>
      </c>
      <c r="E42">
        <f>[6]Manu_water!U41</f>
        <v>5.8396171243844144</v>
      </c>
      <c r="F42">
        <f>[6]Manu_water!V41</f>
        <v>2339.4552509509572</v>
      </c>
      <c r="G42">
        <f>[6]Manu_water!W41</f>
        <v>29.436458300236168</v>
      </c>
      <c r="H42">
        <f>SUM([6]Manu_water!$X41:$AC41)</f>
        <v>704.5959178272692</v>
      </c>
      <c r="J42">
        <f>[6]Manu_solid!R41</f>
        <v>28.389465622605798</v>
      </c>
      <c r="K42">
        <f>[6]Manu_solid!S41</f>
        <v>0.28778134890107337</v>
      </c>
      <c r="L42">
        <f>[6]Manu_solid!T41</f>
        <v>16.18781944333243</v>
      </c>
      <c r="M42">
        <f>[6]Manu_solid!U41</f>
        <v>2.0150791485551856</v>
      </c>
      <c r="N42">
        <f>[6]Manu_solid!V41</f>
        <v>4.075925526608132</v>
      </c>
      <c r="O42">
        <f>[6]Manu_solid!W41</f>
        <v>24.211805528332775</v>
      </c>
      <c r="P42">
        <f>SUM([6]Manu_solid!$X41:$AC41)</f>
        <v>7.4127007708528971</v>
      </c>
      <c r="R42">
        <f>[6]Manu_gas!R41</f>
        <v>58.778189387648631</v>
      </c>
      <c r="S42">
        <f>[6]Manu_gas!S41</f>
        <v>0</v>
      </c>
      <c r="T42">
        <f>[6]Manu_gas!T41</f>
        <v>0</v>
      </c>
      <c r="U42">
        <f>[6]Manu_gas!U41</f>
        <v>3.9890342328541424</v>
      </c>
      <c r="V42">
        <f>[6]Manu_gas!V41</f>
        <v>0</v>
      </c>
      <c r="W42">
        <f>[6]Manu_gas!W41</f>
        <v>0</v>
      </c>
      <c r="X42">
        <f>SUM([6]Manu_gas!$X41:$AC41)</f>
        <v>6.1846949671025016</v>
      </c>
      <c r="Z42">
        <f>[6]Manu_solvent!R41</f>
        <v>3794.5919543454788</v>
      </c>
      <c r="AA42">
        <f>[6]Manu_solvent!S41</f>
        <v>1.9322461997643501</v>
      </c>
      <c r="AB42">
        <f>[6]Manu_solvent!T41</f>
        <v>516.82212534676034</v>
      </c>
      <c r="AC42">
        <f>[6]Manu_solvent!U41</f>
        <v>259.9040860993627</v>
      </c>
      <c r="AD42">
        <f>[6]Manu_solvent!V41</f>
        <v>622.53994599797807</v>
      </c>
      <c r="AE42">
        <f>[6]Manu_solvent!W41</f>
        <v>2506.113018015561</v>
      </c>
      <c r="AF42">
        <f>SUM([6]Manu_solvent!$X41:$AC41)</f>
        <v>759.56956741157182</v>
      </c>
    </row>
    <row r="43" spans="1:32" x14ac:dyDescent="0.2">
      <c r="A43">
        <v>2030</v>
      </c>
      <c r="B43">
        <f>[6]Manu_water!R42</f>
        <v>124.37892199734625</v>
      </c>
      <c r="C43">
        <f>[6]Manu_water!S42</f>
        <v>98.94332018627567</v>
      </c>
      <c r="D43">
        <f>[6]Manu_water!T42</f>
        <v>4930.3828620505319</v>
      </c>
      <c r="E43">
        <f>[6]Manu_water!U42</f>
        <v>6.2854221257018432</v>
      </c>
      <c r="F43">
        <f>[6]Manu_water!V42</f>
        <v>2518.3438740243369</v>
      </c>
      <c r="G43">
        <f>[6]Manu_water!W42</f>
        <v>32.063061279607858</v>
      </c>
      <c r="H43">
        <f>SUM([6]Manu_water!$X42:$AC42)</f>
        <v>771.88780737939487</v>
      </c>
      <c r="J43">
        <f>[6]Manu_solid!R42</f>
        <v>30.556759383431089</v>
      </c>
      <c r="K43">
        <f>[6]Manu_solid!S42</f>
        <v>0.3097510023720616</v>
      </c>
      <c r="L43">
        <f>[6]Manu_solid!T42</f>
        <v>17.46260704999213</v>
      </c>
      <c r="M43">
        <f>[6]Manu_solid!U42</f>
        <v>2.168913268728101</v>
      </c>
      <c r="N43">
        <f>[6]Manu_solid!V42</f>
        <v>4.3875949654264996</v>
      </c>
      <c r="O43">
        <f>[6]Manu_solid!W42</f>
        <v>26.372214905305164</v>
      </c>
      <c r="P43">
        <f>SUM([6]Manu_solid!$X42:$AC42)</f>
        <v>8.147482892246817</v>
      </c>
      <c r="R43">
        <f>[6]Manu_gas!R42</f>
        <v>63.26540323048409</v>
      </c>
      <c r="S43">
        <f>[6]Manu_gas!S42</f>
        <v>0</v>
      </c>
      <c r="T43">
        <f>[6]Manu_gas!T42</f>
        <v>0</v>
      </c>
      <c r="U43">
        <f>[6]Manu_gas!U42</f>
        <v>4.2935630013597095</v>
      </c>
      <c r="V43">
        <f>[6]Manu_gas!V42</f>
        <v>0</v>
      </c>
      <c r="W43">
        <f>[6]Manu_gas!W42</f>
        <v>0</v>
      </c>
      <c r="X43">
        <f>SUM([6]Manu_gas!$X42:$AC42)</f>
        <v>6.762840720680277</v>
      </c>
      <c r="Z43">
        <f>[6]Manu_solvent!R42</f>
        <v>4084.2767119543805</v>
      </c>
      <c r="AA43">
        <f>[6]Manu_solvent!S42</f>
        <v>2.0797567302124138</v>
      </c>
      <c r="AB43">
        <f>[6]Manu_solvent!T42</f>
        <v>557.52176636672152</v>
      </c>
      <c r="AC43">
        <f>[6]Manu_solvent!U42</f>
        <v>279.74554812982853</v>
      </c>
      <c r="AD43">
        <f>[6]Manu_solvent!V42</f>
        <v>670.14304236089674</v>
      </c>
      <c r="AE43">
        <f>[6]Manu_solvent!W42</f>
        <v>2729.7324443957054</v>
      </c>
      <c r="AF43">
        <f>SUM([6]Manu_solvent!$X42:$AC42)</f>
        <v>834.56796688071154</v>
      </c>
    </row>
    <row r="44" spans="1:32" x14ac:dyDescent="0.2">
      <c r="A44">
        <v>2030.25</v>
      </c>
      <c r="B44">
        <f>[6]Manu_water!R43</f>
        <v>132.82680615074375</v>
      </c>
      <c r="C44">
        <f>[6]Manu_water!S43</f>
        <v>105.66360440536552</v>
      </c>
      <c r="D44">
        <f>[6]Manu_water!T43</f>
        <v>5277.5804499371161</v>
      </c>
      <c r="E44">
        <f>[6]Manu_water!U43</f>
        <v>6.7123314212677236</v>
      </c>
      <c r="F44">
        <f>[6]Manu_water!V43</f>
        <v>2689.5545346964368</v>
      </c>
      <c r="G44">
        <f>[6]Manu_water!W43</f>
        <v>34.637383151243753</v>
      </c>
      <c r="H44">
        <f>SUM([6]Manu_water!$X43:$AC43)</f>
        <v>840.012311691842</v>
      </c>
      <c r="J44">
        <f>[6]Manu_solid!R43</f>
        <v>32.632191130459539</v>
      </c>
      <c r="K44">
        <f>[6]Manu_solid!S43</f>
        <v>0.3307894592296774</v>
      </c>
      <c r="L44">
        <f>[6]Manu_solid!T43</f>
        <v>18.692323933164758</v>
      </c>
      <c r="M44">
        <f>[6]Manu_solid!U43</f>
        <v>2.3162270397332287</v>
      </c>
      <c r="N44">
        <f>[6]Manu_solid!V43</f>
        <v>4.6858874426932449</v>
      </c>
      <c r="O44">
        <f>[6]Manu_solid!W43</f>
        <v>28.489622505352003</v>
      </c>
      <c r="P44">
        <f>SUM([6]Manu_solid!$X43:$AC43)</f>
        <v>8.8951824953533443</v>
      </c>
      <c r="R44">
        <f>[6]Manu_gas!R43</f>
        <v>67.562423889824686</v>
      </c>
      <c r="S44">
        <f>[6]Manu_gas!S43</f>
        <v>0</v>
      </c>
      <c r="T44">
        <f>[6]Manu_gas!T43</f>
        <v>0</v>
      </c>
      <c r="U44">
        <f>[6]Manu_gas!U43</f>
        <v>4.5851841398800639</v>
      </c>
      <c r="V44">
        <f>[6]Manu_gas!V43</f>
        <v>0</v>
      </c>
      <c r="W44">
        <f>[6]Manu_gas!W43</f>
        <v>0</v>
      </c>
      <c r="X44">
        <f>SUM([6]Manu_gas!$X43:$AC43)</f>
        <v>7.3454198665960675</v>
      </c>
      <c r="Z44">
        <f>[6]Manu_solvent!R43</f>
        <v>4361.6830116628316</v>
      </c>
      <c r="AA44">
        <f>[6]Manu_solvent!S43</f>
        <v>2.22101494054212</v>
      </c>
      <c r="AB44">
        <f>[6]Manu_solvent!T43</f>
        <v>596.78245217810456</v>
      </c>
      <c r="AC44">
        <f>[6]Manu_solvent!U43</f>
        <v>298.74601818600013</v>
      </c>
      <c r="AD44">
        <f>[6]Manu_solvent!V43</f>
        <v>715.70299714343071</v>
      </c>
      <c r="AE44">
        <f>[6]Manu_solvent!W43</f>
        <v>2948.9008473763433</v>
      </c>
      <c r="AF44">
        <f>SUM([6]Manu_solvent!$X43:$AC43)</f>
        <v>910.81283184209792</v>
      </c>
    </row>
    <row r="45" spans="1:32" x14ac:dyDescent="0.2">
      <c r="A45">
        <v>2030.5</v>
      </c>
      <c r="B45">
        <f>[6]Manu_water!R44</f>
        <v>147.21166490912952</v>
      </c>
      <c r="C45">
        <f>[6]Manu_water!S44</f>
        <v>117.10674656409626</v>
      </c>
      <c r="D45">
        <f>[6]Manu_water!T44</f>
        <v>5873.0642287496921</v>
      </c>
      <c r="E45">
        <f>[6]Manu_water!U44</f>
        <v>7.4392625448304681</v>
      </c>
      <c r="F45">
        <f>[6]Manu_water!V44</f>
        <v>2980.9260656623064</v>
      </c>
      <c r="G45">
        <f>[6]Manu_water!W44</f>
        <v>39.12084997054734</v>
      </c>
      <c r="H45">
        <f>SUM([6]Manu_water!$X44:$AC44)</f>
        <v>913.1751528083953</v>
      </c>
      <c r="J45">
        <f>[6]Manu_solid!R44</f>
        <v>36.166187572831127</v>
      </c>
      <c r="K45">
        <f>[6]Manu_solid!S44</f>
        <v>0.36661324952981833</v>
      </c>
      <c r="L45">
        <f>[6]Manu_solid!T44</f>
        <v>20.801429762265354</v>
      </c>
      <c r="M45">
        <f>[6]Manu_solid!U44</f>
        <v>2.5670694696950207</v>
      </c>
      <c r="N45">
        <f>[6]Manu_solid!V44</f>
        <v>5.1935306901150247</v>
      </c>
      <c r="O45">
        <f>[6]Manu_solid!W44</f>
        <v>32.177322486597376</v>
      </c>
      <c r="P45">
        <f>SUM([6]Manu_solid!$X44:$AC44)</f>
        <v>9.7022279442059336</v>
      </c>
      <c r="R45">
        <f>[6]Manu_gas!R44</f>
        <v>74.87928976346727</v>
      </c>
      <c r="S45">
        <f>[6]Manu_gas!S44</f>
        <v>0</v>
      </c>
      <c r="T45">
        <f>[6]Manu_gas!T44</f>
        <v>0</v>
      </c>
      <c r="U45">
        <f>[6]Manu_gas!U44</f>
        <v>5.0817497665391214</v>
      </c>
      <c r="V45">
        <f>[6]Manu_gas!V44</f>
        <v>0</v>
      </c>
      <c r="W45">
        <f>[6]Manu_gas!W44</f>
        <v>0</v>
      </c>
      <c r="X45">
        <f>SUM([6]Manu_gas!$X44:$AC44)</f>
        <v>7.9682074966361638</v>
      </c>
      <c r="Z45">
        <f>[6]Manu_solvent!R44</f>
        <v>4834.0439445939073</v>
      </c>
      <c r="AA45">
        <f>[6]Manu_solvent!S44</f>
        <v>2.4615461039859232</v>
      </c>
      <c r="AB45">
        <f>[6]Manu_solvent!T44</f>
        <v>664.11904195122452</v>
      </c>
      <c r="AC45">
        <f>[6]Manu_solvent!U44</f>
        <v>331.09957241780677</v>
      </c>
      <c r="AD45">
        <f>[6]Manu_solvent!V44</f>
        <v>793.2383195562478</v>
      </c>
      <c r="AE45">
        <f>[6]Manu_solvent!W44</f>
        <v>3330.6069088561444</v>
      </c>
      <c r="AF45">
        <f>SUM([6]Manu_solvent!$X44:$AC44)</f>
        <v>993.03355488370971</v>
      </c>
    </row>
    <row r="46" spans="1:32" x14ac:dyDescent="0.2">
      <c r="A46">
        <v>2030.75</v>
      </c>
      <c r="B46">
        <f>[6]Manu_water!R45</f>
        <v>157.50449110735437</v>
      </c>
      <c r="C46">
        <f>[6]Manu_water!S45</f>
        <v>125.29468051462828</v>
      </c>
      <c r="D46">
        <f>[6]Manu_water!T45</f>
        <v>6302.1996703104678</v>
      </c>
      <c r="E46">
        <f>[6]Manu_water!U45</f>
        <v>7.9594049972928422</v>
      </c>
      <c r="F46">
        <f>[6]Manu_water!V45</f>
        <v>3189.2964811005877</v>
      </c>
      <c r="G46">
        <f>[6]Manu_water!W45</f>
        <v>42.400038837603525</v>
      </c>
      <c r="H46">
        <f>SUM([6]Manu_water!$X45:$AC45)</f>
        <v>994.46603402303379</v>
      </c>
      <c r="J46">
        <f>[6]Manu_solid!R45</f>
        <v>38.694874977931349</v>
      </c>
      <c r="K46">
        <f>[6]Manu_solid!S45</f>
        <v>0.39224631645903307</v>
      </c>
      <c r="L46">
        <f>[6]Manu_solid!T45</f>
        <v>22.321357077622771</v>
      </c>
      <c r="M46">
        <f>[6]Manu_solid!U45</f>
        <v>2.7465552455447133</v>
      </c>
      <c r="N46">
        <f>[6]Manu_solid!V45</f>
        <v>5.5565649028573292</v>
      </c>
      <c r="O46">
        <f>[6]Manu_solid!W45</f>
        <v>34.874490818808091</v>
      </c>
      <c r="P46">
        <f>SUM([6]Manu_solid!$X45:$AC45)</f>
        <v>10.603363096846625</v>
      </c>
      <c r="R46">
        <f>[6]Manu_gas!R45</f>
        <v>80.114741151491671</v>
      </c>
      <c r="S46">
        <f>[6]Manu_gas!S45</f>
        <v>0</v>
      </c>
      <c r="T46">
        <f>[6]Manu_gas!T45</f>
        <v>0</v>
      </c>
      <c r="U46">
        <f>[6]Manu_gas!U45</f>
        <v>5.4370583432211657</v>
      </c>
      <c r="V46">
        <f>[6]Manu_gas!V45</f>
        <v>0</v>
      </c>
      <c r="W46">
        <f>[6]Manu_gas!W45</f>
        <v>0</v>
      </c>
      <c r="X46">
        <f>SUM([6]Manu_gas!$X45:$AC45)</f>
        <v>8.6570336306971427</v>
      </c>
      <c r="Z46">
        <f>[6]Manu_solvent!R45</f>
        <v>5172.0332893037821</v>
      </c>
      <c r="AA46">
        <f>[6]Manu_solvent!S45</f>
        <v>2.6336538390820796</v>
      </c>
      <c r="AB46">
        <f>[6]Manu_solvent!T45</f>
        <v>712.64516174428707</v>
      </c>
      <c r="AC46">
        <f>[6]Manu_solvent!U45</f>
        <v>354.24957452739977</v>
      </c>
      <c r="AD46">
        <f>[6]Manu_solvent!V45</f>
        <v>848.68665827603945</v>
      </c>
      <c r="AE46">
        <f>[6]Manu_solvent!W45</f>
        <v>3609.7851246741552</v>
      </c>
      <c r="AF46">
        <f>SUM([6]Manu_solvent!$X45:$AC45)</f>
        <v>1084.7574620241496</v>
      </c>
    </row>
    <row r="48" spans="1:32" x14ac:dyDescent="0.2">
      <c r="A48" t="s">
        <v>32</v>
      </c>
    </row>
    <row r="49" spans="1:32" x14ac:dyDescent="0.2">
      <c r="B49">
        <f>'Unit-upper left'!$B$8</f>
        <v>31.269344480026685</v>
      </c>
      <c r="C49">
        <f>'Unit-upper left'!$B$8</f>
        <v>31.269344480026685</v>
      </c>
      <c r="D49">
        <f>'Unit-upper left'!$B$8</f>
        <v>31.269344480026685</v>
      </c>
      <c r="E49">
        <f>'Unit-upper left'!$B$8</f>
        <v>31.269344480026685</v>
      </c>
      <c r="F49">
        <f>'Unit-upper left'!$B$8</f>
        <v>31.269344480026685</v>
      </c>
      <c r="G49">
        <f>'Unit-upper left'!$B$8</f>
        <v>31.269344480026685</v>
      </c>
      <c r="H49">
        <f>'Unit-upper left'!$B$8</f>
        <v>31.269344480026685</v>
      </c>
      <c r="J49">
        <f>'Unit-upper left'!$B$15</f>
        <v>1.1657216066399756</v>
      </c>
      <c r="K49">
        <f>'Unit-upper left'!$B$15</f>
        <v>1.1657216066399756</v>
      </c>
      <c r="L49">
        <f>'Unit-upper left'!$B$15</f>
        <v>1.1657216066399756</v>
      </c>
      <c r="M49">
        <f>'Unit-upper left'!$B$15</f>
        <v>1.1657216066399756</v>
      </c>
      <c r="N49">
        <f>'Unit-upper left'!$B$15</f>
        <v>1.1657216066399756</v>
      </c>
      <c r="O49">
        <f>'Unit-upper left'!$B$15</f>
        <v>1.1657216066399756</v>
      </c>
      <c r="P49">
        <f>'Unit-upper left'!$B$15</f>
        <v>1.1657216066399756</v>
      </c>
      <c r="R49">
        <f>'Unit-upper left'!$B$15</f>
        <v>1.1657216066399756</v>
      </c>
      <c r="S49">
        <f>'Unit-upper left'!$B$15</f>
        <v>1.1657216066399756</v>
      </c>
      <c r="T49">
        <f>'Unit-upper left'!$B$15</f>
        <v>1.1657216066399756</v>
      </c>
      <c r="U49">
        <f>'Unit-upper left'!$B$15</f>
        <v>1.1657216066399756</v>
      </c>
      <c r="V49">
        <f>'Unit-upper left'!$B$15</f>
        <v>1.1657216066399756</v>
      </c>
      <c r="W49">
        <f>'Unit-upper left'!$B$15</f>
        <v>1.1657216066399756</v>
      </c>
      <c r="X49">
        <f>'Unit-upper left'!$B$15</f>
        <v>1.1657216066399756</v>
      </c>
      <c r="Z49">
        <f>'Unit-upper left'!$B$15</f>
        <v>1.1657216066399756</v>
      </c>
      <c r="AA49">
        <f>'Unit-upper left'!$B$15</f>
        <v>1.1657216066399756</v>
      </c>
      <c r="AB49">
        <f>'Unit-upper left'!$B$15</f>
        <v>1.1657216066399756</v>
      </c>
      <c r="AC49">
        <f>'Unit-upper left'!$B$15</f>
        <v>1.1657216066399756</v>
      </c>
      <c r="AD49">
        <f>'Unit-upper left'!$B$15</f>
        <v>1.1657216066399756</v>
      </c>
      <c r="AE49">
        <f>'Unit-upper left'!$B$15</f>
        <v>1.1657216066399756</v>
      </c>
      <c r="AF49">
        <f>'Unit-upper left'!$B$15</f>
        <v>1.1657216066399756</v>
      </c>
    </row>
    <row r="50" spans="1:32" x14ac:dyDescent="0.2">
      <c r="A50" t="s">
        <v>44</v>
      </c>
    </row>
    <row r="51" spans="1:32" x14ac:dyDescent="0.2">
      <c r="A51">
        <v>2020</v>
      </c>
      <c r="B51">
        <f>1000*B3*B$49/1000000</f>
        <v>1.7674054169743511E-4</v>
      </c>
      <c r="C51">
        <f t="shared" ref="C51:P66" si="0">1000*C3*C$49/1000000</f>
        <v>1.4059694139685686E-4</v>
      </c>
      <c r="D51">
        <f t="shared" si="0"/>
        <v>6.2609162522052828E-3</v>
      </c>
      <c r="E51">
        <f t="shared" si="0"/>
        <v>8.9314884986484261E-6</v>
      </c>
      <c r="F51">
        <f t="shared" si="0"/>
        <v>3.8255901561757857E-3</v>
      </c>
      <c r="G51">
        <f t="shared" si="0"/>
        <v>2.9049994152660048E-5</v>
      </c>
      <c r="H51">
        <f t="shared" si="0"/>
        <v>8.25193116474418E-4</v>
      </c>
      <c r="J51">
        <f>1000*J3*J$49/1000000</f>
        <v>1.6187238178491325E-6</v>
      </c>
      <c r="K51">
        <f t="shared" si="0"/>
        <v>1.6408851437766529E-8</v>
      </c>
      <c r="L51">
        <f t="shared" si="0"/>
        <v>8.266894592537707E-7</v>
      </c>
      <c r="M51">
        <f t="shared" si="0"/>
        <v>1.1489672458012368E-7</v>
      </c>
      <c r="N51">
        <f t="shared" si="0"/>
        <v>2.484768932004645E-7</v>
      </c>
      <c r="O51">
        <f t="shared" si="0"/>
        <v>8.9076622090732536E-7</v>
      </c>
      <c r="P51">
        <f t="shared" si="0"/>
        <v>2.9366381131366398E-7</v>
      </c>
      <c r="R51">
        <f t="shared" ref="R51:AF66" si="1">1000*R3*R$49/1000000</f>
        <v>3.3514422707580619E-6</v>
      </c>
      <c r="S51">
        <f t="shared" si="1"/>
        <v>0</v>
      </c>
      <c r="T51">
        <f t="shared" si="1"/>
        <v>0</v>
      </c>
      <c r="U51">
        <f t="shared" si="1"/>
        <v>2.2744861804636725E-7</v>
      </c>
      <c r="V51">
        <f t="shared" si="1"/>
        <v>0</v>
      </c>
      <c r="W51">
        <f t="shared" si="1"/>
        <v>0</v>
      </c>
      <c r="X51">
        <f t="shared" si="1"/>
        <v>2.8283140353718385E-7</v>
      </c>
      <c r="Z51">
        <f t="shared" si="1"/>
        <v>2.1636181734349661E-4</v>
      </c>
      <c r="AA51">
        <f t="shared" si="1"/>
        <v>1.1017371679643241E-7</v>
      </c>
      <c r="AB51">
        <f t="shared" si="1"/>
        <v>2.6393388240395615E-5</v>
      </c>
      <c r="AC51">
        <f t="shared" si="1"/>
        <v>1.4819332639722079E-5</v>
      </c>
      <c r="AD51">
        <f t="shared" si="1"/>
        <v>3.7951329253919996E-5</v>
      </c>
      <c r="AE51">
        <f t="shared" si="1"/>
        <v>9.2201336228810087E-5</v>
      </c>
      <c r="AF51">
        <f t="shared" si="1"/>
        <v>3.0649883779332415E-5</v>
      </c>
    </row>
    <row r="52" spans="1:32" x14ac:dyDescent="0.2">
      <c r="A52">
        <v>2020.25</v>
      </c>
      <c r="B52">
        <f t="shared" ref="B52:P67" si="2">1000*B4*B$49/1000000</f>
        <v>3.1638853533238673E-4</v>
      </c>
      <c r="C52">
        <f t="shared" si="2"/>
        <v>2.5168679428920476E-4</v>
      </c>
      <c r="D52">
        <f t="shared" si="2"/>
        <v>1.1207853635896787E-2</v>
      </c>
      <c r="E52">
        <f t="shared" si="2"/>
        <v>1.5988524971610643E-5</v>
      </c>
      <c r="F52">
        <f t="shared" si="2"/>
        <v>6.848303477345395E-3</v>
      </c>
      <c r="G52">
        <f t="shared" si="2"/>
        <v>5.2003264294102239E-5</v>
      </c>
      <c r="H52">
        <f t="shared" si="2"/>
        <v>1.4029721529620219E-3</v>
      </c>
      <c r="J52">
        <f t="shared" si="0"/>
        <v>2.8977259711791895E-6</v>
      </c>
      <c r="K52">
        <f t="shared" si="0"/>
        <v>2.9373976242356519E-8</v>
      </c>
      <c r="L52">
        <f t="shared" si="0"/>
        <v>1.4798815522235051E-6</v>
      </c>
      <c r="M52">
        <f t="shared" si="0"/>
        <v>2.0568006669700915E-7</v>
      </c>
      <c r="N52">
        <f t="shared" si="0"/>
        <v>4.4480592595568426E-7</v>
      </c>
      <c r="O52">
        <f t="shared" si="0"/>
        <v>1.5945872817279245E-6</v>
      </c>
      <c r="P52">
        <f t="shared" si="0"/>
        <v>4.9927967330364489E-7</v>
      </c>
      <c r="R52">
        <f t="shared" si="1"/>
        <v>5.9995171515963476E-6</v>
      </c>
      <c r="S52">
        <f t="shared" si="1"/>
        <v>0</v>
      </c>
      <c r="T52">
        <f t="shared" si="1"/>
        <v>0</v>
      </c>
      <c r="U52">
        <f t="shared" si="1"/>
        <v>4.0716258101244656E-7</v>
      </c>
      <c r="V52">
        <f t="shared" si="1"/>
        <v>0</v>
      </c>
      <c r="W52">
        <f t="shared" si="1"/>
        <v>0</v>
      </c>
      <c r="X52">
        <f t="shared" si="1"/>
        <v>4.8086269168258934E-7</v>
      </c>
      <c r="Z52">
        <f t="shared" si="1"/>
        <v>3.8731576713366909E-4</v>
      </c>
      <c r="AA52">
        <f t="shared" si="1"/>
        <v>1.9722526905582235E-7</v>
      </c>
      <c r="AB52">
        <f t="shared" si="1"/>
        <v>4.724759451135594E-5</v>
      </c>
      <c r="AC52">
        <f t="shared" si="1"/>
        <v>2.652853105153261E-5</v>
      </c>
      <c r="AD52">
        <f t="shared" si="1"/>
        <v>6.7937810766250262E-5</v>
      </c>
      <c r="AE52">
        <f t="shared" si="1"/>
        <v>1.6505237250580122E-4</v>
      </c>
      <c r="AF52">
        <f t="shared" si="1"/>
        <v>5.2110145583429407E-5</v>
      </c>
    </row>
    <row r="53" spans="1:32" x14ac:dyDescent="0.2">
      <c r="A53">
        <v>2020.5</v>
      </c>
      <c r="B53">
        <f t="shared" si="2"/>
        <v>5.4912724956292182E-4</v>
      </c>
      <c r="C53">
        <f t="shared" si="2"/>
        <v>4.3683023139300337E-4</v>
      </c>
      <c r="D53">
        <f t="shared" si="2"/>
        <v>1.9452467941412779E-2</v>
      </c>
      <c r="E53">
        <f t="shared" si="2"/>
        <v>2.7749851090542726E-5</v>
      </c>
      <c r="F53">
        <f t="shared" si="2"/>
        <v>1.1885987109918906E-2</v>
      </c>
      <c r="G53">
        <f t="shared" si="2"/>
        <v>9.0257409169752957E-5</v>
      </c>
      <c r="H53">
        <f t="shared" si="2"/>
        <v>2.1727502922700937E-3</v>
      </c>
      <c r="J53">
        <f t="shared" si="0"/>
        <v>5.0293234894525945E-6</v>
      </c>
      <c r="K53">
        <f t="shared" si="0"/>
        <v>5.0981780252391826E-8</v>
      </c>
      <c r="L53">
        <f t="shared" si="0"/>
        <v>2.568497893255413E-6</v>
      </c>
      <c r="M53">
        <f t="shared" si="0"/>
        <v>3.5698047401304021E-7</v>
      </c>
      <c r="N53">
        <f t="shared" si="0"/>
        <v>7.7200981525050471E-7</v>
      </c>
      <c r="O53">
        <f t="shared" si="0"/>
        <v>2.7675823565584119E-6</v>
      </c>
      <c r="P53">
        <f t="shared" si="0"/>
        <v>7.7322279975743558E-7</v>
      </c>
      <c r="R53">
        <f t="shared" si="1"/>
        <v>1.041282468943002E-5</v>
      </c>
      <c r="S53">
        <f t="shared" si="1"/>
        <v>0</v>
      </c>
      <c r="T53">
        <f t="shared" si="1"/>
        <v>0</v>
      </c>
      <c r="U53">
        <f t="shared" si="1"/>
        <v>7.0667563222989603E-7</v>
      </c>
      <c r="V53">
        <f t="shared" si="1"/>
        <v>0</v>
      </c>
      <c r="W53">
        <f t="shared" si="1"/>
        <v>0</v>
      </c>
      <c r="X53">
        <f t="shared" si="1"/>
        <v>7.4470084932855598E-7</v>
      </c>
      <c r="Z53">
        <f t="shared" si="1"/>
        <v>6.7222929457612856E-4</v>
      </c>
      <c r="AA53">
        <f t="shared" si="1"/>
        <v>3.4230623883748806E-7</v>
      </c>
      <c r="AB53">
        <f t="shared" si="1"/>
        <v>8.2003418977328777E-5</v>
      </c>
      <c r="AC53">
        <f t="shared" si="1"/>
        <v>4.6043195831886019E-5</v>
      </c>
      <c r="AD53">
        <f t="shared" si="1"/>
        <v>1.1791357461231761E-4</v>
      </c>
      <c r="AE53">
        <f t="shared" si="1"/>
        <v>2.8646662323818966E-4</v>
      </c>
      <c r="AF53">
        <f t="shared" si="1"/>
        <v>8.0701768604311204E-5</v>
      </c>
    </row>
    <row r="54" spans="1:32" x14ac:dyDescent="0.2">
      <c r="A54">
        <v>2020.75</v>
      </c>
      <c r="B54">
        <f t="shared" si="2"/>
        <v>9.3329161887412138E-4</v>
      </c>
      <c r="C54">
        <f t="shared" si="2"/>
        <v>7.4243264043886775E-4</v>
      </c>
      <c r="D54">
        <f t="shared" si="2"/>
        <v>3.3061235461522682E-2</v>
      </c>
      <c r="E54">
        <f t="shared" si="2"/>
        <v>4.71633914878974E-5</v>
      </c>
      <c r="F54">
        <f t="shared" si="2"/>
        <v>2.0201314286556905E-2</v>
      </c>
      <c r="G54">
        <f t="shared" si="2"/>
        <v>1.5340066184380902E-4</v>
      </c>
      <c r="H54">
        <f t="shared" si="2"/>
        <v>3.329861369154326E-3</v>
      </c>
      <c r="J54">
        <f t="shared" si="0"/>
        <v>8.5477919098877523E-6</v>
      </c>
      <c r="K54">
        <f t="shared" si="0"/>
        <v>8.6648164451338921E-8</v>
      </c>
      <c r="L54">
        <f t="shared" si="0"/>
        <v>4.3653953774450881E-6</v>
      </c>
      <c r="M54">
        <f t="shared" si="0"/>
        <v>6.0672072777897264E-7</v>
      </c>
      <c r="N54">
        <f t="shared" si="0"/>
        <v>1.3121007759774174E-6</v>
      </c>
      <c r="O54">
        <f t="shared" si="0"/>
        <v>4.7037574987869677E-6</v>
      </c>
      <c r="P54">
        <f t="shared" si="0"/>
        <v>1.1850071956366224E-6</v>
      </c>
      <c r="R54">
        <f t="shared" si="1"/>
        <v>1.7697540996528164E-5</v>
      </c>
      <c r="S54">
        <f t="shared" si="1"/>
        <v>0</v>
      </c>
      <c r="T54">
        <f t="shared" si="1"/>
        <v>0</v>
      </c>
      <c r="U54">
        <f t="shared" si="1"/>
        <v>1.2010593998889867E-6</v>
      </c>
      <c r="V54">
        <f t="shared" si="1"/>
        <v>0</v>
      </c>
      <c r="W54">
        <f t="shared" si="1"/>
        <v>0</v>
      </c>
      <c r="X54">
        <f t="shared" si="1"/>
        <v>1.1412957110523392E-6</v>
      </c>
      <c r="Z54">
        <f t="shared" si="1"/>
        <v>1.1425147214765463E-3</v>
      </c>
      <c r="AA54">
        <f t="shared" si="1"/>
        <v>5.8178053274470426E-7</v>
      </c>
      <c r="AB54">
        <f t="shared" si="1"/>
        <v>1.3937225608723767E-4</v>
      </c>
      <c r="AC54">
        <f t="shared" si="1"/>
        <v>7.8254591827818523E-5</v>
      </c>
      <c r="AD54">
        <f t="shared" si="1"/>
        <v>2.0040482606673951E-4</v>
      </c>
      <c r="AE54">
        <f t="shared" si="1"/>
        <v>4.8687603605207329E-4</v>
      </c>
      <c r="AF54">
        <f t="shared" si="1"/>
        <v>1.2367997493957861E-4</v>
      </c>
    </row>
    <row r="55" spans="1:32" x14ac:dyDescent="0.2">
      <c r="A55">
        <v>2021</v>
      </c>
      <c r="B55">
        <f>1000*B7*B$49/1000000</f>
        <v>1.5444579404289476E-3</v>
      </c>
      <c r="C55">
        <f t="shared" si="2"/>
        <v>1.228614897605863E-3</v>
      </c>
      <c r="D55">
        <f t="shared" si="2"/>
        <v>5.4711396305624375E-2</v>
      </c>
      <c r="E55">
        <f t="shared" si="2"/>
        <v>7.8048353813479161E-5</v>
      </c>
      <c r="F55">
        <f t="shared" si="2"/>
        <v>3.3430151547500057E-2</v>
      </c>
      <c r="G55">
        <f t="shared" si="2"/>
        <v>2.5385513537294678E-4</v>
      </c>
      <c r="H55">
        <f t="shared" si="2"/>
        <v>4.8660291151472312E-3</v>
      </c>
      <c r="J55">
        <f t="shared" si="0"/>
        <v>1.4145316234904551E-5</v>
      </c>
      <c r="K55">
        <f t="shared" si="0"/>
        <v>1.433897432529214E-7</v>
      </c>
      <c r="L55">
        <f t="shared" si="0"/>
        <v>7.2240759666740826E-6</v>
      </c>
      <c r="M55">
        <f t="shared" si="0"/>
        <v>1.0040319945993754E-6</v>
      </c>
      <c r="N55">
        <f t="shared" si="0"/>
        <v>2.1713303978299524E-6</v>
      </c>
      <c r="O55">
        <f t="shared" si="0"/>
        <v>7.7840146337300157E-6</v>
      </c>
      <c r="P55">
        <f t="shared" si="0"/>
        <v>1.7316875618432177E-6</v>
      </c>
      <c r="R55">
        <f t="shared" si="1"/>
        <v>2.9286781500436176E-5</v>
      </c>
      <c r="S55">
        <f t="shared" si="1"/>
        <v>0</v>
      </c>
      <c r="T55">
        <f t="shared" si="1"/>
        <v>0</v>
      </c>
      <c r="U55">
        <f t="shared" si="1"/>
        <v>1.9875735403293759E-6</v>
      </c>
      <c r="V55">
        <f t="shared" si="1"/>
        <v>0</v>
      </c>
      <c r="W55">
        <f t="shared" si="1"/>
        <v>0</v>
      </c>
      <c r="X55">
        <f t="shared" si="1"/>
        <v>1.6678106213123724E-6</v>
      </c>
      <c r="Z55">
        <f t="shared" si="1"/>
        <v>1.8906908601301995E-3</v>
      </c>
      <c r="AA55">
        <f t="shared" si="1"/>
        <v>9.6275970469818666E-7</v>
      </c>
      <c r="AB55">
        <f t="shared" si="1"/>
        <v>2.3064022352317252E-4</v>
      </c>
      <c r="AC55">
        <f t="shared" si="1"/>
        <v>1.2949963685445008E-4</v>
      </c>
      <c r="AD55">
        <f t="shared" si="1"/>
        <v>3.3163999189497089E-4</v>
      </c>
      <c r="AE55">
        <f t="shared" si="1"/>
        <v>8.0570696733816519E-4</v>
      </c>
      <c r="AF55">
        <f t="shared" si="1"/>
        <v>1.807373617987929E-4</v>
      </c>
    </row>
    <row r="56" spans="1:32" x14ac:dyDescent="0.2">
      <c r="A56">
        <v>2021.25</v>
      </c>
      <c r="B56">
        <f t="shared" si="2"/>
        <v>3.2489400150190577E-3</v>
      </c>
      <c r="C56">
        <f t="shared" si="2"/>
        <v>2.5845288495014657E-3</v>
      </c>
      <c r="D56">
        <f t="shared" si="2"/>
        <v>0.116490043916803</v>
      </c>
      <c r="E56">
        <f t="shared" si="2"/>
        <v>1.6418344143483227E-4</v>
      </c>
      <c r="F56">
        <f t="shared" si="2"/>
        <v>6.9958221645877852E-2</v>
      </c>
      <c r="G56">
        <f t="shared" si="2"/>
        <v>5.3791063485896093E-4</v>
      </c>
      <c r="H56">
        <f t="shared" si="2"/>
        <v>1.1003781925898246E-2</v>
      </c>
      <c r="J56">
        <f t="shared" si="0"/>
        <v>2.975625475946354E-5</v>
      </c>
      <c r="K56">
        <f t="shared" si="0"/>
        <v>3.01636362119605E-7</v>
      </c>
      <c r="L56">
        <f t="shared" si="0"/>
        <v>1.538130962542579E-5</v>
      </c>
      <c r="M56">
        <f t="shared" si="0"/>
        <v>2.1120935949264718E-6</v>
      </c>
      <c r="N56">
        <f t="shared" si="0"/>
        <v>4.5438745026921469E-6</v>
      </c>
      <c r="O56">
        <f t="shared" si="0"/>
        <v>1.6494069529969312E-5</v>
      </c>
      <c r="P56">
        <f t="shared" si="0"/>
        <v>3.9106101026005623E-6</v>
      </c>
      <c r="R56">
        <f t="shared" si="1"/>
        <v>6.1608020417480827E-5</v>
      </c>
      <c r="S56">
        <f t="shared" si="1"/>
        <v>0</v>
      </c>
      <c r="T56">
        <f t="shared" si="1"/>
        <v>0</v>
      </c>
      <c r="U56">
        <f t="shared" si="1"/>
        <v>4.1810832389360773E-6</v>
      </c>
      <c r="V56">
        <f t="shared" si="1"/>
        <v>0</v>
      </c>
      <c r="W56">
        <f t="shared" si="1"/>
        <v>0</v>
      </c>
      <c r="X56">
        <f t="shared" si="1"/>
        <v>3.750065471069342E-6</v>
      </c>
      <c r="Z56">
        <f t="shared" si="1"/>
        <v>3.9772796854550549E-3</v>
      </c>
      <c r="AA56">
        <f t="shared" si="1"/>
        <v>2.0252727170887766E-6</v>
      </c>
      <c r="AB56">
        <f t="shared" si="1"/>
        <v>4.9107300455487836E-4</v>
      </c>
      <c r="AC56">
        <f t="shared" si="1"/>
        <v>2.7241696979459802E-4</v>
      </c>
      <c r="AD56">
        <f t="shared" si="1"/>
        <v>6.9401253017533802E-4</v>
      </c>
      <c r="AE56">
        <f t="shared" si="1"/>
        <v>1.7072664126902184E-3</v>
      </c>
      <c r="AF56">
        <f t="shared" si="1"/>
        <v>4.0727032730207601E-4</v>
      </c>
    </row>
    <row r="57" spans="1:32" x14ac:dyDescent="0.2">
      <c r="A57">
        <v>2021.5</v>
      </c>
      <c r="B57">
        <f t="shared" si="2"/>
        <v>6.8000153688132781E-3</v>
      </c>
      <c r="C57">
        <f t="shared" si="2"/>
        <v>5.4094060882955916E-3</v>
      </c>
      <c r="D57">
        <f t="shared" si="2"/>
        <v>0.24810619011752238</v>
      </c>
      <c r="E57">
        <f t="shared" si="2"/>
        <v>3.4363513019644484E-4</v>
      </c>
      <c r="F57">
        <f t="shared" si="2"/>
        <v>0.14529915756608933</v>
      </c>
      <c r="G57">
        <f t="shared" si="2"/>
        <v>1.1378102187167892E-3</v>
      </c>
      <c r="H57">
        <f t="shared" si="2"/>
        <v>2.6039324620365741E-2</v>
      </c>
      <c r="J57">
        <f t="shared" si="0"/>
        <v>6.2279693914720787E-5</v>
      </c>
      <c r="K57">
        <f t="shared" si="0"/>
        <v>6.3132341278212514E-7</v>
      </c>
      <c r="L57">
        <f t="shared" si="0"/>
        <v>3.2759865151290441E-5</v>
      </c>
      <c r="M57">
        <f t="shared" si="0"/>
        <v>4.4206014390782297E-6</v>
      </c>
      <c r="N57">
        <f t="shared" si="0"/>
        <v>9.4373630689067732E-6</v>
      </c>
      <c r="O57">
        <f t="shared" si="0"/>
        <v>3.4888919540222526E-5</v>
      </c>
      <c r="P57">
        <f t="shared" si="0"/>
        <v>9.2354915532603628E-6</v>
      </c>
      <c r="R57">
        <f t="shared" si="1"/>
        <v>1.2894528176709793E-4</v>
      </c>
      <c r="S57">
        <f t="shared" si="1"/>
        <v>0</v>
      </c>
      <c r="T57">
        <f t="shared" si="1"/>
        <v>0</v>
      </c>
      <c r="U57">
        <f t="shared" si="1"/>
        <v>8.7509865222569015E-6</v>
      </c>
      <c r="V57">
        <f t="shared" si="1"/>
        <v>0</v>
      </c>
      <c r="W57">
        <f t="shared" si="1"/>
        <v>0</v>
      </c>
      <c r="X57">
        <f t="shared" si="1"/>
        <v>8.7995783187129831E-6</v>
      </c>
      <c r="Z57">
        <f t="shared" si="1"/>
        <v>8.3244266936718329E-3</v>
      </c>
      <c r="AA57">
        <f>1000*AA9*AA$49/1000000</f>
        <v>4.2388857715371251E-6</v>
      </c>
      <c r="AB57">
        <f t="shared" si="1"/>
        <v>1.0459112910687224E-3</v>
      </c>
      <c r="AC57">
        <f t="shared" si="1"/>
        <v>5.7016736928519184E-4</v>
      </c>
      <c r="AD57">
        <f t="shared" si="1"/>
        <v>1.4414236611849113E-3</v>
      </c>
      <c r="AE57">
        <f t="shared" si="1"/>
        <v>3.6112786112515072E-3</v>
      </c>
      <c r="AF57">
        <f t="shared" si="1"/>
        <v>9.5875509560741363E-4</v>
      </c>
    </row>
    <row r="58" spans="1:32" x14ac:dyDescent="0.2">
      <c r="A58">
        <v>2021.75</v>
      </c>
      <c r="B58">
        <f t="shared" si="2"/>
        <v>9.7390403311170218E-3</v>
      </c>
      <c r="C58">
        <f t="shared" si="2"/>
        <v>7.7473977930868632E-3</v>
      </c>
      <c r="D58">
        <f t="shared" si="2"/>
        <v>0.3594397114138711</v>
      </c>
      <c r="E58">
        <f t="shared" si="2"/>
        <v>4.9215718063235479E-4</v>
      </c>
      <c r="F58">
        <f t="shared" si="2"/>
        <v>0.20702618747220525</v>
      </c>
      <c r="G58">
        <f t="shared" si="2"/>
        <v>1.6410089622075623E-3</v>
      </c>
      <c r="H58">
        <f t="shared" si="2"/>
        <v>3.6337591672204343E-2</v>
      </c>
      <c r="J58">
        <f t="shared" si="0"/>
        <v>8.9197511762527341E-5</v>
      </c>
      <c r="K58">
        <f t="shared" si="0"/>
        <v>9.0418680629196501E-7</v>
      </c>
      <c r="L58">
        <f t="shared" si="0"/>
        <v>4.7460309113446621E-5</v>
      </c>
      <c r="M58">
        <f t="shared" si="0"/>
        <v>6.331223294057088E-6</v>
      </c>
      <c r="N58">
        <f t="shared" si="0"/>
        <v>1.3446611313338703E-5</v>
      </c>
      <c r="O58">
        <f t="shared" si="0"/>
        <v>5.0318610876788466E-5</v>
      </c>
      <c r="P58">
        <f t="shared" si="0"/>
        <v>1.2874086267043074E-5</v>
      </c>
      <c r="R58">
        <f t="shared" si="1"/>
        <v>1.8467653843790867E-4</v>
      </c>
      <c r="S58">
        <f t="shared" si="1"/>
        <v>0</v>
      </c>
      <c r="T58">
        <f t="shared" si="1"/>
        <v>0</v>
      </c>
      <c r="U58">
        <f t="shared" si="1"/>
        <v>1.2533237949459947E-5</v>
      </c>
      <c r="V58">
        <f t="shared" si="1"/>
        <v>0</v>
      </c>
      <c r="W58">
        <f t="shared" si="1"/>
        <v>0</v>
      </c>
      <c r="X58">
        <f t="shared" si="1"/>
        <v>1.2223727351102165E-5</v>
      </c>
      <c r="Z58">
        <f t="shared" si="1"/>
        <v>1.1922315304596962E-2</v>
      </c>
      <c r="AA58">
        <f t="shared" si="1"/>
        <v>6.0709685565317654E-6</v>
      </c>
      <c r="AB58">
        <f t="shared" si="1"/>
        <v>1.5152465661907729E-3</v>
      </c>
      <c r="AC58">
        <f t="shared" si="1"/>
        <v>8.1659859629470987E-4</v>
      </c>
      <c r="AD58">
        <f t="shared" si="1"/>
        <v>2.0537795958769202E-3</v>
      </c>
      <c r="AE58">
        <f t="shared" si="1"/>
        <v>5.2083734779387394E-3</v>
      </c>
      <c r="AF58">
        <f t="shared" si="1"/>
        <v>1.3341717168690518E-3</v>
      </c>
    </row>
    <row r="59" spans="1:32" x14ac:dyDescent="0.2">
      <c r="A59">
        <v>2022</v>
      </c>
      <c r="B59">
        <f t="shared" si="2"/>
        <v>1.6136708291023809E-2</v>
      </c>
      <c r="C59">
        <f t="shared" si="2"/>
        <v>1.2836736880750287E-2</v>
      </c>
      <c r="D59">
        <f t="shared" si="2"/>
        <v>0.60700974416829889</v>
      </c>
      <c r="E59">
        <f t="shared" si="2"/>
        <v>8.1545990027604061E-4</v>
      </c>
      <c r="F59">
        <f t="shared" si="2"/>
        <v>0.34002821547330653</v>
      </c>
      <c r="G59">
        <f t="shared" si="2"/>
        <v>2.7509191233687658E-3</v>
      </c>
      <c r="H59">
        <f t="shared" si="2"/>
        <v>6.2438613267014567E-2</v>
      </c>
      <c r="J59">
        <f t="shared" si="0"/>
        <v>1.4779220320078313E-4</v>
      </c>
      <c r="K59">
        <f t="shared" si="0"/>
        <v>1.498155694777005E-6</v>
      </c>
      <c r="L59">
        <f t="shared" si="0"/>
        <v>8.0149380211164535E-5</v>
      </c>
      <c r="M59">
        <f t="shared" si="0"/>
        <v>1.0490263922114409E-5</v>
      </c>
      <c r="N59">
        <f t="shared" si="0"/>
        <v>2.2085260347324844E-5</v>
      </c>
      <c r="O59">
        <f t="shared" si="0"/>
        <v>8.4352024949392509E-5</v>
      </c>
      <c r="P59">
        <f t="shared" si="0"/>
        <v>2.2074882520495222E-5</v>
      </c>
      <c r="R59">
        <f t="shared" si="1"/>
        <v>3.0599230803542398E-4</v>
      </c>
      <c r="S59">
        <f t="shared" si="1"/>
        <v>0</v>
      </c>
      <c r="T59">
        <f t="shared" si="1"/>
        <v>0</v>
      </c>
      <c r="U59">
        <f t="shared" si="1"/>
        <v>2.0766440825410155E-5</v>
      </c>
      <c r="V59">
        <f t="shared" si="1"/>
        <v>0</v>
      </c>
      <c r="W59">
        <f t="shared" si="1"/>
        <v>0</v>
      </c>
      <c r="X59">
        <f t="shared" si="1"/>
        <v>2.0816934115510537E-5</v>
      </c>
      <c r="Z59">
        <f t="shared" si="1"/>
        <v>1.9754197301062412E-2</v>
      </c>
      <c r="AA59">
        <f t="shared" si="1"/>
        <v>1.0059045379217031E-5</v>
      </c>
      <c r="AB59">
        <f t="shared" si="1"/>
        <v>2.5588976434390153E-3</v>
      </c>
      <c r="AC59">
        <f t="shared" si="1"/>
        <v>1.35302995893394E-3</v>
      </c>
      <c r="AD59">
        <f t="shared" si="1"/>
        <v>3.3732109907848046E-3</v>
      </c>
      <c r="AE59">
        <f t="shared" si="1"/>
        <v>8.7311005193011996E-3</v>
      </c>
      <c r="AF59">
        <f t="shared" si="1"/>
        <v>2.2799368056933521E-3</v>
      </c>
    </row>
    <row r="60" spans="1:32" x14ac:dyDescent="0.2">
      <c r="A60">
        <v>2022.25</v>
      </c>
      <c r="B60">
        <f t="shared" si="2"/>
        <v>2.4451852401840314E-2</v>
      </c>
      <c r="C60">
        <f t="shared" si="2"/>
        <v>1.9451426515776193E-2</v>
      </c>
      <c r="D60">
        <f t="shared" si="2"/>
        <v>0.93555089025935989</v>
      </c>
      <c r="E60">
        <f t="shared" si="2"/>
        <v>1.2356612489711235E-3</v>
      </c>
      <c r="F60">
        <f t="shared" si="2"/>
        <v>0.51112174850688885</v>
      </c>
      <c r="G60">
        <f t="shared" si="2"/>
        <v>4.2123574208092979E-3</v>
      </c>
      <c r="H60">
        <f t="shared" si="2"/>
        <v>9.8001703849481897E-2</v>
      </c>
      <c r="J60">
        <f t="shared" si="0"/>
        <v>2.2394859432506103E-4</v>
      </c>
      <c r="K60">
        <f t="shared" si="0"/>
        <v>2.2701458849597668E-6</v>
      </c>
      <c r="L60">
        <f t="shared" si="0"/>
        <v>1.2352985224813948E-4</v>
      </c>
      <c r="M60">
        <f t="shared" si="0"/>
        <v>1.5895830825830574E-5</v>
      </c>
      <c r="N60">
        <f t="shared" si="0"/>
        <v>3.3198000551929795E-5</v>
      </c>
      <c r="O60">
        <f t="shared" si="0"/>
        <v>1.2916442189719483E-4</v>
      </c>
      <c r="P60">
        <f t="shared" si="0"/>
        <v>3.4582796466540929E-5</v>
      </c>
      <c r="R60">
        <f t="shared" si="1"/>
        <v>4.6366821641949239E-4</v>
      </c>
      <c r="S60">
        <f t="shared" si="1"/>
        <v>0</v>
      </c>
      <c r="T60">
        <f t="shared" si="1"/>
        <v>0</v>
      </c>
      <c r="U60">
        <f t="shared" si="1"/>
        <v>3.1467256940929906E-5</v>
      </c>
      <c r="V60">
        <f t="shared" si="1"/>
        <v>0</v>
      </c>
      <c r="W60">
        <f t="shared" si="1"/>
        <v>0</v>
      </c>
      <c r="X60">
        <f t="shared" si="1"/>
        <v>3.2411553760131241E-5</v>
      </c>
      <c r="Z60">
        <f t="shared" si="1"/>
        <v>2.9933410706265196E-2</v>
      </c>
      <c r="AA60">
        <f t="shared" si="1"/>
        <v>1.5242408084729861E-5</v>
      </c>
      <c r="AB60">
        <f t="shared" si="1"/>
        <v>3.9438888607662894E-3</v>
      </c>
      <c r="AC60">
        <f t="shared" si="1"/>
        <v>2.0502377718214127E-3</v>
      </c>
      <c r="AD60">
        <f t="shared" si="1"/>
        <v>5.0705248012805982E-3</v>
      </c>
      <c r="AE60">
        <f t="shared" si="1"/>
        <v>1.3369537385479909E-2</v>
      </c>
      <c r="AF60">
        <f t="shared" si="1"/>
        <v>3.5609163027927621E-3</v>
      </c>
    </row>
    <row r="61" spans="1:32" x14ac:dyDescent="0.2">
      <c r="A61">
        <v>2022.5</v>
      </c>
      <c r="B61">
        <f t="shared" si="2"/>
        <v>3.1371550753310558E-2</v>
      </c>
      <c r="C61">
        <f t="shared" si="2"/>
        <v>2.4956040308751273E-2</v>
      </c>
      <c r="D61">
        <f t="shared" si="2"/>
        <v>1.2145800769356574</v>
      </c>
      <c r="E61">
        <f t="shared" si="2"/>
        <v>1.5853444945168724E-3</v>
      </c>
      <c r="F61">
        <f t="shared" si="2"/>
        <v>0.6520312570330884</v>
      </c>
      <c r="G61">
        <f t="shared" si="2"/>
        <v>5.444212192518832E-3</v>
      </c>
      <c r="H61">
        <f t="shared" si="2"/>
        <v>0.1266813732119729</v>
      </c>
      <c r="J61">
        <f t="shared" si="0"/>
        <v>2.8732443569275107E-4</v>
      </c>
      <c r="K61">
        <f t="shared" si="0"/>
        <v>2.912580841608318E-6</v>
      </c>
      <c r="L61">
        <f t="shared" si="0"/>
        <v>1.6037278036879575E-4</v>
      </c>
      <c r="M61">
        <f t="shared" si="0"/>
        <v>2.0394236613380278E-5</v>
      </c>
      <c r="N61">
        <f t="shared" si="0"/>
        <v>4.2350250393558033E-5</v>
      </c>
      <c r="O61">
        <f t="shared" si="0"/>
        <v>1.6693704979983697E-4</v>
      </c>
      <c r="P61">
        <f t="shared" si="0"/>
        <v>4.4647374558070562E-5</v>
      </c>
      <c r="R61">
        <f t="shared" si="1"/>
        <v>5.9488298657513227E-4</v>
      </c>
      <c r="S61">
        <f t="shared" si="1"/>
        <v>0</v>
      </c>
      <c r="T61">
        <f t="shared" si="1"/>
        <v>0</v>
      </c>
      <c r="U61">
        <f t="shared" si="1"/>
        <v>4.0372264316283405E-5</v>
      </c>
      <c r="V61">
        <f t="shared" si="1"/>
        <v>0</v>
      </c>
      <c r="W61">
        <f t="shared" si="1"/>
        <v>0</v>
      </c>
      <c r="X61">
        <f t="shared" si="1"/>
        <v>4.1672158447216309E-5</v>
      </c>
      <c r="Z61">
        <f t="shared" si="1"/>
        <v>3.8404350629918406E-2</v>
      </c>
      <c r="AA61">
        <f t="shared" si="1"/>
        <v>1.955589993651299E-5</v>
      </c>
      <c r="AB61">
        <f t="shared" si="1"/>
        <v>5.1201584925083437E-3</v>
      </c>
      <c r="AC61">
        <f t="shared" si="1"/>
        <v>2.6304403142155789E-3</v>
      </c>
      <c r="AD61">
        <f t="shared" si="1"/>
        <v>6.4684014516198539E-3</v>
      </c>
      <c r="AE61">
        <f t="shared" si="1"/>
        <v>1.7279302578360498E-2</v>
      </c>
      <c r="AF61">
        <f t="shared" si="1"/>
        <v>4.5879229211215691E-3</v>
      </c>
    </row>
    <row r="62" spans="1:32" x14ac:dyDescent="0.2">
      <c r="A62">
        <v>2022.75</v>
      </c>
      <c r="B62">
        <f t="shared" si="2"/>
        <v>4.2873466104560935E-2</v>
      </c>
      <c r="C62">
        <f t="shared" si="2"/>
        <v>3.4105803589208755E-2</v>
      </c>
      <c r="D62">
        <f t="shared" si="2"/>
        <v>1.6877121651054579</v>
      </c>
      <c r="E62">
        <f t="shared" si="2"/>
        <v>2.1665876189607487E-3</v>
      </c>
      <c r="F62">
        <f t="shared" si="2"/>
        <v>0.88381019735826905</v>
      </c>
      <c r="G62">
        <f t="shared" si="2"/>
        <v>7.517805057709998E-3</v>
      </c>
      <c r="H62">
        <f t="shared" si="2"/>
        <v>0.17585608000199401</v>
      </c>
      <c r="J62">
        <f t="shared" si="0"/>
        <v>3.9266769282628812E-4</v>
      </c>
      <c r="K62">
        <f t="shared" si="0"/>
        <v>3.9804355535822629E-6</v>
      </c>
      <c r="L62">
        <f t="shared" si="0"/>
        <v>2.2284499599489218E-4</v>
      </c>
      <c r="M62">
        <f t="shared" si="0"/>
        <v>2.7871482001248682E-5</v>
      </c>
      <c r="N62">
        <f t="shared" si="0"/>
        <v>5.7404584143430432E-5</v>
      </c>
      <c r="O62">
        <f t="shared" si="0"/>
        <v>2.3052007396569881E-4</v>
      </c>
      <c r="P62">
        <f t="shared" si="0"/>
        <v>6.1866746154464557E-5</v>
      </c>
      <c r="R62">
        <f t="shared" si="1"/>
        <v>8.1298804007696253E-4</v>
      </c>
      <c r="S62">
        <f t="shared" si="1"/>
        <v>0</v>
      </c>
      <c r="T62">
        <f t="shared" si="1"/>
        <v>0</v>
      </c>
      <c r="U62">
        <f t="shared" si="1"/>
        <v>5.5174158247369829E-5</v>
      </c>
      <c r="V62">
        <f t="shared" si="1"/>
        <v>0</v>
      </c>
      <c r="W62">
        <f t="shared" si="1"/>
        <v>0</v>
      </c>
      <c r="X62">
        <f t="shared" si="1"/>
        <v>5.7399781267672075E-5</v>
      </c>
      <c r="Z62">
        <f t="shared" si="1"/>
        <v>5.2484738097485564E-2</v>
      </c>
      <c r="AA62">
        <f t="shared" si="1"/>
        <v>2.672578157405233E-5</v>
      </c>
      <c r="AB62">
        <f t="shared" si="1"/>
        <v>7.1146842758002295E-3</v>
      </c>
      <c r="AC62">
        <f t="shared" si="1"/>
        <v>3.5948523724059528E-3</v>
      </c>
      <c r="AD62">
        <f t="shared" si="1"/>
        <v>8.7677378988881005E-3</v>
      </c>
      <c r="AE62">
        <f t="shared" si="1"/>
        <v>2.3860647550770608E-2</v>
      </c>
      <c r="AF62">
        <f t="shared" si="1"/>
        <v>6.3387202203074051E-3</v>
      </c>
    </row>
    <row r="63" spans="1:32" x14ac:dyDescent="0.2">
      <c r="A63">
        <v>2023</v>
      </c>
      <c r="B63">
        <f t="shared" si="2"/>
        <v>5.8044708732764766E-2</v>
      </c>
      <c r="C63">
        <f t="shared" si="2"/>
        <v>4.6174513406601093E-2</v>
      </c>
      <c r="D63">
        <f t="shared" si="2"/>
        <v>2.3240655112413591</v>
      </c>
      <c r="E63">
        <f t="shared" si="2"/>
        <v>2.9332582296912229E-3</v>
      </c>
      <c r="F63">
        <f t="shared" si="2"/>
        <v>1.1863177497600541</v>
      </c>
      <c r="G63">
        <f t="shared" si="2"/>
        <v>1.0287149360992816E-2</v>
      </c>
      <c r="H63">
        <f t="shared" si="2"/>
        <v>0.22379128436366647</v>
      </c>
      <c r="J63">
        <f t="shared" si="0"/>
        <v>5.3161742984069056E-4</v>
      </c>
      <c r="K63">
        <f t="shared" si="0"/>
        <v>5.3889559984198499E-6</v>
      </c>
      <c r="L63">
        <f t="shared" si="0"/>
        <v>3.0686889639862613E-4</v>
      </c>
      <c r="M63">
        <f t="shared" si="0"/>
        <v>3.7734109268596627E-5</v>
      </c>
      <c r="N63">
        <f t="shared" si="0"/>
        <v>7.7052830223614676E-5</v>
      </c>
      <c r="O63">
        <f t="shared" si="0"/>
        <v>3.1543707417103559E-4</v>
      </c>
      <c r="P63">
        <f t="shared" si="0"/>
        <v>7.8616241421101163E-5</v>
      </c>
      <c r="R63">
        <f t="shared" si="1"/>
        <v>1.1006727068532602E-3</v>
      </c>
      <c r="S63">
        <f t="shared" si="1"/>
        <v>0</v>
      </c>
      <c r="T63">
        <f t="shared" si="1"/>
        <v>0</v>
      </c>
      <c r="U63">
        <f t="shared" si="1"/>
        <v>7.4698134674568801E-5</v>
      </c>
      <c r="V63">
        <f t="shared" si="1"/>
        <v>0</v>
      </c>
      <c r="W63">
        <f t="shared" si="1"/>
        <v>0</v>
      </c>
      <c r="X63">
        <f t="shared" si="1"/>
        <v>7.2587022606731836E-5</v>
      </c>
      <c r="Z63">
        <f t="shared" si="1"/>
        <v>7.1057033932227495E-2</v>
      </c>
      <c r="AA63">
        <f t="shared" si="1"/>
        <v>3.6182990275104709E-5</v>
      </c>
      <c r="AB63">
        <f t="shared" si="1"/>
        <v>9.7972821969469649E-3</v>
      </c>
      <c r="AC63">
        <f t="shared" si="1"/>
        <v>4.8669300117863403E-3</v>
      </c>
      <c r="AD63">
        <f t="shared" si="1"/>
        <v>1.1768729446418127E-2</v>
      </c>
      <c r="AE63">
        <f t="shared" si="1"/>
        <v>3.2650227469393014E-2</v>
      </c>
      <c r="AF63">
        <f t="shared" si="1"/>
        <v>8.0357181598007255E-3</v>
      </c>
    </row>
    <row r="64" spans="1:32" x14ac:dyDescent="0.2">
      <c r="A64">
        <v>2023.25</v>
      </c>
      <c r="B64">
        <f t="shared" si="2"/>
        <v>7.8037376749116996E-2</v>
      </c>
      <c r="C64">
        <f t="shared" si="2"/>
        <v>6.2078662768516736E-2</v>
      </c>
      <c r="D64">
        <f t="shared" si="2"/>
        <v>3.1596544530364818</v>
      </c>
      <c r="E64">
        <f t="shared" si="2"/>
        <v>3.9435769869519827E-3</v>
      </c>
      <c r="F64">
        <f t="shared" si="2"/>
        <v>1.5842593102400646</v>
      </c>
      <c r="G64">
        <f t="shared" si="2"/>
        <v>1.4078211614333288E-2</v>
      </c>
      <c r="H64">
        <f t="shared" si="2"/>
        <v>0.3149914239336844</v>
      </c>
      <c r="J64">
        <f t="shared" si="0"/>
        <v>7.1472543431779553E-4</v>
      </c>
      <c r="K64">
        <f t="shared" si="0"/>
        <v>7.2451046566406401E-6</v>
      </c>
      <c r="L64">
        <f t="shared" si="0"/>
        <v>4.1719980366922404E-4</v>
      </c>
      <c r="M64">
        <f t="shared" si="0"/>
        <v>5.0731082394485846E-5</v>
      </c>
      <c r="N64">
        <f t="shared" si="0"/>
        <v>1.0289963518357446E-4</v>
      </c>
      <c r="O64">
        <f t="shared" si="0"/>
        <v>4.3168323170505633E-4</v>
      </c>
      <c r="P64">
        <f t="shared" si="0"/>
        <v>1.1085156501441686E-4</v>
      </c>
      <c r="R64">
        <f t="shared" si="1"/>
        <v>1.4797836457002241E-3</v>
      </c>
      <c r="S64">
        <f t="shared" si="1"/>
        <v>0</v>
      </c>
      <c r="T64">
        <f t="shared" si="1"/>
        <v>0</v>
      </c>
      <c r="U64">
        <f t="shared" si="1"/>
        <v>1.0042683657683933E-4</v>
      </c>
      <c r="V64">
        <f t="shared" si="1"/>
        <v>0</v>
      </c>
      <c r="W64">
        <f t="shared" si="1"/>
        <v>0</v>
      </c>
      <c r="X64">
        <f t="shared" si="1"/>
        <v>1.0156253675153665E-4</v>
      </c>
      <c r="Z64">
        <f t="shared" si="1"/>
        <v>9.5531610868674344E-2</v>
      </c>
      <c r="AA64">
        <f t="shared" si="1"/>
        <v>4.8645702694587155E-5</v>
      </c>
      <c r="AB64">
        <f t="shared" si="1"/>
        <v>1.3319773548338531E-2</v>
      </c>
      <c r="AC64">
        <f t="shared" si="1"/>
        <v>6.5432743006765427E-3</v>
      </c>
      <c r="AD64">
        <f t="shared" si="1"/>
        <v>1.5716463147378026E-2</v>
      </c>
      <c r="AE64">
        <f t="shared" si="1"/>
        <v>4.4682622506986784E-2</v>
      </c>
      <c r="AF64">
        <f t="shared" si="1"/>
        <v>1.1304162779484104E-2</v>
      </c>
    </row>
    <row r="65" spans="1:32" x14ac:dyDescent="0.2">
      <c r="A65">
        <v>2023.5</v>
      </c>
      <c r="B65">
        <f t="shared" si="2"/>
        <v>0.13051824650136939</v>
      </c>
      <c r="C65">
        <f t="shared" si="2"/>
        <v>0.10382714728796072</v>
      </c>
      <c r="D65">
        <f t="shared" si="2"/>
        <v>5.3453287867231767</v>
      </c>
      <c r="E65">
        <f t="shared" si="2"/>
        <v>6.5956695973375407E-3</v>
      </c>
      <c r="F65">
        <f t="shared" si="2"/>
        <v>2.6270404314981812</v>
      </c>
      <c r="G65">
        <f t="shared" si="2"/>
        <v>2.4395975570885697E-2</v>
      </c>
      <c r="H65">
        <f t="shared" si="2"/>
        <v>0.54096881891642046</v>
      </c>
      <c r="J65">
        <f t="shared" si="0"/>
        <v>1.1953850104032861E-3</v>
      </c>
      <c r="K65">
        <f t="shared" si="0"/>
        <v>1.2117505673514871E-5</v>
      </c>
      <c r="L65">
        <f t="shared" si="0"/>
        <v>7.0579557148257941E-4</v>
      </c>
      <c r="M65">
        <f t="shared" si="0"/>
        <v>8.4848212396115789E-5</v>
      </c>
      <c r="N65">
        <f t="shared" si="0"/>
        <v>1.7062958081824419E-4</v>
      </c>
      <c r="O65">
        <f t="shared" si="0"/>
        <v>7.4805904780656917E-4</v>
      </c>
      <c r="P65">
        <f t="shared" si="0"/>
        <v>1.9162859914234503E-4</v>
      </c>
      <c r="R65">
        <f t="shared" si="1"/>
        <v>2.474952063792718E-3</v>
      </c>
      <c r="S65">
        <f t="shared" si="1"/>
        <v>0</v>
      </c>
      <c r="T65">
        <f t="shared" si="1"/>
        <v>0</v>
      </c>
      <c r="U65">
        <f t="shared" si="1"/>
        <v>1.6796482862088224E-4</v>
      </c>
      <c r="V65">
        <f t="shared" si="1"/>
        <v>0</v>
      </c>
      <c r="W65">
        <f t="shared" si="1"/>
        <v>0</v>
      </c>
      <c r="X65">
        <f t="shared" si="1"/>
        <v>1.7355668790198446E-4</v>
      </c>
      <c r="Z65">
        <f t="shared" si="1"/>
        <v>0.15977751758770678</v>
      </c>
      <c r="AA65">
        <f t="shared" si="1"/>
        <v>8.1360395236456987E-5</v>
      </c>
      <c r="AB65">
        <f t="shared" si="1"/>
        <v>2.2533656777608959E-2</v>
      </c>
      <c r="AC65">
        <f t="shared" si="1"/>
        <v>1.0943687802927584E-2</v>
      </c>
      <c r="AD65">
        <f t="shared" si="1"/>
        <v>2.6061253900446921E-2</v>
      </c>
      <c r="AE65">
        <f t="shared" si="1"/>
        <v>7.7430017177304702E-2</v>
      </c>
      <c r="AF65">
        <f t="shared" si="1"/>
        <v>1.9500424465718629E-2</v>
      </c>
    </row>
    <row r="66" spans="1:32" x14ac:dyDescent="0.2">
      <c r="A66">
        <v>2023.75</v>
      </c>
      <c r="B66">
        <f t="shared" si="2"/>
        <v>0.18023763171035184</v>
      </c>
      <c r="C66">
        <f t="shared" si="2"/>
        <v>0.1433788733457094</v>
      </c>
      <c r="D66">
        <f t="shared" si="2"/>
        <v>7.408760560693616</v>
      </c>
      <c r="E66">
        <f t="shared" si="2"/>
        <v>9.1082120671581012E-3</v>
      </c>
      <c r="F66">
        <f t="shared" si="2"/>
        <v>3.6132549540073975</v>
      </c>
      <c r="G66">
        <f t="shared" si="2"/>
        <v>3.4512624873077269E-2</v>
      </c>
      <c r="H66">
        <f t="shared" si="2"/>
        <v>0.81516058495804622</v>
      </c>
      <c r="J66">
        <f t="shared" si="0"/>
        <v>1.6507528183416259E-3</v>
      </c>
      <c r="K66">
        <f t="shared" si="0"/>
        <v>1.6733526410103564E-5</v>
      </c>
      <c r="L66">
        <f t="shared" si="0"/>
        <v>9.7825046925091043E-4</v>
      </c>
      <c r="M66">
        <f t="shared" si="0"/>
        <v>1.1717013725718705E-4</v>
      </c>
      <c r="N66">
        <f t="shared" si="0"/>
        <v>2.3468545470391758E-4</v>
      </c>
      <c r="O66">
        <f t="shared" si="0"/>
        <v>1.058268041990919E-3</v>
      </c>
      <c r="P66">
        <f t="shared" si="0"/>
        <v>2.9072642583209143E-4</v>
      </c>
      <c r="R66">
        <f t="shared" si="1"/>
        <v>3.4177558351580128E-3</v>
      </c>
      <c r="S66">
        <f t="shared" si="1"/>
        <v>0</v>
      </c>
      <c r="T66">
        <f t="shared" si="1"/>
        <v>0</v>
      </c>
      <c r="U66">
        <f t="shared" si="1"/>
        <v>2.3194904722341109E-4</v>
      </c>
      <c r="V66">
        <f t="shared" si="1"/>
        <v>0</v>
      </c>
      <c r="W66">
        <f t="shared" si="1"/>
        <v>0</v>
      </c>
      <c r="X66">
        <f t="shared" si="1"/>
        <v>2.6114954692585575E-4</v>
      </c>
      <c r="Z66">
        <f t="shared" si="1"/>
        <v>0.22064287670509888</v>
      </c>
      <c r="AA66">
        <f t="shared" si="1"/>
        <v>1.123536773249811E-4</v>
      </c>
      <c r="AB66">
        <f t="shared" si="1"/>
        <v>3.1232216816451084E-2</v>
      </c>
      <c r="AC66">
        <f t="shared" si="1"/>
        <v>1.5112556478886166E-2</v>
      </c>
      <c r="AD66">
        <f t="shared" si="1"/>
        <v>3.5844882185437979E-2</v>
      </c>
      <c r="AE66">
        <f t="shared" si="1"/>
        <v>0.10953909709376006</v>
      </c>
      <c r="AF66">
        <f t="shared" si="1"/>
        <v>2.9562803700250606E-2</v>
      </c>
    </row>
    <row r="67" spans="1:32" x14ac:dyDescent="0.2">
      <c r="A67">
        <v>2024</v>
      </c>
      <c r="B67">
        <f t="shared" si="2"/>
        <v>0.22737581039550001</v>
      </c>
      <c r="C67">
        <f t="shared" si="2"/>
        <v>0.18087725194350743</v>
      </c>
      <c r="D67">
        <f t="shared" si="2"/>
        <v>9.3583098959634672</v>
      </c>
      <c r="E67">
        <f t="shared" si="2"/>
        <v>1.1490314649452861E-2</v>
      </c>
      <c r="F67">
        <f t="shared" si="2"/>
        <v>4.5466847720504155</v>
      </c>
      <c r="G67">
        <f t="shared" si="2"/>
        <v>4.4423347958968053E-2</v>
      </c>
      <c r="H67">
        <f t="shared" si="2"/>
        <v>1.0956659763470438</v>
      </c>
      <c r="J67">
        <f t="shared" si="2"/>
        <v>2.082479980852551E-3</v>
      </c>
      <c r="K67">
        <f t="shared" si="2"/>
        <v>2.1109904142472558E-5</v>
      </c>
      <c r="L67">
        <f t="shared" si="2"/>
        <v>1.2356683647857854E-3</v>
      </c>
      <c r="M67">
        <f t="shared" si="2"/>
        <v>1.478140533704911E-4</v>
      </c>
      <c r="N67">
        <f t="shared" si="2"/>
        <v>2.9531289563184391E-4</v>
      </c>
      <c r="O67">
        <f t="shared" si="2"/>
        <v>1.3621626762991171E-3</v>
      </c>
      <c r="P67">
        <f t="shared" si="2"/>
        <v>3.9320698492655785E-4</v>
      </c>
      <c r="R67">
        <f t="shared" ref="R67:AF82" si="3">1000*R19*R$49/1000000</f>
        <v>4.3116134814834501E-3</v>
      </c>
      <c r="S67">
        <f t="shared" si="3"/>
        <v>0</v>
      </c>
      <c r="T67">
        <f t="shared" si="3"/>
        <v>0</v>
      </c>
      <c r="U67">
        <f t="shared" si="3"/>
        <v>2.9261149340689056E-4</v>
      </c>
      <c r="V67">
        <f t="shared" si="3"/>
        <v>0</v>
      </c>
      <c r="W67">
        <f t="shared" si="3"/>
        <v>0</v>
      </c>
      <c r="X67">
        <f t="shared" si="3"/>
        <v>3.5100063761522285E-4</v>
      </c>
      <c r="Z67">
        <f t="shared" si="3"/>
        <v>0.27834838053930566</v>
      </c>
      <c r="AA67">
        <f t="shared" si="3"/>
        <v>1.4173792781374431E-4</v>
      </c>
      <c r="AB67">
        <f t="shared" si="3"/>
        <v>3.9450696417014056E-2</v>
      </c>
      <c r="AC67">
        <f t="shared" si="3"/>
        <v>1.9064996271459266E-2</v>
      </c>
      <c r="AD67">
        <f t="shared" si="3"/>
        <v>4.5104865851693904E-2</v>
      </c>
      <c r="AE67">
        <f t="shared" si="3"/>
        <v>0.14099459091282415</v>
      </c>
      <c r="AF67">
        <f t="shared" si="3"/>
        <v>3.9975830293827119E-2</v>
      </c>
    </row>
    <row r="68" spans="1:32" x14ac:dyDescent="0.2">
      <c r="A68">
        <v>2024.25</v>
      </c>
      <c r="B68">
        <f t="shared" ref="B68:P83" si="4">1000*B20*B$49/1000000</f>
        <v>0.26675507013763905</v>
      </c>
      <c r="C68">
        <f t="shared" si="4"/>
        <v>0.21220341752522964</v>
      </c>
      <c r="D68">
        <f t="shared" si="4"/>
        <v>10.981400944271311</v>
      </c>
      <c r="E68">
        <f t="shared" si="4"/>
        <v>1.3480324423635353E-2</v>
      </c>
      <c r="F68">
        <f t="shared" si="4"/>
        <v>5.3251678542005854</v>
      </c>
      <c r="G68">
        <f t="shared" si="4"/>
        <v>5.2965608025155479E-2</v>
      </c>
      <c r="H68">
        <f t="shared" si="4"/>
        <v>1.3508649802213817</v>
      </c>
      <c r="J68">
        <f t="shared" si="4"/>
        <v>2.4431450838428574E-3</v>
      </c>
      <c r="K68">
        <f t="shared" si="4"/>
        <v>2.4765932446064423E-5</v>
      </c>
      <c r="L68">
        <f t="shared" si="4"/>
        <v>1.4499808083634532E-3</v>
      </c>
      <c r="M68">
        <f t="shared" si="4"/>
        <v>1.7341399731831127E-4</v>
      </c>
      <c r="N68">
        <f t="shared" si="4"/>
        <v>3.4587635114197672E-4</v>
      </c>
      <c r="O68">
        <f t="shared" si="4"/>
        <v>1.6240958346047131E-3</v>
      </c>
      <c r="P68">
        <f t="shared" si="4"/>
        <v>4.8743426959459271E-4</v>
      </c>
      <c r="R68">
        <f t="shared" si="3"/>
        <v>5.0583426383788719E-3</v>
      </c>
      <c r="S68">
        <f t="shared" si="3"/>
        <v>0</v>
      </c>
      <c r="T68">
        <f t="shared" si="3"/>
        <v>0</v>
      </c>
      <c r="U68">
        <f t="shared" si="3"/>
        <v>3.4328893346686107E-4</v>
      </c>
      <c r="V68">
        <f t="shared" si="3"/>
        <v>0</v>
      </c>
      <c r="W68">
        <f t="shared" si="3"/>
        <v>0</v>
      </c>
      <c r="X68">
        <f t="shared" si="3"/>
        <v>4.3296309933937762E-4</v>
      </c>
      <c r="Z68">
        <f t="shared" si="3"/>
        <v>0.32655558937561563</v>
      </c>
      <c r="AA68">
        <f t="shared" si="3"/>
        <v>1.6628554642357537E-4</v>
      </c>
      <c r="AB68">
        <f t="shared" si="3"/>
        <v>4.629296525784235E-2</v>
      </c>
      <c r="AC68">
        <f t="shared" si="3"/>
        <v>2.2366866592892391E-2</v>
      </c>
      <c r="AD68">
        <f t="shared" si="3"/>
        <v>5.2827718160269849E-2</v>
      </c>
      <c r="AE68">
        <f t="shared" si="3"/>
        <v>0.16810674069080839</v>
      </c>
      <c r="AF68">
        <f t="shared" si="3"/>
        <v>4.955663218897919E-2</v>
      </c>
    </row>
    <row r="69" spans="1:32" x14ac:dyDescent="0.2">
      <c r="A69">
        <v>2024.5</v>
      </c>
      <c r="B69">
        <f t="shared" si="4"/>
        <v>0.34837405941943905</v>
      </c>
      <c r="C69">
        <f t="shared" si="4"/>
        <v>0.27713124983078413</v>
      </c>
      <c r="D69">
        <f t="shared" si="4"/>
        <v>14.334118708582025</v>
      </c>
      <c r="E69">
        <f t="shared" si="4"/>
        <v>1.7604896279308717E-2</v>
      </c>
      <c r="F69">
        <f t="shared" si="4"/>
        <v>6.9360172890308318</v>
      </c>
      <c r="G69">
        <f t="shared" si="4"/>
        <v>7.1207499746495623E-2</v>
      </c>
      <c r="H69">
        <f t="shared" si="4"/>
        <v>1.8174981956847456</v>
      </c>
      <c r="J69">
        <f t="shared" si="4"/>
        <v>3.1906736399417665E-3</v>
      </c>
      <c r="K69">
        <f t="shared" si="4"/>
        <v>3.2343559269899989E-5</v>
      </c>
      <c r="L69">
        <f t="shared" si="4"/>
        <v>1.8926726323648163E-3</v>
      </c>
      <c r="M69">
        <f t="shared" si="4"/>
        <v>2.2647343937927855E-4</v>
      </c>
      <c r="N69">
        <f t="shared" si="4"/>
        <v>4.5050304836781306E-4</v>
      </c>
      <c r="O69">
        <f t="shared" si="4"/>
        <v>2.1834508852607518E-3</v>
      </c>
      <c r="P69">
        <f t="shared" si="4"/>
        <v>6.6152700589658918E-4</v>
      </c>
      <c r="R69">
        <f t="shared" si="3"/>
        <v>6.6060426066399929E-3</v>
      </c>
      <c r="S69">
        <f t="shared" si="3"/>
        <v>0</v>
      </c>
      <c r="T69">
        <f t="shared" si="3"/>
        <v>0</v>
      </c>
      <c r="U69">
        <f t="shared" si="3"/>
        <v>4.4832497183244947E-4</v>
      </c>
      <c r="V69">
        <f t="shared" si="3"/>
        <v>0</v>
      </c>
      <c r="W69">
        <f t="shared" si="3"/>
        <v>0</v>
      </c>
      <c r="X69">
        <f t="shared" si="3"/>
        <v>5.8322602180788552E-4</v>
      </c>
      <c r="Z69">
        <f t="shared" si="3"/>
        <v>0.42647173018376555</v>
      </c>
      <c r="AA69">
        <f t="shared" si="3"/>
        <v>2.171638979550428E-4</v>
      </c>
      <c r="AB69">
        <f t="shared" si="3"/>
        <v>6.0426612482840009E-2</v>
      </c>
      <c r="AC69">
        <f t="shared" si="3"/>
        <v>2.9210451773000825E-2</v>
      </c>
      <c r="AD69">
        <f t="shared" si="3"/>
        <v>6.8807965595046178E-2</v>
      </c>
      <c r="AE69">
        <f t="shared" si="3"/>
        <v>0.22600440439463468</v>
      </c>
      <c r="AF69">
        <f t="shared" si="3"/>
        <v>6.7269411127702058E-2</v>
      </c>
    </row>
    <row r="70" spans="1:32" x14ac:dyDescent="0.2">
      <c r="A70">
        <v>2024.75</v>
      </c>
      <c r="B70">
        <f t="shared" si="4"/>
        <v>0.39499771826681157</v>
      </c>
      <c r="C70">
        <f t="shared" si="4"/>
        <v>0.31422032836202984</v>
      </c>
      <c r="D70">
        <f t="shared" si="4"/>
        <v>16.242911764447754</v>
      </c>
      <c r="E70">
        <f t="shared" si="4"/>
        <v>1.9960997877509594E-2</v>
      </c>
      <c r="F70">
        <f t="shared" si="4"/>
        <v>7.8546911525884058</v>
      </c>
      <c r="G70">
        <f t="shared" si="4"/>
        <v>8.1930181450750775E-2</v>
      </c>
      <c r="H70">
        <f t="shared" si="4"/>
        <v>2.163733517016404</v>
      </c>
      <c r="J70">
        <f t="shared" si="4"/>
        <v>3.6176884398664722E-3</v>
      </c>
      <c r="K70">
        <f t="shared" si="4"/>
        <v>3.6672168224948522E-5</v>
      </c>
      <c r="L70">
        <f t="shared" si="4"/>
        <v>2.1447090812831645E-3</v>
      </c>
      <c r="M70">
        <f t="shared" si="4"/>
        <v>2.5678287284630272E-4</v>
      </c>
      <c r="N70">
        <f t="shared" si="4"/>
        <v>5.1017207148905614E-4</v>
      </c>
      <c r="O70">
        <f t="shared" si="4"/>
        <v>2.5122427813794941E-3</v>
      </c>
      <c r="P70">
        <f t="shared" si="4"/>
        <v>7.9202276750799171E-4</v>
      </c>
      <c r="R70">
        <f t="shared" si="3"/>
        <v>7.4901436712728345E-3</v>
      </c>
      <c r="S70">
        <f t="shared" si="3"/>
        <v>0</v>
      </c>
      <c r="T70">
        <f t="shared" si="3"/>
        <v>0</v>
      </c>
      <c r="U70">
        <f t="shared" si="3"/>
        <v>5.0832527889982371E-4</v>
      </c>
      <c r="V70">
        <f t="shared" si="3"/>
        <v>0</v>
      </c>
      <c r="W70">
        <f t="shared" si="3"/>
        <v>0</v>
      </c>
      <c r="X70">
        <f t="shared" si="3"/>
        <v>6.9500863216725441E-4</v>
      </c>
      <c r="Z70">
        <f t="shared" si="3"/>
        <v>0.48354737034271567</v>
      </c>
      <c r="AA70">
        <f t="shared" si="3"/>
        <v>2.4622741522465431E-4</v>
      </c>
      <c r="AB70">
        <f t="shared" si="3"/>
        <v>6.8473280760233124E-2</v>
      </c>
      <c r="AC70">
        <f t="shared" si="3"/>
        <v>3.3119750130380265E-2</v>
      </c>
      <c r="AD70">
        <f t="shared" si="3"/>
        <v>7.7921564503847379E-2</v>
      </c>
      <c r="AE70">
        <f t="shared" si="3"/>
        <v>0.26003696136842014</v>
      </c>
      <c r="AF70">
        <f t="shared" si="3"/>
        <v>8.0554819144290607E-2</v>
      </c>
    </row>
    <row r="71" spans="1:32" x14ac:dyDescent="0.2">
      <c r="A71">
        <v>2025</v>
      </c>
      <c r="B71">
        <f t="shared" si="4"/>
        <v>0.44678343369213813</v>
      </c>
      <c r="C71">
        <f t="shared" si="4"/>
        <v>0.35541581824184054</v>
      </c>
      <c r="D71">
        <f t="shared" si="4"/>
        <v>18.356036683515828</v>
      </c>
      <c r="E71">
        <f t="shared" si="4"/>
        <v>2.2577961236756202E-2</v>
      </c>
      <c r="F71">
        <f t="shared" si="4"/>
        <v>8.8734355931729869</v>
      </c>
      <c r="G71">
        <f t="shared" si="4"/>
        <v>9.4170988836963093E-2</v>
      </c>
      <c r="H71">
        <f t="shared" si="4"/>
        <v>2.5401375816855141</v>
      </c>
      <c r="J71">
        <f t="shared" si="4"/>
        <v>4.091981265826221E-3</v>
      </c>
      <c r="K71">
        <f t="shared" si="4"/>
        <v>4.1480030093264668E-5</v>
      </c>
      <c r="L71">
        <f t="shared" si="4"/>
        <v>2.4237254466697388E-3</v>
      </c>
      <c r="M71">
        <f t="shared" si="4"/>
        <v>2.9044809207254176E-4</v>
      </c>
      <c r="N71">
        <f t="shared" si="4"/>
        <v>5.7634080447605907E-4</v>
      </c>
      <c r="O71">
        <f t="shared" si="4"/>
        <v>2.8875852919139555E-3</v>
      </c>
      <c r="P71">
        <f t="shared" si="4"/>
        <v>9.3531242331508307E-4</v>
      </c>
      <c r="R71">
        <f t="shared" si="3"/>
        <v>8.4721302264289342E-3</v>
      </c>
      <c r="S71">
        <f t="shared" si="3"/>
        <v>0</v>
      </c>
      <c r="T71">
        <f t="shared" si="3"/>
        <v>0</v>
      </c>
      <c r="U71">
        <f t="shared" si="3"/>
        <v>5.7496867206197045E-4</v>
      </c>
      <c r="V71">
        <f t="shared" si="3"/>
        <v>0</v>
      </c>
      <c r="W71">
        <f t="shared" si="3"/>
        <v>0</v>
      </c>
      <c r="X71">
        <f t="shared" si="3"/>
        <v>8.1684323392163319E-4</v>
      </c>
      <c r="Z71">
        <f t="shared" si="3"/>
        <v>0.54694228468578632</v>
      </c>
      <c r="AA71">
        <f t="shared" si="3"/>
        <v>2.785087734833484E-4</v>
      </c>
      <c r="AB71">
        <f t="shared" si="3"/>
        <v>7.7381326187254032E-2</v>
      </c>
      <c r="AC71">
        <f t="shared" si="3"/>
        <v>3.7461876365274774E-2</v>
      </c>
      <c r="AD71">
        <f t="shared" si="3"/>
        <v>8.8027902117616949E-2</v>
      </c>
      <c r="AE71">
        <f t="shared" si="3"/>
        <v>0.29888787443908316</v>
      </c>
      <c r="AF71">
        <f t="shared" si="3"/>
        <v>9.5151621077089174E-2</v>
      </c>
    </row>
    <row r="72" spans="1:32" x14ac:dyDescent="0.2">
      <c r="A72">
        <v>2025.25</v>
      </c>
      <c r="B72">
        <f t="shared" si="4"/>
        <v>0.50551214289694024</v>
      </c>
      <c r="C72">
        <f t="shared" si="4"/>
        <v>0.40213445340657838</v>
      </c>
      <c r="D72">
        <f t="shared" si="4"/>
        <v>20.729255231629068</v>
      </c>
      <c r="E72">
        <f t="shared" si="4"/>
        <v>2.5545785063510771E-2</v>
      </c>
      <c r="F72">
        <f t="shared" si="4"/>
        <v>10.037211424252723</v>
      </c>
      <c r="G72">
        <f t="shared" si="4"/>
        <v>0.10835750548437828</v>
      </c>
      <c r="H72">
        <f t="shared" si="4"/>
        <v>2.9484884942369267</v>
      </c>
      <c r="J72">
        <f t="shared" si="4"/>
        <v>4.6298632903370033E-3</v>
      </c>
      <c r="K72">
        <f t="shared" si="4"/>
        <v>4.693248969997512E-5</v>
      </c>
      <c r="L72">
        <f t="shared" si="4"/>
        <v>2.7370844949623449E-3</v>
      </c>
      <c r="M72">
        <f t="shared" si="4"/>
        <v>3.2862686114071564E-4</v>
      </c>
      <c r="N72">
        <f t="shared" si="4"/>
        <v>6.5192950872386283E-4</v>
      </c>
      <c r="O72">
        <f t="shared" si="4"/>
        <v>3.3225895041505953E-3</v>
      </c>
      <c r="P72">
        <f t="shared" si="4"/>
        <v>1.0921392955358614E-3</v>
      </c>
      <c r="R72">
        <f t="shared" si="3"/>
        <v>9.5857732912611199E-3</v>
      </c>
      <c r="S72">
        <f t="shared" si="3"/>
        <v>0</v>
      </c>
      <c r="T72">
        <f t="shared" si="3"/>
        <v>0</v>
      </c>
      <c r="U72">
        <f t="shared" si="3"/>
        <v>6.5054705164590643E-4</v>
      </c>
      <c r="V72">
        <f t="shared" si="3"/>
        <v>0</v>
      </c>
      <c r="W72">
        <f t="shared" si="3"/>
        <v>0</v>
      </c>
      <c r="X72">
        <f t="shared" si="3"/>
        <v>9.4954084687003397E-4</v>
      </c>
      <c r="Z72">
        <f t="shared" si="3"/>
        <v>0.61883665669434029</v>
      </c>
      <c r="AA72">
        <f t="shared" si="3"/>
        <v>3.1511814512840438E-4</v>
      </c>
      <c r="AB72">
        <f t="shared" si="3"/>
        <v>8.7385816903384941E-2</v>
      </c>
      <c r="AC72">
        <f t="shared" si="3"/>
        <v>4.238615841651678E-2</v>
      </c>
      <c r="AD72">
        <f t="shared" si="3"/>
        <v>9.9573007039993791E-2</v>
      </c>
      <c r="AE72">
        <f t="shared" si="3"/>
        <v>0.34391424464935622</v>
      </c>
      <c r="AF72">
        <f t="shared" si="3"/>
        <v>0.11115619435240962</v>
      </c>
    </row>
    <row r="73" spans="1:32" x14ac:dyDescent="0.2">
      <c r="A73">
        <v>2025.5</v>
      </c>
      <c r="B73">
        <f t="shared" si="4"/>
        <v>0.55688489608005065</v>
      </c>
      <c r="C73">
        <f t="shared" si="4"/>
        <v>0.4430014321954398</v>
      </c>
      <c r="D73">
        <f t="shared" si="4"/>
        <v>22.785522140637251</v>
      </c>
      <c r="E73">
        <f t="shared" si="4"/>
        <v>2.8141879597295451E-2</v>
      </c>
      <c r="F73">
        <f t="shared" si="4"/>
        <v>11.062387465170447</v>
      </c>
      <c r="G73">
        <f t="shared" si="4"/>
        <v>0.12102553147924375</v>
      </c>
      <c r="H73">
        <f t="shared" si="4"/>
        <v>3.3545696923823067</v>
      </c>
      <c r="J73">
        <f t="shared" si="4"/>
        <v>5.1003738951327354E-3</v>
      </c>
      <c r="K73">
        <f t="shared" si="4"/>
        <v>5.1702011547281639E-5</v>
      </c>
      <c r="L73">
        <f t="shared" si="4"/>
        <v>3.008593346161343E-3</v>
      </c>
      <c r="M73">
        <f t="shared" si="4"/>
        <v>3.6202361899102917E-4</v>
      </c>
      <c r="N73">
        <f t="shared" si="4"/>
        <v>7.1851598224339673E-4</v>
      </c>
      <c r="O73">
        <f t="shared" si="4"/>
        <v>3.7110319107997135E-3</v>
      </c>
      <c r="P73">
        <f t="shared" si="4"/>
        <v>1.2494318006331076E-3</v>
      </c>
      <c r="R73">
        <f t="shared" si="3"/>
        <v>1.0559929050486083E-2</v>
      </c>
      <c r="S73">
        <f t="shared" si="3"/>
        <v>0</v>
      </c>
      <c r="T73">
        <f t="shared" si="3"/>
        <v>0</v>
      </c>
      <c r="U73">
        <f t="shared" si="3"/>
        <v>7.1665900085979251E-4</v>
      </c>
      <c r="V73">
        <f t="shared" si="3"/>
        <v>0</v>
      </c>
      <c r="W73">
        <f t="shared" si="3"/>
        <v>0</v>
      </c>
      <c r="X73">
        <f t="shared" si="3"/>
        <v>1.0820087692302821E-3</v>
      </c>
      <c r="Z73">
        <f t="shared" si="3"/>
        <v>0.68172603189872738</v>
      </c>
      <c r="AA73">
        <f t="shared" si="3"/>
        <v>3.4714207753174805E-4</v>
      </c>
      <c r="AB73">
        <f t="shared" si="3"/>
        <v>9.6054172886619021E-2</v>
      </c>
      <c r="AC73">
        <f t="shared" si="3"/>
        <v>4.6693658612720498E-2</v>
      </c>
      <c r="AD73">
        <f t="shared" si="3"/>
        <v>0.10974314860868487</v>
      </c>
      <c r="AE73">
        <f t="shared" si="3"/>
        <v>0.3841211003881187</v>
      </c>
      <c r="AF73">
        <f t="shared" si="3"/>
        <v>0.12723598588775886</v>
      </c>
    </row>
    <row r="74" spans="1:32" x14ac:dyDescent="0.2">
      <c r="A74">
        <v>2025.75</v>
      </c>
      <c r="B74">
        <f t="shared" si="4"/>
        <v>0.61273078578387075</v>
      </c>
      <c r="C74">
        <f t="shared" si="4"/>
        <v>0.48742678704913756</v>
      </c>
      <c r="D74">
        <f t="shared" si="4"/>
        <v>25.00005255319391</v>
      </c>
      <c r="E74">
        <f t="shared" si="4"/>
        <v>3.0964021686462173E-2</v>
      </c>
      <c r="F74">
        <f t="shared" si="4"/>
        <v>12.184388098316957</v>
      </c>
      <c r="G74">
        <f t="shared" si="4"/>
        <v>0.13506919362569655</v>
      </c>
      <c r="H74">
        <f t="shared" si="4"/>
        <v>3.7763976768739096</v>
      </c>
      <c r="J74">
        <f t="shared" si="4"/>
        <v>5.6118528740039478E-3</v>
      </c>
      <c r="K74">
        <f t="shared" si="4"/>
        <v>5.688682595805006E-5</v>
      </c>
      <c r="L74">
        <f t="shared" si="4"/>
        <v>3.3009992617671715E-3</v>
      </c>
      <c r="M74">
        <f t="shared" si="4"/>
        <v>3.9832830464270222E-4</v>
      </c>
      <c r="N74">
        <f t="shared" si="4"/>
        <v>7.9139133483262681E-4</v>
      </c>
      <c r="O74">
        <f t="shared" si="4"/>
        <v>4.1416557447377161E-3</v>
      </c>
      <c r="P74">
        <f t="shared" si="4"/>
        <v>1.4141820338538617E-3</v>
      </c>
      <c r="R74">
        <f t="shared" si="3"/>
        <v>1.1618906654627892E-2</v>
      </c>
      <c r="S74">
        <f t="shared" si="3"/>
        <v>0</v>
      </c>
      <c r="T74">
        <f t="shared" si="3"/>
        <v>0</v>
      </c>
      <c r="U74">
        <f t="shared" si="3"/>
        <v>7.8852746021106361E-4</v>
      </c>
      <c r="V74">
        <f t="shared" si="3"/>
        <v>0</v>
      </c>
      <c r="W74">
        <f t="shared" si="3"/>
        <v>0</v>
      </c>
      <c r="X74">
        <f t="shared" si="3"/>
        <v>1.2201293131510259E-3</v>
      </c>
      <c r="Z74">
        <f t="shared" si="3"/>
        <v>0.75009132076475304</v>
      </c>
      <c r="AA74">
        <f t="shared" si="3"/>
        <v>3.8195440286119329E-4</v>
      </c>
      <c r="AB74">
        <f t="shared" si="3"/>
        <v>0.10538970120137389</v>
      </c>
      <c r="AC74">
        <f t="shared" si="3"/>
        <v>5.1376222149834241E-2</v>
      </c>
      <c r="AD74">
        <f t="shared" si="3"/>
        <v>0.12087382746170031</v>
      </c>
      <c r="AE74">
        <f t="shared" si="3"/>
        <v>0.42869406686254879</v>
      </c>
      <c r="AF74">
        <f t="shared" si="3"/>
        <v>0.1441060657854254</v>
      </c>
    </row>
    <row r="75" spans="1:32" x14ac:dyDescent="0.2">
      <c r="A75">
        <v>2026</v>
      </c>
      <c r="B75">
        <f t="shared" si="4"/>
        <v>0.6745273015904919</v>
      </c>
      <c r="C75">
        <f t="shared" si="4"/>
        <v>0.53658585959666483</v>
      </c>
      <c r="D75">
        <f t="shared" si="4"/>
        <v>27.42822713246872</v>
      </c>
      <c r="E75">
        <f t="shared" si="4"/>
        <v>3.4086875474747196E-2</v>
      </c>
      <c r="F75">
        <f t="shared" si="4"/>
        <v>13.434064800206942</v>
      </c>
      <c r="G75">
        <f t="shared" si="4"/>
        <v>0.15090212519285293</v>
      </c>
      <c r="H75">
        <f t="shared" si="4"/>
        <v>4.2215366829468106</v>
      </c>
      <c r="J75">
        <f t="shared" si="4"/>
        <v>6.1778321962101318E-3</v>
      </c>
      <c r="K75">
        <f t="shared" si="4"/>
        <v>6.2624105234801046E-5</v>
      </c>
      <c r="L75">
        <f t="shared" si="4"/>
        <v>3.6216146875377043E-3</v>
      </c>
      <c r="M75">
        <f t="shared" si="4"/>
        <v>4.3850141483266409E-4</v>
      </c>
      <c r="N75">
        <f t="shared" si="4"/>
        <v>8.7255940870205339E-4</v>
      </c>
      <c r="O75">
        <f t="shared" si="4"/>
        <v>4.6271443318901071E-3</v>
      </c>
      <c r="P75">
        <f t="shared" si="4"/>
        <v>1.5894385961443219E-3</v>
      </c>
      <c r="R75">
        <f t="shared" si="3"/>
        <v>1.2790722997787175E-2</v>
      </c>
      <c r="S75">
        <f t="shared" si="3"/>
        <v>0</v>
      </c>
      <c r="T75">
        <f t="shared" si="3"/>
        <v>0</v>
      </c>
      <c r="U75">
        <f t="shared" si="3"/>
        <v>8.6805382119935529E-4</v>
      </c>
      <c r="V75">
        <f t="shared" si="3"/>
        <v>0</v>
      </c>
      <c r="W75">
        <f t="shared" si="3"/>
        <v>0</v>
      </c>
      <c r="X75">
        <f t="shared" si="3"/>
        <v>1.3664150714999008E-3</v>
      </c>
      <c r="Z75">
        <f t="shared" si="3"/>
        <v>0.82574123298639635</v>
      </c>
      <c r="AA75">
        <f t="shared" si="3"/>
        <v>4.2047613514794983E-4</v>
      </c>
      <c r="AB75">
        <f t="shared" si="3"/>
        <v>0.11562586341863496</v>
      </c>
      <c r="AC75">
        <f t="shared" si="3"/>
        <v>5.6557733504947687E-2</v>
      </c>
      <c r="AD75">
        <f t="shared" si="3"/>
        <v>0.1332711021404363</v>
      </c>
      <c r="AE75">
        <f t="shared" si="3"/>
        <v>0.47894596843745674</v>
      </c>
      <c r="AF75">
        <f t="shared" si="3"/>
        <v>0.16208052491108774</v>
      </c>
    </row>
    <row r="76" spans="1:32" x14ac:dyDescent="0.2">
      <c r="A76">
        <v>2026.25</v>
      </c>
      <c r="B76">
        <f t="shared" si="4"/>
        <v>0.73786494106573053</v>
      </c>
      <c r="C76">
        <f t="shared" si="4"/>
        <v>0.58697089463158125</v>
      </c>
      <c r="D76">
        <f t="shared" si="4"/>
        <v>29.908619233341767</v>
      </c>
      <c r="E76">
        <f t="shared" si="4"/>
        <v>3.7287609121207696E-2</v>
      </c>
      <c r="F76">
        <f t="shared" si="4"/>
        <v>14.716205937331669</v>
      </c>
      <c r="G76">
        <f t="shared" si="4"/>
        <v>0.16699111880313672</v>
      </c>
      <c r="H76">
        <f t="shared" si="4"/>
        <v>4.6935844572030456</v>
      </c>
      <c r="J76">
        <f t="shared" si="4"/>
        <v>6.7579262968632025E-3</v>
      </c>
      <c r="K76">
        <f t="shared" si="4"/>
        <v>6.8504464696113532E-5</v>
      </c>
      <c r="L76">
        <f t="shared" si="4"/>
        <v>3.9491248988244004E-3</v>
      </c>
      <c r="M76">
        <f t="shared" si="4"/>
        <v>4.7967638945054078E-4</v>
      </c>
      <c r="N76">
        <f t="shared" si="4"/>
        <v>9.5583608847993394E-4</v>
      </c>
      <c r="O76">
        <f t="shared" si="4"/>
        <v>5.1204846045635284E-3</v>
      </c>
      <c r="P76">
        <f t="shared" si="4"/>
        <v>1.7749930157101035E-3</v>
      </c>
      <c r="R76">
        <f t="shared" si="3"/>
        <v>1.3991762896322405E-2</v>
      </c>
      <c r="S76">
        <f t="shared" si="3"/>
        <v>0</v>
      </c>
      <c r="T76">
        <f t="shared" si="3"/>
        <v>0</v>
      </c>
      <c r="U76">
        <f t="shared" si="3"/>
        <v>9.4956346483066208E-4</v>
      </c>
      <c r="V76">
        <f t="shared" si="3"/>
        <v>0</v>
      </c>
      <c r="W76">
        <f t="shared" si="3"/>
        <v>0</v>
      </c>
      <c r="X76">
        <f t="shared" si="3"/>
        <v>1.5218296687704495E-3</v>
      </c>
      <c r="Z76">
        <f t="shared" si="3"/>
        <v>0.90327775432720814</v>
      </c>
      <c r="AA76">
        <f t="shared" si="3"/>
        <v>4.599585486739052E-4</v>
      </c>
      <c r="AB76">
        <f t="shared" si="3"/>
        <v>0.1260821527331093</v>
      </c>
      <c r="AC76">
        <f t="shared" si="3"/>
        <v>6.1868464925049341E-2</v>
      </c>
      <c r="AD76">
        <f t="shared" si="3"/>
        <v>0.14599043653292579</v>
      </c>
      <c r="AE76">
        <f t="shared" si="3"/>
        <v>0.53001058145078217</v>
      </c>
      <c r="AF76">
        <f t="shared" si="3"/>
        <v>0.18112058867042524</v>
      </c>
    </row>
    <row r="77" spans="1:32" x14ac:dyDescent="0.2">
      <c r="A77">
        <v>2026.5</v>
      </c>
      <c r="B77">
        <f t="shared" si="4"/>
        <v>0.83542762483073019</v>
      </c>
      <c r="C77">
        <f t="shared" si="4"/>
        <v>0.66458192150797346</v>
      </c>
      <c r="D77">
        <f t="shared" si="4"/>
        <v>33.716847277570238</v>
      </c>
      <c r="E77">
        <f t="shared" si="4"/>
        <v>4.2217887027881179E-2</v>
      </c>
      <c r="F77">
        <f t="shared" si="4"/>
        <v>16.69310545007048</v>
      </c>
      <c r="G77">
        <f t="shared" si="4"/>
        <v>0.19156644405095996</v>
      </c>
      <c r="H77">
        <f t="shared" si="4"/>
        <v>5.2526877784451669</v>
      </c>
      <c r="J77">
        <f t="shared" si="4"/>
        <v>7.6514792894417016E-3</v>
      </c>
      <c r="K77">
        <f t="shared" si="4"/>
        <v>7.7562327529363576E-5</v>
      </c>
      <c r="L77">
        <f t="shared" si="4"/>
        <v>4.4519621603018051E-3</v>
      </c>
      <c r="M77">
        <f t="shared" si="4"/>
        <v>5.4310061967064978E-4</v>
      </c>
      <c r="N77">
        <f t="shared" si="4"/>
        <v>1.0842381987535262E-3</v>
      </c>
      <c r="O77">
        <f t="shared" si="4"/>
        <v>5.8740430901017236E-3</v>
      </c>
      <c r="P77">
        <f t="shared" si="4"/>
        <v>1.9944255507536044E-3</v>
      </c>
      <c r="R77">
        <f t="shared" si="3"/>
        <v>1.5841795148562394E-2</v>
      </c>
      <c r="S77">
        <f t="shared" si="3"/>
        <v>0</v>
      </c>
      <c r="T77">
        <f t="shared" si="3"/>
        <v>0</v>
      </c>
      <c r="U77">
        <f t="shared" si="3"/>
        <v>1.0751175532255717E-3</v>
      </c>
      <c r="V77">
        <f t="shared" si="3"/>
        <v>0</v>
      </c>
      <c r="W77">
        <f t="shared" si="3"/>
        <v>0</v>
      </c>
      <c r="X77">
        <f t="shared" si="3"/>
        <v>1.7062357620354907E-3</v>
      </c>
      <c r="Z77">
        <f t="shared" si="3"/>
        <v>1.0227118092507286</v>
      </c>
      <c r="AA77">
        <f t="shared" si="3"/>
        <v>5.2077562769715544E-4</v>
      </c>
      <c r="AB77">
        <f t="shared" si="3"/>
        <v>0.14213603961330534</v>
      </c>
      <c r="AC77">
        <f t="shared" si="3"/>
        <v>7.0048896251398082E-2</v>
      </c>
      <c r="AD77">
        <f t="shared" si="3"/>
        <v>0.16560204186622257</v>
      </c>
      <c r="AE77">
        <f t="shared" si="3"/>
        <v>0.60800983384992369</v>
      </c>
      <c r="AF77">
        <f t="shared" si="3"/>
        <v>0.20364786296560594</v>
      </c>
    </row>
    <row r="78" spans="1:32" x14ac:dyDescent="0.2">
      <c r="A78">
        <v>2026.75</v>
      </c>
      <c r="B78">
        <f t="shared" si="4"/>
        <v>0.95273248459699944</v>
      </c>
      <c r="C78">
        <f t="shared" si="4"/>
        <v>0.75789783157437352</v>
      </c>
      <c r="D78">
        <f t="shared" si="4"/>
        <v>38.2811313003103</v>
      </c>
      <c r="E78">
        <f t="shared" si="4"/>
        <v>4.814582521215803E-2</v>
      </c>
      <c r="F78">
        <f t="shared" si="4"/>
        <v>19.072305577738813</v>
      </c>
      <c r="G78">
        <f t="shared" si="4"/>
        <v>0.22087243024168463</v>
      </c>
      <c r="H78">
        <f t="shared" si="4"/>
        <v>5.9295960669653569</v>
      </c>
      <c r="J78">
        <f t="shared" si="4"/>
        <v>8.7258460907960727E-3</v>
      </c>
      <c r="K78">
        <f t="shared" si="4"/>
        <v>8.8453082974302235E-5</v>
      </c>
      <c r="L78">
        <f t="shared" si="4"/>
        <v>5.0546288210019151E-3</v>
      </c>
      <c r="M78">
        <f t="shared" si="4"/>
        <v>6.1935898141963748E-4</v>
      </c>
      <c r="N78">
        <f t="shared" si="4"/>
        <v>1.2387702400572238E-3</v>
      </c>
      <c r="O78">
        <f t="shared" si="4"/>
        <v>6.7726588499497755E-3</v>
      </c>
      <c r="P78">
        <f t="shared" si="4"/>
        <v>2.2596897603298126E-3</v>
      </c>
      <c r="R78">
        <f t="shared" si="3"/>
        <v>1.8066188385169331E-2</v>
      </c>
      <c r="S78">
        <f t="shared" si="3"/>
        <v>0</v>
      </c>
      <c r="T78">
        <f t="shared" si="3"/>
        <v>0</v>
      </c>
      <c r="U78">
        <f t="shared" si="3"/>
        <v>1.226077983626629E-3</v>
      </c>
      <c r="V78">
        <f t="shared" si="3"/>
        <v>0</v>
      </c>
      <c r="W78">
        <f t="shared" si="3"/>
        <v>0</v>
      </c>
      <c r="X78">
        <f t="shared" si="3"/>
        <v>1.9298858945603552E-3</v>
      </c>
      <c r="Z78">
        <f t="shared" si="3"/>
        <v>1.166313794389503</v>
      </c>
      <c r="AA78">
        <f t="shared" si="3"/>
        <v>5.9389927139888638E-4</v>
      </c>
      <c r="AB78">
        <f t="shared" si="3"/>
        <v>0.16137714034024467</v>
      </c>
      <c r="AC78">
        <f t="shared" si="3"/>
        <v>7.9884668623920588E-2</v>
      </c>
      <c r="AD78">
        <f t="shared" si="3"/>
        <v>0.18920462440119301</v>
      </c>
      <c r="AE78">
        <f t="shared" si="3"/>
        <v>0.70102365932914312</v>
      </c>
      <c r="AF78">
        <f t="shared" si="3"/>
        <v>0.23089318632425085</v>
      </c>
    </row>
    <row r="79" spans="1:32" x14ac:dyDescent="0.2">
      <c r="A79">
        <v>2027</v>
      </c>
      <c r="B79">
        <f t="shared" si="4"/>
        <v>1.0850261958862413</v>
      </c>
      <c r="C79">
        <f t="shared" si="4"/>
        <v>0.86313735949857784</v>
      </c>
      <c r="D79">
        <f t="shared" si="4"/>
        <v>43.412681699392799</v>
      </c>
      <c r="E79">
        <f t="shared" si="4"/>
        <v>5.4831216970468603E-2</v>
      </c>
      <c r="F79">
        <f t="shared" si="4"/>
        <v>21.757996729661809</v>
      </c>
      <c r="G79">
        <f t="shared" si="4"/>
        <v>0.25365765184295908</v>
      </c>
      <c r="H79">
        <f t="shared" si="4"/>
        <v>6.6721305708797036</v>
      </c>
      <c r="J79">
        <f t="shared" si="4"/>
        <v>9.9374921532040632E-3</v>
      </c>
      <c r="K79">
        <f t="shared" si="4"/>
        <v>1.0073542540602427E-4</v>
      </c>
      <c r="L79">
        <f t="shared" si="4"/>
        <v>5.7321971598303968E-3</v>
      </c>
      <c r="M79">
        <f t="shared" si="4"/>
        <v>7.0536140035362346E-4</v>
      </c>
      <c r="N79">
        <f t="shared" si="4"/>
        <v>1.4132092589491205E-3</v>
      </c>
      <c r="O79">
        <f t="shared" si="4"/>
        <v>7.7779591537607594E-3</v>
      </c>
      <c r="P79">
        <f t="shared" si="4"/>
        <v>2.5502398660165867E-3</v>
      </c>
      <c r="R79">
        <f t="shared" si="3"/>
        <v>2.0574807697478832E-2</v>
      </c>
      <c r="S79">
        <f t="shared" si="3"/>
        <v>0</v>
      </c>
      <c r="T79">
        <f t="shared" si="3"/>
        <v>0</v>
      </c>
      <c r="U79">
        <f t="shared" si="3"/>
        <v>1.3963276700877847E-3</v>
      </c>
      <c r="V79">
        <f t="shared" si="3"/>
        <v>0</v>
      </c>
      <c r="W79">
        <f t="shared" si="3"/>
        <v>0</v>
      </c>
      <c r="X79">
        <f t="shared" si="3"/>
        <v>2.1756348883052541E-3</v>
      </c>
      <c r="Z79">
        <f t="shared" si="3"/>
        <v>1.3282647962522047</v>
      </c>
      <c r="AA79">
        <f t="shared" si="3"/>
        <v>6.7636642772616305E-4</v>
      </c>
      <c r="AB79">
        <f t="shared" si="3"/>
        <v>0.18300959739642003</v>
      </c>
      <c r="AC79">
        <f t="shared" si="3"/>
        <v>9.0977225514997942E-2</v>
      </c>
      <c r="AD79">
        <f t="shared" si="3"/>
        <v>0.2158477160602478</v>
      </c>
      <c r="AE79">
        <f t="shared" si="3"/>
        <v>0.80508017735492587</v>
      </c>
      <c r="AF79">
        <f t="shared" si="3"/>
        <v>0.26074944238300191</v>
      </c>
    </row>
    <row r="80" spans="1:32" x14ac:dyDescent="0.2">
      <c r="A80">
        <v>2027.25</v>
      </c>
      <c r="B80">
        <f t="shared" si="4"/>
        <v>1.2451638191747394</v>
      </c>
      <c r="C80">
        <f t="shared" si="4"/>
        <v>0.99052669428667905</v>
      </c>
      <c r="D80">
        <f t="shared" si="4"/>
        <v>49.605516165938695</v>
      </c>
      <c r="E80">
        <f t="shared" si="4"/>
        <v>6.2923685890534556E-2</v>
      </c>
      <c r="F80">
        <f t="shared" si="4"/>
        <v>25.011868714659283</v>
      </c>
      <c r="G80">
        <f t="shared" si="4"/>
        <v>0.29303099622810874</v>
      </c>
      <c r="H80">
        <f t="shared" si="4"/>
        <v>7.5422379558794184</v>
      </c>
      <c r="J80">
        <f t="shared" si="4"/>
        <v>1.1404153862290619E-2</v>
      </c>
      <c r="K80">
        <f t="shared" si="4"/>
        <v>1.1560283751702902E-4</v>
      </c>
      <c r="L80">
        <f t="shared" si="4"/>
        <v>6.5498971210131837E-3</v>
      </c>
      <c r="M80">
        <f t="shared" si="4"/>
        <v>8.0946478388512909E-4</v>
      </c>
      <c r="N80">
        <f t="shared" si="4"/>
        <v>1.6245523377154101E-3</v>
      </c>
      <c r="O80">
        <f t="shared" si="4"/>
        <v>8.9852724839505679E-3</v>
      </c>
      <c r="P80">
        <f t="shared" si="4"/>
        <v>2.890215638080334E-3</v>
      </c>
      <c r="R80">
        <f t="shared" si="3"/>
        <v>2.3611417151503108E-2</v>
      </c>
      <c r="S80">
        <f t="shared" si="3"/>
        <v>0</v>
      </c>
      <c r="T80">
        <f t="shared" si="3"/>
        <v>0</v>
      </c>
      <c r="U80">
        <f t="shared" si="3"/>
        <v>1.6024098783032144E-3</v>
      </c>
      <c r="V80">
        <f t="shared" si="3"/>
        <v>0</v>
      </c>
      <c r="W80">
        <f t="shared" si="3"/>
        <v>0</v>
      </c>
      <c r="X80">
        <f t="shared" si="3"/>
        <v>2.4640806785805368E-3</v>
      </c>
      <c r="Z80">
        <f t="shared" si="3"/>
        <v>1.5243016922977175</v>
      </c>
      <c r="AA80">
        <f t="shared" si="3"/>
        <v>7.7619048047148059E-4</v>
      </c>
      <c r="AB80">
        <f t="shared" si="3"/>
        <v>0.20911598147821908</v>
      </c>
      <c r="AC80">
        <f t="shared" si="3"/>
        <v>0.1044044374317146</v>
      </c>
      <c r="AD80">
        <f t="shared" si="3"/>
        <v>0.24812738063785372</v>
      </c>
      <c r="AE80">
        <f t="shared" si="3"/>
        <v>0.93004663845059876</v>
      </c>
      <c r="AF80">
        <f t="shared" si="3"/>
        <v>0.29570037369672253</v>
      </c>
    </row>
    <row r="81" spans="1:32" x14ac:dyDescent="0.2">
      <c r="A81">
        <v>2027.5</v>
      </c>
      <c r="B81">
        <f t="shared" si="4"/>
        <v>1.4525403134678574</v>
      </c>
      <c r="C81">
        <f t="shared" si="4"/>
        <v>1.1554945083218346</v>
      </c>
      <c r="D81">
        <f t="shared" si="4"/>
        <v>57.601556851284421</v>
      </c>
      <c r="E81">
        <f t="shared" si="4"/>
        <v>7.3403345825264157E-2</v>
      </c>
      <c r="F81">
        <f t="shared" si="4"/>
        <v>29.229277012682687</v>
      </c>
      <c r="G81">
        <f t="shared" si="4"/>
        <v>0.34362599715818426</v>
      </c>
      <c r="H81">
        <f t="shared" si="4"/>
        <v>8.7246330608723</v>
      </c>
      <c r="J81">
        <f t="shared" si="4"/>
        <v>1.3303464950456175E-2</v>
      </c>
      <c r="K81">
        <f t="shared" si="4"/>
        <v>1.3485597578321096E-4</v>
      </c>
      <c r="L81">
        <f t="shared" si="4"/>
        <v>7.6056918775731812E-3</v>
      </c>
      <c r="M81">
        <f t="shared" si="4"/>
        <v>9.4427754229557681E-4</v>
      </c>
      <c r="N81">
        <f t="shared" si="4"/>
        <v>1.8984783121324569E-3</v>
      </c>
      <c r="O81">
        <f t="shared" si="4"/>
        <v>1.0536677883154721E-2</v>
      </c>
      <c r="P81">
        <f t="shared" si="4"/>
        <v>3.3515577150800171E-3</v>
      </c>
      <c r="R81">
        <f t="shared" si="3"/>
        <v>2.7543793629817709E-2</v>
      </c>
      <c r="S81">
        <f t="shared" si="3"/>
        <v>0</v>
      </c>
      <c r="T81">
        <f t="shared" si="3"/>
        <v>0</v>
      </c>
      <c r="U81">
        <f t="shared" si="3"/>
        <v>1.8692841143402234E-3</v>
      </c>
      <c r="V81">
        <f t="shared" si="3"/>
        <v>0</v>
      </c>
      <c r="W81">
        <f t="shared" si="3"/>
        <v>0</v>
      </c>
      <c r="X81">
        <f t="shared" si="3"/>
        <v>2.8566817168701212E-3</v>
      </c>
      <c r="Z81">
        <f t="shared" si="3"/>
        <v>1.7781673574623809</v>
      </c>
      <c r="AA81">
        <f t="shared" si="3"/>
        <v>9.0546155168727365E-4</v>
      </c>
      <c r="AB81">
        <f t="shared" si="3"/>
        <v>0.24282392416472173</v>
      </c>
      <c r="AC81">
        <f t="shared" si="3"/>
        <v>0.1217925319858785</v>
      </c>
      <c r="AD81">
        <f t="shared" si="3"/>
        <v>0.2899656969190989</v>
      </c>
      <c r="AE81">
        <f t="shared" si="3"/>
        <v>1.0906293452055908</v>
      </c>
      <c r="AF81">
        <f t="shared" si="3"/>
        <v>0.34314925215838982</v>
      </c>
    </row>
    <row r="82" spans="1:32" x14ac:dyDescent="0.2">
      <c r="A82">
        <v>2027.75</v>
      </c>
      <c r="B82">
        <f t="shared" si="4"/>
        <v>1.5748035556832007</v>
      </c>
      <c r="C82">
        <f t="shared" si="4"/>
        <v>1.2527548071511088</v>
      </c>
      <c r="D82">
        <f t="shared" si="4"/>
        <v>62.30225341939132</v>
      </c>
      <c r="E82">
        <f t="shared" si="4"/>
        <v>7.958185320770278E-2</v>
      </c>
      <c r="F82">
        <f t="shared" si="4"/>
        <v>31.717849853950202</v>
      </c>
      <c r="G82">
        <f t="shared" si="4"/>
        <v>0.37322997854673734</v>
      </c>
      <c r="H82">
        <f t="shared" si="4"/>
        <v>9.6595258906779158</v>
      </c>
      <c r="J82">
        <f t="shared" si="4"/>
        <v>1.4423244375825593E-2</v>
      </c>
      <c r="K82">
        <f t="shared" si="4"/>
        <v>1.4620707473619299E-4</v>
      </c>
      <c r="L82">
        <f t="shared" si="4"/>
        <v>8.2263704088721065E-3</v>
      </c>
      <c r="M82">
        <f t="shared" si="4"/>
        <v>1.023759283904911E-3</v>
      </c>
      <c r="N82">
        <f t="shared" si="4"/>
        <v>2.0601142487742781E-3</v>
      </c>
      <c r="O82">
        <f t="shared" si="4"/>
        <v>1.1444431133868461E-2</v>
      </c>
      <c r="P82">
        <f t="shared" si="4"/>
        <v>3.7158262944370925E-3</v>
      </c>
      <c r="R82">
        <f t="shared" si="3"/>
        <v>2.986221018656848E-2</v>
      </c>
      <c r="S82">
        <f t="shared" si="3"/>
        <v>0</v>
      </c>
      <c r="T82">
        <f t="shared" si="3"/>
        <v>0</v>
      </c>
      <c r="U82">
        <f t="shared" si="3"/>
        <v>2.0266255211995174E-3</v>
      </c>
      <c r="V82">
        <f t="shared" si="3"/>
        <v>0</v>
      </c>
      <c r="W82">
        <f t="shared" si="3"/>
        <v>0</v>
      </c>
      <c r="X82">
        <f t="shared" si="3"/>
        <v>3.1675884149645166E-3</v>
      </c>
      <c r="Z82">
        <f t="shared" si="3"/>
        <v>1.927839283473026</v>
      </c>
      <c r="AA82">
        <f t="shared" si="3"/>
        <v>9.8167607322872442E-4</v>
      </c>
      <c r="AB82">
        <f t="shared" si="3"/>
        <v>0.26264008277866907</v>
      </c>
      <c r="AC82">
        <f t="shared" si="3"/>
        <v>0.1320440545771232</v>
      </c>
      <c r="AD82">
        <f t="shared" si="3"/>
        <v>0.31465329894014693</v>
      </c>
      <c r="AE82">
        <f t="shared" si="3"/>
        <v>1.184588973127495</v>
      </c>
      <c r="AF82">
        <f t="shared" si="3"/>
        <v>0.38063036431274555</v>
      </c>
    </row>
    <row r="83" spans="1:32" x14ac:dyDescent="0.2">
      <c r="A83">
        <v>2028</v>
      </c>
      <c r="B83">
        <f t="shared" si="4"/>
        <v>1.7887566822803416</v>
      </c>
      <c r="C83">
        <f t="shared" si="4"/>
        <v>1.4229543262481414</v>
      </c>
      <c r="D83">
        <f t="shared" si="4"/>
        <v>70.505128705258954</v>
      </c>
      <c r="E83">
        <f t="shared" si="4"/>
        <v>9.0393859729237427E-2</v>
      </c>
      <c r="F83">
        <f t="shared" si="4"/>
        <v>36.076290702680787</v>
      </c>
      <c r="G83">
        <f t="shared" si="4"/>
        <v>0.42465137809559628</v>
      </c>
      <c r="H83">
        <f t="shared" si="4"/>
        <v>10.686786079579219</v>
      </c>
      <c r="J83">
        <f t="shared" si="4"/>
        <v>1.6382789246515032E-2</v>
      </c>
      <c r="K83">
        <f t="shared" si="4"/>
        <v>1.6607079720337996E-4</v>
      </c>
      <c r="L83">
        <f t="shared" si="4"/>
        <v>9.3094755425674296E-3</v>
      </c>
      <c r="M83">
        <f t="shared" si="4"/>
        <v>1.1628474253329894E-3</v>
      </c>
      <c r="N83">
        <f t="shared" si="4"/>
        <v>2.3432004647773938E-3</v>
      </c>
      <c r="O83">
        <f t="shared" si="4"/>
        <v>1.3021176571722824E-2</v>
      </c>
      <c r="P83">
        <f t="shared" si="4"/>
        <v>4.1155440217935345E-3</v>
      </c>
      <c r="R83">
        <f t="shared" ref="R83:AF94" si="5">1000*R35*R$49/1000000</f>
        <v>3.3919296045601552E-2</v>
      </c>
      <c r="S83">
        <f t="shared" si="5"/>
        <v>0</v>
      </c>
      <c r="T83">
        <f t="shared" si="5"/>
        <v>0</v>
      </c>
      <c r="U83">
        <f t="shared" si="5"/>
        <v>2.3019632705571415E-3</v>
      </c>
      <c r="V83">
        <f t="shared" si="5"/>
        <v>0</v>
      </c>
      <c r="W83">
        <f t="shared" si="5"/>
        <v>0</v>
      </c>
      <c r="X83">
        <f t="shared" si="5"/>
        <v>3.5097338785208543E-3</v>
      </c>
      <c r="Z83">
        <f t="shared" si="5"/>
        <v>2.1897559147806711</v>
      </c>
      <c r="AA83">
        <f t="shared" si="5"/>
        <v>1.1150467812226944E-3</v>
      </c>
      <c r="AB83">
        <f t="shared" si="5"/>
        <v>0.29721995310215293</v>
      </c>
      <c r="AC83">
        <f t="shared" si="5"/>
        <v>0.14998358628784675</v>
      </c>
      <c r="AD83">
        <f t="shared" si="5"/>
        <v>0.3578907124976039</v>
      </c>
      <c r="AE83">
        <f t="shared" si="5"/>
        <v>1.3477945739357204</v>
      </c>
      <c r="AF83">
        <f t="shared" si="5"/>
        <v>0.42177639515611609</v>
      </c>
    </row>
    <row r="84" spans="1:32" x14ac:dyDescent="0.2">
      <c r="A84">
        <v>2028.25</v>
      </c>
      <c r="B84">
        <f t="shared" ref="B84:P94" si="6">1000*B36*B$49/1000000</f>
        <v>2.0281729177548882</v>
      </c>
      <c r="C84">
        <f t="shared" si="6"/>
        <v>1.6134097254745172</v>
      </c>
      <c r="D84">
        <f t="shared" si="6"/>
        <v>79.759372244874285</v>
      </c>
      <c r="E84">
        <f t="shared" si="6"/>
        <v>0.10249263080345583</v>
      </c>
      <c r="F84">
        <f t="shared" si="6"/>
        <v>40.950600550627115</v>
      </c>
      <c r="G84">
        <f t="shared" si="6"/>
        <v>0.4839457015170171</v>
      </c>
      <c r="H84">
        <f t="shared" si="6"/>
        <v>12.050265883075122</v>
      </c>
      <c r="J84">
        <f t="shared" si="6"/>
        <v>1.8575544564680097E-2</v>
      </c>
      <c r="K84">
        <f t="shared" si="6"/>
        <v>1.8829855209176607E-4</v>
      </c>
      <c r="L84">
        <f t="shared" si="6"/>
        <v>1.053140301761912E-2</v>
      </c>
      <c r="M84">
        <f t="shared" si="6"/>
        <v>1.3184888022527263E-3</v>
      </c>
      <c r="N84">
        <f t="shared" si="6"/>
        <v>2.6597930212379764E-3</v>
      </c>
      <c r="O84">
        <f t="shared" si="6"/>
        <v>1.4839331168167703E-2</v>
      </c>
      <c r="P84">
        <f t="shared" si="6"/>
        <v>4.6493207618060152E-3</v>
      </c>
      <c r="R84">
        <f t="shared" si="5"/>
        <v>3.8459226070534862E-2</v>
      </c>
      <c r="S84">
        <f t="shared" si="5"/>
        <v>0</v>
      </c>
      <c r="T84">
        <f t="shared" si="5"/>
        <v>0</v>
      </c>
      <c r="U84">
        <f t="shared" si="5"/>
        <v>2.6100696697656011E-3</v>
      </c>
      <c r="V84">
        <f t="shared" si="5"/>
        <v>0</v>
      </c>
      <c r="W84">
        <f t="shared" si="5"/>
        <v>0</v>
      </c>
      <c r="X84">
        <f t="shared" si="5"/>
        <v>3.9615644958378203E-3</v>
      </c>
      <c r="Z84">
        <f t="shared" si="5"/>
        <v>2.4828439143494951</v>
      </c>
      <c r="AA84">
        <f t="shared" si="5"/>
        <v>1.2642902783304296E-3</v>
      </c>
      <c r="AB84">
        <f t="shared" si="5"/>
        <v>0.33623194955334451</v>
      </c>
      <c r="AC84">
        <f t="shared" si="5"/>
        <v>0.17005814755586185</v>
      </c>
      <c r="AD84">
        <f t="shared" si="5"/>
        <v>0.4062457454136118</v>
      </c>
      <c r="AE84">
        <f t="shared" si="5"/>
        <v>1.5359879285198423</v>
      </c>
      <c r="AF84">
        <f t="shared" si="5"/>
        <v>0.47665850846466601</v>
      </c>
    </row>
    <row r="85" spans="1:32" x14ac:dyDescent="0.2">
      <c r="A85">
        <v>2028.5</v>
      </c>
      <c r="B85">
        <f t="shared" si="6"/>
        <v>2.2767239088141196</v>
      </c>
      <c r="C85">
        <f t="shared" si="6"/>
        <v>1.8111318145236122</v>
      </c>
      <c r="D85">
        <f t="shared" si="6"/>
        <v>89.444237545953882</v>
      </c>
      <c r="E85">
        <f t="shared" si="6"/>
        <v>0.1150530218526896</v>
      </c>
      <c r="F85">
        <f t="shared" si="6"/>
        <v>46.007954915932523</v>
      </c>
      <c r="G85">
        <f t="shared" si="6"/>
        <v>0.54731172192138766</v>
      </c>
      <c r="H85">
        <f t="shared" si="6"/>
        <v>13.552814184456549</v>
      </c>
      <c r="J85">
        <f t="shared" si="6"/>
        <v>2.085196289696262E-2</v>
      </c>
      <c r="K85">
        <f t="shared" si="6"/>
        <v>2.1137439110318259E-4</v>
      </c>
      <c r="L85">
        <f t="shared" si="6"/>
        <v>1.1810189657813358E-2</v>
      </c>
      <c r="M85">
        <f t="shared" si="6"/>
        <v>1.4800685648220734E-3</v>
      </c>
      <c r="N85">
        <f t="shared" si="6"/>
        <v>2.9882745493693325E-3</v>
      </c>
      <c r="O85">
        <f t="shared" si="6"/>
        <v>1.6782337085240125E-2</v>
      </c>
      <c r="P85">
        <f t="shared" si="6"/>
        <v>5.2410459143907625E-3</v>
      </c>
      <c r="R85">
        <f t="shared" si="5"/>
        <v>4.3172373885260643E-2</v>
      </c>
      <c r="S85">
        <f t="shared" si="5"/>
        <v>0</v>
      </c>
      <c r="T85">
        <f t="shared" si="5"/>
        <v>0</v>
      </c>
      <c r="U85">
        <f t="shared" si="5"/>
        <v>2.9299316487294098E-3</v>
      </c>
      <c r="V85">
        <f t="shared" si="5"/>
        <v>0</v>
      </c>
      <c r="W85">
        <f t="shared" si="5"/>
        <v>0</v>
      </c>
      <c r="X85">
        <f t="shared" si="5"/>
        <v>4.4569872327329414E-3</v>
      </c>
      <c r="Z85">
        <f t="shared" si="5"/>
        <v>2.7871144773545815</v>
      </c>
      <c r="AA85">
        <f t="shared" si="5"/>
        <v>1.4192280545499408E-3</v>
      </c>
      <c r="AB85">
        <f t="shared" si="5"/>
        <v>0.37705926613936241</v>
      </c>
      <c r="AC85">
        <f t="shared" si="5"/>
        <v>0.19089863938113272</v>
      </c>
      <c r="AD85">
        <f t="shared" si="5"/>
        <v>0.45641665051216512</v>
      </c>
      <c r="AE85">
        <f t="shared" si="5"/>
        <v>1.7371043804572361</v>
      </c>
      <c r="AF85">
        <f t="shared" si="5"/>
        <v>0.53743018026879619</v>
      </c>
    </row>
    <row r="86" spans="1:32" x14ac:dyDescent="0.2">
      <c r="A86">
        <v>2028.75</v>
      </c>
      <c r="B86">
        <f t="shared" si="6"/>
        <v>2.4567824982403974</v>
      </c>
      <c r="C86">
        <f t="shared" si="6"/>
        <v>1.9543682598939407</v>
      </c>
      <c r="D86">
        <f t="shared" si="6"/>
        <v>96.516114844233414</v>
      </c>
      <c r="E86">
        <f t="shared" si="6"/>
        <v>0.12415218611403234</v>
      </c>
      <c r="F86">
        <f t="shared" si="6"/>
        <v>49.669559183793154</v>
      </c>
      <c r="G86">
        <f t="shared" si="6"/>
        <v>0.59451928195013315</v>
      </c>
      <c r="H86">
        <f t="shared" si="6"/>
        <v>15.003425845894895</v>
      </c>
      <c r="J86">
        <f t="shared" si="6"/>
        <v>2.2501075910385405E-2</v>
      </c>
      <c r="K86">
        <f t="shared" si="6"/>
        <v>2.2809129496470596E-4</v>
      </c>
      <c r="L86">
        <f t="shared" si="6"/>
        <v>1.2743958164549814E-2</v>
      </c>
      <c r="M86">
        <f t="shared" si="6"/>
        <v>1.5971223090219351E-3</v>
      </c>
      <c r="N86">
        <f t="shared" si="6"/>
        <v>3.2261003528310048E-3</v>
      </c>
      <c r="O86">
        <f t="shared" si="6"/>
        <v>1.8229872655267453E-2</v>
      </c>
      <c r="P86">
        <f t="shared" si="6"/>
        <v>5.8156490187261777E-3</v>
      </c>
      <c r="R86">
        <f t="shared" si="5"/>
        <v>4.6586734631361329E-2</v>
      </c>
      <c r="S86">
        <f t="shared" si="5"/>
        <v>0</v>
      </c>
      <c r="T86">
        <f t="shared" si="5"/>
        <v>0</v>
      </c>
      <c r="U86">
        <f t="shared" si="5"/>
        <v>3.1616502852066871E-3</v>
      </c>
      <c r="V86">
        <f t="shared" si="5"/>
        <v>0</v>
      </c>
      <c r="W86">
        <f t="shared" si="5"/>
        <v>0</v>
      </c>
      <c r="X86">
        <f t="shared" si="5"/>
        <v>4.932916829957442E-3</v>
      </c>
      <c r="Z86">
        <f t="shared" si="5"/>
        <v>3.0075381745008096</v>
      </c>
      <c r="AA86">
        <f t="shared" si="5"/>
        <v>1.5314701233344545E-3</v>
      </c>
      <c r="AB86">
        <f t="shared" si="5"/>
        <v>0.40687132488654465</v>
      </c>
      <c r="AC86">
        <f t="shared" si="5"/>
        <v>0.20599618353099244</v>
      </c>
      <c r="AD86">
        <f t="shared" si="5"/>
        <v>0.4927411765314525</v>
      </c>
      <c r="AE86">
        <f t="shared" si="5"/>
        <v>1.8869357398674598</v>
      </c>
      <c r="AF86">
        <f t="shared" si="5"/>
        <v>0.59637856371400233</v>
      </c>
    </row>
    <row r="87" spans="1:32" x14ac:dyDescent="0.2">
      <c r="A87">
        <v>2029</v>
      </c>
      <c r="B87">
        <f t="shared" si="6"/>
        <v>2.6487684292499871</v>
      </c>
      <c r="C87">
        <f t="shared" si="6"/>
        <v>2.1070928947283494</v>
      </c>
      <c r="D87">
        <f t="shared" si="6"/>
        <v>104.11563518040276</v>
      </c>
      <c r="E87">
        <f t="shared" si="6"/>
        <v>0.13385409218632399</v>
      </c>
      <c r="F87">
        <f t="shared" si="6"/>
        <v>53.571475546565807</v>
      </c>
      <c r="G87">
        <f t="shared" si="6"/>
        <v>0.64623528214872628</v>
      </c>
      <c r="H87">
        <f t="shared" si="6"/>
        <v>16.510836539361772</v>
      </c>
      <c r="J87">
        <f t="shared" si="6"/>
        <v>2.4259428556770178E-2</v>
      </c>
      <c r="K87">
        <f t="shared" si="6"/>
        <v>2.4591555073433377E-4</v>
      </c>
      <c r="L87">
        <f t="shared" si="6"/>
        <v>1.3747396495973431E-2</v>
      </c>
      <c r="M87">
        <f t="shared" si="6"/>
        <v>1.7219298626630789E-3</v>
      </c>
      <c r="N87">
        <f t="shared" si="6"/>
        <v>3.4795347291675942E-3</v>
      </c>
      <c r="O87">
        <f t="shared" si="6"/>
        <v>1.981565149622894E-2</v>
      </c>
      <c r="P87">
        <f t="shared" si="6"/>
        <v>6.4161586557848456E-3</v>
      </c>
      <c r="R87">
        <f t="shared" si="5"/>
        <v>5.0227267575284736E-2</v>
      </c>
      <c r="S87">
        <f t="shared" si="5"/>
        <v>0</v>
      </c>
      <c r="T87">
        <f t="shared" si="5"/>
        <v>0</v>
      </c>
      <c r="U87">
        <f t="shared" si="5"/>
        <v>3.4087182995575227E-3</v>
      </c>
      <c r="V87">
        <f t="shared" si="5"/>
        <v>0</v>
      </c>
      <c r="W87">
        <f t="shared" si="5"/>
        <v>0</v>
      </c>
      <c r="X87">
        <f t="shared" si="5"/>
        <v>5.4250586887044181E-3</v>
      </c>
      <c r="Z87">
        <f t="shared" si="5"/>
        <v>3.2425630563908308</v>
      </c>
      <c r="AA87">
        <f t="shared" si="5"/>
        <v>1.6511472692162415E-3</v>
      </c>
      <c r="AB87">
        <f t="shared" si="5"/>
        <v>0.43890770464208756</v>
      </c>
      <c r="AC87">
        <f t="shared" si="5"/>
        <v>0.22209381085776855</v>
      </c>
      <c r="AD87">
        <f t="shared" si="5"/>
        <v>0.53144969118135243</v>
      </c>
      <c r="AE87">
        <f t="shared" si="5"/>
        <v>2.0510763692136131</v>
      </c>
      <c r="AF87">
        <f t="shared" si="5"/>
        <v>0.65791877769477414</v>
      </c>
    </row>
    <row r="88" spans="1:32" x14ac:dyDescent="0.2">
      <c r="A88">
        <v>2029.25</v>
      </c>
      <c r="B88">
        <f t="shared" si="6"/>
        <v>2.8896683684945268</v>
      </c>
      <c r="C88">
        <f t="shared" si="6"/>
        <v>2.2987285789645853</v>
      </c>
      <c r="D88">
        <f t="shared" si="6"/>
        <v>113.72519603625773</v>
      </c>
      <c r="E88">
        <f t="shared" si="6"/>
        <v>0.14602784143493194</v>
      </c>
      <c r="F88">
        <f t="shared" si="6"/>
        <v>58.464727024638705</v>
      </c>
      <c r="G88">
        <f t="shared" si="6"/>
        <v>0.71285065984455409</v>
      </c>
      <c r="H88">
        <f t="shared" si="6"/>
        <v>18.116637550395637</v>
      </c>
      <c r="J88">
        <f t="shared" si="6"/>
        <v>2.6465772758436753E-2</v>
      </c>
      <c r="K88">
        <f t="shared" si="6"/>
        <v>2.6828105485957098E-4</v>
      </c>
      <c r="L88">
        <f t="shared" si="6"/>
        <v>1.5016239960345727E-2</v>
      </c>
      <c r="M88">
        <f t="shared" si="6"/>
        <v>1.8785357760823774E-3</v>
      </c>
      <c r="N88">
        <f t="shared" si="6"/>
        <v>3.7973575683332918E-3</v>
      </c>
      <c r="O88">
        <f t="shared" si="6"/>
        <v>2.1858293155039503E-2</v>
      </c>
      <c r="P88">
        <f t="shared" si="6"/>
        <v>7.0594382911041429E-3</v>
      </c>
      <c r="R88">
        <f t="shared" si="5"/>
        <v>5.4795332330847935E-2</v>
      </c>
      <c r="S88">
        <f t="shared" si="5"/>
        <v>0</v>
      </c>
      <c r="T88">
        <f t="shared" si="5"/>
        <v>0</v>
      </c>
      <c r="U88">
        <f t="shared" si="5"/>
        <v>3.718734087346747E-3</v>
      </c>
      <c r="V88">
        <f t="shared" si="5"/>
        <v>0</v>
      </c>
      <c r="W88">
        <f t="shared" si="5"/>
        <v>0</v>
      </c>
      <c r="X88">
        <f t="shared" si="5"/>
        <v>5.9467820900834609E-3</v>
      </c>
      <c r="Z88">
        <f t="shared" si="5"/>
        <v>3.5374673729234476</v>
      </c>
      <c r="AA88">
        <f t="shared" si="5"/>
        <v>1.8013156540571198E-3</v>
      </c>
      <c r="AB88">
        <f t="shared" si="5"/>
        <v>0.47941756937617558</v>
      </c>
      <c r="AC88">
        <f t="shared" si="5"/>
        <v>0.24229277764980869</v>
      </c>
      <c r="AD88">
        <f t="shared" si="5"/>
        <v>0.5799926323709057</v>
      </c>
      <c r="AE88">
        <f t="shared" si="5"/>
        <v>2.2625059070188649</v>
      </c>
      <c r="AF88">
        <f t="shared" si="5"/>
        <v>0.72377332246745563</v>
      </c>
    </row>
    <row r="89" spans="1:32" x14ac:dyDescent="0.2">
      <c r="A89">
        <v>2029.5</v>
      </c>
      <c r="B89">
        <f t="shared" si="6"/>
        <v>3.2837505273363377</v>
      </c>
      <c r="C89">
        <f t="shared" si="6"/>
        <v>2.6122205806303982</v>
      </c>
      <c r="D89">
        <f t="shared" si="6"/>
        <v>129.56533134362394</v>
      </c>
      <c r="E89">
        <f t="shared" si="6"/>
        <v>0.16594257200786225</v>
      </c>
      <c r="F89">
        <f t="shared" si="6"/>
        <v>66.464933691877704</v>
      </c>
      <c r="G89">
        <f t="shared" si="6"/>
        <v>0.82462774036522757</v>
      </c>
      <c r="H89">
        <f t="shared" si="6"/>
        <v>19.92823428775743</v>
      </c>
      <c r="J89">
        <f t="shared" si="6"/>
        <v>3.0075075811262585E-2</v>
      </c>
      <c r="K89">
        <f t="shared" si="6"/>
        <v>3.0486822120298737E-4</v>
      </c>
      <c r="L89">
        <f t="shared" si="6"/>
        <v>1.7107766561925926E-2</v>
      </c>
      <c r="M89">
        <f t="shared" si="6"/>
        <v>2.1347234556692231E-3</v>
      </c>
      <c r="N89">
        <f t="shared" si="6"/>
        <v>4.3169810555560685E-3</v>
      </c>
      <c r="O89">
        <f t="shared" si="6"/>
        <v>2.5285737824261131E-2</v>
      </c>
      <c r="P89">
        <f t="shared" si="6"/>
        <v>7.7891293863378329E-3</v>
      </c>
      <c r="R89">
        <f t="shared" si="5"/>
        <v>6.226811470782536E-2</v>
      </c>
      <c r="S89">
        <f t="shared" si="5"/>
        <v>0</v>
      </c>
      <c r="T89">
        <f t="shared" si="5"/>
        <v>0</v>
      </c>
      <c r="U89">
        <f t="shared" si="5"/>
        <v>4.2258811265288698E-3</v>
      </c>
      <c r="V89">
        <f t="shared" si="5"/>
        <v>0</v>
      </c>
      <c r="W89">
        <f t="shared" si="5"/>
        <v>0</v>
      </c>
      <c r="X89">
        <f t="shared" si="5"/>
        <v>6.532545612996884E-3</v>
      </c>
      <c r="Z89">
        <f t="shared" si="5"/>
        <v>4.0198939358997459</v>
      </c>
      <c r="AA89">
        <f t="shared" si="5"/>
        <v>2.0469723423629156E-3</v>
      </c>
      <c r="AB89">
        <f t="shared" si="5"/>
        <v>0.54619291408717641</v>
      </c>
      <c r="AC89">
        <f t="shared" si="5"/>
        <v>0.27533575999652021</v>
      </c>
      <c r="AD89">
        <f t="shared" si="5"/>
        <v>0.65935776688162995</v>
      </c>
      <c r="AE89">
        <f t="shared" si="5"/>
        <v>2.6172734890570082</v>
      </c>
      <c r="AF89">
        <f t="shared" si="5"/>
        <v>0.79839814596070158</v>
      </c>
    </row>
    <row r="90" spans="1:32" x14ac:dyDescent="0.2">
      <c r="A90">
        <v>2029.75</v>
      </c>
      <c r="B90">
        <f t="shared" si="6"/>
        <v>3.6133954121889049</v>
      </c>
      <c r="C90">
        <f t="shared" si="6"/>
        <v>2.8744527889979179</v>
      </c>
      <c r="D90">
        <f t="shared" si="6"/>
        <v>142.9152891385362</v>
      </c>
      <c r="E90">
        <f t="shared" si="6"/>
        <v>0.18260099949383909</v>
      </c>
      <c r="F90">
        <f t="shared" si="6"/>
        <v>73.153232137592767</v>
      </c>
      <c r="G90">
        <f t="shared" si="6"/>
        <v>0.92045875486202544</v>
      </c>
      <c r="H90">
        <f t="shared" si="6"/>
        <v>22.032252473761453</v>
      </c>
      <c r="J90">
        <f t="shared" si="6"/>
        <v>3.3094213477234388E-2</v>
      </c>
      <c r="K90">
        <f t="shared" si="6"/>
        <v>3.3547293640197865E-4</v>
      </c>
      <c r="L90">
        <f t="shared" si="6"/>
        <v>1.8870490889479317E-2</v>
      </c>
      <c r="M90">
        <f t="shared" si="6"/>
        <v>2.3490213025604647E-3</v>
      </c>
      <c r="N90">
        <f t="shared" si="6"/>
        <v>4.7513944534225199E-3</v>
      </c>
      <c r="O90">
        <f t="shared" si="6"/>
        <v>2.8224224840142725E-2</v>
      </c>
      <c r="P90">
        <f t="shared" si="6"/>
        <v>8.6411454521400245E-3</v>
      </c>
      <c r="R90">
        <f t="shared" si="5"/>
        <v>6.8519005368358532E-2</v>
      </c>
      <c r="S90">
        <f t="shared" si="5"/>
        <v>0</v>
      </c>
      <c r="T90">
        <f t="shared" si="5"/>
        <v>0</v>
      </c>
      <c r="U90">
        <f t="shared" si="5"/>
        <v>4.6501033948645933E-3</v>
      </c>
      <c r="V90">
        <f t="shared" si="5"/>
        <v>0</v>
      </c>
      <c r="W90">
        <f t="shared" si="5"/>
        <v>0</v>
      </c>
      <c r="X90">
        <f t="shared" si="5"/>
        <v>7.2096325536288985E-3</v>
      </c>
      <c r="Z90">
        <f t="shared" si="5"/>
        <v>4.4234378295627366</v>
      </c>
      <c r="AA90">
        <f t="shared" si="5"/>
        <v>2.252461144413285E-3</v>
      </c>
      <c r="AB90">
        <f t="shared" si="5"/>
        <v>0.60247071830631238</v>
      </c>
      <c r="AC90">
        <f t="shared" si="5"/>
        <v>0.30297580882004366</v>
      </c>
      <c r="AD90">
        <f t="shared" si="5"/>
        <v>0.72570826604632677</v>
      </c>
      <c r="AE90">
        <f t="shared" si="5"/>
        <v>2.9214300937824578</v>
      </c>
      <c r="AF90">
        <f t="shared" si="5"/>
        <v>0.88544665647784881</v>
      </c>
    </row>
    <row r="91" spans="1:32" x14ac:dyDescent="0.2">
      <c r="A91">
        <v>2030</v>
      </c>
      <c r="B91">
        <f t="shared" si="6"/>
        <v>3.8892473579893889</v>
      </c>
      <c r="C91">
        <f t="shared" si="6"/>
        <v>3.0938927629022319</v>
      </c>
      <c r="D91">
        <f t="shared" si="6"/>
        <v>154.16984013187798</v>
      </c>
      <c r="E91">
        <f t="shared" si="6"/>
        <v>0.19654102965095252</v>
      </c>
      <c r="F91">
        <f t="shared" si="6"/>
        <v>78.746962116031909</v>
      </c>
      <c r="G91">
        <f t="shared" si="6"/>
        <v>1.0025909082362634</v>
      </c>
      <c r="H91">
        <f t="shared" si="6"/>
        <v>24.136425748878786</v>
      </c>
      <c r="J91">
        <f t="shared" si="6"/>
        <v>3.5620674642164445E-2</v>
      </c>
      <c r="K91">
        <f t="shared" si="6"/>
        <v>3.6108343614350255E-4</v>
      </c>
      <c r="L91">
        <f t="shared" si="6"/>
        <v>2.0356538346439388E-2</v>
      </c>
      <c r="M91">
        <f t="shared" si="6"/>
        <v>2.5283490602844827E-3</v>
      </c>
      <c r="N91">
        <f t="shared" si="6"/>
        <v>5.1147142523824468E-3</v>
      </c>
      <c r="O91">
        <f t="shared" si="6"/>
        <v>3.0742660730067047E-2</v>
      </c>
      <c r="P91">
        <f t="shared" si="6"/>
        <v>9.4976968472216747E-3</v>
      </c>
      <c r="R91">
        <f t="shared" si="5"/>
        <v>7.3749847498565807E-2</v>
      </c>
      <c r="S91">
        <f t="shared" si="5"/>
        <v>0</v>
      </c>
      <c r="T91">
        <f t="shared" si="5"/>
        <v>0</v>
      </c>
      <c r="U91">
        <f t="shared" si="5"/>
        <v>5.0050991601549959E-3</v>
      </c>
      <c r="V91">
        <f t="shared" si="5"/>
        <v>0</v>
      </c>
      <c r="W91">
        <f t="shared" si="5"/>
        <v>0</v>
      </c>
      <c r="X91">
        <f t="shared" si="5"/>
        <v>7.8835895503616624E-3</v>
      </c>
      <c r="Z91">
        <f t="shared" si="5"/>
        <v>4.7611296106216976</v>
      </c>
      <c r="AA91">
        <f t="shared" si="5"/>
        <v>2.4244173569635172E-3</v>
      </c>
      <c r="AB91">
        <f t="shared" si="5"/>
        <v>0.64991516922577164</v>
      </c>
      <c r="AC91">
        <f t="shared" si="5"/>
        <v>0.32610542981628432</v>
      </c>
      <c r="AD91">
        <f t="shared" si="5"/>
        <v>0.7812002240195457</v>
      </c>
      <c r="AE91">
        <f t="shared" si="5"/>
        <v>3.1821080907782298</v>
      </c>
      <c r="AF91">
        <f t="shared" si="5"/>
        <v>0.97287391120244093</v>
      </c>
    </row>
    <row r="92" spans="1:32" x14ac:dyDescent="0.2">
      <c r="A92">
        <v>2030.25</v>
      </c>
      <c r="B92">
        <f t="shared" si="6"/>
        <v>4.1534071577093332</v>
      </c>
      <c r="C92">
        <f t="shared" si="6"/>
        <v>3.3040316451526395</v>
      </c>
      <c r="D92">
        <f t="shared" si="6"/>
        <v>165.02648111013792</v>
      </c>
      <c r="E92">
        <f t="shared" si="6"/>
        <v>0.20989020347572757</v>
      </c>
      <c r="F92">
        <f t="shared" si="6"/>
        <v>84.100607243240773</v>
      </c>
      <c r="G92">
        <f t="shared" si="6"/>
        <v>1.0830882656429133</v>
      </c>
      <c r="H92">
        <f t="shared" si="6"/>
        <v>26.266634341755754</v>
      </c>
      <c r="J92">
        <f t="shared" si="6"/>
        <v>3.804005027278206E-2</v>
      </c>
      <c r="K92">
        <f t="shared" si="6"/>
        <v>3.8560841987278819E-4</v>
      </c>
      <c r="L92">
        <f t="shared" si="6"/>
        <v>2.1790045887203686E-2</v>
      </c>
      <c r="M92">
        <f t="shared" si="6"/>
        <v>2.700075906100774E-3</v>
      </c>
      <c r="N92">
        <f t="shared" si="6"/>
        <v>5.462440238230456E-3</v>
      </c>
      <c r="O92">
        <f t="shared" si="6"/>
        <v>3.3210968519505349E-2</v>
      </c>
      <c r="P92">
        <f t="shared" si="6"/>
        <v>1.036930642983909E-2</v>
      </c>
      <c r="R92">
        <f t="shared" si="5"/>
        <v>7.8758977325337501E-2</v>
      </c>
      <c r="S92">
        <f t="shared" si="5"/>
        <v>0</v>
      </c>
      <c r="T92">
        <f t="shared" si="5"/>
        <v>0</v>
      </c>
      <c r="U92">
        <f t="shared" si="5"/>
        <v>5.345048222281123E-3</v>
      </c>
      <c r="V92">
        <f t="shared" si="5"/>
        <v>0</v>
      </c>
      <c r="W92">
        <f t="shared" si="5"/>
        <v>0</v>
      </c>
      <c r="X92">
        <f t="shared" si="5"/>
        <v>8.562714648333563E-3</v>
      </c>
      <c r="Z92">
        <f t="shared" si="5"/>
        <v>5.0845081280098841</v>
      </c>
      <c r="AA92">
        <f t="shared" si="5"/>
        <v>2.5890851048601497E-3</v>
      </c>
      <c r="AB92">
        <f t="shared" si="5"/>
        <v>0.69568219896760441</v>
      </c>
      <c r="AC92">
        <f t="shared" si="5"/>
        <v>0.3482546882970794</v>
      </c>
      <c r="AD92">
        <f t="shared" si="5"/>
        <v>0.83431044770708596</v>
      </c>
      <c r="AE92">
        <f t="shared" si="5"/>
        <v>3.4375974336255366</v>
      </c>
      <c r="AF92">
        <f t="shared" si="5"/>
        <v>1.0617541976832763</v>
      </c>
    </row>
    <row r="93" spans="1:32" x14ac:dyDescent="0.2">
      <c r="A93">
        <v>2030.5</v>
      </c>
      <c r="B93">
        <f t="shared" si="6"/>
        <v>4.6032122615218274</v>
      </c>
      <c r="C93">
        <f t="shared" si="6"/>
        <v>3.6618511992479075</v>
      </c>
      <c r="D93">
        <f t="shared" si="6"/>
        <v>183.64686852209636</v>
      </c>
      <c r="E93">
        <f t="shared" si="6"/>
        <v>0.23262086319166386</v>
      </c>
      <c r="F93">
        <f t="shared" si="6"/>
        <v>93.211604016685314</v>
      </c>
      <c r="G93">
        <f t="shared" si="6"/>
        <v>1.2232833340804865</v>
      </c>
      <c r="H93">
        <f t="shared" si="6"/>
        <v>28.554388423766721</v>
      </c>
      <c r="J93">
        <f t="shared" si="6"/>
        <v>4.215970628344342E-2</v>
      </c>
      <c r="K93">
        <f t="shared" si="6"/>
        <v>4.2736898625740215E-4</v>
      </c>
      <c r="L93">
        <f t="shared" si="6"/>
        <v>2.4248676122876574E-2</v>
      </c>
      <c r="M93">
        <f t="shared" si="6"/>
        <v>2.9924883465693095E-3</v>
      </c>
      <c r="N93">
        <f t="shared" si="6"/>
        <v>6.0542109402149068E-3</v>
      </c>
      <c r="O93">
        <f t="shared" si="6"/>
        <v>3.7509800066448905E-2</v>
      </c>
      <c r="P93">
        <f t="shared" si="6"/>
        <v>1.1310096747107009E-2</v>
      </c>
      <c r="R93">
        <f t="shared" si="5"/>
        <v>8.7288405967129348E-2</v>
      </c>
      <c r="S93">
        <f t="shared" si="5"/>
        <v>0</v>
      </c>
      <c r="T93">
        <f t="shared" si="5"/>
        <v>0</v>
      </c>
      <c r="U93">
        <f t="shared" si="5"/>
        <v>5.923905502392305E-3</v>
      </c>
      <c r="V93">
        <f t="shared" si="5"/>
        <v>0</v>
      </c>
      <c r="W93">
        <f t="shared" si="5"/>
        <v>0</v>
      </c>
      <c r="X93">
        <f t="shared" si="5"/>
        <v>9.2887116450194058E-3</v>
      </c>
      <c r="Z93">
        <f t="shared" si="5"/>
        <v>5.6351494736602552</v>
      </c>
      <c r="AA93">
        <f t="shared" si="5"/>
        <v>2.8694774791568432E-3</v>
      </c>
      <c r="AB93">
        <f t="shared" si="5"/>
        <v>0.77417791658358293</v>
      </c>
      <c r="AC93">
        <f t="shared" si="5"/>
        <v>0.38596992551669468</v>
      </c>
      <c r="AD93">
        <f t="shared" si="5"/>
        <v>0.92469504832150351</v>
      </c>
      <c r="AE93">
        <f t="shared" si="5"/>
        <v>3.8825604368779874</v>
      </c>
      <c r="AF93">
        <f t="shared" si="5"/>
        <v>1.1576006710464444</v>
      </c>
    </row>
    <row r="94" spans="1:32" x14ac:dyDescent="0.2">
      <c r="A94">
        <v>2030.75</v>
      </c>
      <c r="B94">
        <f t="shared" si="6"/>
        <v>4.9250621895871634</v>
      </c>
      <c r="C94">
        <f t="shared" si="6"/>
        <v>3.9178825265267991</v>
      </c>
      <c r="D94">
        <f t="shared" si="6"/>
        <v>197.06565247284863</v>
      </c>
      <c r="E94">
        <f t="shared" si="6"/>
        <v>0.24888537671639574</v>
      </c>
      <c r="F94">
        <f t="shared" si="6"/>
        <v>99.727210316471187</v>
      </c>
      <c r="G94">
        <f t="shared" si="6"/>
        <v>1.3258214203795349</v>
      </c>
      <c r="H94">
        <f t="shared" si="6"/>
        <v>31.09630099155218</v>
      </c>
      <c r="J94">
        <f t="shared" si="6"/>
        <v>4.5107451828007128E-2</v>
      </c>
      <c r="K94">
        <f t="shared" si="6"/>
        <v>4.5725000622123639E-4</v>
      </c>
      <c r="L94">
        <f t="shared" si="6"/>
        <v>2.6020488234911009E-2</v>
      </c>
      <c r="M94">
        <f t="shared" si="6"/>
        <v>3.2017187935618357E-3</v>
      </c>
      <c r="N94">
        <f t="shared" si="6"/>
        <v>6.4774077659581451E-3</v>
      </c>
      <c r="O94">
        <f t="shared" si="6"/>
        <v>4.0653947468052044E-2</v>
      </c>
      <c r="P94">
        <f t="shared" si="6"/>
        <v>1.2360569465043074E-2</v>
      </c>
      <c r="R94">
        <f t="shared" si="5"/>
        <v>9.3391484770662642E-2</v>
      </c>
      <c r="S94">
        <f t="shared" si="5"/>
        <v>0</v>
      </c>
      <c r="T94">
        <f t="shared" si="5"/>
        <v>0</v>
      </c>
      <c r="U94">
        <f t="shared" si="5"/>
        <v>6.3380963872550619E-3</v>
      </c>
      <c r="V94">
        <f t="shared" si="5"/>
        <v>0</v>
      </c>
      <c r="W94">
        <f t="shared" si="5"/>
        <v>0</v>
      </c>
      <c r="X94">
        <f t="shared" si="5"/>
        <v>1.0091691152712573E-2</v>
      </c>
      <c r="Z94">
        <f t="shared" si="5"/>
        <v>6.0291509556026428</v>
      </c>
      <c r="AA94">
        <f t="shared" si="5"/>
        <v>3.0701071846283017E-3</v>
      </c>
      <c r="AB94">
        <f t="shared" si="5"/>
        <v>0.83074586291275565</v>
      </c>
      <c r="AC94">
        <f t="shared" si="5"/>
        <v>0.41295638316960825</v>
      </c>
      <c r="AD94">
        <f t="shared" si="5"/>
        <v>0.98933237481945657</v>
      </c>
      <c r="AE94">
        <f t="shared" si="5"/>
        <v>4.2080045151602414</v>
      </c>
      <c r="AF94">
        <f t="shared" si="5"/>
        <v>1.2645252114454941</v>
      </c>
    </row>
    <row r="99" spans="6:31" x14ac:dyDescent="0.2">
      <c r="F99">
        <v>2025</v>
      </c>
      <c r="G99">
        <f>SUM(B74:G74)</f>
        <v>38.450631439656036</v>
      </c>
      <c r="O99">
        <f>SUM(J74:O74)</f>
        <v>1.4301114345942216E-2</v>
      </c>
      <c r="W99">
        <f>SUM(R74:W74)</f>
        <v>1.2407434114838956E-2</v>
      </c>
      <c r="AE99">
        <f>SUM(Z74:AE74)</f>
        <v>1.4568070928430714</v>
      </c>
    </row>
    <row r="100" spans="6:31" x14ac:dyDescent="0.2">
      <c r="F100">
        <v>2030</v>
      </c>
      <c r="G100">
        <f>SUM(B94:G94)</f>
        <v>307.2105143025297</v>
      </c>
      <c r="O100">
        <f>SUM(J94:O94)</f>
        <v>0.12191826409671142</v>
      </c>
      <c r="W100">
        <f>SUM(R94:W94)</f>
        <v>9.9729581157917704E-2</v>
      </c>
      <c r="AE100">
        <f>SUM(Z94:AE94)</f>
        <v>12.473260198849335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Unit-upper left</vt:lpstr>
      <vt:lpstr>upper middle</vt:lpstr>
      <vt:lpstr>aggressive</vt:lpstr>
      <vt:lpstr>moderate</vt:lpstr>
      <vt:lpstr>conservative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Bingzheng Wang</dc:creator>
  <cp:lastModifiedBy>Bingzheng Wang</cp:lastModifiedBy>
  <dcterms:created xsi:type="dcterms:W3CDTF">2025-12-16T17:42:50Z</dcterms:created>
  <dcterms:modified xsi:type="dcterms:W3CDTF">2026-03-11T14:53:46Z</dcterms:modified>
</cp:coreProperties>
</file>