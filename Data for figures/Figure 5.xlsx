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-destruction/Code/Chapter 2/Test code case- upload/data for figures/"/>
    </mc:Choice>
  </mc:AlternateContent>
  <xr:revisionPtr revIDLastSave="2014" documentId="8_{4B7BFD48-DA00-A04B-B7C6-106DBB45BD97}" xr6:coauthVersionLast="47" xr6:coauthVersionMax="47" xr10:uidLastSave="{46CFAC2E-48C3-C74B-814F-4C0C0BC73430}"/>
  <bookViews>
    <workbookView xWindow="30240" yWindow="600" windowWidth="38400" windowHeight="21000" xr2:uid="{0D61C62B-F9C4-E64A-9FC6-C897366F8DFB}"/>
  </bookViews>
  <sheets>
    <sheet name="final data summary" sheetId="11" r:id="rId1"/>
    <sheet name="1-incineration improvement" sheetId="10" r:id="rId2"/>
    <sheet name="2-better separation" sheetId="8" r:id="rId3"/>
    <sheet name="3-Source management" sheetId="9" r:id="rId4"/>
    <sheet name="4-Cascade" sheetId="7" r:id="rId5"/>
    <sheet name="5-alternativess" sheetId="12" r:id="rId6"/>
    <sheet name="baseline" sheetId="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" i="11" l="1"/>
  <c r="P100" i="11"/>
  <c r="Q100" i="11"/>
  <c r="N100" i="11"/>
  <c r="AC28" i="7"/>
  <c r="AC29" i="7"/>
  <c r="AC30" i="7"/>
  <c r="AC27" i="7"/>
  <c r="X28" i="7"/>
  <c r="X29" i="7"/>
  <c r="X30" i="7"/>
  <c r="X27" i="7"/>
  <c r="X35" i="7"/>
  <c r="X36" i="7"/>
  <c r="X33" i="7"/>
  <c r="X14" i="7"/>
  <c r="X15" i="7"/>
  <c r="X16" i="7"/>
  <c r="X13" i="7"/>
  <c r="X8" i="7"/>
  <c r="X9" i="7"/>
  <c r="X10" i="7"/>
  <c r="X7" i="7"/>
  <c r="W16" i="7"/>
  <c r="W10" i="7"/>
  <c r="W15" i="7"/>
  <c r="W9" i="7"/>
  <c r="W14" i="7"/>
  <c r="W8" i="7"/>
  <c r="W13" i="7"/>
  <c r="W7" i="7"/>
  <c r="W35" i="7"/>
  <c r="X34" i="7" s="1"/>
  <c r="W29" i="7"/>
  <c r="W36" i="7"/>
  <c r="W30" i="7"/>
  <c r="W34" i="7"/>
  <c r="W28" i="7"/>
  <c r="W33" i="7"/>
  <c r="W27" i="7"/>
  <c r="W7" i="12"/>
  <c r="T94" i="11" a="1"/>
  <c r="T94" i="11" s="1"/>
  <c r="U94" i="11" a="1"/>
  <c r="U94" i="11" s="1"/>
  <c r="V94" i="11" a="1"/>
  <c r="V94" i="11" s="1"/>
  <c r="W94" i="11" a="1"/>
  <c r="W94" i="11" s="1"/>
  <c r="X94" i="11" a="1"/>
  <c r="X94" i="11" s="1"/>
  <c r="Y94" i="11" a="1"/>
  <c r="Y94" i="11" s="1"/>
  <c r="Z94" i="11" a="1"/>
  <c r="Z94" i="11" s="1"/>
  <c r="W95" i="11" a="1"/>
  <c r="W95" i="11" s="1"/>
  <c r="Y95" i="11" a="1"/>
  <c r="Y95" i="11" s="1"/>
  <c r="W96" i="11" a="1"/>
  <c r="W96" i="11" s="1"/>
  <c r="Y96" i="11" a="1"/>
  <c r="Y96" i="11" s="1"/>
  <c r="W97" i="11" a="1"/>
  <c r="W97" i="11" s="1"/>
  <c r="Y97" i="11" a="1"/>
  <c r="Y97" i="11" s="1"/>
  <c r="W98" i="11" a="1"/>
  <c r="W98" i="11" s="1"/>
  <c r="Y98" i="11" a="1"/>
  <c r="Y98" i="11" s="1"/>
  <c r="S95" i="11" a="1"/>
  <c r="S95" i="11" s="1"/>
  <c r="S96" i="11" a="1"/>
  <c r="S96" i="11" s="1"/>
  <c r="S97" i="11" a="1"/>
  <c r="S97" i="11" s="1"/>
  <c r="S98" i="11" a="1"/>
  <c r="S98" i="11" s="1"/>
  <c r="S94" i="11" a="1"/>
  <c r="S94" i="11" s="1"/>
  <c r="S63" i="11" a="1"/>
  <c r="S63" i="11" s="1"/>
  <c r="S64" i="11" a="1"/>
  <c r="S64" i="11" s="1"/>
  <c r="T64" i="11" a="1"/>
  <c r="T64" i="11" s="1"/>
  <c r="U64" i="11" a="1"/>
  <c r="U64" i="11" s="1"/>
  <c r="V64" i="11" a="1"/>
  <c r="V64" i="11" s="1"/>
  <c r="W64" i="11" a="1"/>
  <c r="W64" i="11" s="1"/>
  <c r="Z64" i="11" a="1"/>
  <c r="Z64" i="11" s="1"/>
  <c r="AA64" i="11" a="1"/>
  <c r="AA64" i="11" s="1"/>
  <c r="AB64" i="11" a="1"/>
  <c r="AB64" i="11" s="1"/>
  <c r="AC64" i="11" a="1"/>
  <c r="AC64" i="11" s="1"/>
  <c r="AD64" i="11" a="1"/>
  <c r="AD64" i="11" s="1"/>
  <c r="S65" i="11" a="1"/>
  <c r="S65" i="11"/>
  <c r="T65" i="11" a="1"/>
  <c r="T65" i="11" s="1"/>
  <c r="U65" i="11" a="1"/>
  <c r="U65" i="11" s="1"/>
  <c r="V65" i="11" a="1"/>
  <c r="V65" i="11" s="1"/>
  <c r="W65" i="11" a="1"/>
  <c r="W65" i="11" s="1"/>
  <c r="Z65" i="11" a="1"/>
  <c r="Z65" i="11" s="1"/>
  <c r="AA65" i="11" a="1"/>
  <c r="AA65" i="11" s="1"/>
  <c r="AB65" i="11" a="1"/>
  <c r="AB65" i="11"/>
  <c r="AC65" i="11" a="1"/>
  <c r="AC65" i="11" s="1"/>
  <c r="AD65" i="11" a="1"/>
  <c r="AD65" i="11" s="1"/>
  <c r="S66" i="11" a="1"/>
  <c r="S66" i="11" s="1"/>
  <c r="T66" i="11" a="1"/>
  <c r="T66" i="11" s="1"/>
  <c r="U66" i="11" a="1"/>
  <c r="U66" i="11" s="1"/>
  <c r="V66" i="11" a="1"/>
  <c r="V66" i="11" s="1"/>
  <c r="W66" i="11" a="1"/>
  <c r="W66" i="11" s="1"/>
  <c r="Z66" i="11" a="1"/>
  <c r="Z66" i="11" s="1"/>
  <c r="AA66" i="11" a="1"/>
  <c r="AA66" i="11" s="1"/>
  <c r="AB66" i="11" a="1"/>
  <c r="AB66" i="11" s="1"/>
  <c r="AC66" i="11" a="1"/>
  <c r="AC66" i="11" s="1"/>
  <c r="AD66" i="11" a="1"/>
  <c r="AD66" i="11" s="1"/>
  <c r="S67" i="11" a="1"/>
  <c r="S67" i="11" s="1"/>
  <c r="T67" i="11" a="1"/>
  <c r="T67" i="11" s="1"/>
  <c r="U67" i="11" a="1"/>
  <c r="U67" i="11" s="1"/>
  <c r="V67" i="11" a="1"/>
  <c r="V67" i="11" s="1"/>
  <c r="W67" i="11" a="1"/>
  <c r="W67" i="11" s="1"/>
  <c r="Z67" i="11" a="1"/>
  <c r="Z67" i="11" s="1"/>
  <c r="AA67" i="11" a="1"/>
  <c r="AA67" i="11" s="1"/>
  <c r="AB67" i="11" a="1"/>
  <c r="AB67" i="11" s="1"/>
  <c r="AC67" i="11" a="1"/>
  <c r="AC67" i="11" s="1"/>
  <c r="AD67" i="11" a="1"/>
  <c r="AD67" i="11" s="1"/>
  <c r="T63" i="11" a="1"/>
  <c r="T63" i="11" s="1"/>
  <c r="U63" i="11" a="1"/>
  <c r="U63" i="11" s="1"/>
  <c r="V63" i="11" a="1"/>
  <c r="V63" i="11" s="1"/>
  <c r="W63" i="11" a="1"/>
  <c r="W63" i="11" s="1"/>
  <c r="X63" i="11" a="1"/>
  <c r="X63" i="11" s="1"/>
  <c r="Y63" i="11" a="1"/>
  <c r="Y63" i="11" s="1"/>
  <c r="Z63" i="11" a="1"/>
  <c r="Z63" i="11" s="1"/>
  <c r="AA63" i="11" a="1"/>
  <c r="AA63" i="11" s="1"/>
  <c r="AB63" i="11" a="1"/>
  <c r="AB63" i="11" s="1"/>
  <c r="AC63" i="11" a="1"/>
  <c r="AC63" i="11" s="1"/>
  <c r="AD63" i="11" a="1"/>
  <c r="AD63" i="11" s="1"/>
  <c r="AE63" i="11" a="1"/>
  <c r="AE63" i="11" s="1"/>
  <c r="AF63" i="11" a="1"/>
  <c r="AF63" i="11" s="1"/>
  <c r="S32" i="11" a="1"/>
  <c r="S32" i="11" s="1"/>
  <c r="S33" i="11" a="1"/>
  <c r="S33" i="11" s="1"/>
  <c r="T33" i="11" a="1"/>
  <c r="T33" i="11" s="1"/>
  <c r="U33" i="11" a="1"/>
  <c r="U33" i="11" s="1"/>
  <c r="V33" i="11" a="1"/>
  <c r="V33" i="11" s="1"/>
  <c r="W33" i="11" a="1"/>
  <c r="W33" i="11" s="1"/>
  <c r="Z33" i="11" a="1"/>
  <c r="Z33" i="11" s="1"/>
  <c r="AA33" i="11" a="1"/>
  <c r="AA33" i="11" s="1"/>
  <c r="AB33" i="11" a="1"/>
  <c r="AB33" i="11" s="1"/>
  <c r="AC33" i="11" a="1"/>
  <c r="AC33" i="11" s="1"/>
  <c r="AD33" i="11" a="1"/>
  <c r="AD33" i="11" s="1"/>
  <c r="S34" i="11" a="1"/>
  <c r="S34" i="11" s="1"/>
  <c r="T34" i="11" a="1"/>
  <c r="T34" i="11" s="1"/>
  <c r="U34" i="11" a="1"/>
  <c r="U34" i="11" s="1"/>
  <c r="V34" i="11" a="1"/>
  <c r="V34" i="11" s="1"/>
  <c r="W34" i="11" a="1"/>
  <c r="W34" i="11" s="1"/>
  <c r="Z34" i="11" a="1"/>
  <c r="Z34" i="11" s="1"/>
  <c r="AA34" i="11" a="1"/>
  <c r="AA34" i="11" s="1"/>
  <c r="AB34" i="11" a="1"/>
  <c r="AB34" i="11" s="1"/>
  <c r="AC34" i="11" a="1"/>
  <c r="AC34" i="11" s="1"/>
  <c r="AD34" i="11" a="1"/>
  <c r="AD34" i="11" s="1"/>
  <c r="S35" i="11" a="1"/>
  <c r="S35" i="11" s="1"/>
  <c r="T35" i="11" a="1"/>
  <c r="T35" i="11" s="1"/>
  <c r="U35" i="11" a="1"/>
  <c r="U35" i="11" s="1"/>
  <c r="V35" i="11" a="1"/>
  <c r="V35" i="11" s="1"/>
  <c r="W35" i="11" a="1"/>
  <c r="W35" i="11" s="1"/>
  <c r="Z35" i="11" a="1"/>
  <c r="Z35" i="11" s="1"/>
  <c r="AA35" i="11" a="1"/>
  <c r="AA35" i="11" s="1"/>
  <c r="AB35" i="11" a="1"/>
  <c r="AB35" i="11" s="1"/>
  <c r="AC35" i="11" a="1"/>
  <c r="AC35" i="11" s="1"/>
  <c r="AD35" i="11" a="1"/>
  <c r="AD35" i="11" s="1"/>
  <c r="S36" i="11" a="1"/>
  <c r="S36" i="11" s="1"/>
  <c r="T36" i="11" a="1"/>
  <c r="T36" i="11" s="1"/>
  <c r="U36" i="11" a="1"/>
  <c r="U36" i="11" s="1"/>
  <c r="V36" i="11" a="1"/>
  <c r="V36" i="11" s="1"/>
  <c r="W36" i="11" a="1"/>
  <c r="W36" i="11" s="1"/>
  <c r="Z36" i="11" a="1"/>
  <c r="Z36" i="11" s="1"/>
  <c r="AA36" i="11" a="1"/>
  <c r="AA36" i="11" s="1"/>
  <c r="AB36" i="11" a="1"/>
  <c r="AB36" i="11" s="1"/>
  <c r="AC36" i="11" a="1"/>
  <c r="AC36" i="11" s="1"/>
  <c r="AD36" i="11" a="1"/>
  <c r="AD36" i="11" s="1"/>
  <c r="AD32" i="11" a="1"/>
  <c r="AD32" i="11" s="1"/>
  <c r="AE32" i="11" a="1"/>
  <c r="AE32" i="11" s="1"/>
  <c r="AF32" i="11" a="1"/>
  <c r="AF32" i="11" s="1"/>
  <c r="T32" i="11" a="1"/>
  <c r="T32" i="11" s="1"/>
  <c r="U32" i="11" a="1"/>
  <c r="U32" i="11" s="1"/>
  <c r="V32" i="11" a="1"/>
  <c r="V32" i="11" s="1"/>
  <c r="W32" i="11" a="1"/>
  <c r="W32" i="11" s="1"/>
  <c r="X32" i="11" a="1"/>
  <c r="X32" i="11" s="1"/>
  <c r="Y32" i="11" a="1"/>
  <c r="Y32" i="11" s="1"/>
  <c r="Z32" i="11" a="1"/>
  <c r="Z32" i="11" s="1"/>
  <c r="AA32" i="11" a="1"/>
  <c r="AA32" i="11" s="1"/>
  <c r="AB32" i="11" a="1"/>
  <c r="AB32" i="11" s="1"/>
  <c r="AC32" i="11" a="1"/>
  <c r="AC32" i="11" s="1"/>
  <c r="S1" i="11" a="1"/>
  <c r="S1" i="11" s="1"/>
  <c r="T1" i="11" a="1"/>
  <c r="T1" i="11" s="1"/>
  <c r="U1" i="11" a="1"/>
  <c r="U1" i="11" s="1"/>
  <c r="V1" i="11" a="1"/>
  <c r="V1" i="11" s="1"/>
  <c r="W1" i="11" a="1"/>
  <c r="W1" i="11" s="1"/>
  <c r="X1" i="11" a="1"/>
  <c r="X1" i="11" s="1"/>
  <c r="Y1" i="11" a="1"/>
  <c r="Y1" i="11" s="1"/>
  <c r="Z1" i="11" a="1"/>
  <c r="Z1" i="11" s="1"/>
  <c r="AA1" i="11" a="1"/>
  <c r="AA1" i="11" s="1"/>
  <c r="AB1" i="11" a="1"/>
  <c r="AB1" i="11" s="1"/>
  <c r="AC1" i="11" a="1"/>
  <c r="AC1" i="11" s="1"/>
  <c r="AD1" i="11" a="1"/>
  <c r="AD1" i="11" s="1"/>
  <c r="AE1" i="11" a="1"/>
  <c r="AE1" i="11" s="1"/>
  <c r="AF1" i="11" a="1"/>
  <c r="AF1" i="11" s="1"/>
  <c r="T2" i="11" a="1"/>
  <c r="T2" i="11" s="1"/>
  <c r="U2" i="11" a="1"/>
  <c r="U2" i="11" s="1"/>
  <c r="V2" i="11" a="1"/>
  <c r="V2" i="11" s="1"/>
  <c r="W2" i="11" a="1"/>
  <c r="W2" i="11" s="1"/>
  <c r="Z2" i="11" a="1"/>
  <c r="Z2" i="11" s="1"/>
  <c r="AA2" i="11" a="1"/>
  <c r="AA2" i="11" s="1"/>
  <c r="AB2" i="11" a="1"/>
  <c r="AB2" i="11" s="1"/>
  <c r="AC2" i="11" a="1"/>
  <c r="AC2" i="11" s="1"/>
  <c r="AD2" i="11" a="1"/>
  <c r="AD2" i="11" s="1"/>
  <c r="T3" i="11" a="1"/>
  <c r="T3" i="11" s="1"/>
  <c r="U3" i="11" a="1"/>
  <c r="U3" i="11" s="1"/>
  <c r="V3" i="11" a="1"/>
  <c r="V3" i="11" s="1"/>
  <c r="W3" i="11" a="1"/>
  <c r="W3" i="11" s="1"/>
  <c r="Z3" i="11" a="1"/>
  <c r="Z3" i="11" s="1"/>
  <c r="AA3" i="11" a="1"/>
  <c r="AA3" i="11" s="1"/>
  <c r="AB3" i="11" a="1"/>
  <c r="AB3" i="11" s="1"/>
  <c r="AC3" i="11" a="1"/>
  <c r="AC3" i="11" s="1"/>
  <c r="AD3" i="11" a="1"/>
  <c r="AD3" i="11" s="1"/>
  <c r="T4" i="11" a="1"/>
  <c r="T4" i="11" s="1"/>
  <c r="U4" i="11" a="1"/>
  <c r="U4" i="11" s="1"/>
  <c r="V4" i="11" a="1"/>
  <c r="V4" i="11" s="1"/>
  <c r="W4" i="11" a="1"/>
  <c r="W4" i="11" s="1"/>
  <c r="Z4" i="11" a="1"/>
  <c r="Z4" i="11" s="1"/>
  <c r="AA4" i="11" a="1"/>
  <c r="AA4" i="11" s="1"/>
  <c r="AB4" i="11" a="1"/>
  <c r="AB4" i="11" s="1"/>
  <c r="AC4" i="11" a="1"/>
  <c r="AC4" i="11" s="1"/>
  <c r="AD4" i="11" a="1"/>
  <c r="AD4" i="11" s="1"/>
  <c r="T5" i="11" a="1"/>
  <c r="T5" i="11" s="1"/>
  <c r="U5" i="11" a="1"/>
  <c r="U5" i="11" s="1"/>
  <c r="V5" i="11" a="1"/>
  <c r="V5" i="11" s="1"/>
  <c r="W5" i="11" a="1"/>
  <c r="W5" i="11" s="1"/>
  <c r="Z5" i="11" a="1"/>
  <c r="Z5" i="11" s="1"/>
  <c r="AA5" i="11" a="1"/>
  <c r="AA5" i="11" s="1"/>
  <c r="AB5" i="11" a="1"/>
  <c r="AB5" i="11" s="1"/>
  <c r="AC5" i="11" a="1"/>
  <c r="AC5" i="11" s="1"/>
  <c r="AD5" i="11" a="1"/>
  <c r="AD5" i="11" s="1"/>
  <c r="S2" i="11" a="1"/>
  <c r="S2" i="11" s="1"/>
  <c r="S3" i="11" a="1"/>
  <c r="S3" i="11" s="1"/>
  <c r="S4" i="11" a="1"/>
  <c r="S4" i="11" s="1"/>
  <c r="S5" i="11" a="1"/>
  <c r="S5" i="11" s="1"/>
  <c r="A45" i="10" a="1"/>
  <c r="A45" i="10" s="1"/>
  <c r="F68" i="12" a="1"/>
  <c r="F68" i="12" s="1"/>
  <c r="G68" i="12" a="1"/>
  <c r="G68" i="12" s="1"/>
  <c r="L68" i="12" a="1"/>
  <c r="L68" i="12" s="1"/>
  <c r="M68" i="12" a="1"/>
  <c r="M68" i="12" s="1"/>
  <c r="N68" i="12" a="1"/>
  <c r="N68" i="12" s="1"/>
  <c r="O68" i="12" a="1"/>
  <c r="O68" i="12" s="1"/>
  <c r="P68" i="12" a="1"/>
  <c r="P68" i="12" s="1"/>
  <c r="Q68" i="12" a="1"/>
  <c r="Q68" i="12" s="1"/>
  <c r="R68" i="12" a="1"/>
  <c r="R68" i="12" s="1"/>
  <c r="S68" i="12" a="1"/>
  <c r="S68" i="12" s="1"/>
  <c r="T68" i="12" a="1"/>
  <c r="T68" i="12" s="1"/>
  <c r="U68" i="12" a="1"/>
  <c r="U68" i="12" s="1"/>
  <c r="Z68" i="12" a="1"/>
  <c r="Z68" i="12" s="1"/>
  <c r="AA68" i="12" a="1"/>
  <c r="AA68" i="12" s="1"/>
  <c r="AF68" i="12" a="1"/>
  <c r="AF68" i="12" s="1"/>
  <c r="AG68" i="12" a="1"/>
  <c r="AG68" i="12" s="1"/>
  <c r="AH68" i="12" a="1"/>
  <c r="AH68" i="12" s="1"/>
  <c r="AI68" i="12" a="1"/>
  <c r="AI68" i="12" s="1"/>
  <c r="AJ68" i="12" a="1"/>
  <c r="AJ68" i="12" s="1"/>
  <c r="Q46" i="12" a="1"/>
  <c r="Q46" i="12" s="1"/>
  <c r="R46" i="12" a="1"/>
  <c r="R46" i="12" s="1"/>
  <c r="S46" i="12" a="1"/>
  <c r="S46" i="12" s="1"/>
  <c r="T46" i="12" a="1"/>
  <c r="T46" i="12" s="1"/>
  <c r="Q47" i="12" a="1"/>
  <c r="Q47" i="12" s="1"/>
  <c r="R47" i="12" a="1"/>
  <c r="R47" i="12" s="1"/>
  <c r="S47" i="12" a="1"/>
  <c r="S47" i="12" s="1"/>
  <c r="T47" i="12" a="1"/>
  <c r="T47" i="12" s="1"/>
  <c r="Q48" i="12" a="1"/>
  <c r="Q48" i="12" s="1"/>
  <c r="R48" i="12" a="1"/>
  <c r="R48" i="12" s="1"/>
  <c r="S48" i="12" a="1"/>
  <c r="S48" i="12" s="1"/>
  <c r="T48" i="12" a="1"/>
  <c r="T48" i="12" s="1"/>
  <c r="Q49" i="12" a="1"/>
  <c r="Q49" i="12" s="1"/>
  <c r="R49" i="12" a="1"/>
  <c r="R49" i="12" s="1"/>
  <c r="S49" i="12" a="1"/>
  <c r="S49" i="12" s="1"/>
  <c r="T49" i="12" a="1"/>
  <c r="T49" i="12" s="1"/>
  <c r="A50" i="12" a="1"/>
  <c r="A50" i="12" s="1"/>
  <c r="B50" i="12" a="1"/>
  <c r="B50" i="12" s="1"/>
  <c r="C50" i="12" a="1"/>
  <c r="C50" i="12" s="1"/>
  <c r="D50" i="12" a="1"/>
  <c r="D50" i="12" s="1"/>
  <c r="E50" i="12" a="1"/>
  <c r="E50" i="12" s="1"/>
  <c r="F50" i="12" a="1"/>
  <c r="F50" i="12" s="1"/>
  <c r="G50" i="12" a="1"/>
  <c r="G50" i="12" s="1"/>
  <c r="H50" i="12" a="1"/>
  <c r="H50" i="12" s="1"/>
  <c r="I50" i="12" a="1"/>
  <c r="I50" i="12" s="1"/>
  <c r="J50" i="12" a="1"/>
  <c r="J50" i="12" s="1"/>
  <c r="K50" i="12" a="1"/>
  <c r="K50" i="12" s="1"/>
  <c r="L50" i="12" a="1"/>
  <c r="L50" i="12" s="1"/>
  <c r="M50" i="12" a="1"/>
  <c r="M50" i="12" s="1"/>
  <c r="N50" i="12" a="1"/>
  <c r="N50" i="12" s="1"/>
  <c r="O50" i="12" a="1"/>
  <c r="O50" i="12" s="1"/>
  <c r="P50" i="12" a="1"/>
  <c r="P50" i="12" s="1"/>
  <c r="Q50" i="12" a="1"/>
  <c r="Q50" i="12" s="1"/>
  <c r="R50" i="12" a="1"/>
  <c r="R50" i="12" s="1"/>
  <c r="S50" i="12" a="1"/>
  <c r="S50" i="12" s="1"/>
  <c r="T50" i="12" a="1"/>
  <c r="T50" i="12" s="1"/>
  <c r="U50" i="12" a="1"/>
  <c r="U50" i="12" s="1"/>
  <c r="V50" i="12" a="1"/>
  <c r="V50" i="12" s="1"/>
  <c r="W50" i="12" a="1"/>
  <c r="W50" i="12" s="1"/>
  <c r="X50" i="12" a="1"/>
  <c r="X50" i="12" s="1"/>
  <c r="Y50" i="12" a="1"/>
  <c r="Y50" i="12" s="1"/>
  <c r="Z50" i="12" a="1"/>
  <c r="Z50" i="12" s="1"/>
  <c r="AA50" i="12" a="1"/>
  <c r="AA50" i="12" s="1"/>
  <c r="AB50" i="12" a="1"/>
  <c r="AB50" i="12" s="1"/>
  <c r="AC50" i="12" a="1"/>
  <c r="AC50" i="12" s="1"/>
  <c r="AD50" i="12" a="1"/>
  <c r="AD50" i="12" s="1"/>
  <c r="AE50" i="12" a="1"/>
  <c r="AE50" i="12" s="1"/>
  <c r="AF50" i="12" a="1"/>
  <c r="AF50" i="12" s="1"/>
  <c r="AG50" i="12" a="1"/>
  <c r="AG50" i="12" s="1"/>
  <c r="AH50" i="12" a="1"/>
  <c r="AH50" i="12" s="1"/>
  <c r="AI50" i="12" a="1"/>
  <c r="AI50" i="12" s="1"/>
  <c r="AJ50" i="12" a="1"/>
  <c r="AJ50" i="12" s="1"/>
  <c r="A51" i="12" a="1"/>
  <c r="A51" i="12" s="1"/>
  <c r="I51" i="12" a="1"/>
  <c r="I51" i="12" s="1"/>
  <c r="J51" i="12" a="1"/>
  <c r="J51" i="12" s="1"/>
  <c r="Q51" i="12" a="1"/>
  <c r="Q51" i="12" s="1"/>
  <c r="R51" i="12" a="1"/>
  <c r="R51" i="12" s="1"/>
  <c r="S51" i="12" a="1"/>
  <c r="S51" i="12" s="1"/>
  <c r="T51" i="12" a="1"/>
  <c r="T51" i="12" s="1"/>
  <c r="U51" i="12" a="1"/>
  <c r="U51" i="12" s="1"/>
  <c r="A52" i="12" a="1"/>
  <c r="A52" i="12" s="1"/>
  <c r="B52" i="12" a="1"/>
  <c r="B52" i="12" s="1"/>
  <c r="C52" i="12" a="1"/>
  <c r="C52" i="12" s="1"/>
  <c r="D52" i="12" a="1"/>
  <c r="D52" i="12" s="1"/>
  <c r="E52" i="12" a="1"/>
  <c r="E52" i="12" s="1"/>
  <c r="F52" i="12" a="1"/>
  <c r="F52" i="12" s="1"/>
  <c r="G52" i="12" a="1"/>
  <c r="G52" i="12" s="1"/>
  <c r="H52" i="12" a="1"/>
  <c r="H52" i="12" s="1"/>
  <c r="I52" i="12" a="1"/>
  <c r="I52" i="12" s="1"/>
  <c r="J52" i="12" a="1"/>
  <c r="J52" i="12" s="1"/>
  <c r="K52" i="12" a="1"/>
  <c r="K52" i="12" s="1"/>
  <c r="L52" i="12" a="1"/>
  <c r="L52" i="12" s="1"/>
  <c r="M52" i="12" a="1"/>
  <c r="M52" i="12" s="1"/>
  <c r="N52" i="12" a="1"/>
  <c r="N52" i="12" s="1"/>
  <c r="O52" i="12" a="1"/>
  <c r="O52" i="12" s="1"/>
  <c r="P52" i="12" a="1"/>
  <c r="P52" i="12" s="1"/>
  <c r="Q52" i="12" a="1"/>
  <c r="Q52" i="12" s="1"/>
  <c r="R52" i="12" a="1"/>
  <c r="R52" i="12" s="1"/>
  <c r="S52" i="12" a="1"/>
  <c r="S52" i="12" s="1"/>
  <c r="T52" i="12" a="1"/>
  <c r="T52" i="12" s="1"/>
  <c r="U52" i="12" a="1"/>
  <c r="U52" i="12" s="1"/>
  <c r="V52" i="12" a="1"/>
  <c r="V52" i="12" s="1"/>
  <c r="W52" i="12" a="1"/>
  <c r="W52" i="12" s="1"/>
  <c r="X52" i="12" a="1"/>
  <c r="X52" i="12" s="1"/>
  <c r="Y52" i="12" a="1"/>
  <c r="Y52" i="12" s="1"/>
  <c r="Z52" i="12" a="1"/>
  <c r="Z52" i="12" s="1"/>
  <c r="AA52" i="12" a="1"/>
  <c r="AA52" i="12" s="1"/>
  <c r="AB52" i="12" a="1"/>
  <c r="AB52" i="12" s="1"/>
  <c r="AC52" i="12" a="1"/>
  <c r="AC52" i="12" s="1"/>
  <c r="AD52" i="12" a="1"/>
  <c r="AD52" i="12" s="1"/>
  <c r="AE52" i="12" a="1"/>
  <c r="AE52" i="12" s="1"/>
  <c r="AF52" i="12" a="1"/>
  <c r="AF52" i="12" s="1"/>
  <c r="AG52" i="12" a="1"/>
  <c r="AG52" i="12" s="1"/>
  <c r="AH52" i="12" a="1"/>
  <c r="AH52" i="12" s="1"/>
  <c r="AI52" i="12" a="1"/>
  <c r="AI52" i="12" s="1"/>
  <c r="AJ52" i="12" a="1"/>
  <c r="AJ52" i="12" s="1"/>
  <c r="G53" i="12" a="1"/>
  <c r="G53" i="12" s="1"/>
  <c r="M53" i="12" a="1"/>
  <c r="M53" i="12" s="1"/>
  <c r="P53" i="12" a="1"/>
  <c r="P53" i="12" s="1"/>
  <c r="Q53" i="12" a="1"/>
  <c r="Q53" i="12" s="1"/>
  <c r="R53" i="12" a="1"/>
  <c r="R53" i="12" s="1"/>
  <c r="S53" i="12" a="1"/>
  <c r="S53" i="12" s="1"/>
  <c r="T53" i="12" a="1"/>
  <c r="T53" i="12" s="1"/>
  <c r="V53" i="12" a="1"/>
  <c r="V53" i="12" s="1"/>
  <c r="X53" i="12" a="1"/>
  <c r="X53" i="12" s="1"/>
  <c r="AC53" i="12" a="1"/>
  <c r="AC53" i="12" s="1"/>
  <c r="AH53" i="12" a="1"/>
  <c r="AH53" i="12" s="1"/>
  <c r="AJ53" i="12" a="1"/>
  <c r="AJ53" i="12" s="1"/>
  <c r="G54" i="12" a="1"/>
  <c r="G54" i="12" s="1"/>
  <c r="M54" i="12" a="1"/>
  <c r="M54" i="12" s="1"/>
  <c r="P54" i="12" a="1"/>
  <c r="P54" i="12" s="1"/>
  <c r="Q54" i="12" a="1"/>
  <c r="Q54" i="12" s="1"/>
  <c r="R54" i="12" a="1"/>
  <c r="R54" i="12" s="1"/>
  <c r="S54" i="12" a="1"/>
  <c r="S54" i="12" s="1"/>
  <c r="T54" i="12" a="1"/>
  <c r="T54" i="12" s="1"/>
  <c r="U54" i="12" a="1"/>
  <c r="U54" i="12" s="1"/>
  <c r="W54" i="12" a="1"/>
  <c r="W54" i="12" s="1"/>
  <c r="X54" i="12" a="1"/>
  <c r="X54" i="12" s="1"/>
  <c r="Z54" i="12" a="1"/>
  <c r="Z54" i="12" s="1"/>
  <c r="AB54" i="12" a="1"/>
  <c r="AB54" i="12" s="1"/>
  <c r="AH54" i="12" a="1"/>
  <c r="AH54" i="12" s="1"/>
  <c r="AJ54" i="12" a="1"/>
  <c r="AJ54" i="12" s="1"/>
  <c r="G55" i="12" a="1"/>
  <c r="G55" i="12" s="1"/>
  <c r="M55" i="12" a="1"/>
  <c r="M55" i="12" s="1"/>
  <c r="P55" i="12" a="1"/>
  <c r="P55" i="12" s="1"/>
  <c r="Q55" i="12" a="1"/>
  <c r="Q55" i="12" s="1"/>
  <c r="R55" i="12" a="1"/>
  <c r="R55" i="12" s="1"/>
  <c r="S55" i="12" a="1"/>
  <c r="S55" i="12" s="1"/>
  <c r="T55" i="12" a="1"/>
  <c r="T55" i="12" s="1"/>
  <c r="V55" i="12" a="1"/>
  <c r="V55" i="12" s="1"/>
  <c r="W55" i="12" a="1"/>
  <c r="W55" i="12" s="1"/>
  <c r="Y55" i="12" a="1"/>
  <c r="Y55" i="12" s="1"/>
  <c r="AA55" i="12" a="1"/>
  <c r="AA55" i="12" s="1"/>
  <c r="AD55" i="12" a="1"/>
  <c r="AD55" i="12" s="1"/>
  <c r="AE55" i="12" a="1"/>
  <c r="AE55" i="12" s="1"/>
  <c r="AF55" i="12" a="1"/>
  <c r="AF55" i="12" s="1"/>
  <c r="AI55" i="12" a="1"/>
  <c r="AI55" i="12" s="1"/>
  <c r="AJ55" i="12" a="1"/>
  <c r="AJ55" i="12" s="1"/>
  <c r="G56" i="12" a="1"/>
  <c r="G56" i="12" s="1"/>
  <c r="M56" i="12" a="1"/>
  <c r="M56" i="12" s="1"/>
  <c r="P56" i="12" a="1"/>
  <c r="P56" i="12" s="1"/>
  <c r="Q56" i="12" a="1"/>
  <c r="Q56" i="12" s="1"/>
  <c r="R56" i="12" a="1"/>
  <c r="R56" i="12" s="1"/>
  <c r="S56" i="12" a="1"/>
  <c r="S56" i="12" s="1"/>
  <c r="T56" i="12" a="1"/>
  <c r="T56" i="12" s="1"/>
  <c r="X56" i="12" a="1"/>
  <c r="X56" i="12" s="1"/>
  <c r="AB56" i="12" a="1"/>
  <c r="AB56" i="12" s="1"/>
  <c r="AC56" i="12" a="1"/>
  <c r="AC56" i="12" s="1"/>
  <c r="AD56" i="12" a="1"/>
  <c r="AD56" i="12" s="1"/>
  <c r="AF56" i="12" a="1"/>
  <c r="AF56" i="12" s="1"/>
  <c r="AH56" i="12" a="1"/>
  <c r="AH56" i="12" s="1"/>
  <c r="AJ56" i="12" a="1"/>
  <c r="AJ56" i="12" s="1"/>
  <c r="G57" i="12" a="1"/>
  <c r="G57" i="12" s="1"/>
  <c r="M57" i="12" a="1"/>
  <c r="M57" i="12" s="1"/>
  <c r="P57" i="12" a="1"/>
  <c r="P57" i="12" s="1"/>
  <c r="Q57" i="12" a="1"/>
  <c r="Q57" i="12" s="1"/>
  <c r="R57" i="12" a="1"/>
  <c r="R57" i="12" s="1"/>
  <c r="S57" i="12" a="1"/>
  <c r="S57" i="12" s="1"/>
  <c r="T57" i="12" a="1"/>
  <c r="T57" i="12" s="1"/>
  <c r="U57" i="12" a="1"/>
  <c r="U57" i="12" s="1"/>
  <c r="Y57" i="12" a="1"/>
  <c r="Y57" i="12" s="1"/>
  <c r="Z57" i="12" a="1"/>
  <c r="Z57" i="12" s="1"/>
  <c r="AA57" i="12" a="1"/>
  <c r="AA57" i="12" s="1"/>
  <c r="AE57" i="12" a="1"/>
  <c r="AE57" i="12" s="1"/>
  <c r="AI57" i="12" a="1"/>
  <c r="AI57" i="12" s="1"/>
  <c r="AJ57" i="12" a="1"/>
  <c r="AJ57" i="12" s="1"/>
  <c r="G58" i="12" a="1"/>
  <c r="G58" i="12" s="1"/>
  <c r="M58" i="12" a="1"/>
  <c r="M58" i="12" s="1"/>
  <c r="P58" i="12" a="1"/>
  <c r="P58" i="12" s="1"/>
  <c r="Q58" i="12" a="1"/>
  <c r="Q58" i="12" s="1"/>
  <c r="R58" i="12" a="1"/>
  <c r="R58" i="12" s="1"/>
  <c r="S58" i="12" a="1"/>
  <c r="S58" i="12" s="1"/>
  <c r="T58" i="12" a="1"/>
  <c r="T58" i="12" s="1"/>
  <c r="V58" i="12" a="1"/>
  <c r="V58" i="12" s="1"/>
  <c r="X58" i="12" a="1"/>
  <c r="X58" i="12" s="1"/>
  <c r="Z58" i="12" a="1"/>
  <c r="Z58" i="12" s="1"/>
  <c r="AB58" i="12" a="1"/>
  <c r="AB58" i="12" s="1"/>
  <c r="AE58" i="12" a="1"/>
  <c r="AE58" i="12" s="1"/>
  <c r="AH58" i="12" a="1"/>
  <c r="AH58" i="12" s="1"/>
  <c r="AJ58" i="12" a="1"/>
  <c r="AJ58" i="12" s="1"/>
  <c r="G59" i="12" a="1"/>
  <c r="G59" i="12" s="1"/>
  <c r="M59" i="12" a="1"/>
  <c r="M59" i="12" s="1"/>
  <c r="P59" i="12" a="1"/>
  <c r="P59" i="12" s="1"/>
  <c r="Q59" i="12" a="1"/>
  <c r="Q59" i="12" s="1"/>
  <c r="R59" i="12" a="1"/>
  <c r="R59" i="12" s="1"/>
  <c r="S59" i="12" a="1"/>
  <c r="S59" i="12" s="1"/>
  <c r="T59" i="12" a="1"/>
  <c r="T59" i="12" s="1"/>
  <c r="U59" i="12" a="1"/>
  <c r="U59" i="12" s="1"/>
  <c r="W59" i="12" a="1"/>
  <c r="W59" i="12" s="1"/>
  <c r="AB59" i="12" a="1"/>
  <c r="AB59" i="12" s="1"/>
  <c r="AC59" i="12" a="1"/>
  <c r="AC59" i="12" s="1"/>
  <c r="AE59" i="12" a="1"/>
  <c r="AE59" i="12" s="1"/>
  <c r="AG59" i="12" a="1"/>
  <c r="AG59" i="12" s="1"/>
  <c r="AI59" i="12" a="1"/>
  <c r="AI59" i="12" s="1"/>
  <c r="AJ59" i="12" a="1"/>
  <c r="AJ59" i="12" s="1"/>
  <c r="G60" i="12" a="1"/>
  <c r="G60" i="12" s="1"/>
  <c r="M60" i="12" a="1"/>
  <c r="M60" i="12" s="1"/>
  <c r="P60" i="12" a="1"/>
  <c r="P60" i="12" s="1"/>
  <c r="Q60" i="12" a="1"/>
  <c r="Q60" i="12" s="1"/>
  <c r="R60" i="12" a="1"/>
  <c r="R60" i="12" s="1"/>
  <c r="S60" i="12" a="1"/>
  <c r="S60" i="12" s="1"/>
  <c r="T60" i="12" a="1"/>
  <c r="T60" i="12" s="1"/>
  <c r="V60" i="12" a="1"/>
  <c r="V60" i="12" s="1"/>
  <c r="Y60" i="12" a="1"/>
  <c r="Y60" i="12" s="1"/>
  <c r="Z60" i="12" a="1"/>
  <c r="Z60" i="12" s="1"/>
  <c r="AA60" i="12" a="1"/>
  <c r="AA60" i="12" s="1"/>
  <c r="AD60" i="12" a="1"/>
  <c r="AD60" i="12" s="1"/>
  <c r="AF60" i="12" a="1"/>
  <c r="AF60" i="12" s="1"/>
  <c r="AI60" i="12" a="1"/>
  <c r="AI60" i="12" s="1"/>
  <c r="AJ60" i="12" a="1"/>
  <c r="AJ60" i="12" s="1"/>
  <c r="G61" i="12" a="1"/>
  <c r="G61" i="12" s="1"/>
  <c r="M61" i="12" a="1"/>
  <c r="M61" i="12" s="1"/>
  <c r="P61" i="12" a="1"/>
  <c r="P61" i="12" s="1"/>
  <c r="Q61" i="12" a="1"/>
  <c r="Q61" i="12" s="1"/>
  <c r="R61" i="12" a="1"/>
  <c r="R61" i="12" s="1"/>
  <c r="S61" i="12" a="1"/>
  <c r="S61" i="12" s="1"/>
  <c r="T61" i="12" a="1"/>
  <c r="T61" i="12" s="1"/>
  <c r="W61" i="12" a="1"/>
  <c r="W61" i="12" s="1"/>
  <c r="X61" i="12" a="1"/>
  <c r="X61" i="12" s="1"/>
  <c r="Y61" i="12" a="1"/>
  <c r="Y61" i="12" s="1"/>
  <c r="AA61" i="12" a="1"/>
  <c r="AA61" i="12" s="1"/>
  <c r="AC61" i="12" a="1"/>
  <c r="AC61" i="12" s="1"/>
  <c r="AG61" i="12" a="1"/>
  <c r="AG61" i="12" s="1"/>
  <c r="AI61" i="12" a="1"/>
  <c r="AI61" i="12" s="1"/>
  <c r="AJ61" i="12" a="1"/>
  <c r="AJ61" i="12" s="1"/>
  <c r="G62" i="12" a="1"/>
  <c r="G62" i="12" s="1"/>
  <c r="M62" i="12" a="1"/>
  <c r="M62" i="12" s="1"/>
  <c r="P62" i="12" a="1"/>
  <c r="P62" i="12" s="1"/>
  <c r="Q62" i="12" a="1"/>
  <c r="Q62" i="12" s="1"/>
  <c r="R62" i="12" a="1"/>
  <c r="R62" i="12" s="1"/>
  <c r="S62" i="12" a="1"/>
  <c r="S62" i="12" s="1"/>
  <c r="T62" i="12" a="1"/>
  <c r="T62" i="12" s="1"/>
  <c r="V62" i="12" a="1"/>
  <c r="V62" i="12" s="1"/>
  <c r="X62" i="12" a="1"/>
  <c r="X62" i="12" s="1"/>
  <c r="Z62" i="12" a="1"/>
  <c r="Z62" i="12" s="1"/>
  <c r="AD62" i="12" a="1"/>
  <c r="AD62" i="12" s="1"/>
  <c r="AE62" i="12" a="1"/>
  <c r="AE62" i="12" s="1"/>
  <c r="AF62" i="12" a="1"/>
  <c r="AF62" i="12" s="1"/>
  <c r="AJ62" i="12" a="1"/>
  <c r="AJ62" i="12" s="1"/>
  <c r="G63" i="12" a="1"/>
  <c r="G63" i="12" s="1"/>
  <c r="M63" i="12" a="1"/>
  <c r="M63" i="12" s="1"/>
  <c r="P63" i="12" a="1"/>
  <c r="P63" i="12" s="1"/>
  <c r="Q63" i="12" a="1"/>
  <c r="Q63" i="12" s="1"/>
  <c r="R63" i="12" a="1"/>
  <c r="R63" i="12" s="1"/>
  <c r="S63" i="12" a="1"/>
  <c r="S63" i="12" s="1"/>
  <c r="T63" i="12" a="1"/>
  <c r="T63" i="12" s="1"/>
  <c r="U63" i="12" a="1"/>
  <c r="U63" i="12" s="1"/>
  <c r="Z63" i="12" a="1"/>
  <c r="Z63" i="12" s="1"/>
  <c r="AC63" i="12" a="1"/>
  <c r="AC63" i="12" s="1"/>
  <c r="AE63" i="12" a="1"/>
  <c r="AE63" i="12" s="1"/>
  <c r="AG63" i="12" a="1"/>
  <c r="AG63" i="12" s="1"/>
  <c r="AJ63" i="12" a="1"/>
  <c r="AJ63" i="12" s="1"/>
  <c r="G64" i="12" a="1"/>
  <c r="G64" i="12" s="1"/>
  <c r="M64" i="12" a="1"/>
  <c r="M64" i="12" s="1"/>
  <c r="P64" i="12" a="1"/>
  <c r="P64" i="12" s="1"/>
  <c r="Q64" i="12" a="1"/>
  <c r="Q64" i="12" s="1"/>
  <c r="R64" i="12" a="1"/>
  <c r="R64" i="12" s="1"/>
  <c r="S64" i="12" a="1"/>
  <c r="S64" i="12" s="1"/>
  <c r="T64" i="12" a="1"/>
  <c r="T64" i="12" s="1"/>
  <c r="W64" i="12" a="1"/>
  <c r="W64" i="12" s="1"/>
  <c r="X64" i="12" a="1"/>
  <c r="X64" i="12" s="1"/>
  <c r="Z64" i="12" a="1"/>
  <c r="Z64" i="12" s="1"/>
  <c r="AB64" i="12" a="1"/>
  <c r="AB64" i="12" s="1"/>
  <c r="AH64" i="12" a="1"/>
  <c r="AH64" i="12" s="1"/>
  <c r="AJ64" i="12" a="1"/>
  <c r="AJ64" i="12" s="1"/>
  <c r="G65" i="12" a="1"/>
  <c r="G65" i="12" s="1"/>
  <c r="M65" i="12" a="1"/>
  <c r="M65" i="12" s="1"/>
  <c r="P65" i="12" a="1"/>
  <c r="P65" i="12" s="1"/>
  <c r="Q65" i="12" a="1"/>
  <c r="Q65" i="12" s="1"/>
  <c r="R65" i="12" a="1"/>
  <c r="R65" i="12" s="1"/>
  <c r="S65" i="12" a="1"/>
  <c r="S65" i="12" s="1"/>
  <c r="T65" i="12" a="1"/>
  <c r="T65" i="12" s="1"/>
  <c r="V65" i="12" a="1"/>
  <c r="V65" i="12" s="1"/>
  <c r="W65" i="12" a="1"/>
  <c r="W65" i="12" s="1"/>
  <c r="Y65" i="12" a="1"/>
  <c r="Y65" i="12" s="1"/>
  <c r="AA65" i="12" a="1"/>
  <c r="AA65" i="12" s="1"/>
  <c r="AD65" i="12" a="1"/>
  <c r="AD65" i="12" s="1"/>
  <c r="AE65" i="12" a="1"/>
  <c r="AE65" i="12" s="1"/>
  <c r="AF65" i="12" a="1"/>
  <c r="AF65" i="12" s="1"/>
  <c r="AI65" i="12" a="1"/>
  <c r="AI65" i="12" s="1"/>
  <c r="AJ65" i="12" a="1"/>
  <c r="AJ65" i="12" s="1"/>
  <c r="A66" i="12" a="1"/>
  <c r="A66" i="12" s="1"/>
  <c r="B66" i="12" a="1"/>
  <c r="B66" i="12" s="1"/>
  <c r="C66" i="12" a="1"/>
  <c r="C66" i="12" s="1"/>
  <c r="D66" i="12" a="1"/>
  <c r="D66" i="12" s="1"/>
  <c r="E66" i="12" a="1"/>
  <c r="E66" i="12" s="1"/>
  <c r="F66" i="12" a="1"/>
  <c r="F66" i="12" s="1"/>
  <c r="G66" i="12" a="1"/>
  <c r="G66" i="12" s="1"/>
  <c r="H66" i="12" a="1"/>
  <c r="H66" i="12" s="1"/>
  <c r="I66" i="12" a="1"/>
  <c r="I66" i="12" s="1"/>
  <c r="J66" i="12" a="1"/>
  <c r="J66" i="12" s="1"/>
  <c r="K66" i="12" a="1"/>
  <c r="K66" i="12" s="1"/>
  <c r="L66" i="12" a="1"/>
  <c r="L66" i="12" s="1"/>
  <c r="M66" i="12" a="1"/>
  <c r="M66" i="12" s="1"/>
  <c r="N66" i="12" a="1"/>
  <c r="N66" i="12" s="1"/>
  <c r="O66" i="12" a="1"/>
  <c r="O66" i="12" s="1"/>
  <c r="P66" i="12" a="1"/>
  <c r="P66" i="12" s="1"/>
  <c r="Q66" i="12" a="1"/>
  <c r="Q66" i="12" s="1"/>
  <c r="R66" i="12" a="1"/>
  <c r="R66" i="12" s="1"/>
  <c r="S66" i="12" a="1"/>
  <c r="S66" i="12" s="1"/>
  <c r="T66" i="12" a="1"/>
  <c r="T66" i="12" s="1"/>
  <c r="U66" i="12" a="1"/>
  <c r="U66" i="12" s="1"/>
  <c r="V66" i="12" a="1"/>
  <c r="V66" i="12" s="1"/>
  <c r="W66" i="12" a="1"/>
  <c r="W66" i="12" s="1"/>
  <c r="X66" i="12" a="1"/>
  <c r="X66" i="12" s="1"/>
  <c r="Y66" i="12" a="1"/>
  <c r="Y66" i="12" s="1"/>
  <c r="Z66" i="12" a="1"/>
  <c r="Z66" i="12" s="1"/>
  <c r="AA66" i="12" a="1"/>
  <c r="AA66" i="12" s="1"/>
  <c r="AB66" i="12" a="1"/>
  <c r="AB66" i="12" s="1"/>
  <c r="AC66" i="12" a="1"/>
  <c r="AC66" i="12" s="1"/>
  <c r="AD66" i="12" a="1"/>
  <c r="AD66" i="12" s="1"/>
  <c r="AE66" i="12" a="1"/>
  <c r="AE66" i="12" s="1"/>
  <c r="AF66" i="12" a="1"/>
  <c r="AF66" i="12" s="1"/>
  <c r="AG66" i="12" a="1"/>
  <c r="AG66" i="12" s="1"/>
  <c r="AH66" i="12" a="1"/>
  <c r="AH66" i="12" s="1"/>
  <c r="AI66" i="12" a="1"/>
  <c r="AI66" i="12" s="1"/>
  <c r="AJ66" i="12" a="1"/>
  <c r="AJ66" i="12" s="1"/>
  <c r="B67" i="12" a="1"/>
  <c r="B67" i="12" s="1"/>
  <c r="F67" i="12" a="1"/>
  <c r="F67" i="12" s="1"/>
  <c r="G67" i="12" a="1"/>
  <c r="G67" i="12" s="1"/>
  <c r="L67" i="12" a="1"/>
  <c r="L67" i="12" s="1"/>
  <c r="M67" i="12" a="1"/>
  <c r="M67" i="12" s="1"/>
  <c r="N67" i="12" a="1"/>
  <c r="N67" i="12" s="1"/>
  <c r="O67" i="12" a="1"/>
  <c r="O67" i="12" s="1"/>
  <c r="P67" i="12" a="1"/>
  <c r="P67" i="12" s="1"/>
  <c r="Q67" i="12" a="1"/>
  <c r="Q67" i="12" s="1"/>
  <c r="R67" i="12" a="1"/>
  <c r="R67" i="12" s="1"/>
  <c r="S67" i="12" a="1"/>
  <c r="S67" i="12" s="1"/>
  <c r="T67" i="12" a="1"/>
  <c r="T67" i="12" s="1"/>
  <c r="U67" i="12" a="1"/>
  <c r="U67" i="12" s="1"/>
  <c r="V67" i="12" a="1"/>
  <c r="V67" i="12" s="1"/>
  <c r="X67" i="12" a="1"/>
  <c r="X67" i="12" s="1"/>
  <c r="Z67" i="12" a="1"/>
  <c r="Z67" i="12" s="1"/>
  <c r="AA67" i="12" a="1"/>
  <c r="AA67" i="12" s="1"/>
  <c r="AC67" i="12" a="1"/>
  <c r="AC67" i="12" s="1"/>
  <c r="AF67" i="12" a="1"/>
  <c r="AF67" i="12" s="1"/>
  <c r="AG67" i="12" a="1"/>
  <c r="AG67" i="12" s="1"/>
  <c r="AH67" i="12" a="1"/>
  <c r="AH67" i="12" s="1"/>
  <c r="AI67" i="12" a="1"/>
  <c r="AI67" i="12" s="1"/>
  <c r="AJ67" i="12" a="1"/>
  <c r="AJ67" i="12" s="1"/>
  <c r="Q45" i="12" a="1"/>
  <c r="Q45" i="12" s="1"/>
  <c r="R45" i="12" a="1"/>
  <c r="R45" i="12" s="1"/>
  <c r="S45" i="12" a="1"/>
  <c r="S45" i="12" s="1"/>
  <c r="T45" i="12" a="1"/>
  <c r="T45" i="12" s="1"/>
  <c r="W36" i="12"/>
  <c r="AE67" i="12" s="1" a="1"/>
  <c r="AE67" i="12" s="1"/>
  <c r="W30" i="12"/>
  <c r="W35" i="12"/>
  <c r="X35" i="12" s="1"/>
  <c r="AD68" i="12" s="1" a="1"/>
  <c r="AD68" i="12" s="1"/>
  <c r="W29" i="12"/>
  <c r="W34" i="12"/>
  <c r="W28" i="12"/>
  <c r="W67" i="12" s="1" a="1"/>
  <c r="W67" i="12" s="1"/>
  <c r="W33" i="12"/>
  <c r="W27" i="12"/>
  <c r="X8" i="12"/>
  <c r="C68" i="12" s="1" a="1"/>
  <c r="C68" i="12" s="1"/>
  <c r="X10" i="12"/>
  <c r="E68" i="12" s="1" a="1"/>
  <c r="E68" i="12" s="1"/>
  <c r="W14" i="12"/>
  <c r="W8" i="12"/>
  <c r="C67" i="12" s="1" a="1"/>
  <c r="C67" i="12" s="1"/>
  <c r="W16" i="12"/>
  <c r="K67" i="12" s="1" a="1"/>
  <c r="K67" i="12" s="1"/>
  <c r="W10" i="12"/>
  <c r="E67" i="12" s="1" a="1"/>
  <c r="E67" i="12" s="1"/>
  <c r="W15" i="12"/>
  <c r="J67" i="12" s="1" a="1"/>
  <c r="J67" i="12" s="1"/>
  <c r="W9" i="12"/>
  <c r="X9" i="12" s="1"/>
  <c r="D68" i="12" s="1" a="1"/>
  <c r="D68" i="12" s="1"/>
  <c r="W13" i="12"/>
  <c r="H67" i="12" s="1" a="1"/>
  <c r="H67" i="12" s="1"/>
  <c r="I27" i="12"/>
  <c r="J27" i="12"/>
  <c r="V54" i="12" s="1" a="1"/>
  <c r="V54" i="12" s="1"/>
  <c r="K27" i="12"/>
  <c r="L27" i="12"/>
  <c r="V56" i="12" s="1" a="1"/>
  <c r="V56" i="12" s="1"/>
  <c r="M27" i="12"/>
  <c r="V57" i="12" s="1" a="1"/>
  <c r="V57" i="12" s="1"/>
  <c r="N27" i="12"/>
  <c r="O27" i="12"/>
  <c r="V59" i="12" s="1" a="1"/>
  <c r="V59" i="12" s="1"/>
  <c r="P27" i="12"/>
  <c r="Q27" i="12"/>
  <c r="V61" i="12" s="1" a="1"/>
  <c r="V61" i="12" s="1"/>
  <c r="R27" i="12"/>
  <c r="S27" i="12"/>
  <c r="V63" i="12" s="1" a="1"/>
  <c r="V63" i="12" s="1"/>
  <c r="T27" i="12"/>
  <c r="V64" i="12" s="1" a="1"/>
  <c r="V64" i="12" s="1"/>
  <c r="U27" i="12"/>
  <c r="I28" i="12"/>
  <c r="W53" i="12" s="1" a="1"/>
  <c r="W53" i="12" s="1"/>
  <c r="J28" i="12"/>
  <c r="K28" i="12"/>
  <c r="L28" i="12"/>
  <c r="W56" i="12" s="1" a="1"/>
  <c r="W56" i="12" s="1"/>
  <c r="M28" i="12"/>
  <c r="W57" i="12" s="1" a="1"/>
  <c r="W57" i="12" s="1"/>
  <c r="N28" i="12"/>
  <c r="W58" i="12" s="1" a="1"/>
  <c r="W58" i="12" s="1"/>
  <c r="O28" i="12"/>
  <c r="P28" i="12"/>
  <c r="W60" i="12" s="1" a="1"/>
  <c r="W60" i="12" s="1"/>
  <c r="Q28" i="12"/>
  <c r="R28" i="12"/>
  <c r="W62" i="12" s="1" a="1"/>
  <c r="W62" i="12" s="1"/>
  <c r="S28" i="12"/>
  <c r="W63" i="12" s="1" a="1"/>
  <c r="W63" i="12" s="1"/>
  <c r="T28" i="12"/>
  <c r="U28" i="12"/>
  <c r="I29" i="12"/>
  <c r="J29" i="12"/>
  <c r="K29" i="12"/>
  <c r="X55" i="12" s="1" a="1"/>
  <c r="X55" i="12" s="1"/>
  <c r="L29" i="12"/>
  <c r="M29" i="12"/>
  <c r="X57" i="12" s="1" a="1"/>
  <c r="X57" i="12" s="1"/>
  <c r="N29" i="12"/>
  <c r="O29" i="12"/>
  <c r="X59" i="12" s="1" a="1"/>
  <c r="X59" i="12" s="1"/>
  <c r="P29" i="12"/>
  <c r="X60" i="12" s="1" a="1"/>
  <c r="X60" i="12" s="1"/>
  <c r="Q29" i="12"/>
  <c r="R29" i="12"/>
  <c r="S29" i="12"/>
  <c r="X63" i="12" s="1" a="1"/>
  <c r="X63" i="12" s="1"/>
  <c r="T29" i="12"/>
  <c r="U29" i="12"/>
  <c r="X65" i="12" s="1" a="1"/>
  <c r="X65" i="12" s="1"/>
  <c r="I30" i="12"/>
  <c r="Y53" i="12" s="1" a="1"/>
  <c r="Y53" i="12" s="1"/>
  <c r="J30" i="12"/>
  <c r="Y54" i="12" s="1" a="1"/>
  <c r="Y54" i="12" s="1"/>
  <c r="K30" i="12"/>
  <c r="L30" i="12"/>
  <c r="Y56" i="12" s="1" a="1"/>
  <c r="Y56" i="12" s="1"/>
  <c r="M30" i="12"/>
  <c r="N30" i="12"/>
  <c r="Y58" i="12" s="1" a="1"/>
  <c r="Y58" i="12" s="1"/>
  <c r="O30" i="12"/>
  <c r="Y59" i="12" s="1" a="1"/>
  <c r="Y59" i="12" s="1"/>
  <c r="P30" i="12"/>
  <c r="Q30" i="12"/>
  <c r="R30" i="12"/>
  <c r="Y62" i="12" s="1" a="1"/>
  <c r="Y62" i="12" s="1"/>
  <c r="S30" i="12"/>
  <c r="Y63" i="12" s="1" a="1"/>
  <c r="Y63" i="12" s="1"/>
  <c r="T30" i="12"/>
  <c r="Y64" i="12" s="1" a="1"/>
  <c r="Y64" i="12" s="1"/>
  <c r="U30" i="12"/>
  <c r="I31" i="12"/>
  <c r="Z53" i="12" s="1" a="1"/>
  <c r="Z53" i="12" s="1"/>
  <c r="J31" i="12"/>
  <c r="K31" i="12"/>
  <c r="Z55" i="12" s="1" a="1"/>
  <c r="Z55" i="12" s="1"/>
  <c r="L31" i="12"/>
  <c r="Z56" i="12" s="1" a="1"/>
  <c r="Z56" i="12" s="1"/>
  <c r="M31" i="12"/>
  <c r="N31" i="12"/>
  <c r="O31" i="12"/>
  <c r="Z59" i="12" s="1" a="1"/>
  <c r="Z59" i="12" s="1"/>
  <c r="P31" i="12"/>
  <c r="Q31" i="12"/>
  <c r="Z61" i="12" s="1" a="1"/>
  <c r="Z61" i="12" s="1"/>
  <c r="R31" i="12"/>
  <c r="S31" i="12"/>
  <c r="T31" i="12"/>
  <c r="U31" i="12"/>
  <c r="Z65" i="12" s="1" a="1"/>
  <c r="Z65" i="12" s="1"/>
  <c r="I32" i="12"/>
  <c r="AA53" i="12" s="1" a="1"/>
  <c r="AA53" i="12" s="1"/>
  <c r="J32" i="12"/>
  <c r="AA54" i="12" s="1" a="1"/>
  <c r="AA54" i="12" s="1"/>
  <c r="K32" i="12"/>
  <c r="L32" i="12"/>
  <c r="AA56" i="12" s="1" a="1"/>
  <c r="AA56" i="12" s="1"/>
  <c r="M32" i="12"/>
  <c r="N32" i="12"/>
  <c r="AA58" i="12" s="1" a="1"/>
  <c r="AA58" i="12" s="1"/>
  <c r="O32" i="12"/>
  <c r="AA59" i="12" s="1" a="1"/>
  <c r="AA59" i="12" s="1"/>
  <c r="P32" i="12"/>
  <c r="Q32" i="12"/>
  <c r="R32" i="12"/>
  <c r="AA62" i="12" s="1" a="1"/>
  <c r="AA62" i="12" s="1"/>
  <c r="S32" i="12"/>
  <c r="AA63" i="12" s="1" a="1"/>
  <c r="AA63" i="12" s="1"/>
  <c r="T32" i="12"/>
  <c r="AA64" i="12" s="1" a="1"/>
  <c r="AA64" i="12" s="1"/>
  <c r="U32" i="12"/>
  <c r="I33" i="12"/>
  <c r="AB53" i="12" s="1" a="1"/>
  <c r="AB53" i="12" s="1"/>
  <c r="J33" i="12"/>
  <c r="K33" i="12"/>
  <c r="AB55" i="12" s="1" a="1"/>
  <c r="AB55" i="12" s="1"/>
  <c r="L33" i="12"/>
  <c r="M33" i="12"/>
  <c r="AB57" i="12" s="1" a="1"/>
  <c r="AB57" i="12" s="1"/>
  <c r="N33" i="12"/>
  <c r="O33" i="12"/>
  <c r="P33" i="12"/>
  <c r="AB60" i="12" s="1" a="1"/>
  <c r="AB60" i="12" s="1"/>
  <c r="Q33" i="12"/>
  <c r="AB61" i="12" s="1" a="1"/>
  <c r="AB61" i="12" s="1"/>
  <c r="R33" i="12"/>
  <c r="AB62" i="12" s="1" a="1"/>
  <c r="AB62" i="12" s="1"/>
  <c r="S33" i="12"/>
  <c r="AB63" i="12" s="1" a="1"/>
  <c r="AB63" i="12" s="1"/>
  <c r="T33" i="12"/>
  <c r="U33" i="12"/>
  <c r="AB65" i="12" s="1" a="1"/>
  <c r="AB65" i="12" s="1"/>
  <c r="I34" i="12"/>
  <c r="J34" i="12"/>
  <c r="AC54" i="12" s="1" a="1"/>
  <c r="AC54" i="12" s="1"/>
  <c r="K34" i="12"/>
  <c r="AC55" i="12" s="1" a="1"/>
  <c r="AC55" i="12" s="1"/>
  <c r="L34" i="12"/>
  <c r="M34" i="12"/>
  <c r="AC57" i="12" s="1" a="1"/>
  <c r="AC57" i="12" s="1"/>
  <c r="N34" i="12"/>
  <c r="AC58" i="12" s="1" a="1"/>
  <c r="AC58" i="12" s="1"/>
  <c r="O34" i="12"/>
  <c r="P34" i="12"/>
  <c r="AC60" i="12" s="1" a="1"/>
  <c r="AC60" i="12" s="1"/>
  <c r="Q34" i="12"/>
  <c r="R34" i="12"/>
  <c r="AC62" i="12" s="1" a="1"/>
  <c r="AC62" i="12" s="1"/>
  <c r="S34" i="12"/>
  <c r="T34" i="12"/>
  <c r="AC64" i="12" s="1" a="1"/>
  <c r="AC64" i="12" s="1"/>
  <c r="U34" i="12"/>
  <c r="AC65" i="12" s="1" a="1"/>
  <c r="AC65" i="12" s="1"/>
  <c r="I35" i="12"/>
  <c r="AD53" i="12" s="1" a="1"/>
  <c r="AD53" i="12" s="1"/>
  <c r="J35" i="12"/>
  <c r="AD54" i="12" s="1" a="1"/>
  <c r="AD54" i="12" s="1"/>
  <c r="K35" i="12"/>
  <c r="L35" i="12"/>
  <c r="M35" i="12"/>
  <c r="AD57" i="12" s="1" a="1"/>
  <c r="AD57" i="12" s="1"/>
  <c r="N35" i="12"/>
  <c r="AD58" i="12" s="1" a="1"/>
  <c r="AD58" i="12" s="1"/>
  <c r="O35" i="12"/>
  <c r="AD59" i="12" s="1" a="1"/>
  <c r="AD59" i="12" s="1"/>
  <c r="P35" i="12"/>
  <c r="Q35" i="12"/>
  <c r="AD61" i="12" s="1" a="1"/>
  <c r="AD61" i="12" s="1"/>
  <c r="R35" i="12"/>
  <c r="S35" i="12"/>
  <c r="AD63" i="12" s="1" a="1"/>
  <c r="AD63" i="12" s="1"/>
  <c r="T35" i="12"/>
  <c r="AD64" i="12" s="1" a="1"/>
  <c r="AD64" i="12" s="1"/>
  <c r="U35" i="12"/>
  <c r="I36" i="12"/>
  <c r="AE53" i="12" s="1" a="1"/>
  <c r="AE53" i="12" s="1"/>
  <c r="J36" i="12"/>
  <c r="AE54" i="12" s="1" a="1"/>
  <c r="AE54" i="12" s="1"/>
  <c r="K36" i="12"/>
  <c r="L36" i="12"/>
  <c r="AE56" i="12" s="1" a="1"/>
  <c r="AE56" i="12" s="1"/>
  <c r="M36" i="12"/>
  <c r="N36" i="12"/>
  <c r="O36" i="12"/>
  <c r="P36" i="12"/>
  <c r="AE60" i="12" s="1" a="1"/>
  <c r="AE60" i="12" s="1"/>
  <c r="Q36" i="12"/>
  <c r="AE61" i="12" s="1" a="1"/>
  <c r="AE61" i="12" s="1"/>
  <c r="R36" i="12"/>
  <c r="S36" i="12"/>
  <c r="T36" i="12"/>
  <c r="AE64" i="12" s="1" a="1"/>
  <c r="AE64" i="12" s="1"/>
  <c r="U36" i="12"/>
  <c r="I37" i="12"/>
  <c r="AF53" i="12" s="1" a="1"/>
  <c r="AF53" i="12" s="1"/>
  <c r="J37" i="12"/>
  <c r="AF54" i="12" s="1" a="1"/>
  <c r="AF54" i="12" s="1"/>
  <c r="K37" i="12"/>
  <c r="L37" i="12"/>
  <c r="M37" i="12"/>
  <c r="AF57" i="12" s="1" a="1"/>
  <c r="AF57" i="12" s="1"/>
  <c r="N37" i="12"/>
  <c r="AF58" i="12" s="1" a="1"/>
  <c r="AF58" i="12" s="1"/>
  <c r="O37" i="12"/>
  <c r="AF59" i="12" s="1" a="1"/>
  <c r="AF59" i="12" s="1"/>
  <c r="P37" i="12"/>
  <c r="Q37" i="12"/>
  <c r="AF61" i="12" s="1" a="1"/>
  <c r="AF61" i="12" s="1"/>
  <c r="R37" i="12"/>
  <c r="S37" i="12"/>
  <c r="AF63" i="12" s="1" a="1"/>
  <c r="AF63" i="12" s="1"/>
  <c r="T37" i="12"/>
  <c r="AF64" i="12" s="1" a="1"/>
  <c r="AF64" i="12" s="1"/>
  <c r="U37" i="12"/>
  <c r="I38" i="12"/>
  <c r="AG53" i="12" s="1" a="1"/>
  <c r="AG53" i="12" s="1"/>
  <c r="J38" i="12"/>
  <c r="AG54" i="12" s="1" a="1"/>
  <c r="AG54" i="12" s="1"/>
  <c r="K38" i="12"/>
  <c r="AG55" i="12" s="1" a="1"/>
  <c r="AG55" i="12" s="1"/>
  <c r="L38" i="12"/>
  <c r="AG56" i="12" s="1" a="1"/>
  <c r="AG56" i="12" s="1"/>
  <c r="M38" i="12"/>
  <c r="AG57" i="12" s="1" a="1"/>
  <c r="AG57" i="12" s="1"/>
  <c r="N38" i="12"/>
  <c r="AG58" i="12" s="1" a="1"/>
  <c r="AG58" i="12" s="1"/>
  <c r="O38" i="12"/>
  <c r="P38" i="12"/>
  <c r="AG60" i="12" s="1" a="1"/>
  <c r="AG60" i="12" s="1"/>
  <c r="Q38" i="12"/>
  <c r="R38" i="12"/>
  <c r="AG62" i="12" s="1" a="1"/>
  <c r="AG62" i="12" s="1"/>
  <c r="S38" i="12"/>
  <c r="T38" i="12"/>
  <c r="AG64" i="12" s="1" a="1"/>
  <c r="AG64" i="12" s="1"/>
  <c r="U38" i="12"/>
  <c r="AG65" i="12" s="1" a="1"/>
  <c r="AG65" i="12" s="1"/>
  <c r="I39" i="12"/>
  <c r="J39" i="12"/>
  <c r="K39" i="12"/>
  <c r="AH55" i="12" s="1" a="1"/>
  <c r="AH55" i="12" s="1"/>
  <c r="L39" i="12"/>
  <c r="M39" i="12"/>
  <c r="AH57" i="12" s="1" a="1"/>
  <c r="AH57" i="12" s="1"/>
  <c r="N39" i="12"/>
  <c r="O39" i="12"/>
  <c r="AH59" i="12" s="1" a="1"/>
  <c r="AH59" i="12" s="1"/>
  <c r="P39" i="12"/>
  <c r="AH60" i="12" s="1" a="1"/>
  <c r="AH60" i="12" s="1"/>
  <c r="Q39" i="12"/>
  <c r="AH61" i="12" s="1" a="1"/>
  <c r="AH61" i="12" s="1"/>
  <c r="R39" i="12"/>
  <c r="AH62" i="12" s="1" a="1"/>
  <c r="AH62" i="12" s="1"/>
  <c r="S39" i="12"/>
  <c r="AH63" i="12" s="1" a="1"/>
  <c r="AH63" i="12" s="1"/>
  <c r="T39" i="12"/>
  <c r="U39" i="12"/>
  <c r="AH65" i="12" s="1" a="1"/>
  <c r="AH65" i="12" s="1"/>
  <c r="I40" i="12"/>
  <c r="AI53" i="12" s="1" a="1"/>
  <c r="AI53" i="12" s="1"/>
  <c r="J40" i="12"/>
  <c r="AI54" i="12" s="1" a="1"/>
  <c r="AI54" i="12" s="1"/>
  <c r="K40" i="12"/>
  <c r="L40" i="12"/>
  <c r="AI56" i="12" s="1" a="1"/>
  <c r="AI56" i="12" s="1"/>
  <c r="M40" i="12"/>
  <c r="N40" i="12"/>
  <c r="AI58" i="12" s="1" a="1"/>
  <c r="AI58" i="12" s="1"/>
  <c r="O40" i="12"/>
  <c r="P40" i="12"/>
  <c r="Q40" i="12"/>
  <c r="R40" i="12"/>
  <c r="AI62" i="12" s="1" a="1"/>
  <c r="AI62" i="12" s="1"/>
  <c r="S40" i="12"/>
  <c r="AI63" i="12" s="1" a="1"/>
  <c r="AI63" i="12" s="1"/>
  <c r="T40" i="12"/>
  <c r="AI64" i="12" s="1" a="1"/>
  <c r="AI64" i="12" s="1"/>
  <c r="U40" i="12"/>
  <c r="J26" i="12"/>
  <c r="K26" i="12"/>
  <c r="U55" i="12" s="1" a="1"/>
  <c r="U55" i="12" s="1"/>
  <c r="L26" i="12"/>
  <c r="U56" i="12" s="1" a="1"/>
  <c r="U56" i="12" s="1"/>
  <c r="M26" i="12"/>
  <c r="N26" i="12"/>
  <c r="U58" i="12" s="1" a="1"/>
  <c r="U58" i="12" s="1"/>
  <c r="O26" i="12"/>
  <c r="P26" i="12"/>
  <c r="U60" i="12" s="1" a="1"/>
  <c r="U60" i="12" s="1"/>
  <c r="Q26" i="12"/>
  <c r="U61" i="12" s="1" a="1"/>
  <c r="U61" i="12" s="1"/>
  <c r="R26" i="12"/>
  <c r="U62" i="12" s="1" a="1"/>
  <c r="U62" i="12" s="1"/>
  <c r="S26" i="12"/>
  <c r="T26" i="12"/>
  <c r="U64" i="12" s="1" a="1"/>
  <c r="U64" i="12" s="1"/>
  <c r="U26" i="12"/>
  <c r="U65" i="12" s="1" a="1"/>
  <c r="U65" i="12" s="1"/>
  <c r="I26" i="12"/>
  <c r="U53" i="12" s="1" a="1"/>
  <c r="U53" i="12" s="1"/>
  <c r="X7" i="12" l="1"/>
  <c r="B68" i="12" s="1" a="1"/>
  <c r="B68" i="12" s="1"/>
  <c r="X13" i="12"/>
  <c r="H68" i="12" s="1" a="1"/>
  <c r="H68" i="12" s="1"/>
  <c r="Y67" i="12" a="1"/>
  <c r="Y67" i="12" s="1"/>
  <c r="X30" i="12"/>
  <c r="Y68" i="12" s="1" a="1"/>
  <c r="Y68" i="12" s="1"/>
  <c r="E86" i="12" s="1"/>
  <c r="Q97" i="11" s="1"/>
  <c r="V98" i="11" s="1" a="1"/>
  <c r="V98" i="11" s="1"/>
  <c r="X28" i="12"/>
  <c r="W68" i="12" s="1" a="1"/>
  <c r="W68" i="12" s="1"/>
  <c r="C86" i="12" s="1"/>
  <c r="O97" i="11" s="1"/>
  <c r="V96" i="11" s="1" a="1"/>
  <c r="V96" i="11" s="1"/>
  <c r="X14" i="12"/>
  <c r="I68" i="12" s="1" a="1"/>
  <c r="I68" i="12" s="1"/>
  <c r="K86" i="12" s="1"/>
  <c r="O101" i="11" s="1"/>
  <c r="Z96" i="11" s="1" a="1"/>
  <c r="Z96" i="11" s="1"/>
  <c r="X29" i="12"/>
  <c r="X68" i="12" s="1" a="1"/>
  <c r="X68" i="12" s="1"/>
  <c r="D86" i="12" s="1"/>
  <c r="P97" i="11" s="1"/>
  <c r="V97" i="11" s="1" a="1"/>
  <c r="V97" i="11" s="1"/>
  <c r="D67" i="12" a="1"/>
  <c r="D67" i="12" s="1"/>
  <c r="X16" i="12"/>
  <c r="K68" i="12" s="1" a="1"/>
  <c r="K68" i="12" s="1"/>
  <c r="X36" i="12"/>
  <c r="AE68" i="12" s="1" a="1"/>
  <c r="AE68" i="12" s="1"/>
  <c r="X33" i="12"/>
  <c r="AB68" i="12" s="1" a="1"/>
  <c r="AB68" i="12" s="1"/>
  <c r="AB67" i="12" a="1"/>
  <c r="AB67" i="12" s="1"/>
  <c r="X34" i="12"/>
  <c r="AC68" i="12" s="1" a="1"/>
  <c r="AC68" i="12" s="1"/>
  <c r="I67" i="12" a="1"/>
  <c r="I67" i="12" s="1"/>
  <c r="X27" i="12"/>
  <c r="V68" i="12" s="1" a="1"/>
  <c r="V68" i="12" s="1"/>
  <c r="X15" i="12"/>
  <c r="J68" i="12" s="1" a="1"/>
  <c r="J68" i="12" s="1"/>
  <c r="AD67" i="12" a="1"/>
  <c r="AD67" i="12" s="1"/>
  <c r="B86" i="12"/>
  <c r="N97" i="11" s="1"/>
  <c r="V95" i="11" s="1" a="1"/>
  <c r="V95" i="11" s="1"/>
  <c r="L86" i="12"/>
  <c r="P101" i="11" s="1"/>
  <c r="Z97" i="11" s="1" a="1"/>
  <c r="Z97" i="11" s="1"/>
  <c r="J86" i="12" l="1"/>
  <c r="N101" i="11" s="1"/>
  <c r="Z95" i="11" s="1" a="1"/>
  <c r="Z95" i="11" s="1"/>
  <c r="M86" i="12"/>
  <c r="Q101" i="11" s="1"/>
  <c r="Z98" i="11" s="1" a="1"/>
  <c r="Z98" i="11" s="1"/>
  <c r="G34" i="12"/>
  <c r="AC51" i="12" s="1" a="1"/>
  <c r="AC51" i="12" s="1"/>
  <c r="A39" i="12"/>
  <c r="AH45" i="12" s="1" a="1"/>
  <c r="AH45" i="12" s="1"/>
  <c r="B39" i="12"/>
  <c r="AH46" i="12" s="1" a="1"/>
  <c r="AH46" i="12" s="1"/>
  <c r="C39" i="12"/>
  <c r="AH47" i="12" s="1" a="1"/>
  <c r="AH47" i="12" s="1"/>
  <c r="D39" i="12"/>
  <c r="AH48" i="12" s="1" a="1"/>
  <c r="AH48" i="12" s="1"/>
  <c r="E39" i="12"/>
  <c r="AH49" i="12" s="1" a="1"/>
  <c r="AH49" i="12" s="1"/>
  <c r="A40" i="12"/>
  <c r="AI45" i="12" s="1" a="1"/>
  <c r="AI45" i="12" s="1"/>
  <c r="B40" i="12"/>
  <c r="AI46" i="12" s="1" a="1"/>
  <c r="AI46" i="12" s="1"/>
  <c r="C40" i="12"/>
  <c r="AI47" i="12" s="1" a="1"/>
  <c r="AI47" i="12" s="1"/>
  <c r="D40" i="12"/>
  <c r="AI48" i="12" s="1" a="1"/>
  <c r="AI48" i="12" s="1"/>
  <c r="E40" i="12"/>
  <c r="AI49" i="12" s="1" a="1"/>
  <c r="AI49" i="12" s="1"/>
  <c r="A41" i="12"/>
  <c r="AJ45" i="12" s="1" a="1"/>
  <c r="AJ45" i="12" s="1"/>
  <c r="B41" i="12"/>
  <c r="AJ46" i="12" s="1" a="1"/>
  <c r="AJ46" i="12" s="1"/>
  <c r="C41" i="12"/>
  <c r="AJ47" i="12" s="1" a="1"/>
  <c r="AJ47" i="12" s="1"/>
  <c r="D41" i="12"/>
  <c r="AJ48" i="12" s="1" a="1"/>
  <c r="AJ48" i="12" s="1"/>
  <c r="E41" i="12"/>
  <c r="AJ49" i="12" s="1" a="1"/>
  <c r="AJ49" i="12" s="1"/>
  <c r="A27" i="12"/>
  <c r="V45" i="12" s="1" a="1"/>
  <c r="V45" i="12" s="1"/>
  <c r="B27" i="12"/>
  <c r="V46" i="12" s="1" a="1"/>
  <c r="V46" i="12" s="1"/>
  <c r="C27" i="12"/>
  <c r="V47" i="12" s="1" a="1"/>
  <c r="V47" i="12" s="1"/>
  <c r="D27" i="12"/>
  <c r="V48" i="12" s="1" a="1"/>
  <c r="V48" i="12" s="1"/>
  <c r="E27" i="12"/>
  <c r="V49" i="12" s="1" a="1"/>
  <c r="V49" i="12" s="1"/>
  <c r="A28" i="12"/>
  <c r="W45" i="12" s="1" a="1"/>
  <c r="W45" i="12" s="1"/>
  <c r="B28" i="12"/>
  <c r="W46" i="12" s="1" a="1"/>
  <c r="W46" i="12" s="1"/>
  <c r="C28" i="12"/>
  <c r="W47" i="12" s="1" a="1"/>
  <c r="W47" i="12" s="1"/>
  <c r="D28" i="12"/>
  <c r="W48" i="12" s="1" a="1"/>
  <c r="W48" i="12" s="1"/>
  <c r="E28" i="12"/>
  <c r="W49" i="12" s="1" a="1"/>
  <c r="W49" i="12" s="1"/>
  <c r="A29" i="12"/>
  <c r="X45" i="12" s="1" a="1"/>
  <c r="X45" i="12" s="1"/>
  <c r="B29" i="12"/>
  <c r="X46" i="12" s="1" a="1"/>
  <c r="X46" i="12" s="1"/>
  <c r="C29" i="12"/>
  <c r="X47" i="12" s="1" a="1"/>
  <c r="X47" i="12" s="1"/>
  <c r="D29" i="12"/>
  <c r="X48" i="12" s="1" a="1"/>
  <c r="X48" i="12" s="1"/>
  <c r="E29" i="12"/>
  <c r="X49" i="12" s="1" a="1"/>
  <c r="X49" i="12" s="1"/>
  <c r="A30" i="12"/>
  <c r="Y45" i="12" s="1" a="1"/>
  <c r="Y45" i="12" s="1"/>
  <c r="B30" i="12"/>
  <c r="Y46" i="12" s="1" a="1"/>
  <c r="Y46" i="12" s="1"/>
  <c r="C30" i="12"/>
  <c r="Y47" i="12" s="1" a="1"/>
  <c r="Y47" i="12" s="1"/>
  <c r="D30" i="12"/>
  <c r="Y48" i="12" s="1" a="1"/>
  <c r="Y48" i="12" s="1"/>
  <c r="E30" i="12"/>
  <c r="Y49" i="12" s="1" a="1"/>
  <c r="Y49" i="12" s="1"/>
  <c r="A31" i="12"/>
  <c r="Z45" i="12" s="1" a="1"/>
  <c r="Z45" i="12" s="1"/>
  <c r="B31" i="12"/>
  <c r="Z46" i="12" s="1" a="1"/>
  <c r="Z46" i="12" s="1"/>
  <c r="C31" i="12"/>
  <c r="Z47" i="12" s="1" a="1"/>
  <c r="Z47" i="12" s="1"/>
  <c r="D31" i="12"/>
  <c r="Z48" i="12" s="1" a="1"/>
  <c r="Z48" i="12" s="1"/>
  <c r="E31" i="12"/>
  <c r="Z49" i="12" s="1" a="1"/>
  <c r="Z49" i="12" s="1"/>
  <c r="A32" i="12"/>
  <c r="AA45" i="12" s="1" a="1"/>
  <c r="AA45" i="12" s="1"/>
  <c r="B32" i="12"/>
  <c r="AA46" i="12" s="1" a="1"/>
  <c r="AA46" i="12" s="1"/>
  <c r="C32" i="12"/>
  <c r="AA47" i="12" s="1" a="1"/>
  <c r="AA47" i="12" s="1"/>
  <c r="D32" i="12"/>
  <c r="AA48" i="12" s="1" a="1"/>
  <c r="AA48" i="12" s="1"/>
  <c r="E32" i="12"/>
  <c r="AA49" i="12" s="1" a="1"/>
  <c r="AA49" i="12" s="1"/>
  <c r="A33" i="12"/>
  <c r="AB45" i="12" s="1" a="1"/>
  <c r="AB45" i="12" s="1"/>
  <c r="B33" i="12"/>
  <c r="AB46" i="12" s="1" a="1"/>
  <c r="AB46" i="12" s="1"/>
  <c r="C33" i="12"/>
  <c r="AB47" i="12" s="1" a="1"/>
  <c r="AB47" i="12" s="1"/>
  <c r="D33" i="12"/>
  <c r="AB48" i="12" s="1" a="1"/>
  <c r="AB48" i="12" s="1"/>
  <c r="E33" i="12"/>
  <c r="AB49" i="12" s="1" a="1"/>
  <c r="AB49" i="12" s="1"/>
  <c r="A34" i="12"/>
  <c r="AC45" i="12" s="1" a="1"/>
  <c r="AC45" i="12" s="1"/>
  <c r="B34" i="12"/>
  <c r="AC46" i="12" s="1" a="1"/>
  <c r="AC46" i="12" s="1"/>
  <c r="C34" i="12"/>
  <c r="AC47" i="12" s="1" a="1"/>
  <c r="AC47" i="12" s="1"/>
  <c r="D34" i="12"/>
  <c r="AC48" i="12" s="1" a="1"/>
  <c r="AC48" i="12" s="1"/>
  <c r="E34" i="12"/>
  <c r="AC49" i="12" s="1" a="1"/>
  <c r="AC49" i="12" s="1"/>
  <c r="A35" i="12"/>
  <c r="AD45" i="12" s="1" a="1"/>
  <c r="AD45" i="12" s="1"/>
  <c r="B35" i="12"/>
  <c r="AD46" i="12" s="1" a="1"/>
  <c r="AD46" i="12" s="1"/>
  <c r="C35" i="12"/>
  <c r="AD47" i="12" s="1" a="1"/>
  <c r="AD47" i="12" s="1"/>
  <c r="D35" i="12"/>
  <c r="AD48" i="12" s="1" a="1"/>
  <c r="AD48" i="12" s="1"/>
  <c r="E35" i="12"/>
  <c r="AD49" i="12" s="1" a="1"/>
  <c r="AD49" i="12" s="1"/>
  <c r="A36" i="12"/>
  <c r="AE45" i="12" s="1" a="1"/>
  <c r="AE45" i="12" s="1"/>
  <c r="B36" i="12"/>
  <c r="AE46" i="12" s="1" a="1"/>
  <c r="AE46" i="12" s="1"/>
  <c r="C36" i="12"/>
  <c r="AE47" i="12" s="1" a="1"/>
  <c r="AE47" i="12" s="1"/>
  <c r="D36" i="12"/>
  <c r="AE48" i="12" s="1" a="1"/>
  <c r="AE48" i="12" s="1"/>
  <c r="E36" i="12"/>
  <c r="AE49" i="12" s="1" a="1"/>
  <c r="AE49" i="12" s="1"/>
  <c r="A37" i="12"/>
  <c r="AF45" i="12" s="1" a="1"/>
  <c r="AF45" i="12" s="1"/>
  <c r="B37" i="12"/>
  <c r="AF46" i="12" s="1" a="1"/>
  <c r="AF46" i="12" s="1"/>
  <c r="C37" i="12"/>
  <c r="AF47" i="12" s="1" a="1"/>
  <c r="AF47" i="12" s="1"/>
  <c r="D37" i="12"/>
  <c r="AF48" i="12" s="1" a="1"/>
  <c r="AF48" i="12" s="1"/>
  <c r="E37" i="12"/>
  <c r="AF49" i="12" s="1" a="1"/>
  <c r="AF49" i="12" s="1"/>
  <c r="A38" i="12"/>
  <c r="AG45" i="12" s="1" a="1"/>
  <c r="AG45" i="12" s="1"/>
  <c r="B38" i="12"/>
  <c r="AG46" i="12" s="1" a="1"/>
  <c r="AG46" i="12" s="1"/>
  <c r="C38" i="12"/>
  <c r="AG47" i="12" s="1" a="1"/>
  <c r="AG47" i="12" s="1"/>
  <c r="D38" i="12"/>
  <c r="AG48" i="12" s="1" a="1"/>
  <c r="AG48" i="12" s="1"/>
  <c r="E38" i="12"/>
  <c r="AG49" i="12" s="1" a="1"/>
  <c r="AG49" i="12" s="1"/>
  <c r="B26" i="12"/>
  <c r="U46" i="12" s="1" a="1"/>
  <c r="U46" i="12" s="1"/>
  <c r="C26" i="12"/>
  <c r="U47" i="12" s="1" a="1"/>
  <c r="U47" i="12" s="1"/>
  <c r="D26" i="12"/>
  <c r="U48" i="12" s="1" a="1"/>
  <c r="U48" i="12" s="1"/>
  <c r="E26" i="12"/>
  <c r="U49" i="12" s="1" a="1"/>
  <c r="U49" i="12" s="1"/>
  <c r="A26" i="12"/>
  <c r="U45" i="12" s="1" a="1"/>
  <c r="U45" i="12" s="1"/>
  <c r="I5" i="6" l="1"/>
  <c r="J5" i="6"/>
  <c r="K5" i="6"/>
  <c r="L5" i="6"/>
  <c r="M5" i="6"/>
  <c r="N5" i="6"/>
  <c r="O5" i="6"/>
  <c r="P5" i="6"/>
  <c r="Q5" i="6"/>
  <c r="R5" i="6"/>
  <c r="S5" i="6"/>
  <c r="T5" i="6"/>
  <c r="U5" i="6"/>
  <c r="I6" i="6"/>
  <c r="J6" i="6"/>
  <c r="K6" i="6"/>
  <c r="L6" i="6"/>
  <c r="M6" i="6"/>
  <c r="N6" i="6"/>
  <c r="O6" i="6"/>
  <c r="P6" i="6"/>
  <c r="Q6" i="6"/>
  <c r="R6" i="6"/>
  <c r="S6" i="6"/>
  <c r="T6" i="6"/>
  <c r="U6" i="6"/>
  <c r="I7" i="6"/>
  <c r="J7" i="6"/>
  <c r="K7" i="6"/>
  <c r="L7" i="6"/>
  <c r="M7" i="6"/>
  <c r="N7" i="6"/>
  <c r="O7" i="6"/>
  <c r="P7" i="6"/>
  <c r="Q7" i="6"/>
  <c r="R7" i="6"/>
  <c r="S7" i="6"/>
  <c r="T7" i="6"/>
  <c r="U7" i="6"/>
  <c r="I8" i="6"/>
  <c r="J8" i="6"/>
  <c r="K8" i="6"/>
  <c r="L8" i="6"/>
  <c r="M8" i="6"/>
  <c r="N8" i="6"/>
  <c r="O8" i="6"/>
  <c r="P8" i="6"/>
  <c r="Q8" i="6"/>
  <c r="R8" i="6"/>
  <c r="S8" i="6"/>
  <c r="T8" i="6"/>
  <c r="U8" i="6"/>
  <c r="I9" i="6"/>
  <c r="J9" i="6"/>
  <c r="K9" i="6"/>
  <c r="L9" i="6"/>
  <c r="M9" i="6"/>
  <c r="N9" i="6"/>
  <c r="O9" i="6"/>
  <c r="P9" i="6"/>
  <c r="Q9" i="6"/>
  <c r="R9" i="6"/>
  <c r="S9" i="6"/>
  <c r="T9" i="6"/>
  <c r="U9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J4" i="6"/>
  <c r="K4" i="6"/>
  <c r="L4" i="6"/>
  <c r="M4" i="6"/>
  <c r="N4" i="6"/>
  <c r="O4" i="6"/>
  <c r="P4" i="6"/>
  <c r="Q4" i="6"/>
  <c r="R4" i="6"/>
  <c r="S4" i="6"/>
  <c r="T4" i="6"/>
  <c r="U4" i="6"/>
  <c r="I4" i="6"/>
  <c r="C5" i="6"/>
  <c r="C2" i="11" s="1"/>
  <c r="G5" i="6" l="1"/>
  <c r="G27" i="12" s="1"/>
  <c r="V51" i="12" s="1" a="1"/>
  <c r="V51" i="12" s="1"/>
  <c r="G7" i="12" l="1"/>
  <c r="B51" i="12" s="1" a="1"/>
  <c r="B51" i="12" s="1"/>
  <c r="B79" i="12" s="1"/>
  <c r="C97" i="11" s="1"/>
  <c r="A7" i="12"/>
  <c r="B45" i="12" s="1" a="1"/>
  <c r="B45" i="12" s="1"/>
  <c r="B7" i="12"/>
  <c r="B46" i="12" s="1" a="1"/>
  <c r="B46" i="12" s="1"/>
  <c r="C7" i="12"/>
  <c r="B47" i="12" s="1" a="1"/>
  <c r="B47" i="12" s="1"/>
  <c r="B75" i="12" s="1"/>
  <c r="C7" i="11" s="1"/>
  <c r="D7" i="12"/>
  <c r="B48" i="12" s="1" a="1"/>
  <c r="B48" i="12" s="1"/>
  <c r="B76" i="12" s="1"/>
  <c r="C38" i="11" s="1"/>
  <c r="E7" i="12"/>
  <c r="B49" i="12" s="1" a="1"/>
  <c r="B49" i="12" s="1"/>
  <c r="B77" i="12" s="1"/>
  <c r="C69" i="11" s="1"/>
  <c r="A8" i="12"/>
  <c r="C45" i="12" s="1" a="1"/>
  <c r="C45" i="12" s="1"/>
  <c r="B8" i="12"/>
  <c r="C46" i="12" s="1" a="1"/>
  <c r="C46" i="12" s="1"/>
  <c r="C8" i="12"/>
  <c r="C47" i="12" s="1" a="1"/>
  <c r="C47" i="12" s="1"/>
  <c r="C75" i="12" s="1"/>
  <c r="D7" i="11" s="1"/>
  <c r="D8" i="12"/>
  <c r="C48" i="12" s="1" a="1"/>
  <c r="C48" i="12" s="1"/>
  <c r="C76" i="12" s="1"/>
  <c r="D38" i="11" s="1"/>
  <c r="E8" i="12"/>
  <c r="C49" i="12" s="1" a="1"/>
  <c r="C49" i="12" s="1"/>
  <c r="C77" i="12" s="1"/>
  <c r="D69" i="11" s="1"/>
  <c r="A9" i="12"/>
  <c r="D45" i="12" s="1" a="1"/>
  <c r="D45" i="12" s="1"/>
  <c r="B9" i="12"/>
  <c r="D46" i="12" s="1" a="1"/>
  <c r="D46" i="12" s="1"/>
  <c r="C9" i="12"/>
  <c r="D47" i="12" s="1" a="1"/>
  <c r="D47" i="12" s="1"/>
  <c r="D75" i="12" s="1"/>
  <c r="E7" i="11" s="1"/>
  <c r="D9" i="12"/>
  <c r="D48" i="12" s="1" a="1"/>
  <c r="D48" i="12" s="1"/>
  <c r="D76" i="12" s="1"/>
  <c r="E38" i="11" s="1"/>
  <c r="E9" i="12"/>
  <c r="D49" i="12" s="1" a="1"/>
  <c r="D49" i="12" s="1"/>
  <c r="D77" i="12" s="1"/>
  <c r="E69" i="11" s="1"/>
  <c r="A10" i="12"/>
  <c r="E45" i="12" s="1" a="1"/>
  <c r="E45" i="12" s="1"/>
  <c r="B10" i="12"/>
  <c r="E46" i="12" s="1" a="1"/>
  <c r="E46" i="12" s="1"/>
  <c r="C10" i="12"/>
  <c r="E47" i="12" s="1" a="1"/>
  <c r="E47" i="12" s="1"/>
  <c r="E75" i="12" s="1"/>
  <c r="F7" i="11" s="1"/>
  <c r="D10" i="12"/>
  <c r="E48" i="12" s="1" a="1"/>
  <c r="E48" i="12" s="1"/>
  <c r="E76" i="12" s="1"/>
  <c r="F38" i="11" s="1"/>
  <c r="E10" i="12"/>
  <c r="E49" i="12" s="1" a="1"/>
  <c r="E49" i="12" s="1"/>
  <c r="E77" i="12" s="1"/>
  <c r="F69" i="11" s="1"/>
  <c r="A11" i="12"/>
  <c r="F45" i="12" s="1" a="1"/>
  <c r="F45" i="12" s="1"/>
  <c r="B11" i="12"/>
  <c r="F46" i="12" s="1" a="1"/>
  <c r="F46" i="12" s="1"/>
  <c r="C11" i="12"/>
  <c r="F47" i="12" s="1" a="1"/>
  <c r="F47" i="12" s="1"/>
  <c r="F75" i="12" s="1"/>
  <c r="G7" i="11" s="1"/>
  <c r="D11" i="12"/>
  <c r="F48" i="12" s="1" a="1"/>
  <c r="F48" i="12" s="1"/>
  <c r="F76" i="12" s="1"/>
  <c r="G38" i="11" s="1"/>
  <c r="E11" i="12"/>
  <c r="F49" i="12" s="1" a="1"/>
  <c r="F49" i="12" s="1"/>
  <c r="F77" i="12" s="1"/>
  <c r="G69" i="11" s="1"/>
  <c r="A12" i="12"/>
  <c r="G45" i="12" s="1" a="1"/>
  <c r="G45" i="12" s="1"/>
  <c r="B12" i="12"/>
  <c r="G46" i="12" s="1" a="1"/>
  <c r="G46" i="12" s="1"/>
  <c r="C12" i="12"/>
  <c r="G47" i="12" s="1" a="1"/>
  <c r="G47" i="12" s="1"/>
  <c r="G75" i="12" s="1"/>
  <c r="H7" i="11" s="1"/>
  <c r="D12" i="12"/>
  <c r="G48" i="12" s="1" a="1"/>
  <c r="G48" i="12" s="1"/>
  <c r="G76" i="12" s="1"/>
  <c r="H38" i="11" s="1"/>
  <c r="E12" i="12"/>
  <c r="G49" i="12" s="1" a="1"/>
  <c r="G49" i="12" s="1"/>
  <c r="G77" i="12" s="1"/>
  <c r="H69" i="11" s="1"/>
  <c r="A13" i="12"/>
  <c r="H45" i="12" s="1" a="1"/>
  <c r="H45" i="12" s="1"/>
  <c r="B13" i="12"/>
  <c r="H46" i="12" s="1" a="1"/>
  <c r="H46" i="12" s="1"/>
  <c r="C13" i="12"/>
  <c r="H47" i="12" s="1" a="1"/>
  <c r="H47" i="12" s="1"/>
  <c r="D13" i="12"/>
  <c r="H48" i="12" s="1" a="1"/>
  <c r="H48" i="12" s="1"/>
  <c r="E13" i="12"/>
  <c r="H49" i="12" s="1" a="1"/>
  <c r="H49" i="12" s="1"/>
  <c r="A14" i="12"/>
  <c r="I45" i="12" s="1" a="1"/>
  <c r="I45" i="12" s="1"/>
  <c r="B14" i="12"/>
  <c r="I46" i="12" s="1" a="1"/>
  <c r="I46" i="12" s="1"/>
  <c r="C14" i="12"/>
  <c r="I47" i="12" s="1" a="1"/>
  <c r="I47" i="12" s="1"/>
  <c r="D14" i="12"/>
  <c r="I48" i="12" s="1" a="1"/>
  <c r="I48" i="12" s="1"/>
  <c r="E14" i="12"/>
  <c r="I49" i="12" s="1" a="1"/>
  <c r="I49" i="12" s="1"/>
  <c r="A15" i="12"/>
  <c r="J45" i="12" s="1" a="1"/>
  <c r="J45" i="12" s="1"/>
  <c r="B15" i="12"/>
  <c r="J46" i="12" s="1" a="1"/>
  <c r="J46" i="12" s="1"/>
  <c r="C15" i="12"/>
  <c r="J47" i="12" s="1" a="1"/>
  <c r="J47" i="12" s="1"/>
  <c r="J75" i="12" s="1"/>
  <c r="C14" i="11" s="1"/>
  <c r="D15" i="12"/>
  <c r="J48" i="12" s="1" a="1"/>
  <c r="J48" i="12" s="1"/>
  <c r="J76" i="12" s="1"/>
  <c r="C45" i="11" s="1"/>
  <c r="E15" i="12"/>
  <c r="J49" i="12" s="1" a="1"/>
  <c r="J49" i="12" s="1"/>
  <c r="J77" i="12" s="1"/>
  <c r="C76" i="11" s="1"/>
  <c r="A16" i="12"/>
  <c r="K45" i="12" s="1" a="1"/>
  <c r="K45" i="12" s="1"/>
  <c r="B16" i="12"/>
  <c r="K46" i="12" s="1" a="1"/>
  <c r="K46" i="12" s="1"/>
  <c r="C16" i="12"/>
  <c r="K47" i="12" s="1" a="1"/>
  <c r="K47" i="12" s="1"/>
  <c r="K75" i="12" s="1"/>
  <c r="D14" i="11" s="1"/>
  <c r="D16" i="12"/>
  <c r="K48" i="12" s="1" a="1"/>
  <c r="K48" i="12" s="1"/>
  <c r="K76" i="12" s="1"/>
  <c r="D45" i="11" s="1"/>
  <c r="E16" i="12"/>
  <c r="K49" i="12" s="1" a="1"/>
  <c r="K49" i="12" s="1"/>
  <c r="K77" i="12" s="1"/>
  <c r="D76" i="11" s="1"/>
  <c r="A17" i="12"/>
  <c r="L45" i="12" s="1" a="1"/>
  <c r="L45" i="12" s="1"/>
  <c r="B17" i="12"/>
  <c r="L46" i="12" s="1" a="1"/>
  <c r="L46" i="12" s="1"/>
  <c r="C17" i="12"/>
  <c r="L47" i="12" s="1" a="1"/>
  <c r="L47" i="12" s="1"/>
  <c r="L75" i="12" s="1"/>
  <c r="E14" i="11" s="1"/>
  <c r="D17" i="12"/>
  <c r="L48" i="12" s="1" a="1"/>
  <c r="L48" i="12" s="1"/>
  <c r="L76" i="12" s="1"/>
  <c r="E45" i="11" s="1"/>
  <c r="E17" i="12"/>
  <c r="L49" i="12" s="1" a="1"/>
  <c r="L49" i="12" s="1"/>
  <c r="L77" i="12" s="1"/>
  <c r="E76" i="11" s="1"/>
  <c r="A18" i="12"/>
  <c r="M45" i="12" s="1" a="1"/>
  <c r="M45" i="12" s="1"/>
  <c r="B18" i="12"/>
  <c r="M46" i="12" s="1" a="1"/>
  <c r="M46" i="12" s="1"/>
  <c r="C18" i="12"/>
  <c r="M47" i="12" s="1" a="1"/>
  <c r="M47" i="12" s="1"/>
  <c r="M75" i="12" s="1"/>
  <c r="F14" i="11" s="1"/>
  <c r="D18" i="12"/>
  <c r="M48" i="12" s="1" a="1"/>
  <c r="M48" i="12" s="1"/>
  <c r="M76" i="12" s="1"/>
  <c r="F45" i="11" s="1"/>
  <c r="E18" i="12"/>
  <c r="M49" i="12" s="1" a="1"/>
  <c r="M49" i="12" s="1"/>
  <c r="M77" i="12" s="1"/>
  <c r="F76" i="11" s="1"/>
  <c r="A19" i="12"/>
  <c r="N45" i="12" s="1" a="1"/>
  <c r="N45" i="12" s="1"/>
  <c r="B19" i="12"/>
  <c r="N46" i="12" s="1" a="1"/>
  <c r="N46" i="12" s="1"/>
  <c r="C19" i="12"/>
  <c r="N47" i="12" s="1" a="1"/>
  <c r="N47" i="12" s="1"/>
  <c r="N75" i="12" s="1"/>
  <c r="G14" i="11" s="1"/>
  <c r="D19" i="12"/>
  <c r="N48" i="12" s="1" a="1"/>
  <c r="N48" i="12" s="1"/>
  <c r="N76" i="12" s="1"/>
  <c r="G45" i="11" s="1"/>
  <c r="E19" i="12"/>
  <c r="N49" i="12" s="1" a="1"/>
  <c r="N49" i="12" s="1"/>
  <c r="N77" i="12" s="1"/>
  <c r="G76" i="11" s="1"/>
  <c r="A20" i="12"/>
  <c r="O45" i="12" s="1" a="1"/>
  <c r="O45" i="12" s="1"/>
  <c r="B20" i="12"/>
  <c r="O46" i="12" s="1" a="1"/>
  <c r="O46" i="12" s="1"/>
  <c r="C20" i="12"/>
  <c r="O47" i="12" s="1" a="1"/>
  <c r="O47" i="12" s="1"/>
  <c r="O75" i="12" s="1"/>
  <c r="H14" i="11" s="1"/>
  <c r="D20" i="12"/>
  <c r="O48" i="12" s="1" a="1"/>
  <c r="O48" i="12" s="1"/>
  <c r="O76" i="12" s="1"/>
  <c r="H45" i="11" s="1"/>
  <c r="E20" i="12"/>
  <c r="O49" i="12" s="1" a="1"/>
  <c r="O49" i="12" s="1"/>
  <c r="O77" i="12" s="1"/>
  <c r="H76" i="11" s="1"/>
  <c r="A21" i="12"/>
  <c r="P45" i="12" s="1" a="1"/>
  <c r="P45" i="12" s="1"/>
  <c r="B21" i="12"/>
  <c r="P46" i="12" s="1" a="1"/>
  <c r="P46" i="12" s="1"/>
  <c r="C21" i="12"/>
  <c r="P47" i="12" s="1" a="1"/>
  <c r="P47" i="12" s="1"/>
  <c r="D21" i="12"/>
  <c r="P48" i="12" s="1" a="1"/>
  <c r="P48" i="12" s="1"/>
  <c r="E21" i="12"/>
  <c r="P49" i="12" s="1" a="1"/>
  <c r="P49" i="12" s="1"/>
  <c r="B6" i="12"/>
  <c r="A46" i="12" s="1" a="1"/>
  <c r="A46" i="12" s="1"/>
  <c r="C6" i="12"/>
  <c r="A47" i="12" s="1" a="1"/>
  <c r="A47" i="12" s="1"/>
  <c r="D6" i="12"/>
  <c r="A48" i="12" s="1" a="1"/>
  <c r="A48" i="12" s="1"/>
  <c r="E6" i="12"/>
  <c r="A49" i="12" s="1" a="1"/>
  <c r="A49" i="12" s="1"/>
  <c r="A6" i="12"/>
  <c r="A45" i="12" s="1" a="1"/>
  <c r="A45" i="12" s="1"/>
  <c r="P76" i="12" l="1"/>
  <c r="I45" i="11" s="1"/>
  <c r="Q76" i="12"/>
  <c r="J45" i="11" s="1"/>
  <c r="H76" i="12"/>
  <c r="I38" i="11" s="1"/>
  <c r="I76" i="12"/>
  <c r="J38" i="11" s="1"/>
  <c r="H75" i="12"/>
  <c r="I7" i="11" s="1"/>
  <c r="I75" i="12"/>
  <c r="J7" i="11" s="1"/>
  <c r="P77" i="12"/>
  <c r="I76" i="11" s="1"/>
  <c r="H77" i="12"/>
  <c r="P75" i="12"/>
  <c r="I14" i="11" s="1"/>
  <c r="W14" i="6"/>
  <c r="W8" i="6"/>
  <c r="W13" i="6"/>
  <c r="W7" i="6"/>
  <c r="W12" i="6"/>
  <c r="W6" i="6"/>
  <c r="W11" i="6"/>
  <c r="W5" i="6"/>
  <c r="U20" i="12"/>
  <c r="O65" i="12" s="1" a="1"/>
  <c r="O65" i="12" s="1"/>
  <c r="T20" i="12"/>
  <c r="O64" i="12" s="1" a="1"/>
  <c r="O64" i="12" s="1"/>
  <c r="S20" i="12"/>
  <c r="O63" i="12" s="1" a="1"/>
  <c r="O63" i="12" s="1"/>
  <c r="R20" i="12"/>
  <c r="O62" i="12" s="1" a="1"/>
  <c r="O62" i="12" s="1"/>
  <c r="Q20" i="12"/>
  <c r="O61" i="12" s="1" a="1"/>
  <c r="O61" i="12" s="1"/>
  <c r="P20" i="12"/>
  <c r="O60" i="12" s="1" a="1"/>
  <c r="O60" i="12" s="1"/>
  <c r="O20" i="12"/>
  <c r="O59" i="12" s="1" a="1"/>
  <c r="O59" i="12" s="1"/>
  <c r="N20" i="12"/>
  <c r="O58" i="12" s="1" a="1"/>
  <c r="O58" i="12" s="1"/>
  <c r="M20" i="12"/>
  <c r="O57" i="12" s="1" a="1"/>
  <c r="O57" i="12" s="1"/>
  <c r="L20" i="12"/>
  <c r="O56" i="12" s="1" a="1"/>
  <c r="O56" i="12" s="1"/>
  <c r="K20" i="12"/>
  <c r="O55" i="12" s="1" a="1"/>
  <c r="O55" i="12" s="1"/>
  <c r="J20" i="12"/>
  <c r="O54" i="12" s="1" a="1"/>
  <c r="O54" i="12" s="1"/>
  <c r="I20" i="12"/>
  <c r="O53" i="12" s="1" a="1"/>
  <c r="O53" i="12" s="1"/>
  <c r="G20" i="12"/>
  <c r="U19" i="12"/>
  <c r="N65" i="12" s="1" a="1"/>
  <c r="N65" i="12" s="1"/>
  <c r="T19" i="12"/>
  <c r="N64" i="12" s="1" a="1"/>
  <c r="N64" i="12" s="1"/>
  <c r="S19" i="12"/>
  <c r="N63" i="12" s="1" a="1"/>
  <c r="N63" i="12" s="1"/>
  <c r="R19" i="12"/>
  <c r="N62" i="12" s="1" a="1"/>
  <c r="N62" i="12" s="1"/>
  <c r="Q19" i="12"/>
  <c r="N61" i="12" s="1" a="1"/>
  <c r="N61" i="12" s="1"/>
  <c r="P19" i="12"/>
  <c r="N60" i="12" s="1" a="1"/>
  <c r="N60" i="12" s="1"/>
  <c r="O19" i="12"/>
  <c r="N59" i="12" s="1" a="1"/>
  <c r="N59" i="12" s="1"/>
  <c r="N19" i="12"/>
  <c r="N58" i="12" s="1" a="1"/>
  <c r="N58" i="12" s="1"/>
  <c r="M19" i="12"/>
  <c r="N57" i="12" s="1" a="1"/>
  <c r="N57" i="12" s="1"/>
  <c r="L19" i="12"/>
  <c r="N56" i="12" s="1" a="1"/>
  <c r="N56" i="12" s="1"/>
  <c r="K19" i="12"/>
  <c r="N55" i="12" s="1" a="1"/>
  <c r="N55" i="12" s="1"/>
  <c r="J19" i="12"/>
  <c r="N54" i="12" s="1" a="1"/>
  <c r="N54" i="12" s="1"/>
  <c r="I19" i="12"/>
  <c r="N53" i="12" s="1" a="1"/>
  <c r="N53" i="12" s="1"/>
  <c r="G19" i="12"/>
  <c r="G18" i="12"/>
  <c r="U17" i="12"/>
  <c r="L65" i="12" s="1" a="1"/>
  <c r="L65" i="12" s="1"/>
  <c r="T17" i="12"/>
  <c r="L64" i="12" s="1" a="1"/>
  <c r="L64" i="12" s="1"/>
  <c r="S17" i="12"/>
  <c r="L63" i="12" s="1" a="1"/>
  <c r="L63" i="12" s="1"/>
  <c r="R17" i="12"/>
  <c r="L62" i="12" s="1" a="1"/>
  <c r="L62" i="12" s="1"/>
  <c r="Q17" i="12"/>
  <c r="L61" i="12" s="1" a="1"/>
  <c r="L61" i="12" s="1"/>
  <c r="P17" i="12"/>
  <c r="L60" i="12" s="1" a="1"/>
  <c r="L60" i="12" s="1"/>
  <c r="O17" i="12"/>
  <c r="L59" i="12" s="1" a="1"/>
  <c r="L59" i="12" s="1"/>
  <c r="N17" i="12"/>
  <c r="L58" i="12" s="1" a="1"/>
  <c r="L58" i="12" s="1"/>
  <c r="M17" i="12"/>
  <c r="L57" i="12" s="1" a="1"/>
  <c r="L57" i="12" s="1"/>
  <c r="L17" i="12"/>
  <c r="L56" i="12" s="1" a="1"/>
  <c r="L56" i="12" s="1"/>
  <c r="K17" i="12"/>
  <c r="L55" i="12" s="1" a="1"/>
  <c r="L55" i="12" s="1"/>
  <c r="J17" i="12"/>
  <c r="L54" i="12" s="1" a="1"/>
  <c r="L54" i="12" s="1"/>
  <c r="I17" i="12"/>
  <c r="L53" i="12" s="1" a="1"/>
  <c r="L53" i="12" s="1"/>
  <c r="G17" i="12"/>
  <c r="U16" i="12"/>
  <c r="K65" i="12" s="1" a="1"/>
  <c r="K65" i="12" s="1"/>
  <c r="M84" i="12" s="1"/>
  <c r="Q76" i="11" s="1"/>
  <c r="AF67" i="11" s="1" a="1"/>
  <c r="AF67" i="11" s="1"/>
  <c r="T16" i="12"/>
  <c r="K64" i="12" s="1" a="1"/>
  <c r="K64" i="12" s="1"/>
  <c r="S16" i="12"/>
  <c r="K63" i="12" s="1" a="1"/>
  <c r="K63" i="12" s="1"/>
  <c r="R16" i="12"/>
  <c r="K62" i="12" s="1" a="1"/>
  <c r="K62" i="12" s="1"/>
  <c r="Q16" i="12"/>
  <c r="K61" i="12" s="1" a="1"/>
  <c r="K61" i="12" s="1"/>
  <c r="M83" i="12" s="1"/>
  <c r="Q45" i="11" s="1"/>
  <c r="AF36" i="11" s="1" a="1"/>
  <c r="AF36" i="11" s="1"/>
  <c r="P16" i="12"/>
  <c r="K60" i="12" s="1" a="1"/>
  <c r="K60" i="12" s="1"/>
  <c r="O16" i="12"/>
  <c r="K59" i="12" s="1" a="1"/>
  <c r="K59" i="12" s="1"/>
  <c r="N16" i="12"/>
  <c r="K58" i="12" s="1" a="1"/>
  <c r="K58" i="12" s="1"/>
  <c r="M16" i="12"/>
  <c r="K57" i="12" s="1" a="1"/>
  <c r="K57" i="12" s="1"/>
  <c r="M82" i="12" s="1"/>
  <c r="Q14" i="11" s="1"/>
  <c r="AF5" i="11" s="1" a="1"/>
  <c r="AF5" i="11" s="1"/>
  <c r="L16" i="12"/>
  <c r="K56" i="12" s="1" a="1"/>
  <c r="K56" i="12" s="1"/>
  <c r="K16" i="12"/>
  <c r="K55" i="12" s="1" a="1"/>
  <c r="K55" i="12" s="1"/>
  <c r="J16" i="12"/>
  <c r="K54" i="12" s="1" a="1"/>
  <c r="K54" i="12" s="1"/>
  <c r="I16" i="12"/>
  <c r="K53" i="12" s="1" a="1"/>
  <c r="K53" i="12" s="1"/>
  <c r="G16" i="12"/>
  <c r="U15" i="12"/>
  <c r="J65" i="12" s="1" a="1"/>
  <c r="J65" i="12" s="1"/>
  <c r="L84" i="12" s="1"/>
  <c r="P76" i="11" s="1"/>
  <c r="AF66" i="11" s="1" a="1"/>
  <c r="AF66" i="11" s="1"/>
  <c r="T15" i="12"/>
  <c r="J64" i="12" s="1" a="1"/>
  <c r="J64" i="12" s="1"/>
  <c r="S15" i="12"/>
  <c r="J63" i="12" s="1" a="1"/>
  <c r="J63" i="12" s="1"/>
  <c r="R15" i="12"/>
  <c r="J62" i="12" s="1" a="1"/>
  <c r="J62" i="12" s="1"/>
  <c r="Q15" i="12"/>
  <c r="J61" i="12" s="1" a="1"/>
  <c r="J61" i="12" s="1"/>
  <c r="L83" i="12" s="1"/>
  <c r="P45" i="11" s="1"/>
  <c r="AF35" i="11" s="1" a="1"/>
  <c r="AF35" i="11" s="1"/>
  <c r="P15" i="12"/>
  <c r="J60" i="12" s="1" a="1"/>
  <c r="J60" i="12" s="1"/>
  <c r="O15" i="12"/>
  <c r="J59" i="12" s="1" a="1"/>
  <c r="J59" i="12" s="1"/>
  <c r="N15" i="12"/>
  <c r="J58" i="12" s="1" a="1"/>
  <c r="J58" i="12" s="1"/>
  <c r="M15" i="12"/>
  <c r="J57" i="12" s="1" a="1"/>
  <c r="J57" i="12" s="1"/>
  <c r="L82" i="12" s="1"/>
  <c r="P14" i="11" s="1"/>
  <c r="AF4" i="11" s="1" a="1"/>
  <c r="AF4" i="11" s="1"/>
  <c r="L15" i="12"/>
  <c r="J56" i="12" s="1" a="1"/>
  <c r="J56" i="12" s="1"/>
  <c r="K15" i="12"/>
  <c r="J55" i="12" s="1" a="1"/>
  <c r="J55" i="12" s="1"/>
  <c r="J15" i="12"/>
  <c r="J54" i="12" s="1" a="1"/>
  <c r="J54" i="12" s="1"/>
  <c r="I15" i="12"/>
  <c r="J53" i="12" s="1" a="1"/>
  <c r="J53" i="12" s="1"/>
  <c r="U14" i="12"/>
  <c r="I65" i="12" s="1" a="1"/>
  <c r="I65" i="12" s="1"/>
  <c r="K84" i="12" s="1"/>
  <c r="O76" i="11" s="1"/>
  <c r="AF65" i="11" s="1" a="1"/>
  <c r="AF65" i="11" s="1"/>
  <c r="T14" i="12"/>
  <c r="I64" i="12" s="1" a="1"/>
  <c r="I64" i="12" s="1"/>
  <c r="S14" i="12"/>
  <c r="I63" i="12" s="1" a="1"/>
  <c r="I63" i="12" s="1"/>
  <c r="R14" i="12"/>
  <c r="I62" i="12" s="1" a="1"/>
  <c r="I62" i="12" s="1"/>
  <c r="Q14" i="12"/>
  <c r="I61" i="12" s="1" a="1"/>
  <c r="I61" i="12" s="1"/>
  <c r="K83" i="12" s="1"/>
  <c r="O45" i="11" s="1"/>
  <c r="AF34" i="11" s="1" a="1"/>
  <c r="AF34" i="11" s="1"/>
  <c r="P14" i="12"/>
  <c r="I60" i="12" s="1" a="1"/>
  <c r="I60" i="12" s="1"/>
  <c r="O14" i="12"/>
  <c r="I59" i="12" s="1" a="1"/>
  <c r="I59" i="12" s="1"/>
  <c r="N14" i="12"/>
  <c r="I58" i="12" s="1" a="1"/>
  <c r="I58" i="12" s="1"/>
  <c r="M14" i="12"/>
  <c r="I57" i="12" s="1" a="1"/>
  <c r="I57" i="12" s="1"/>
  <c r="K82" i="12" s="1"/>
  <c r="O14" i="11" s="1"/>
  <c r="AF3" i="11" s="1" a="1"/>
  <c r="AF3" i="11" s="1"/>
  <c r="L14" i="12"/>
  <c r="I56" i="12" s="1" a="1"/>
  <c r="I56" i="12" s="1"/>
  <c r="K14" i="12"/>
  <c r="I55" i="12" s="1" a="1"/>
  <c r="I55" i="12" s="1"/>
  <c r="J14" i="12"/>
  <c r="I54" i="12" s="1" a="1"/>
  <c r="I54" i="12" s="1"/>
  <c r="I14" i="12"/>
  <c r="I53" i="12" s="1" a="1"/>
  <c r="I53" i="12" s="1"/>
  <c r="U13" i="12"/>
  <c r="H65" i="12" s="1" a="1"/>
  <c r="H65" i="12" s="1"/>
  <c r="J84" i="12" s="1"/>
  <c r="N76" i="11" s="1"/>
  <c r="AF64" i="11" s="1" a="1"/>
  <c r="AF64" i="11" s="1"/>
  <c r="T13" i="12"/>
  <c r="H64" i="12" s="1" a="1"/>
  <c r="H64" i="12" s="1"/>
  <c r="S13" i="12"/>
  <c r="H63" i="12" s="1" a="1"/>
  <c r="H63" i="12" s="1"/>
  <c r="R13" i="12"/>
  <c r="H62" i="12" s="1" a="1"/>
  <c r="H62" i="12" s="1"/>
  <c r="Q13" i="12"/>
  <c r="H61" i="12" s="1" a="1"/>
  <c r="H61" i="12" s="1"/>
  <c r="J83" i="12" s="1"/>
  <c r="N45" i="11" s="1"/>
  <c r="AF33" i="11" s="1" a="1"/>
  <c r="AF33" i="11" s="1"/>
  <c r="P13" i="12"/>
  <c r="H60" i="12" s="1" a="1"/>
  <c r="H60" i="12" s="1"/>
  <c r="O13" i="12"/>
  <c r="H59" i="12" s="1" a="1"/>
  <c r="H59" i="12" s="1"/>
  <c r="N13" i="12"/>
  <c r="H58" i="12" s="1" a="1"/>
  <c r="H58" i="12" s="1"/>
  <c r="M13" i="12"/>
  <c r="H57" i="12" s="1" a="1"/>
  <c r="H57" i="12" s="1"/>
  <c r="J82" i="12" s="1"/>
  <c r="N14" i="11" s="1"/>
  <c r="AF2" i="11" s="1" a="1"/>
  <c r="AF2" i="11" s="1"/>
  <c r="L13" i="12"/>
  <c r="H56" i="12" s="1" a="1"/>
  <c r="H56" i="12" s="1"/>
  <c r="K13" i="12"/>
  <c r="H55" i="12" s="1" a="1"/>
  <c r="H55" i="12" s="1"/>
  <c r="J13" i="12"/>
  <c r="H54" i="12" s="1" a="1"/>
  <c r="H54" i="12" s="1"/>
  <c r="I13" i="12"/>
  <c r="H53" i="12" s="1" a="1"/>
  <c r="H53" i="12" s="1"/>
  <c r="G12" i="12"/>
  <c r="U11" i="12"/>
  <c r="F65" i="12" s="1" a="1"/>
  <c r="F65" i="12" s="1"/>
  <c r="T11" i="12"/>
  <c r="F64" i="12" s="1" a="1"/>
  <c r="F64" i="12" s="1"/>
  <c r="S11" i="12"/>
  <c r="F63" i="12" s="1" a="1"/>
  <c r="F63" i="12" s="1"/>
  <c r="R11" i="12"/>
  <c r="F62" i="12" s="1" a="1"/>
  <c r="F62" i="12" s="1"/>
  <c r="Q11" i="12"/>
  <c r="F61" i="12" s="1" a="1"/>
  <c r="F61" i="12" s="1"/>
  <c r="P11" i="12"/>
  <c r="F60" i="12" s="1" a="1"/>
  <c r="F60" i="12" s="1"/>
  <c r="O11" i="12"/>
  <c r="F59" i="12" s="1" a="1"/>
  <c r="F59" i="12" s="1"/>
  <c r="N11" i="12"/>
  <c r="F58" i="12" s="1" a="1"/>
  <c r="F58" i="12" s="1"/>
  <c r="M11" i="12"/>
  <c r="F57" i="12" s="1" a="1"/>
  <c r="F57" i="12" s="1"/>
  <c r="L11" i="12"/>
  <c r="F56" i="12" s="1" a="1"/>
  <c r="F56" i="12" s="1"/>
  <c r="K11" i="12"/>
  <c r="F55" i="12" s="1" a="1"/>
  <c r="F55" i="12" s="1"/>
  <c r="J11" i="12"/>
  <c r="F54" i="12" s="1" a="1"/>
  <c r="F54" i="12" s="1"/>
  <c r="I11" i="12"/>
  <c r="F53" i="12" s="1" a="1"/>
  <c r="F53" i="12" s="1"/>
  <c r="G11" i="12"/>
  <c r="U10" i="12"/>
  <c r="E65" i="12" s="1" a="1"/>
  <c r="E65" i="12" s="1"/>
  <c r="E84" i="12" s="1"/>
  <c r="Q69" i="11" s="1"/>
  <c r="Y67" i="11" s="1" a="1"/>
  <c r="Y67" i="11" s="1"/>
  <c r="T10" i="12"/>
  <c r="E64" i="12" s="1" a="1"/>
  <c r="E64" i="12" s="1"/>
  <c r="S10" i="12"/>
  <c r="E63" i="12" s="1" a="1"/>
  <c r="E63" i="12" s="1"/>
  <c r="R10" i="12"/>
  <c r="E62" i="12" s="1" a="1"/>
  <c r="E62" i="12" s="1"/>
  <c r="Q10" i="12"/>
  <c r="E61" i="12" s="1" a="1"/>
  <c r="E61" i="12" s="1"/>
  <c r="E83" i="12" s="1"/>
  <c r="Q38" i="11" s="1"/>
  <c r="Y36" i="11" s="1" a="1"/>
  <c r="Y36" i="11" s="1"/>
  <c r="P10" i="12"/>
  <c r="E60" i="12" s="1" a="1"/>
  <c r="E60" i="12" s="1"/>
  <c r="O10" i="12"/>
  <c r="E59" i="12" s="1" a="1"/>
  <c r="E59" i="12" s="1"/>
  <c r="N10" i="12"/>
  <c r="E58" i="12" s="1" a="1"/>
  <c r="E58" i="12" s="1"/>
  <c r="M10" i="12"/>
  <c r="E57" i="12" s="1" a="1"/>
  <c r="E57" i="12" s="1"/>
  <c r="E82" i="12" s="1"/>
  <c r="Q7" i="11" s="1"/>
  <c r="Y5" i="11" s="1" a="1"/>
  <c r="Y5" i="11" s="1"/>
  <c r="L10" i="12"/>
  <c r="E56" i="12" s="1" a="1"/>
  <c r="E56" i="12" s="1"/>
  <c r="K10" i="12"/>
  <c r="E55" i="12" s="1" a="1"/>
  <c r="E55" i="12" s="1"/>
  <c r="J10" i="12"/>
  <c r="E54" i="12" s="1" a="1"/>
  <c r="E54" i="12" s="1"/>
  <c r="I10" i="12"/>
  <c r="E53" i="12" s="1" a="1"/>
  <c r="E53" i="12" s="1"/>
  <c r="G10" i="12"/>
  <c r="U9" i="12"/>
  <c r="D65" i="12" s="1" a="1"/>
  <c r="D65" i="12" s="1"/>
  <c r="D84" i="12" s="1"/>
  <c r="P69" i="11" s="1"/>
  <c r="Y66" i="11" s="1" a="1"/>
  <c r="Y66" i="11" s="1"/>
  <c r="T9" i="12"/>
  <c r="D64" i="12" s="1" a="1"/>
  <c r="D64" i="12" s="1"/>
  <c r="S9" i="12"/>
  <c r="D63" i="12" s="1" a="1"/>
  <c r="D63" i="12" s="1"/>
  <c r="R9" i="12"/>
  <c r="D62" i="12" s="1" a="1"/>
  <c r="D62" i="12" s="1"/>
  <c r="Q9" i="12"/>
  <c r="D61" i="12" s="1" a="1"/>
  <c r="D61" i="12" s="1"/>
  <c r="D83" i="12" s="1"/>
  <c r="P38" i="11" s="1"/>
  <c r="Y35" i="11" s="1" a="1"/>
  <c r="Y35" i="11" s="1"/>
  <c r="P9" i="12"/>
  <c r="D60" i="12" s="1" a="1"/>
  <c r="D60" i="12" s="1"/>
  <c r="O9" i="12"/>
  <c r="D59" i="12" s="1" a="1"/>
  <c r="D59" i="12" s="1"/>
  <c r="N9" i="12"/>
  <c r="D58" i="12" s="1" a="1"/>
  <c r="D58" i="12" s="1"/>
  <c r="M9" i="12"/>
  <c r="D57" i="12" s="1" a="1"/>
  <c r="D57" i="12" s="1"/>
  <c r="D82" i="12" s="1"/>
  <c r="P7" i="11" s="1"/>
  <c r="Y4" i="11" s="1" a="1"/>
  <c r="Y4" i="11" s="1"/>
  <c r="L9" i="12"/>
  <c r="D56" i="12" s="1" a="1"/>
  <c r="D56" i="12" s="1"/>
  <c r="K9" i="12"/>
  <c r="D55" i="12" s="1" a="1"/>
  <c r="D55" i="12" s="1"/>
  <c r="J9" i="12"/>
  <c r="D54" i="12" s="1" a="1"/>
  <c r="D54" i="12" s="1"/>
  <c r="I9" i="12"/>
  <c r="D53" i="12" s="1" a="1"/>
  <c r="D53" i="12" s="1"/>
  <c r="G9" i="12"/>
  <c r="U8" i="12"/>
  <c r="C65" i="12" s="1" a="1"/>
  <c r="C65" i="12" s="1"/>
  <c r="C84" i="12" s="1"/>
  <c r="O69" i="11" s="1"/>
  <c r="Y65" i="11" s="1" a="1"/>
  <c r="Y65" i="11" s="1"/>
  <c r="T8" i="12"/>
  <c r="C64" i="12" s="1" a="1"/>
  <c r="C64" i="12" s="1"/>
  <c r="S8" i="12"/>
  <c r="C63" i="12" s="1" a="1"/>
  <c r="C63" i="12" s="1"/>
  <c r="R8" i="12"/>
  <c r="C62" i="12" s="1" a="1"/>
  <c r="C62" i="12" s="1"/>
  <c r="Q8" i="12"/>
  <c r="C61" i="12" s="1" a="1"/>
  <c r="C61" i="12" s="1"/>
  <c r="C83" i="12" s="1"/>
  <c r="O38" i="11" s="1"/>
  <c r="Y34" i="11" s="1" a="1"/>
  <c r="Y34" i="11" s="1"/>
  <c r="P8" i="12"/>
  <c r="C60" i="12" s="1" a="1"/>
  <c r="C60" i="12" s="1"/>
  <c r="O8" i="12"/>
  <c r="C59" i="12" s="1" a="1"/>
  <c r="C59" i="12" s="1"/>
  <c r="N8" i="12"/>
  <c r="C58" i="12" s="1" a="1"/>
  <c r="C58" i="12" s="1"/>
  <c r="M8" i="12"/>
  <c r="C57" i="12" s="1" a="1"/>
  <c r="C57" i="12" s="1"/>
  <c r="C82" i="12" s="1"/>
  <c r="O7" i="11" s="1"/>
  <c r="Y3" i="11" s="1" a="1"/>
  <c r="Y3" i="11" s="1"/>
  <c r="L8" i="12"/>
  <c r="C56" i="12" s="1" a="1"/>
  <c r="C56" i="12" s="1"/>
  <c r="K8" i="12"/>
  <c r="C55" i="12" s="1" a="1"/>
  <c r="C55" i="12" s="1"/>
  <c r="J8" i="12"/>
  <c r="C54" i="12" s="1" a="1"/>
  <c r="C54" i="12" s="1"/>
  <c r="I8" i="12"/>
  <c r="C53" i="12" s="1" a="1"/>
  <c r="C53" i="12" s="1"/>
  <c r="G8" i="12"/>
  <c r="U7" i="12"/>
  <c r="B65" i="12" s="1" a="1"/>
  <c r="B65" i="12" s="1"/>
  <c r="B84" i="12" s="1"/>
  <c r="N69" i="11" s="1"/>
  <c r="Y64" i="11" s="1" a="1"/>
  <c r="Y64" i="11" s="1"/>
  <c r="T7" i="12"/>
  <c r="B64" i="12" s="1" a="1"/>
  <c r="B64" i="12" s="1"/>
  <c r="S7" i="12"/>
  <c r="B63" i="12" s="1" a="1"/>
  <c r="B63" i="12" s="1"/>
  <c r="R7" i="12"/>
  <c r="B62" i="12" s="1" a="1"/>
  <c r="B62" i="12" s="1"/>
  <c r="Q7" i="12"/>
  <c r="B61" i="12" s="1" a="1"/>
  <c r="B61" i="12" s="1"/>
  <c r="B83" i="12" s="1"/>
  <c r="N38" i="11" s="1"/>
  <c r="Y33" i="11" s="1" a="1"/>
  <c r="Y33" i="11" s="1"/>
  <c r="P7" i="12"/>
  <c r="B60" i="12" s="1" a="1"/>
  <c r="B60" i="12" s="1"/>
  <c r="O7" i="12"/>
  <c r="B59" i="12" s="1" a="1"/>
  <c r="B59" i="12" s="1"/>
  <c r="N7" i="12"/>
  <c r="B58" i="12" s="1" a="1"/>
  <c r="B58" i="12" s="1"/>
  <c r="M7" i="12"/>
  <c r="B57" i="12" s="1" a="1"/>
  <c r="B57" i="12" s="1"/>
  <c r="B82" i="12" s="1"/>
  <c r="N7" i="11" s="1"/>
  <c r="Y2" i="11" s="1" a="1"/>
  <c r="Y2" i="11" s="1"/>
  <c r="L7" i="12"/>
  <c r="B56" i="12" s="1" a="1"/>
  <c r="B56" i="12" s="1"/>
  <c r="K7" i="12"/>
  <c r="B55" i="12" s="1" a="1"/>
  <c r="B55" i="12" s="1"/>
  <c r="J7" i="12"/>
  <c r="B54" i="12" s="1" a="1"/>
  <c r="B54" i="12" s="1"/>
  <c r="I7" i="12"/>
  <c r="B53" i="12" s="1" a="1"/>
  <c r="B53" i="12" s="1"/>
  <c r="U6" i="12"/>
  <c r="A65" i="12" s="1" a="1"/>
  <c r="A65" i="12" s="1"/>
  <c r="T6" i="12"/>
  <c r="A64" i="12" s="1" a="1"/>
  <c r="A64" i="12" s="1"/>
  <c r="S6" i="12"/>
  <c r="A63" i="12" s="1" a="1"/>
  <c r="A63" i="12" s="1"/>
  <c r="R6" i="12"/>
  <c r="A62" i="12" s="1" a="1"/>
  <c r="A62" i="12" s="1"/>
  <c r="Q6" i="12"/>
  <c r="A61" i="12" s="1" a="1"/>
  <c r="A61" i="12" s="1"/>
  <c r="P6" i="12"/>
  <c r="A60" i="12" s="1" a="1"/>
  <c r="A60" i="12" s="1"/>
  <c r="O6" i="12"/>
  <c r="A59" i="12" s="1" a="1"/>
  <c r="A59" i="12" s="1"/>
  <c r="N6" i="12"/>
  <c r="A58" i="12" s="1" a="1"/>
  <c r="A58" i="12" s="1"/>
  <c r="M6" i="12"/>
  <c r="A57" i="12" s="1" a="1"/>
  <c r="A57" i="12" s="1"/>
  <c r="L6" i="12"/>
  <c r="A56" i="12" s="1" a="1"/>
  <c r="A56" i="12" s="1"/>
  <c r="K6" i="12"/>
  <c r="A55" i="12" s="1" a="1"/>
  <c r="A55" i="12" s="1"/>
  <c r="J6" i="12"/>
  <c r="A54" i="12" s="1" a="1"/>
  <c r="A54" i="12" s="1"/>
  <c r="I6" i="12"/>
  <c r="A53" i="12" s="1" a="1"/>
  <c r="A53" i="12" s="1"/>
  <c r="P65" i="7" a="1"/>
  <c r="P65" i="7" s="1"/>
  <c r="Q65" i="7" a="1"/>
  <c r="Q65" i="7" s="1"/>
  <c r="R65" i="7" a="1"/>
  <c r="R65" i="7" s="1"/>
  <c r="S65" i="7" a="1"/>
  <c r="S65" i="7" s="1"/>
  <c r="T65" i="7" a="1"/>
  <c r="T65" i="7" s="1"/>
  <c r="AJ65" i="7" a="1"/>
  <c r="AJ65" i="7" s="1"/>
  <c r="P64" i="7" a="1"/>
  <c r="P64" i="7" s="1"/>
  <c r="Q64" i="7" a="1"/>
  <c r="Q64" i="7" s="1"/>
  <c r="R64" i="7" a="1"/>
  <c r="R64" i="7" s="1"/>
  <c r="S64" i="7" a="1"/>
  <c r="S64" i="7" s="1"/>
  <c r="T64" i="7" a="1"/>
  <c r="T64" i="7" s="1"/>
  <c r="AJ64" i="7" a="1"/>
  <c r="AJ64" i="7" s="1"/>
  <c r="Q46" i="7" a="1"/>
  <c r="Q46" i="7" s="1"/>
  <c r="R46" i="7" a="1"/>
  <c r="R46" i="7" s="1"/>
  <c r="S46" i="7" a="1"/>
  <c r="S46" i="7" s="1"/>
  <c r="T46" i="7" a="1"/>
  <c r="T46" i="7" s="1"/>
  <c r="Q47" i="7" a="1"/>
  <c r="Q47" i="7"/>
  <c r="R47" i="7" a="1"/>
  <c r="R47" i="7" s="1"/>
  <c r="S47" i="7" a="1"/>
  <c r="S47" i="7" s="1"/>
  <c r="T47" i="7" a="1"/>
  <c r="T47" i="7" s="1"/>
  <c r="Q48" i="7" a="1"/>
  <c r="Q48" i="7" s="1"/>
  <c r="R48" i="7" a="1"/>
  <c r="R48" i="7" s="1"/>
  <c r="S48" i="7" a="1"/>
  <c r="S48" i="7" s="1"/>
  <c r="T48" i="7" a="1"/>
  <c r="T48" i="7"/>
  <c r="Q49" i="7" a="1"/>
  <c r="Q49" i="7"/>
  <c r="R49" i="7" a="1"/>
  <c r="R49" i="7" s="1"/>
  <c r="S49" i="7" a="1"/>
  <c r="S49" i="7" s="1"/>
  <c r="T49" i="7" a="1"/>
  <c r="T49" i="7" s="1"/>
  <c r="A50" i="7" a="1"/>
  <c r="A50" i="7" s="1"/>
  <c r="B50" i="7" a="1"/>
  <c r="B50" i="7" s="1"/>
  <c r="C50" i="7" a="1"/>
  <c r="C50" i="7" s="1"/>
  <c r="D50" i="7" a="1"/>
  <c r="D50" i="7"/>
  <c r="E50" i="7" a="1"/>
  <c r="E50" i="7"/>
  <c r="F50" i="7" a="1"/>
  <c r="F50" i="7" s="1"/>
  <c r="G50" i="7" a="1"/>
  <c r="G50" i="7" s="1"/>
  <c r="H50" i="7" a="1"/>
  <c r="H50" i="7" s="1"/>
  <c r="I50" i="7" a="1"/>
  <c r="I50" i="7" s="1"/>
  <c r="J50" i="7" a="1"/>
  <c r="J50" i="7" s="1"/>
  <c r="K50" i="7" a="1"/>
  <c r="K50" i="7"/>
  <c r="L50" i="7" a="1"/>
  <c r="L50" i="7" s="1"/>
  <c r="M50" i="7" a="1"/>
  <c r="M50" i="7"/>
  <c r="N50" i="7" a="1"/>
  <c r="N50" i="7" s="1"/>
  <c r="O50" i="7" a="1"/>
  <c r="O50" i="7" s="1"/>
  <c r="P50" i="7" a="1"/>
  <c r="P50" i="7" s="1"/>
  <c r="Q50" i="7" a="1"/>
  <c r="Q50" i="7" s="1"/>
  <c r="R50" i="7" a="1"/>
  <c r="R50" i="7" s="1"/>
  <c r="S50" i="7" a="1"/>
  <c r="S50" i="7" s="1"/>
  <c r="T50" i="7" a="1"/>
  <c r="T50" i="7" s="1"/>
  <c r="U50" i="7" a="1"/>
  <c r="U50" i="7" s="1"/>
  <c r="V50" i="7" a="1"/>
  <c r="V50" i="7" s="1"/>
  <c r="W50" i="7" a="1"/>
  <c r="W50" i="7" s="1"/>
  <c r="X50" i="7" a="1"/>
  <c r="X50" i="7" s="1"/>
  <c r="Y50" i="7" a="1"/>
  <c r="Y50" i="7" s="1"/>
  <c r="Z50" i="7" a="1"/>
  <c r="Z50" i="7"/>
  <c r="AA50" i="7" a="1"/>
  <c r="AA50" i="7" s="1"/>
  <c r="AB50" i="7" a="1"/>
  <c r="AB50" i="7"/>
  <c r="AC50" i="7" a="1"/>
  <c r="AC50" i="7" s="1"/>
  <c r="AD50" i="7" a="1"/>
  <c r="AD50" i="7" s="1"/>
  <c r="AE50" i="7" a="1"/>
  <c r="AE50" i="7" s="1"/>
  <c r="AF50" i="7" a="1"/>
  <c r="AF50" i="7" s="1"/>
  <c r="AG50" i="7" a="1"/>
  <c r="AG50" i="7" s="1"/>
  <c r="AH50" i="7" a="1"/>
  <c r="AH50" i="7" s="1"/>
  <c r="AI50" i="7" a="1"/>
  <c r="AI50" i="7" s="1"/>
  <c r="AJ50" i="7" a="1"/>
  <c r="AJ50" i="7" s="1"/>
  <c r="A51" i="7" a="1"/>
  <c r="A51" i="7" s="1"/>
  <c r="I51" i="7" a="1"/>
  <c r="I51" i="7" s="1"/>
  <c r="Q51" i="7" a="1"/>
  <c r="Q51" i="7" s="1"/>
  <c r="R51" i="7" a="1"/>
  <c r="R51" i="7" s="1"/>
  <c r="S51" i="7" a="1"/>
  <c r="S51" i="7"/>
  <c r="T51" i="7" a="1"/>
  <c r="T51" i="7" s="1"/>
  <c r="U51" i="7" a="1"/>
  <c r="U51" i="7" s="1"/>
  <c r="AC51" i="7" a="1"/>
  <c r="AC51" i="7" s="1"/>
  <c r="A52" i="7" a="1"/>
  <c r="A52" i="7" s="1"/>
  <c r="B52" i="7" a="1"/>
  <c r="B52" i="7"/>
  <c r="C52" i="7" a="1"/>
  <c r="C52" i="7" s="1"/>
  <c r="D52" i="7" a="1"/>
  <c r="D52" i="7" s="1"/>
  <c r="E52" i="7" a="1"/>
  <c r="E52" i="7" s="1"/>
  <c r="F52" i="7" a="1"/>
  <c r="F52" i="7"/>
  <c r="G52" i="7" a="1"/>
  <c r="G52" i="7" s="1"/>
  <c r="H52" i="7" a="1"/>
  <c r="H52" i="7" s="1"/>
  <c r="I52" i="7" a="1"/>
  <c r="I52" i="7"/>
  <c r="J52" i="7" a="1"/>
  <c r="J52" i="7" s="1"/>
  <c r="K52" i="7" a="1"/>
  <c r="K52" i="7" s="1"/>
  <c r="L52" i="7" a="1"/>
  <c r="L52" i="7" s="1"/>
  <c r="M52" i="7" a="1"/>
  <c r="M52" i="7" s="1"/>
  <c r="N52" i="7" a="1"/>
  <c r="N52" i="7" s="1"/>
  <c r="O52" i="7" a="1"/>
  <c r="O52" i="7" s="1"/>
  <c r="P52" i="7" a="1"/>
  <c r="P52" i="7" s="1"/>
  <c r="Q52" i="7" a="1"/>
  <c r="Q52" i="7"/>
  <c r="R52" i="7" a="1"/>
  <c r="R52" i="7" s="1"/>
  <c r="S52" i="7" a="1"/>
  <c r="S52" i="7" s="1"/>
  <c r="T52" i="7" a="1"/>
  <c r="T52" i="7" s="1"/>
  <c r="U52" i="7" a="1"/>
  <c r="U52" i="7" s="1"/>
  <c r="V52" i="7" a="1"/>
  <c r="V52" i="7" s="1"/>
  <c r="W52" i="7" a="1"/>
  <c r="W52" i="7" s="1"/>
  <c r="X52" i="7" a="1"/>
  <c r="X52" i="7" s="1"/>
  <c r="Y52" i="7" a="1"/>
  <c r="Y52" i="7" s="1"/>
  <c r="Z52" i="7" a="1"/>
  <c r="Z52" i="7" s="1"/>
  <c r="AA52" i="7" a="1"/>
  <c r="AA52" i="7" s="1"/>
  <c r="AB52" i="7" a="1"/>
  <c r="AB52" i="7"/>
  <c r="AC52" i="7" a="1"/>
  <c r="AC52" i="7" s="1"/>
  <c r="AD52" i="7" a="1"/>
  <c r="AD52" i="7" s="1"/>
  <c r="AE52" i="7" a="1"/>
  <c r="AE52" i="7" s="1"/>
  <c r="AF52" i="7" a="1"/>
  <c r="AF52" i="7" s="1"/>
  <c r="AG52" i="7" a="1"/>
  <c r="AG52" i="7" s="1"/>
  <c r="AH52" i="7" a="1"/>
  <c r="AH52" i="7" s="1"/>
  <c r="AI52" i="7" a="1"/>
  <c r="AI52" i="7" s="1"/>
  <c r="AJ52" i="7" a="1"/>
  <c r="AJ52" i="7" s="1"/>
  <c r="P53" i="7" a="1"/>
  <c r="P53" i="7" s="1"/>
  <c r="Q53" i="7" a="1"/>
  <c r="Q53" i="7"/>
  <c r="R53" i="7" a="1"/>
  <c r="R53" i="7" s="1"/>
  <c r="S53" i="7" a="1"/>
  <c r="S53" i="7" s="1"/>
  <c r="T53" i="7" a="1"/>
  <c r="T53" i="7" s="1"/>
  <c r="AJ53" i="7" a="1"/>
  <c r="AJ53" i="7" s="1"/>
  <c r="P54" i="7" a="1"/>
  <c r="P54" i="7" s="1"/>
  <c r="Q54" i="7" a="1"/>
  <c r="Q54" i="7" s="1"/>
  <c r="R54" i="7" a="1"/>
  <c r="R54" i="7" s="1"/>
  <c r="S54" i="7" a="1"/>
  <c r="S54" i="7" s="1"/>
  <c r="T54" i="7" a="1"/>
  <c r="T54" i="7" s="1"/>
  <c r="AJ54" i="7" a="1"/>
  <c r="AJ54" i="7" s="1"/>
  <c r="P55" i="7" a="1"/>
  <c r="P55" i="7" s="1"/>
  <c r="Q55" i="7" a="1"/>
  <c r="Q55" i="7" s="1"/>
  <c r="R55" i="7" a="1"/>
  <c r="R55" i="7" s="1"/>
  <c r="S55" i="7" a="1"/>
  <c r="S55" i="7" s="1"/>
  <c r="T55" i="7" a="1"/>
  <c r="T55" i="7" s="1"/>
  <c r="AJ55" i="7" a="1"/>
  <c r="AJ55" i="7" s="1"/>
  <c r="P56" i="7" a="1"/>
  <c r="P56" i="7" s="1"/>
  <c r="Q56" i="7" a="1"/>
  <c r="Q56" i="7" s="1"/>
  <c r="R56" i="7" a="1"/>
  <c r="R56" i="7" s="1"/>
  <c r="S56" i="7" a="1"/>
  <c r="S56" i="7" s="1"/>
  <c r="T56" i="7" a="1"/>
  <c r="T56" i="7" s="1"/>
  <c r="AJ56" i="7" a="1"/>
  <c r="AJ56" i="7" s="1"/>
  <c r="P57" i="7" a="1"/>
  <c r="P57" i="7" s="1"/>
  <c r="Q57" i="7" a="1"/>
  <c r="Q57" i="7" s="1"/>
  <c r="R57" i="7" a="1"/>
  <c r="R57" i="7"/>
  <c r="S57" i="7" a="1"/>
  <c r="S57" i="7" s="1"/>
  <c r="T57" i="7" a="1"/>
  <c r="T57" i="7" s="1"/>
  <c r="AJ57" i="7" a="1"/>
  <c r="AJ57" i="7" s="1"/>
  <c r="P58" i="7" a="1"/>
  <c r="P58" i="7" s="1"/>
  <c r="Q58" i="7" a="1"/>
  <c r="Q58" i="7" s="1"/>
  <c r="R58" i="7" a="1"/>
  <c r="R58" i="7" s="1"/>
  <c r="S58" i="7" a="1"/>
  <c r="S58" i="7" s="1"/>
  <c r="T58" i="7" a="1"/>
  <c r="T58" i="7" s="1"/>
  <c r="AJ58" i="7" a="1"/>
  <c r="AJ58" i="7" s="1"/>
  <c r="P59" i="7" a="1"/>
  <c r="P59" i="7" s="1"/>
  <c r="Q59" i="7" a="1"/>
  <c r="Q59" i="7" s="1"/>
  <c r="R59" i="7" a="1"/>
  <c r="R59" i="7" s="1"/>
  <c r="S59" i="7" a="1"/>
  <c r="S59" i="7" s="1"/>
  <c r="T59" i="7" a="1"/>
  <c r="T59" i="7" s="1"/>
  <c r="AJ59" i="7" a="1"/>
  <c r="AJ59" i="7" s="1"/>
  <c r="P60" i="7" a="1"/>
  <c r="P60" i="7" s="1"/>
  <c r="Q60" i="7" a="1"/>
  <c r="Q60" i="7" s="1"/>
  <c r="R60" i="7" a="1"/>
  <c r="R60" i="7" s="1"/>
  <c r="S60" i="7" a="1"/>
  <c r="S60" i="7" s="1"/>
  <c r="T60" i="7" a="1"/>
  <c r="T60" i="7" s="1"/>
  <c r="AJ60" i="7" a="1"/>
  <c r="AJ60" i="7" s="1"/>
  <c r="P61" i="7" a="1"/>
  <c r="P61" i="7" s="1"/>
  <c r="Q61" i="7" a="1"/>
  <c r="Q61" i="7" s="1"/>
  <c r="R61" i="7" a="1"/>
  <c r="R61" i="7" s="1"/>
  <c r="S61" i="7" a="1"/>
  <c r="S61" i="7" s="1"/>
  <c r="T61" i="7" a="1"/>
  <c r="T61" i="7" s="1"/>
  <c r="AJ61" i="7" a="1"/>
  <c r="AJ61" i="7" s="1"/>
  <c r="P62" i="7" a="1"/>
  <c r="P62" i="7" s="1"/>
  <c r="Q62" i="7" a="1"/>
  <c r="Q62" i="7" s="1"/>
  <c r="R62" i="7" a="1"/>
  <c r="R62" i="7" s="1"/>
  <c r="S62" i="7" a="1"/>
  <c r="S62" i="7" s="1"/>
  <c r="T62" i="7" a="1"/>
  <c r="T62" i="7" s="1"/>
  <c r="AJ62" i="7" a="1"/>
  <c r="AJ62" i="7" s="1"/>
  <c r="P63" i="7" a="1"/>
  <c r="P63" i="7" s="1"/>
  <c r="Q63" i="7" a="1"/>
  <c r="Q63" i="7" s="1"/>
  <c r="R63" i="7" a="1"/>
  <c r="R63" i="7" s="1"/>
  <c r="S63" i="7" a="1"/>
  <c r="S63" i="7" s="1"/>
  <c r="T63" i="7" a="1"/>
  <c r="T63" i="7" s="1"/>
  <c r="AJ63" i="7" a="1"/>
  <c r="AJ63" i="7" s="1"/>
  <c r="Q45" i="7" a="1"/>
  <c r="Q45" i="7" s="1"/>
  <c r="R45" i="7" a="1"/>
  <c r="R45" i="7" s="1"/>
  <c r="S45" i="7" a="1"/>
  <c r="S45" i="7" s="1"/>
  <c r="T45" i="7" a="1"/>
  <c r="T45" i="7" s="1"/>
  <c r="AJ63" i="10" a="1"/>
  <c r="AJ63" i="10" s="1"/>
  <c r="T63" i="10" a="1"/>
  <c r="T63" i="10" s="1"/>
  <c r="S63" i="10" a="1"/>
  <c r="S63" i="10" s="1"/>
  <c r="R63" i="10" a="1"/>
  <c r="R63" i="10" s="1"/>
  <c r="Q63" i="10" a="1"/>
  <c r="Q63" i="10" s="1"/>
  <c r="P63" i="10" a="1"/>
  <c r="P63" i="10" s="1"/>
  <c r="AJ62" i="10"/>
  <c r="AJ62" i="10" a="1"/>
  <c r="T62" i="10" a="1"/>
  <c r="T62" i="10" s="1"/>
  <c r="S62" i="10" a="1"/>
  <c r="S62" i="10" s="1"/>
  <c r="R62" i="10" a="1"/>
  <c r="R62" i="10" s="1"/>
  <c r="Q62" i="10" a="1"/>
  <c r="Q62" i="10" s="1"/>
  <c r="P62" i="10"/>
  <c r="P62" i="10" a="1"/>
  <c r="AJ61" i="10" a="1"/>
  <c r="AJ61" i="10" s="1"/>
  <c r="T61" i="10" a="1"/>
  <c r="T61" i="10" s="1"/>
  <c r="S61" i="10" a="1"/>
  <c r="S61" i="10" s="1"/>
  <c r="R61" i="10" a="1"/>
  <c r="R61" i="10" s="1"/>
  <c r="Q61" i="10" a="1"/>
  <c r="Q61" i="10" s="1"/>
  <c r="P61" i="10" a="1"/>
  <c r="P61" i="10" s="1"/>
  <c r="AJ60" i="10" a="1"/>
  <c r="AJ60" i="10" s="1"/>
  <c r="T60" i="10" a="1"/>
  <c r="T60" i="10" s="1"/>
  <c r="S60" i="10" a="1"/>
  <c r="S60" i="10" s="1"/>
  <c r="R60" i="10" a="1"/>
  <c r="R60" i="10" s="1"/>
  <c r="Q60" i="10" a="1"/>
  <c r="Q60" i="10" s="1"/>
  <c r="P60" i="10"/>
  <c r="P60" i="10" a="1"/>
  <c r="AJ59" i="10" a="1"/>
  <c r="AJ59" i="10" s="1"/>
  <c r="T59" i="10"/>
  <c r="T59" i="10" a="1"/>
  <c r="S59" i="10" a="1"/>
  <c r="S59" i="10" s="1"/>
  <c r="R59" i="10" a="1"/>
  <c r="R59" i="10" s="1"/>
  <c r="Q59" i="10" a="1"/>
  <c r="Q59" i="10" s="1"/>
  <c r="P59" i="10" a="1"/>
  <c r="P59" i="10" s="1"/>
  <c r="AJ58" i="10" a="1"/>
  <c r="AJ58" i="10" s="1"/>
  <c r="T58" i="10" a="1"/>
  <c r="T58" i="10" s="1"/>
  <c r="S58" i="10" a="1"/>
  <c r="S58" i="10" s="1"/>
  <c r="R58" i="10" a="1"/>
  <c r="R58" i="10" s="1"/>
  <c r="Q58" i="10" a="1"/>
  <c r="Q58" i="10" s="1"/>
  <c r="P58" i="10" a="1"/>
  <c r="P58" i="10" s="1"/>
  <c r="AJ57" i="10" a="1"/>
  <c r="AJ57" i="10" s="1"/>
  <c r="T57" i="10" a="1"/>
  <c r="T57" i="10" s="1"/>
  <c r="S57" i="10" a="1"/>
  <c r="S57" i="10" s="1"/>
  <c r="R57" i="10" a="1"/>
  <c r="R57" i="10" s="1"/>
  <c r="Q57" i="10" a="1"/>
  <c r="Q57" i="10" s="1"/>
  <c r="P57" i="10"/>
  <c r="P57" i="10" a="1"/>
  <c r="AJ56" i="10" a="1"/>
  <c r="AJ56" i="10" s="1"/>
  <c r="T56" i="10" a="1"/>
  <c r="T56" i="10" s="1"/>
  <c r="S56" i="10" a="1"/>
  <c r="S56" i="10" s="1"/>
  <c r="R56" i="10" a="1"/>
  <c r="R56" i="10" s="1"/>
  <c r="Q56" i="10"/>
  <c r="Q56" i="10" a="1"/>
  <c r="P56" i="10" a="1"/>
  <c r="P56" i="10" s="1"/>
  <c r="AJ55" i="10" a="1"/>
  <c r="AJ55" i="10" s="1"/>
  <c r="T55" i="10" a="1"/>
  <c r="T55" i="10" s="1"/>
  <c r="S55" i="10" a="1"/>
  <c r="S55" i="10" s="1"/>
  <c r="R55" i="10" a="1"/>
  <c r="R55" i="10" s="1"/>
  <c r="Q55" i="10" a="1"/>
  <c r="Q55" i="10" s="1"/>
  <c r="P55" i="10"/>
  <c r="P55" i="10" a="1"/>
  <c r="AJ54" i="10" a="1"/>
  <c r="AJ54" i="10" s="1"/>
  <c r="T54" i="10" a="1"/>
  <c r="T54" i="10" s="1"/>
  <c r="S54" i="10" a="1"/>
  <c r="S54" i="10" s="1"/>
  <c r="R54" i="10" a="1"/>
  <c r="R54" i="10" s="1"/>
  <c r="Q54" i="10"/>
  <c r="Q54" i="10" a="1"/>
  <c r="P54" i="10" a="1"/>
  <c r="P54" i="10" s="1"/>
  <c r="AJ53" i="10" a="1"/>
  <c r="AJ53" i="10" s="1"/>
  <c r="T53" i="10" a="1"/>
  <c r="T53" i="10" s="1"/>
  <c r="S53" i="10" a="1"/>
  <c r="S53" i="10" s="1"/>
  <c r="R53" i="10" a="1"/>
  <c r="R53" i="10" s="1"/>
  <c r="Q53" i="10" a="1"/>
  <c r="Q53" i="10" s="1"/>
  <c r="P53" i="10" a="1"/>
  <c r="P53" i="10" s="1"/>
  <c r="AJ52" i="10" a="1"/>
  <c r="AJ52" i="10" s="1"/>
  <c r="T52" i="10" a="1"/>
  <c r="T52" i="10" s="1"/>
  <c r="S52" i="10" a="1"/>
  <c r="S52" i="10" s="1"/>
  <c r="R52" i="10"/>
  <c r="R52" i="10" a="1"/>
  <c r="Q52" i="10" a="1"/>
  <c r="Q52" i="10" s="1"/>
  <c r="P52" i="10" a="1"/>
  <c r="P52" i="10" s="1"/>
  <c r="AJ51" i="10" a="1"/>
  <c r="AJ51" i="10" s="1"/>
  <c r="T51" i="10" a="1"/>
  <c r="T51" i="10" s="1"/>
  <c r="S51" i="10"/>
  <c r="S51" i="10" a="1"/>
  <c r="R51" i="10" a="1"/>
  <c r="R51" i="10" s="1"/>
  <c r="Q51" i="10" a="1"/>
  <c r="Q51" i="10" s="1"/>
  <c r="P51" i="10" a="1"/>
  <c r="P51" i="10" s="1"/>
  <c r="AJ50" i="10" a="1"/>
  <c r="AJ50" i="10" s="1"/>
  <c r="AI50" i="10" a="1"/>
  <c r="AI50" i="10" s="1"/>
  <c r="AH50" i="10" a="1"/>
  <c r="AH50" i="10" s="1"/>
  <c r="AG50" i="10" a="1"/>
  <c r="AG50" i="10" s="1"/>
  <c r="AF50" i="10" a="1"/>
  <c r="AF50" i="10" s="1"/>
  <c r="AE50" i="10" a="1"/>
  <c r="AE50" i="10" s="1"/>
  <c r="AD50" i="10" a="1"/>
  <c r="AD50" i="10" s="1"/>
  <c r="AC50" i="10" a="1"/>
  <c r="AC50" i="10" s="1"/>
  <c r="AB50" i="10" a="1"/>
  <c r="AB50" i="10" s="1"/>
  <c r="AA50" i="10" a="1"/>
  <c r="AA50" i="10" s="1"/>
  <c r="Z50" i="10" a="1"/>
  <c r="Z50" i="10" s="1"/>
  <c r="Y50" i="10" a="1"/>
  <c r="Y50" i="10" s="1"/>
  <c r="X50" i="10" a="1"/>
  <c r="X50" i="10" s="1"/>
  <c r="W50" i="10" a="1"/>
  <c r="W50" i="10" s="1"/>
  <c r="V50" i="10" a="1"/>
  <c r="V50" i="10" s="1"/>
  <c r="U50" i="10" a="1"/>
  <c r="U50" i="10" s="1"/>
  <c r="T50" i="10"/>
  <c r="T50" i="10" a="1"/>
  <c r="S50" i="10" a="1"/>
  <c r="S50" i="10" s="1"/>
  <c r="R50" i="10" a="1"/>
  <c r="R50" i="10" s="1"/>
  <c r="Q50" i="10" a="1"/>
  <c r="Q50" i="10" s="1"/>
  <c r="P50" i="10" a="1"/>
  <c r="P50" i="10" s="1"/>
  <c r="O50" i="10" a="1"/>
  <c r="O50" i="10" s="1"/>
  <c r="N50" i="10" a="1"/>
  <c r="N50" i="10" s="1"/>
  <c r="M50" i="10" a="1"/>
  <c r="M50" i="10" s="1"/>
  <c r="L50" i="10" a="1"/>
  <c r="L50" i="10" s="1"/>
  <c r="K50" i="10" a="1"/>
  <c r="K50" i="10" s="1"/>
  <c r="J50" i="10" a="1"/>
  <c r="J50" i="10" s="1"/>
  <c r="I50" i="10" a="1"/>
  <c r="I50" i="10" s="1"/>
  <c r="H50" i="10" a="1"/>
  <c r="H50" i="10" s="1"/>
  <c r="G50" i="10" a="1"/>
  <c r="G50" i="10" s="1"/>
  <c r="F50" i="10" a="1"/>
  <c r="F50" i="10" s="1"/>
  <c r="E50" i="10" a="1"/>
  <c r="E50" i="10" s="1"/>
  <c r="D50" i="10" a="1"/>
  <c r="D50" i="10" s="1"/>
  <c r="C50" i="10" a="1"/>
  <c r="C50" i="10" s="1"/>
  <c r="B50" i="10" a="1"/>
  <c r="B50" i="10" s="1"/>
  <c r="A50" i="10" a="1"/>
  <c r="A50" i="10" s="1"/>
  <c r="T49" i="10" a="1"/>
  <c r="T49" i="10" s="1"/>
  <c r="S49" i="10" a="1"/>
  <c r="S49" i="10" s="1"/>
  <c r="R49" i="10" a="1"/>
  <c r="R49" i="10" s="1"/>
  <c r="Q49" i="10" a="1"/>
  <c r="Q49" i="10" s="1"/>
  <c r="T48" i="10" a="1"/>
  <c r="T48" i="10" s="1"/>
  <c r="S48" i="10" a="1"/>
  <c r="S48" i="10" s="1"/>
  <c r="R48" i="10" a="1"/>
  <c r="R48" i="10" s="1"/>
  <c r="Q48" i="10" a="1"/>
  <c r="Q48" i="10" s="1"/>
  <c r="T47" i="10" a="1"/>
  <c r="T47" i="10" s="1"/>
  <c r="S47" i="10" a="1"/>
  <c r="S47" i="10" s="1"/>
  <c r="R47" i="10" a="1"/>
  <c r="R47" i="10" s="1"/>
  <c r="Q47" i="10" a="1"/>
  <c r="Q47" i="10" s="1"/>
  <c r="T46" i="10" a="1"/>
  <c r="T46" i="10" s="1"/>
  <c r="S46" i="10" a="1"/>
  <c r="S46" i="10" s="1"/>
  <c r="R46" i="10" a="1"/>
  <c r="R46" i="10" s="1"/>
  <c r="Q46" i="10" a="1"/>
  <c r="Q46" i="10" s="1"/>
  <c r="T45" i="10" a="1"/>
  <c r="T45" i="10" s="1"/>
  <c r="S45" i="10" a="1"/>
  <c r="S45" i="10" s="1"/>
  <c r="R45" i="10" a="1"/>
  <c r="R45" i="10" s="1"/>
  <c r="Q45" i="10" a="1"/>
  <c r="Q45" i="10" s="1"/>
  <c r="AJ63" i="9" a="1"/>
  <c r="AJ63" i="9" s="1"/>
  <c r="T63" i="9" a="1"/>
  <c r="T63" i="9" s="1"/>
  <c r="S63" i="9" a="1"/>
  <c r="S63" i="9" s="1"/>
  <c r="R63" i="9" a="1"/>
  <c r="R63" i="9" s="1"/>
  <c r="Q63" i="9" a="1"/>
  <c r="Q63" i="9" s="1"/>
  <c r="P63" i="9" a="1"/>
  <c r="P63" i="9" s="1"/>
  <c r="AJ62" i="9" a="1"/>
  <c r="AJ62" i="9" s="1"/>
  <c r="T62" i="9" a="1"/>
  <c r="T62" i="9" s="1"/>
  <c r="S62" i="9" a="1"/>
  <c r="S62" i="9" s="1"/>
  <c r="R62" i="9" a="1"/>
  <c r="R62" i="9" s="1"/>
  <c r="Q62" i="9" a="1"/>
  <c r="Q62" i="9" s="1"/>
  <c r="P62" i="9" a="1"/>
  <c r="P62" i="9" s="1"/>
  <c r="AJ61" i="9" a="1"/>
  <c r="AJ61" i="9" s="1"/>
  <c r="T61" i="9" a="1"/>
  <c r="T61" i="9" s="1"/>
  <c r="S61" i="9" a="1"/>
  <c r="S61" i="9" s="1"/>
  <c r="R61" i="9" a="1"/>
  <c r="R61" i="9" s="1"/>
  <c r="Q61" i="9" a="1"/>
  <c r="Q61" i="9" s="1"/>
  <c r="P61" i="9" a="1"/>
  <c r="P61" i="9" s="1"/>
  <c r="AJ60" i="9" a="1"/>
  <c r="AJ60" i="9" s="1"/>
  <c r="T60" i="9" a="1"/>
  <c r="T60" i="9" s="1"/>
  <c r="S60" i="9" a="1"/>
  <c r="S60" i="9" s="1"/>
  <c r="R60" i="9" a="1"/>
  <c r="R60" i="9" s="1"/>
  <c r="Q60" i="9" a="1"/>
  <c r="Q60" i="9" s="1"/>
  <c r="P60" i="9" a="1"/>
  <c r="P60" i="9" s="1"/>
  <c r="AJ59" i="9" a="1"/>
  <c r="AJ59" i="9" s="1"/>
  <c r="T59" i="9" a="1"/>
  <c r="T59" i="9" s="1"/>
  <c r="S59" i="9" a="1"/>
  <c r="S59" i="9" s="1"/>
  <c r="R59" i="9" a="1"/>
  <c r="R59" i="9" s="1"/>
  <c r="Q59" i="9" a="1"/>
  <c r="Q59" i="9" s="1"/>
  <c r="P59" i="9" a="1"/>
  <c r="P59" i="9" s="1"/>
  <c r="AJ58" i="9" a="1"/>
  <c r="AJ58" i="9" s="1"/>
  <c r="T58" i="9" a="1"/>
  <c r="T58" i="9" s="1"/>
  <c r="S58" i="9" a="1"/>
  <c r="S58" i="9" s="1"/>
  <c r="R58" i="9" a="1"/>
  <c r="R58" i="9" s="1"/>
  <c r="Q58" i="9" a="1"/>
  <c r="Q58" i="9" s="1"/>
  <c r="P58" i="9" a="1"/>
  <c r="P58" i="9" s="1"/>
  <c r="AJ57" i="9" a="1"/>
  <c r="AJ57" i="9" s="1"/>
  <c r="T57" i="9" a="1"/>
  <c r="T57" i="9" s="1"/>
  <c r="S57" i="9" a="1"/>
  <c r="S57" i="9" s="1"/>
  <c r="R57" i="9" a="1"/>
  <c r="R57" i="9" s="1"/>
  <c r="Q57" i="9" a="1"/>
  <c r="Q57" i="9" s="1"/>
  <c r="P57" i="9" a="1"/>
  <c r="P57" i="9" s="1"/>
  <c r="AJ56" i="9" a="1"/>
  <c r="AJ56" i="9" s="1"/>
  <c r="T56" i="9" a="1"/>
  <c r="T56" i="9" s="1"/>
  <c r="S56" i="9" a="1"/>
  <c r="S56" i="9" s="1"/>
  <c r="R56" i="9" a="1"/>
  <c r="R56" i="9" s="1"/>
  <c r="Q56" i="9" a="1"/>
  <c r="Q56" i="9" s="1"/>
  <c r="P56" i="9"/>
  <c r="P56" i="9" a="1"/>
  <c r="AJ55" i="9" a="1"/>
  <c r="AJ55" i="9" s="1"/>
  <c r="T55" i="9"/>
  <c r="T55" i="9" a="1"/>
  <c r="S55" i="9" a="1"/>
  <c r="S55" i="9" s="1"/>
  <c r="R55" i="9" a="1"/>
  <c r="R55" i="9" s="1"/>
  <c r="Q55" i="9" a="1"/>
  <c r="Q55" i="9" s="1"/>
  <c r="P55" i="9" a="1"/>
  <c r="P55" i="9" s="1"/>
  <c r="AJ54" i="9"/>
  <c r="AJ54" i="9" a="1"/>
  <c r="T54" i="9" a="1"/>
  <c r="T54" i="9" s="1"/>
  <c r="S54" i="9"/>
  <c r="S54" i="9" a="1"/>
  <c r="R54" i="9" a="1"/>
  <c r="R54" i="9" s="1"/>
  <c r="Q54" i="9"/>
  <c r="Q54" i="9" a="1"/>
  <c r="P54" i="9"/>
  <c r="P54" i="9" a="1"/>
  <c r="AJ53" i="9" a="1"/>
  <c r="AJ53" i="9" s="1"/>
  <c r="T53" i="9" a="1"/>
  <c r="T53" i="9" s="1"/>
  <c r="S53" i="9" a="1"/>
  <c r="S53" i="9" s="1"/>
  <c r="R53" i="9" a="1"/>
  <c r="R53" i="9" s="1"/>
  <c r="Q53" i="9" a="1"/>
  <c r="Q53" i="9" s="1"/>
  <c r="P53" i="9" a="1"/>
  <c r="P53" i="9" s="1"/>
  <c r="AJ52" i="9" a="1"/>
  <c r="AJ52" i="9" s="1"/>
  <c r="T52" i="9" a="1"/>
  <c r="T52" i="9" s="1"/>
  <c r="S52" i="9"/>
  <c r="S52" i="9" a="1"/>
  <c r="R52" i="9" a="1"/>
  <c r="R52" i="9" s="1"/>
  <c r="Q52" i="9" a="1"/>
  <c r="Q52" i="9" s="1"/>
  <c r="P52" i="9" a="1"/>
  <c r="P52" i="9" s="1"/>
  <c r="AJ51" i="9" a="1"/>
  <c r="AJ51" i="9" s="1"/>
  <c r="T51" i="9" a="1"/>
  <c r="T51" i="9" s="1"/>
  <c r="S51" i="9" a="1"/>
  <c r="S51" i="9" s="1"/>
  <c r="R51" i="9" a="1"/>
  <c r="R51" i="9" s="1"/>
  <c r="Q51" i="9"/>
  <c r="Q51" i="9" a="1"/>
  <c r="P51" i="9" a="1"/>
  <c r="P51" i="9" s="1"/>
  <c r="AJ50" i="9" a="1"/>
  <c r="AJ50" i="9" s="1"/>
  <c r="AI50" i="9" a="1"/>
  <c r="AI50" i="9" s="1"/>
  <c r="AH50" i="9" a="1"/>
  <c r="AH50" i="9" s="1"/>
  <c r="AG50" i="9" a="1"/>
  <c r="AG50" i="9" s="1"/>
  <c r="AF50" i="9" a="1"/>
  <c r="AF50" i="9" s="1"/>
  <c r="AE50" i="9" a="1"/>
  <c r="AE50" i="9" s="1"/>
  <c r="AD50" i="9"/>
  <c r="AD50" i="9" a="1"/>
  <c r="AC50" i="9"/>
  <c r="AC50" i="9" a="1"/>
  <c r="AB50" i="9" a="1"/>
  <c r="AB50" i="9" s="1"/>
  <c r="AA50" i="9" a="1"/>
  <c r="AA50" i="9" s="1"/>
  <c r="Z50" i="9"/>
  <c r="Z50" i="9" a="1"/>
  <c r="Y50" i="9" a="1"/>
  <c r="Y50" i="9" s="1"/>
  <c r="X50" i="9"/>
  <c r="X50" i="9" a="1"/>
  <c r="W50" i="9" a="1"/>
  <c r="W50" i="9" s="1"/>
  <c r="V50" i="9" a="1"/>
  <c r="V50" i="9" s="1"/>
  <c r="U50" i="9" a="1"/>
  <c r="U50" i="9" s="1"/>
  <c r="T50" i="9" a="1"/>
  <c r="T50" i="9" s="1"/>
  <c r="S50" i="9"/>
  <c r="S50" i="9" a="1"/>
  <c r="R50" i="9"/>
  <c r="R50" i="9" a="1"/>
  <c r="Q50" i="9" a="1"/>
  <c r="Q50" i="9" s="1"/>
  <c r="P50" i="9" a="1"/>
  <c r="P50" i="9" s="1"/>
  <c r="O50" i="9" a="1"/>
  <c r="O50" i="9" s="1"/>
  <c r="N50" i="9" a="1"/>
  <c r="N50" i="9" s="1"/>
  <c r="M50" i="9"/>
  <c r="M50" i="9" a="1"/>
  <c r="L50" i="9" a="1"/>
  <c r="L50" i="9" s="1"/>
  <c r="K50" i="9" a="1"/>
  <c r="K50" i="9" s="1"/>
  <c r="J50" i="9" a="1"/>
  <c r="J50" i="9" s="1"/>
  <c r="I50" i="9" a="1"/>
  <c r="I50" i="9" s="1"/>
  <c r="H50" i="9" a="1"/>
  <c r="H50" i="9" s="1"/>
  <c r="G50" i="9" a="1"/>
  <c r="G50" i="9" s="1"/>
  <c r="F50" i="9" a="1"/>
  <c r="F50" i="9" s="1"/>
  <c r="E50" i="9" a="1"/>
  <c r="E50" i="9" s="1"/>
  <c r="D50" i="9" a="1"/>
  <c r="D50" i="9" s="1"/>
  <c r="C50" i="9" a="1"/>
  <c r="C50" i="9" s="1"/>
  <c r="B50" i="9" a="1"/>
  <c r="B50" i="9" s="1"/>
  <c r="A50" i="9"/>
  <c r="A50" i="9" a="1"/>
  <c r="T49" i="9" a="1"/>
  <c r="T49" i="9" s="1"/>
  <c r="S49" i="9" a="1"/>
  <c r="S49" i="9" s="1"/>
  <c r="R49" i="9" a="1"/>
  <c r="R49" i="9" s="1"/>
  <c r="Q49" i="9" a="1"/>
  <c r="Q49" i="9" s="1"/>
  <c r="T48" i="9" a="1"/>
  <c r="T48" i="9" s="1"/>
  <c r="S48" i="9" a="1"/>
  <c r="S48" i="9" s="1"/>
  <c r="R48" i="9"/>
  <c r="R48" i="9" a="1"/>
  <c r="Q48" i="9" a="1"/>
  <c r="Q48" i="9" s="1"/>
  <c r="T47" i="9" a="1"/>
  <c r="T47" i="9" s="1"/>
  <c r="S47" i="9" a="1"/>
  <c r="S47" i="9" s="1"/>
  <c r="R47" i="9" a="1"/>
  <c r="R47" i="9" s="1"/>
  <c r="Q47" i="9" a="1"/>
  <c r="Q47" i="9" s="1"/>
  <c r="T46" i="9" a="1"/>
  <c r="T46" i="9" s="1"/>
  <c r="S46" i="9" a="1"/>
  <c r="S46" i="9" s="1"/>
  <c r="R46" i="9" a="1"/>
  <c r="R46" i="9" s="1"/>
  <c r="Q46" i="9" a="1"/>
  <c r="Q46" i="9" s="1"/>
  <c r="T45" i="9" a="1"/>
  <c r="T45" i="9" s="1"/>
  <c r="S45" i="9"/>
  <c r="S45" i="9" a="1"/>
  <c r="R45" i="9" a="1"/>
  <c r="R45" i="9" s="1"/>
  <c r="Q45" i="9" a="1"/>
  <c r="Q45" i="9" s="1"/>
  <c r="Q46" i="8" a="1"/>
  <c r="Q46" i="8" s="1"/>
  <c r="R46" i="8" a="1"/>
  <c r="R46" i="8"/>
  <c r="S46" i="8" a="1"/>
  <c r="S46" i="8"/>
  <c r="T46" i="8" a="1"/>
  <c r="T46" i="8" s="1"/>
  <c r="Q47" i="8" a="1"/>
  <c r="Q47" i="8" s="1"/>
  <c r="R47" i="8" a="1"/>
  <c r="R47" i="8" s="1"/>
  <c r="S47" i="8" a="1"/>
  <c r="S47" i="8" s="1"/>
  <c r="T47" i="8" a="1"/>
  <c r="T47" i="8" s="1"/>
  <c r="Q48" i="8" a="1"/>
  <c r="Q48" i="8" s="1"/>
  <c r="R48" i="8" a="1"/>
  <c r="R48" i="8"/>
  <c r="S48" i="8" a="1"/>
  <c r="S48" i="8" s="1"/>
  <c r="T48" i="8" a="1"/>
  <c r="T48" i="8" s="1"/>
  <c r="Q49" i="8" a="1"/>
  <c r="Q49" i="8" s="1"/>
  <c r="R49" i="8" a="1"/>
  <c r="R49" i="8" s="1"/>
  <c r="S49" i="8" a="1"/>
  <c r="S49" i="8" s="1"/>
  <c r="T49" i="8" a="1"/>
  <c r="T49" i="8" s="1"/>
  <c r="A50" i="8" a="1"/>
  <c r="A50" i="8" s="1"/>
  <c r="B50" i="8" a="1"/>
  <c r="B50" i="8" s="1"/>
  <c r="C50" i="8" a="1"/>
  <c r="C50" i="8"/>
  <c r="D50" i="8" a="1"/>
  <c r="D50" i="8"/>
  <c r="E50" i="8" a="1"/>
  <c r="E50" i="8"/>
  <c r="F50" i="8" a="1"/>
  <c r="F50" i="8" s="1"/>
  <c r="G50" i="8" a="1"/>
  <c r="G50" i="8" s="1"/>
  <c r="H50" i="8" a="1"/>
  <c r="H50" i="8" s="1"/>
  <c r="I50" i="8" a="1"/>
  <c r="I50" i="8" s="1"/>
  <c r="J50" i="8" a="1"/>
  <c r="J50" i="8"/>
  <c r="K50" i="8" a="1"/>
  <c r="K50" i="8"/>
  <c r="L50" i="8" a="1"/>
  <c r="L50" i="8" s="1"/>
  <c r="M50" i="8" a="1"/>
  <c r="M50" i="8"/>
  <c r="N50" i="8" a="1"/>
  <c r="N50" i="8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/>
  <c r="AA50" i="8" a="1"/>
  <c r="AA50" i="8" s="1"/>
  <c r="AB50" i="8" a="1"/>
  <c r="AB50" i="8" s="1"/>
  <c r="AC50" i="8" a="1"/>
  <c r="AC50" i="8" s="1"/>
  <c r="AD50" i="8" a="1"/>
  <c r="AD50" i="8" s="1"/>
  <c r="AE50" i="8" a="1"/>
  <c r="AE50" i="8"/>
  <c r="AF50" i="8" a="1"/>
  <c r="AF50" i="8" s="1"/>
  <c r="AG50" i="8" a="1"/>
  <c r="AG50" i="8" s="1"/>
  <c r="AH50" i="8" a="1"/>
  <c r="AH50" i="8" s="1"/>
  <c r="AI50" i="8" a="1"/>
  <c r="AI50" i="8" s="1"/>
  <c r="AJ50" i="8" a="1"/>
  <c r="AJ50" i="8"/>
  <c r="P51" i="8" a="1"/>
  <c r="P51" i="8" s="1"/>
  <c r="Q51" i="8" a="1"/>
  <c r="Q51" i="8"/>
  <c r="R51" i="8" a="1"/>
  <c r="R51" i="8" s="1"/>
  <c r="S51" i="8" a="1"/>
  <c r="S51" i="8" s="1"/>
  <c r="T51" i="8" a="1"/>
  <c r="T51" i="8" s="1"/>
  <c r="AJ51" i="8" a="1"/>
  <c r="AJ51" i="8" s="1"/>
  <c r="P52" i="8" a="1"/>
  <c r="P52" i="8" s="1"/>
  <c r="Q52" i="8" a="1"/>
  <c r="Q52" i="8"/>
  <c r="R52" i="8" a="1"/>
  <c r="R52" i="8" s="1"/>
  <c r="S52" i="8" a="1"/>
  <c r="S52" i="8" s="1"/>
  <c r="T52" i="8" a="1"/>
  <c r="T52" i="8" s="1"/>
  <c r="AJ52" i="8" a="1"/>
  <c r="AJ52" i="8" s="1"/>
  <c r="P53" i="8" a="1"/>
  <c r="P53" i="8"/>
  <c r="Q53" i="8" a="1"/>
  <c r="Q53" i="8" s="1"/>
  <c r="R53" i="8" a="1"/>
  <c r="R53" i="8" s="1"/>
  <c r="S53" i="8" a="1"/>
  <c r="S53" i="8" s="1"/>
  <c r="T53" i="8" a="1"/>
  <c r="T53" i="8" s="1"/>
  <c r="AJ53" i="8" a="1"/>
  <c r="AJ53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AJ54" i="8" a="1"/>
  <c r="AJ54" i="8"/>
  <c r="P55" i="8" a="1"/>
  <c r="P55" i="8"/>
  <c r="Q55" i="8" a="1"/>
  <c r="Q55" i="8" s="1"/>
  <c r="R55" i="8" a="1"/>
  <c r="R55" i="8" s="1"/>
  <c r="S55" i="8" a="1"/>
  <c r="S55" i="8" s="1"/>
  <c r="T55" i="8" a="1"/>
  <c r="T55" i="8" s="1"/>
  <c r="AJ55" i="8" a="1"/>
  <c r="AJ55" i="8" s="1"/>
  <c r="P56" i="8" a="1"/>
  <c r="P56" i="8" s="1"/>
  <c r="Q56" i="8" a="1"/>
  <c r="Q56" i="8" s="1"/>
  <c r="R56" i="8" a="1"/>
  <c r="R56" i="8"/>
  <c r="S56" i="8" a="1"/>
  <c r="S56" i="8"/>
  <c r="T56" i="8" a="1"/>
  <c r="T56" i="8" s="1"/>
  <c r="AJ56" i="8" a="1"/>
  <c r="AJ56" i="8" s="1"/>
  <c r="P57" i="8" a="1"/>
  <c r="P57" i="8" s="1"/>
  <c r="Q57" i="8" a="1"/>
  <c r="Q57" i="8" s="1"/>
  <c r="R57" i="8" a="1"/>
  <c r="R57" i="8"/>
  <c r="S57" i="8" a="1"/>
  <c r="S57" i="8" s="1"/>
  <c r="T57" i="8" a="1"/>
  <c r="T57" i="8" s="1"/>
  <c r="AJ57" i="8" a="1"/>
  <c r="AJ57" i="8"/>
  <c r="P58" i="8" a="1"/>
  <c r="P58" i="8" s="1"/>
  <c r="Q58" i="8" a="1"/>
  <c r="Q58" i="8" s="1"/>
  <c r="R58" i="8" a="1"/>
  <c r="R58" i="8"/>
  <c r="S58" i="8" a="1"/>
  <c r="S58" i="8"/>
  <c r="T58" i="8" a="1"/>
  <c r="T58" i="8"/>
  <c r="AJ58" i="8" a="1"/>
  <c r="AJ58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AJ59" i="8" a="1"/>
  <c r="AJ59" i="8"/>
  <c r="P60" i="8" a="1"/>
  <c r="P60" i="8" s="1"/>
  <c r="Q60" i="8" a="1"/>
  <c r="Q60" i="8" s="1"/>
  <c r="R60" i="8" a="1"/>
  <c r="R60" i="8"/>
  <c r="S60" i="8" a="1"/>
  <c r="S60" i="8" s="1"/>
  <c r="T60" i="8" a="1"/>
  <c r="T60" i="8" s="1"/>
  <c r="AJ60" i="8" a="1"/>
  <c r="AJ60" i="8"/>
  <c r="P61" i="8" a="1"/>
  <c r="P61" i="8"/>
  <c r="Q61" i="8" a="1"/>
  <c r="Q61" i="8" s="1"/>
  <c r="R61" i="8" a="1"/>
  <c r="R61" i="8" s="1"/>
  <c r="S61" i="8" a="1"/>
  <c r="S61" i="8"/>
  <c r="T61" i="8" a="1"/>
  <c r="T61" i="8" s="1"/>
  <c r="AJ61" i="8" a="1"/>
  <c r="AJ61" i="8" s="1"/>
  <c r="P62" i="8" a="1"/>
  <c r="P62" i="8" s="1"/>
  <c r="Q62" i="8" a="1"/>
  <c r="Q62" i="8" s="1"/>
  <c r="R62" i="8" a="1"/>
  <c r="R62" i="8" s="1"/>
  <c r="S62" i="8" a="1"/>
  <c r="S62" i="8"/>
  <c r="T62" i="8" a="1"/>
  <c r="T62" i="8"/>
  <c r="AJ62" i="8" a="1"/>
  <c r="AJ62" i="8" s="1"/>
  <c r="P63" i="8" a="1"/>
  <c r="P63" i="8" s="1"/>
  <c r="Q63" i="8" a="1"/>
  <c r="Q63" i="8" s="1"/>
  <c r="R63" i="8" a="1"/>
  <c r="R63" i="8"/>
  <c r="S63" i="8" a="1"/>
  <c r="S63" i="8"/>
  <c r="T63" i="8" a="1"/>
  <c r="T63" i="8" s="1"/>
  <c r="AJ63" i="8" a="1"/>
  <c r="AJ63" i="8" s="1"/>
  <c r="Q45" i="8" a="1"/>
  <c r="Q45" i="8" s="1"/>
  <c r="R45" i="8" a="1"/>
  <c r="R45" i="8" s="1"/>
  <c r="S45" i="8" a="1"/>
  <c r="S45" i="8" s="1"/>
  <c r="T45" i="8" a="1"/>
  <c r="T45" i="8" s="1"/>
  <c r="X6" i="6" l="1"/>
  <c r="O95" i="11" s="1" a="1"/>
  <c r="O95" i="11" s="1"/>
  <c r="O96" i="11" s="1"/>
  <c r="U96" i="11" s="1" a="1"/>
  <c r="U96" i="11" s="1"/>
  <c r="X12" i="6"/>
  <c r="O99" i="11" s="1" a="1"/>
  <c r="O99" i="11" s="1"/>
  <c r="X96" i="11" s="1" a="1"/>
  <c r="X96" i="11" s="1"/>
  <c r="Q77" i="12"/>
  <c r="J76" i="11" s="1"/>
  <c r="Q75" i="12"/>
  <c r="J14" i="11" s="1"/>
  <c r="G39" i="12"/>
  <c r="AH51" i="12" s="1" a="1"/>
  <c r="AH51" i="12" s="1"/>
  <c r="N51" i="12" a="1"/>
  <c r="N51" i="12" s="1"/>
  <c r="N79" i="12" s="1"/>
  <c r="G101" i="11" s="1"/>
  <c r="G32" i="12"/>
  <c r="AA51" i="12" s="1" a="1"/>
  <c r="AA51" i="12" s="1"/>
  <c r="G51" i="12" a="1"/>
  <c r="G51" i="12" s="1"/>
  <c r="G36" i="12"/>
  <c r="AE51" i="12" s="1" a="1"/>
  <c r="AE51" i="12" s="1"/>
  <c r="K51" i="12" a="1"/>
  <c r="K51" i="12" s="1"/>
  <c r="K79" i="12" s="1"/>
  <c r="D101" i="11" s="1"/>
  <c r="G30" i="12"/>
  <c r="Y51" i="12" s="1" a="1"/>
  <c r="Y51" i="12" s="1"/>
  <c r="E51" i="12" a="1"/>
  <c r="E51" i="12" s="1"/>
  <c r="I69" i="11"/>
  <c r="I77" i="12"/>
  <c r="J69" i="11" s="1"/>
  <c r="X7" i="6"/>
  <c r="P95" i="11" s="1" a="1"/>
  <c r="P95" i="11" s="1"/>
  <c r="X13" i="6"/>
  <c r="P99" i="11" s="1" a="1"/>
  <c r="P99" i="11" s="1"/>
  <c r="X97" i="11" s="1" a="1"/>
  <c r="X97" i="11" s="1"/>
  <c r="G40" i="12"/>
  <c r="AI51" i="12" s="1" a="1"/>
  <c r="AI51" i="12" s="1"/>
  <c r="O51" i="12" a="1"/>
  <c r="O51" i="12" s="1"/>
  <c r="X8" i="6"/>
  <c r="Q95" i="11" s="1" a="1"/>
  <c r="Q95" i="11" s="1"/>
  <c r="G28" i="12"/>
  <c r="W51" i="12" s="1" a="1"/>
  <c r="W51" i="12" s="1"/>
  <c r="C51" i="12" a="1"/>
  <c r="C51" i="12" s="1"/>
  <c r="G37" i="12"/>
  <c r="AF51" i="12" s="1" a="1"/>
  <c r="AF51" i="12" s="1"/>
  <c r="L51" i="12" a="1"/>
  <c r="L51" i="12" s="1"/>
  <c r="X14" i="6"/>
  <c r="Q99" i="11" s="1" a="1"/>
  <c r="Q99" i="11" s="1"/>
  <c r="X98" i="11" s="1" a="1"/>
  <c r="X98" i="11" s="1"/>
  <c r="G29" i="12"/>
  <c r="X51" i="12" s="1" a="1"/>
  <c r="X51" i="12" s="1"/>
  <c r="D51" i="12" a="1"/>
  <c r="D51" i="12" s="1"/>
  <c r="D79" i="12" s="1"/>
  <c r="E97" i="11" s="1"/>
  <c r="G38" i="12"/>
  <c r="AG51" i="12" s="1" a="1"/>
  <c r="AG51" i="12" s="1"/>
  <c r="M51" i="12" a="1"/>
  <c r="M51" i="12" s="1"/>
  <c r="X11" i="6"/>
  <c r="N99" i="11" s="1" a="1"/>
  <c r="N99" i="11" s="1"/>
  <c r="X95" i="11" s="1" a="1"/>
  <c r="X95" i="11" s="1"/>
  <c r="G31" i="12"/>
  <c r="Z51" i="12" s="1" a="1"/>
  <c r="Z51" i="12" s="1"/>
  <c r="F51" i="12" a="1"/>
  <c r="F51" i="12" s="1"/>
  <c r="X5" i="6"/>
  <c r="N95" i="11" s="1" a="1"/>
  <c r="N95" i="11" s="1"/>
  <c r="G21" i="12"/>
  <c r="P51" i="12" s="1" a="1"/>
  <c r="P51" i="12" s="1"/>
  <c r="G13" i="12"/>
  <c r="H51" i="12" s="1" a="1"/>
  <c r="H51" i="12" s="1"/>
  <c r="O71" i="11"/>
  <c r="P71" i="11"/>
  <c r="Q71" i="11"/>
  <c r="N71" i="11"/>
  <c r="O64" i="11"/>
  <c r="P64" i="11"/>
  <c r="Q64" i="11"/>
  <c r="N64" i="11"/>
  <c r="O40" i="11"/>
  <c r="P40" i="11"/>
  <c r="Q40" i="11"/>
  <c r="N40" i="11"/>
  <c r="O33" i="11"/>
  <c r="P33" i="11"/>
  <c r="Q33" i="11"/>
  <c r="N33" i="11"/>
  <c r="O9" i="11"/>
  <c r="P9" i="11"/>
  <c r="Q9" i="11"/>
  <c r="N9" i="11"/>
  <c r="O2" i="11"/>
  <c r="P2" i="11"/>
  <c r="Q2" i="11"/>
  <c r="N2" i="11"/>
  <c r="G27" i="8"/>
  <c r="V51" i="8" s="1" a="1"/>
  <c r="V51" i="8" s="1"/>
  <c r="H27" i="8"/>
  <c r="V52" i="8" s="1" a="1"/>
  <c r="V52" i="8" s="1"/>
  <c r="I27" i="8"/>
  <c r="V53" i="8" s="1" a="1"/>
  <c r="V53" i="8" s="1"/>
  <c r="J27" i="8"/>
  <c r="V54" i="8" s="1" a="1"/>
  <c r="V54" i="8" s="1"/>
  <c r="K27" i="8"/>
  <c r="V55" i="8" s="1" a="1"/>
  <c r="V55" i="8" s="1"/>
  <c r="L27" i="8"/>
  <c r="V56" i="8" s="1" a="1"/>
  <c r="V56" i="8" s="1"/>
  <c r="M27" i="8"/>
  <c r="V57" i="8" s="1" a="1"/>
  <c r="V57" i="8" s="1"/>
  <c r="N27" i="8"/>
  <c r="V58" i="8" s="1" a="1"/>
  <c r="V58" i="8" s="1"/>
  <c r="O27" i="8"/>
  <c r="V59" i="8" s="1" a="1"/>
  <c r="V59" i="8" s="1"/>
  <c r="P27" i="8"/>
  <c r="V60" i="8" s="1" a="1"/>
  <c r="V60" i="8" s="1"/>
  <c r="Q27" i="8"/>
  <c r="V61" i="8" s="1" a="1"/>
  <c r="V61" i="8" s="1"/>
  <c r="R27" i="8"/>
  <c r="V62" i="8" s="1" a="1"/>
  <c r="V62" i="8" s="1"/>
  <c r="S27" i="8"/>
  <c r="V63" i="8" s="1" a="1"/>
  <c r="V63" i="8" s="1"/>
  <c r="G28" i="8"/>
  <c r="W51" i="8" s="1" a="1"/>
  <c r="W51" i="8" s="1"/>
  <c r="H28" i="8"/>
  <c r="W52" i="8" s="1" a="1"/>
  <c r="W52" i="8" s="1"/>
  <c r="I28" i="8"/>
  <c r="W53" i="8" s="1" a="1"/>
  <c r="W53" i="8" s="1"/>
  <c r="J28" i="8"/>
  <c r="W54" i="8" s="1" a="1"/>
  <c r="W54" i="8" s="1"/>
  <c r="K28" i="8"/>
  <c r="W55" i="8" s="1" a="1"/>
  <c r="W55" i="8" s="1"/>
  <c r="L28" i="8"/>
  <c r="W56" i="8" s="1" a="1"/>
  <c r="W56" i="8" s="1"/>
  <c r="M28" i="8"/>
  <c r="W57" i="8" s="1" a="1"/>
  <c r="W57" i="8" s="1"/>
  <c r="N28" i="8"/>
  <c r="W58" i="8" s="1" a="1"/>
  <c r="W58" i="8" s="1"/>
  <c r="O28" i="8"/>
  <c r="W59" i="8" s="1" a="1"/>
  <c r="W59" i="8" s="1"/>
  <c r="P28" i="8"/>
  <c r="W60" i="8" s="1" a="1"/>
  <c r="W60" i="8" s="1"/>
  <c r="Q28" i="8"/>
  <c r="W61" i="8" s="1" a="1"/>
  <c r="W61" i="8" s="1"/>
  <c r="R28" i="8"/>
  <c r="W62" i="8" s="1" a="1"/>
  <c r="W62" i="8" s="1"/>
  <c r="S28" i="8"/>
  <c r="W63" i="8" s="1" a="1"/>
  <c r="W63" i="8" s="1"/>
  <c r="G29" i="8"/>
  <c r="X51" i="8" s="1" a="1"/>
  <c r="X51" i="8" s="1"/>
  <c r="H29" i="8"/>
  <c r="X52" i="8" s="1" a="1"/>
  <c r="X52" i="8" s="1"/>
  <c r="I29" i="8"/>
  <c r="X53" i="8" s="1" a="1"/>
  <c r="X53" i="8" s="1"/>
  <c r="J29" i="8"/>
  <c r="X54" i="8" s="1" a="1"/>
  <c r="X54" i="8" s="1"/>
  <c r="K29" i="8"/>
  <c r="X55" i="8" s="1" a="1"/>
  <c r="X55" i="8" s="1"/>
  <c r="L29" i="8"/>
  <c r="X56" i="8" s="1" a="1"/>
  <c r="X56" i="8" s="1"/>
  <c r="M29" i="8"/>
  <c r="X57" i="8" s="1" a="1"/>
  <c r="X57" i="8" s="1"/>
  <c r="N29" i="8"/>
  <c r="X58" i="8" s="1" a="1"/>
  <c r="X58" i="8" s="1"/>
  <c r="O29" i="8"/>
  <c r="X59" i="8" s="1" a="1"/>
  <c r="X59" i="8" s="1"/>
  <c r="P29" i="8"/>
  <c r="X60" i="8" s="1" a="1"/>
  <c r="X60" i="8" s="1"/>
  <c r="Q29" i="8"/>
  <c r="X61" i="8" s="1" a="1"/>
  <c r="X61" i="8" s="1"/>
  <c r="R29" i="8"/>
  <c r="X62" i="8" s="1" a="1"/>
  <c r="X62" i="8" s="1"/>
  <c r="S29" i="8"/>
  <c r="X63" i="8" s="1" a="1"/>
  <c r="X63" i="8" s="1"/>
  <c r="G30" i="8"/>
  <c r="Y51" i="8" s="1" a="1"/>
  <c r="Y51" i="8" s="1"/>
  <c r="H30" i="8"/>
  <c r="Y52" i="8" s="1" a="1"/>
  <c r="Y52" i="8" s="1"/>
  <c r="I30" i="8"/>
  <c r="Y53" i="8" s="1" a="1"/>
  <c r="Y53" i="8" s="1"/>
  <c r="J30" i="8"/>
  <c r="Y54" i="8" s="1" a="1"/>
  <c r="Y54" i="8" s="1"/>
  <c r="K30" i="8"/>
  <c r="Y55" i="8" s="1" a="1"/>
  <c r="Y55" i="8" s="1"/>
  <c r="L30" i="8"/>
  <c r="Y56" i="8" s="1" a="1"/>
  <c r="Y56" i="8" s="1"/>
  <c r="M30" i="8"/>
  <c r="Y57" i="8" s="1" a="1"/>
  <c r="Y57" i="8" s="1"/>
  <c r="N30" i="8"/>
  <c r="Y58" i="8" s="1" a="1"/>
  <c r="Y58" i="8" s="1"/>
  <c r="O30" i="8"/>
  <c r="Y59" i="8" s="1" a="1"/>
  <c r="Y59" i="8" s="1"/>
  <c r="P30" i="8"/>
  <c r="Y60" i="8" s="1" a="1"/>
  <c r="Y60" i="8" s="1"/>
  <c r="Q30" i="8"/>
  <c r="Y61" i="8" s="1" a="1"/>
  <c r="Y61" i="8" s="1"/>
  <c r="R30" i="8"/>
  <c r="Y62" i="8" s="1" a="1"/>
  <c r="Y62" i="8" s="1"/>
  <c r="S30" i="8"/>
  <c r="Y63" i="8" s="1" a="1"/>
  <c r="Y63" i="8" s="1"/>
  <c r="G31" i="8"/>
  <c r="Z51" i="8" s="1" a="1"/>
  <c r="Z51" i="8" s="1"/>
  <c r="H31" i="8"/>
  <c r="Z52" i="8" s="1" a="1"/>
  <c r="Z52" i="8" s="1"/>
  <c r="I31" i="8"/>
  <c r="Z53" i="8" s="1" a="1"/>
  <c r="Z53" i="8" s="1"/>
  <c r="J31" i="8"/>
  <c r="Z54" i="8" s="1" a="1"/>
  <c r="Z54" i="8" s="1"/>
  <c r="K31" i="8"/>
  <c r="Z55" i="8" s="1" a="1"/>
  <c r="Z55" i="8" s="1"/>
  <c r="L31" i="8"/>
  <c r="Z56" i="8" s="1" a="1"/>
  <c r="Z56" i="8" s="1"/>
  <c r="M31" i="8"/>
  <c r="Z57" i="8" s="1" a="1"/>
  <c r="Z57" i="8" s="1"/>
  <c r="N31" i="8"/>
  <c r="Z58" i="8" s="1" a="1"/>
  <c r="Z58" i="8" s="1"/>
  <c r="O31" i="8"/>
  <c r="Z59" i="8" s="1" a="1"/>
  <c r="Z59" i="8" s="1"/>
  <c r="P31" i="8"/>
  <c r="Z60" i="8" s="1" a="1"/>
  <c r="Z60" i="8" s="1"/>
  <c r="Q31" i="8"/>
  <c r="Z61" i="8" s="1" a="1"/>
  <c r="Z61" i="8" s="1"/>
  <c r="R31" i="8"/>
  <c r="Z62" i="8" s="1" a="1"/>
  <c r="Z62" i="8" s="1"/>
  <c r="S31" i="8"/>
  <c r="Z63" i="8" s="1" a="1"/>
  <c r="Z63" i="8" s="1"/>
  <c r="G32" i="8"/>
  <c r="AA51" i="8" s="1" a="1"/>
  <c r="AA51" i="8" s="1"/>
  <c r="H32" i="8"/>
  <c r="AA52" i="8" s="1" a="1"/>
  <c r="AA52" i="8" s="1"/>
  <c r="I32" i="8"/>
  <c r="AA53" i="8" s="1" a="1"/>
  <c r="AA53" i="8" s="1"/>
  <c r="J32" i="8"/>
  <c r="AA54" i="8" s="1" a="1"/>
  <c r="AA54" i="8" s="1"/>
  <c r="K32" i="8"/>
  <c r="AA55" i="8" s="1" a="1"/>
  <c r="AA55" i="8" s="1"/>
  <c r="L32" i="8"/>
  <c r="AA56" i="8" s="1" a="1"/>
  <c r="AA56" i="8" s="1"/>
  <c r="M32" i="8"/>
  <c r="AA57" i="8" s="1" a="1"/>
  <c r="AA57" i="8" s="1"/>
  <c r="N32" i="8"/>
  <c r="AA58" i="8" s="1" a="1"/>
  <c r="AA58" i="8" s="1"/>
  <c r="O32" i="8"/>
  <c r="AA59" i="8" s="1" a="1"/>
  <c r="AA59" i="8" s="1"/>
  <c r="P32" i="8"/>
  <c r="AA60" i="8" s="1" a="1"/>
  <c r="AA60" i="8" s="1"/>
  <c r="Q32" i="8"/>
  <c r="AA61" i="8" s="1" a="1"/>
  <c r="AA61" i="8" s="1"/>
  <c r="R32" i="8"/>
  <c r="AA62" i="8" s="1" a="1"/>
  <c r="AA62" i="8" s="1"/>
  <c r="S32" i="8"/>
  <c r="AA63" i="8" s="1" a="1"/>
  <c r="AA63" i="8" s="1"/>
  <c r="G33" i="8"/>
  <c r="AB51" i="8" s="1" a="1"/>
  <c r="AB51" i="8" s="1"/>
  <c r="H33" i="8"/>
  <c r="AB52" i="8" s="1" a="1"/>
  <c r="AB52" i="8" s="1"/>
  <c r="I33" i="8"/>
  <c r="AB53" i="8" s="1" a="1"/>
  <c r="AB53" i="8" s="1"/>
  <c r="J33" i="8"/>
  <c r="AB54" i="8" s="1" a="1"/>
  <c r="AB54" i="8" s="1"/>
  <c r="K33" i="8"/>
  <c r="AB55" i="8" s="1" a="1"/>
  <c r="AB55" i="8" s="1"/>
  <c r="L33" i="8"/>
  <c r="AB56" i="8" s="1" a="1"/>
  <c r="AB56" i="8" s="1"/>
  <c r="M33" i="8"/>
  <c r="AB57" i="8" s="1" a="1"/>
  <c r="AB57" i="8" s="1"/>
  <c r="N33" i="8"/>
  <c r="AB58" i="8" s="1" a="1"/>
  <c r="AB58" i="8" s="1"/>
  <c r="O33" i="8"/>
  <c r="AB59" i="8" s="1" a="1"/>
  <c r="AB59" i="8" s="1"/>
  <c r="P33" i="8"/>
  <c r="AB60" i="8" s="1" a="1"/>
  <c r="AB60" i="8" s="1"/>
  <c r="Q33" i="8"/>
  <c r="AB61" i="8" s="1" a="1"/>
  <c r="AB61" i="8" s="1"/>
  <c r="R33" i="8"/>
  <c r="AB62" i="8" s="1" a="1"/>
  <c r="AB62" i="8" s="1"/>
  <c r="S33" i="8"/>
  <c r="AB63" i="8" s="1" a="1"/>
  <c r="AB63" i="8" s="1"/>
  <c r="G34" i="8"/>
  <c r="AC51" i="8" s="1" a="1"/>
  <c r="AC51" i="8" s="1"/>
  <c r="H34" i="8"/>
  <c r="AC52" i="8" s="1" a="1"/>
  <c r="AC52" i="8" s="1"/>
  <c r="I34" i="8"/>
  <c r="AC53" i="8" s="1" a="1"/>
  <c r="AC53" i="8" s="1"/>
  <c r="J34" i="8"/>
  <c r="AC54" i="8" s="1" a="1"/>
  <c r="AC54" i="8" s="1"/>
  <c r="K34" i="8"/>
  <c r="AC55" i="8" s="1" a="1"/>
  <c r="AC55" i="8" s="1"/>
  <c r="L34" i="8"/>
  <c r="AC56" i="8" s="1" a="1"/>
  <c r="AC56" i="8" s="1"/>
  <c r="M34" i="8"/>
  <c r="AC57" i="8" s="1" a="1"/>
  <c r="AC57" i="8" s="1"/>
  <c r="N34" i="8"/>
  <c r="AC58" i="8" s="1" a="1"/>
  <c r="AC58" i="8" s="1"/>
  <c r="O34" i="8"/>
  <c r="AC59" i="8" s="1" a="1"/>
  <c r="AC59" i="8" s="1"/>
  <c r="P34" i="8"/>
  <c r="AC60" i="8" s="1" a="1"/>
  <c r="AC60" i="8" s="1"/>
  <c r="Q34" i="8"/>
  <c r="AC61" i="8" s="1" a="1"/>
  <c r="AC61" i="8" s="1"/>
  <c r="R34" i="8"/>
  <c r="AC62" i="8" s="1" a="1"/>
  <c r="AC62" i="8" s="1"/>
  <c r="S34" i="8"/>
  <c r="AC63" i="8" s="1" a="1"/>
  <c r="AC63" i="8" s="1"/>
  <c r="G35" i="8"/>
  <c r="AD51" i="8" s="1" a="1"/>
  <c r="AD51" i="8" s="1"/>
  <c r="H35" i="8"/>
  <c r="AD52" i="8" s="1" a="1"/>
  <c r="AD52" i="8" s="1"/>
  <c r="I35" i="8"/>
  <c r="AD53" i="8" s="1" a="1"/>
  <c r="AD53" i="8" s="1"/>
  <c r="J35" i="8"/>
  <c r="AD54" i="8" s="1" a="1"/>
  <c r="AD54" i="8" s="1"/>
  <c r="K35" i="8"/>
  <c r="AD55" i="8" s="1" a="1"/>
  <c r="AD55" i="8" s="1"/>
  <c r="L35" i="8"/>
  <c r="AD56" i="8" s="1" a="1"/>
  <c r="AD56" i="8" s="1"/>
  <c r="M35" i="8"/>
  <c r="AD57" i="8" s="1" a="1"/>
  <c r="AD57" i="8" s="1"/>
  <c r="N35" i="8"/>
  <c r="AD58" i="8" s="1" a="1"/>
  <c r="AD58" i="8" s="1"/>
  <c r="O35" i="8"/>
  <c r="AD59" i="8" s="1" a="1"/>
  <c r="AD59" i="8" s="1"/>
  <c r="P35" i="8"/>
  <c r="AD60" i="8" s="1" a="1"/>
  <c r="AD60" i="8" s="1"/>
  <c r="Q35" i="8"/>
  <c r="AD61" i="8" s="1" a="1"/>
  <c r="AD61" i="8" s="1"/>
  <c r="R35" i="8"/>
  <c r="AD62" i="8" s="1" a="1"/>
  <c r="AD62" i="8" s="1"/>
  <c r="S35" i="8"/>
  <c r="AD63" i="8" s="1" a="1"/>
  <c r="AD63" i="8" s="1"/>
  <c r="G36" i="8"/>
  <c r="AE51" i="8" s="1" a="1"/>
  <c r="AE51" i="8" s="1"/>
  <c r="H36" i="8"/>
  <c r="AE52" i="8" s="1" a="1"/>
  <c r="AE52" i="8" s="1"/>
  <c r="I36" i="8"/>
  <c r="AE53" i="8" s="1" a="1"/>
  <c r="AE53" i="8" s="1"/>
  <c r="J36" i="8"/>
  <c r="AE54" i="8" s="1" a="1"/>
  <c r="AE54" i="8" s="1"/>
  <c r="K36" i="8"/>
  <c r="AE55" i="8" s="1" a="1"/>
  <c r="AE55" i="8" s="1"/>
  <c r="L36" i="8"/>
  <c r="AE56" i="8" s="1" a="1"/>
  <c r="AE56" i="8" s="1"/>
  <c r="M36" i="8"/>
  <c r="AE57" i="8" s="1" a="1"/>
  <c r="AE57" i="8" s="1"/>
  <c r="N36" i="8"/>
  <c r="AE58" i="8" s="1" a="1"/>
  <c r="AE58" i="8" s="1"/>
  <c r="O36" i="8"/>
  <c r="AE59" i="8" s="1" a="1"/>
  <c r="AE59" i="8" s="1"/>
  <c r="P36" i="8"/>
  <c r="AE60" i="8" s="1" a="1"/>
  <c r="AE60" i="8" s="1"/>
  <c r="Q36" i="8"/>
  <c r="AE61" i="8" s="1" a="1"/>
  <c r="AE61" i="8" s="1"/>
  <c r="R36" i="8"/>
  <c r="AE62" i="8" s="1" a="1"/>
  <c r="AE62" i="8" s="1"/>
  <c r="S36" i="8"/>
  <c r="AE63" i="8" s="1" a="1"/>
  <c r="AE63" i="8" s="1"/>
  <c r="G37" i="8"/>
  <c r="AF51" i="8" s="1" a="1"/>
  <c r="AF51" i="8" s="1"/>
  <c r="H37" i="8"/>
  <c r="AF52" i="8" s="1" a="1"/>
  <c r="AF52" i="8" s="1"/>
  <c r="I37" i="8"/>
  <c r="AF53" i="8" s="1" a="1"/>
  <c r="AF53" i="8" s="1"/>
  <c r="J37" i="8"/>
  <c r="AF54" i="8" s="1" a="1"/>
  <c r="AF54" i="8" s="1"/>
  <c r="K37" i="8"/>
  <c r="AF55" i="8" s="1" a="1"/>
  <c r="AF55" i="8" s="1"/>
  <c r="L37" i="8"/>
  <c r="AF56" i="8" s="1" a="1"/>
  <c r="AF56" i="8" s="1"/>
  <c r="M37" i="8"/>
  <c r="AF57" i="8" s="1" a="1"/>
  <c r="AF57" i="8" s="1"/>
  <c r="N37" i="8"/>
  <c r="AF58" i="8" s="1" a="1"/>
  <c r="AF58" i="8" s="1"/>
  <c r="O37" i="8"/>
  <c r="AF59" i="8" s="1" a="1"/>
  <c r="AF59" i="8" s="1"/>
  <c r="P37" i="8"/>
  <c r="AF60" i="8" s="1" a="1"/>
  <c r="AF60" i="8" s="1"/>
  <c r="Q37" i="8"/>
  <c r="AF61" i="8" s="1" a="1"/>
  <c r="AF61" i="8" s="1"/>
  <c r="R37" i="8"/>
  <c r="AF62" i="8" s="1" a="1"/>
  <c r="AF62" i="8" s="1"/>
  <c r="S37" i="8"/>
  <c r="AF63" i="8" s="1" a="1"/>
  <c r="AF63" i="8" s="1"/>
  <c r="G38" i="8"/>
  <c r="AG51" i="8" s="1" a="1"/>
  <c r="AG51" i="8" s="1"/>
  <c r="H38" i="8"/>
  <c r="AG52" i="8" s="1" a="1"/>
  <c r="AG52" i="8" s="1"/>
  <c r="I38" i="8"/>
  <c r="AG53" i="8" s="1" a="1"/>
  <c r="AG53" i="8" s="1"/>
  <c r="J38" i="8"/>
  <c r="AG54" i="8" s="1" a="1"/>
  <c r="AG54" i="8" s="1"/>
  <c r="K38" i="8"/>
  <c r="AG55" i="8" s="1" a="1"/>
  <c r="AG55" i="8" s="1"/>
  <c r="L38" i="8"/>
  <c r="AG56" i="8" s="1" a="1"/>
  <c r="AG56" i="8" s="1"/>
  <c r="M38" i="8"/>
  <c r="AG57" i="8" s="1" a="1"/>
  <c r="AG57" i="8" s="1"/>
  <c r="N38" i="8"/>
  <c r="AG58" i="8" s="1" a="1"/>
  <c r="AG58" i="8" s="1"/>
  <c r="O38" i="8"/>
  <c r="AG59" i="8" s="1" a="1"/>
  <c r="AG59" i="8" s="1"/>
  <c r="P38" i="8"/>
  <c r="AG60" i="8" s="1" a="1"/>
  <c r="AG60" i="8" s="1"/>
  <c r="Q38" i="8"/>
  <c r="AG61" i="8" s="1" a="1"/>
  <c r="AG61" i="8" s="1"/>
  <c r="R38" i="8"/>
  <c r="AG62" i="8" s="1" a="1"/>
  <c r="AG62" i="8" s="1"/>
  <c r="S38" i="8"/>
  <c r="AG63" i="8" s="1" a="1"/>
  <c r="AG63" i="8" s="1"/>
  <c r="G39" i="8"/>
  <c r="AH51" i="8" s="1" a="1"/>
  <c r="AH51" i="8" s="1"/>
  <c r="H39" i="8"/>
  <c r="AH52" i="8" s="1" a="1"/>
  <c r="AH52" i="8" s="1"/>
  <c r="I39" i="8"/>
  <c r="AH53" i="8" s="1" a="1"/>
  <c r="AH53" i="8" s="1"/>
  <c r="J39" i="8"/>
  <c r="AH54" i="8" s="1" a="1"/>
  <c r="AH54" i="8" s="1"/>
  <c r="K39" i="8"/>
  <c r="AH55" i="8" s="1" a="1"/>
  <c r="AH55" i="8" s="1"/>
  <c r="L39" i="8"/>
  <c r="AH56" i="8" s="1" a="1"/>
  <c r="AH56" i="8" s="1"/>
  <c r="M39" i="8"/>
  <c r="AH57" i="8" s="1" a="1"/>
  <c r="AH57" i="8" s="1"/>
  <c r="N39" i="8"/>
  <c r="AH58" i="8" s="1" a="1"/>
  <c r="AH58" i="8" s="1"/>
  <c r="O39" i="8"/>
  <c r="AH59" i="8" s="1" a="1"/>
  <c r="AH59" i="8" s="1"/>
  <c r="P39" i="8"/>
  <c r="AH60" i="8" s="1" a="1"/>
  <c r="AH60" i="8" s="1"/>
  <c r="Q39" i="8"/>
  <c r="AH61" i="8" s="1" a="1"/>
  <c r="AH61" i="8" s="1"/>
  <c r="R39" i="8"/>
  <c r="AH62" i="8" s="1" a="1"/>
  <c r="AH62" i="8" s="1"/>
  <c r="S39" i="8"/>
  <c r="AH63" i="8" s="1" a="1"/>
  <c r="AH63" i="8" s="1"/>
  <c r="G40" i="8"/>
  <c r="AI51" i="8" s="1" a="1"/>
  <c r="AI51" i="8" s="1"/>
  <c r="H40" i="8"/>
  <c r="AI52" i="8" s="1" a="1"/>
  <c r="AI52" i="8" s="1"/>
  <c r="I40" i="8"/>
  <c r="AI53" i="8" s="1" a="1"/>
  <c r="AI53" i="8" s="1"/>
  <c r="J40" i="8"/>
  <c r="AI54" i="8" s="1" a="1"/>
  <c r="AI54" i="8" s="1"/>
  <c r="K40" i="8"/>
  <c r="AI55" i="8" s="1" a="1"/>
  <c r="AI55" i="8" s="1"/>
  <c r="L40" i="8"/>
  <c r="AI56" i="8" s="1" a="1"/>
  <c r="AI56" i="8" s="1"/>
  <c r="M40" i="8"/>
  <c r="AI57" i="8" s="1" a="1"/>
  <c r="AI57" i="8" s="1"/>
  <c r="N40" i="8"/>
  <c r="AI58" i="8" s="1" a="1"/>
  <c r="AI58" i="8" s="1"/>
  <c r="O40" i="8"/>
  <c r="AI59" i="8" s="1" a="1"/>
  <c r="AI59" i="8" s="1"/>
  <c r="P40" i="8"/>
  <c r="AI60" i="8" s="1" a="1"/>
  <c r="AI60" i="8" s="1"/>
  <c r="Q40" i="8"/>
  <c r="AI61" i="8" s="1" a="1"/>
  <c r="AI61" i="8" s="1"/>
  <c r="R40" i="8"/>
  <c r="AI62" i="8" s="1" a="1"/>
  <c r="AI62" i="8" s="1"/>
  <c r="S40" i="8"/>
  <c r="AI63" i="8" s="1" a="1"/>
  <c r="AI63" i="8" s="1"/>
  <c r="H26" i="8"/>
  <c r="U52" i="8" s="1" a="1"/>
  <c r="U52" i="8" s="1"/>
  <c r="I26" i="8"/>
  <c r="U53" i="8" s="1" a="1"/>
  <c r="U53" i="8" s="1"/>
  <c r="J26" i="8"/>
  <c r="U54" i="8" s="1" a="1"/>
  <c r="U54" i="8" s="1"/>
  <c r="K26" i="8"/>
  <c r="U55" i="8" s="1" a="1"/>
  <c r="U55" i="8" s="1"/>
  <c r="L26" i="8"/>
  <c r="U56" i="8" s="1" a="1"/>
  <c r="U56" i="8" s="1"/>
  <c r="M26" i="8"/>
  <c r="U57" i="8" s="1" a="1"/>
  <c r="U57" i="8" s="1"/>
  <c r="N26" i="8"/>
  <c r="U58" i="8" s="1" a="1"/>
  <c r="U58" i="8" s="1"/>
  <c r="O26" i="8"/>
  <c r="U59" i="8" s="1" a="1"/>
  <c r="U59" i="8" s="1"/>
  <c r="P26" i="8"/>
  <c r="U60" i="8" s="1" a="1"/>
  <c r="U60" i="8" s="1"/>
  <c r="Q26" i="8"/>
  <c r="U61" i="8" s="1" a="1"/>
  <c r="U61" i="8" s="1"/>
  <c r="R26" i="8"/>
  <c r="U62" i="8" s="1" a="1"/>
  <c r="U62" i="8" s="1"/>
  <c r="S26" i="8"/>
  <c r="U63" i="8" s="1" a="1"/>
  <c r="U63" i="8" s="1"/>
  <c r="G26" i="8"/>
  <c r="U51" i="8" s="1" a="1"/>
  <c r="U51" i="8" s="1"/>
  <c r="T96" i="11" l="1" a="1"/>
  <c r="T96" i="11" s="1"/>
  <c r="M79" i="12"/>
  <c r="F101" i="11" s="1"/>
  <c r="O79" i="12"/>
  <c r="H101" i="11" s="1"/>
  <c r="G79" i="12"/>
  <c r="H97" i="11" s="1"/>
  <c r="Q96" i="11"/>
  <c r="U98" i="11" s="1" a="1"/>
  <c r="U98" i="11" s="1"/>
  <c r="T98" i="11" a="1"/>
  <c r="T98" i="11" s="1"/>
  <c r="N96" i="11"/>
  <c r="U95" i="11" s="1" a="1"/>
  <c r="U95" i="11" s="1"/>
  <c r="T95" i="11" a="1"/>
  <c r="T95" i="11" s="1"/>
  <c r="P96" i="11"/>
  <c r="U97" i="11" s="1" a="1"/>
  <c r="U97" i="11" s="1"/>
  <c r="T97" i="11" a="1"/>
  <c r="T97" i="11" s="1"/>
  <c r="L79" i="12"/>
  <c r="E101" i="11" s="1"/>
  <c r="G33" i="12"/>
  <c r="AB51" i="12" s="1" a="1"/>
  <c r="AB51" i="12" s="1"/>
  <c r="F79" i="12"/>
  <c r="G97" i="11" s="1"/>
  <c r="C79" i="12"/>
  <c r="D97" i="11" s="1"/>
  <c r="E79" i="12"/>
  <c r="F97" i="11" s="1"/>
  <c r="H79" i="12"/>
  <c r="I97" i="11" s="1"/>
  <c r="G7" i="8"/>
  <c r="B51" i="8" s="1" a="1"/>
  <c r="B51" i="8" s="1"/>
  <c r="H7" i="8"/>
  <c r="B52" i="8" s="1" a="1"/>
  <c r="B52" i="8" s="1"/>
  <c r="I7" i="8"/>
  <c r="B53" i="8" s="1" a="1"/>
  <c r="B53" i="8" s="1"/>
  <c r="J7" i="8"/>
  <c r="B54" i="8" s="1" a="1"/>
  <c r="B54" i="8" s="1"/>
  <c r="K7" i="8"/>
  <c r="L7" i="8"/>
  <c r="B56" i="8" s="1" a="1"/>
  <c r="B56" i="8" s="1"/>
  <c r="M7" i="8"/>
  <c r="B57" i="8" s="1" a="1"/>
  <c r="B57" i="8" s="1"/>
  <c r="N7" i="8"/>
  <c r="B58" i="8" s="1" a="1"/>
  <c r="B58" i="8" s="1"/>
  <c r="O7" i="8"/>
  <c r="P7" i="8"/>
  <c r="B60" i="8" s="1" a="1"/>
  <c r="B60" i="8" s="1"/>
  <c r="Q7" i="8"/>
  <c r="B61" i="8" s="1" a="1"/>
  <c r="B61" i="8" s="1"/>
  <c r="R7" i="8"/>
  <c r="B62" i="8" s="1" a="1"/>
  <c r="B62" i="8" s="1"/>
  <c r="S7" i="8"/>
  <c r="G8" i="8"/>
  <c r="C51" i="8" s="1" a="1"/>
  <c r="C51" i="8" s="1"/>
  <c r="H8" i="8"/>
  <c r="C52" i="8" s="1" a="1"/>
  <c r="C52" i="8" s="1"/>
  <c r="I8" i="8"/>
  <c r="C53" i="8" s="1" a="1"/>
  <c r="C53" i="8" s="1"/>
  <c r="J8" i="8"/>
  <c r="C54" i="8" s="1" a="1"/>
  <c r="C54" i="8" s="1"/>
  <c r="K8" i="8"/>
  <c r="L8" i="8"/>
  <c r="C56" i="8" s="1" a="1"/>
  <c r="C56" i="8" s="1"/>
  <c r="M8" i="8"/>
  <c r="C57" i="8" s="1" a="1"/>
  <c r="C57" i="8" s="1"/>
  <c r="N8" i="8"/>
  <c r="C58" i="8" s="1" a="1"/>
  <c r="C58" i="8" s="1"/>
  <c r="O8" i="8"/>
  <c r="P8" i="8"/>
  <c r="C60" i="8" s="1" a="1"/>
  <c r="C60" i="8" s="1"/>
  <c r="Q8" i="8"/>
  <c r="C61" i="8" s="1" a="1"/>
  <c r="C61" i="8" s="1"/>
  <c r="R8" i="8"/>
  <c r="C62" i="8" s="1" a="1"/>
  <c r="C62" i="8" s="1"/>
  <c r="S8" i="8"/>
  <c r="G9" i="8"/>
  <c r="D51" i="8" s="1" a="1"/>
  <c r="D51" i="8" s="1"/>
  <c r="H9" i="8"/>
  <c r="D52" i="8" s="1" a="1"/>
  <c r="D52" i="8" s="1"/>
  <c r="I9" i="8"/>
  <c r="D53" i="8" s="1" a="1"/>
  <c r="D53" i="8" s="1"/>
  <c r="J9" i="8"/>
  <c r="D54" i="8" s="1" a="1"/>
  <c r="D54" i="8" s="1"/>
  <c r="K9" i="8"/>
  <c r="L9" i="8"/>
  <c r="D56" i="8" s="1" a="1"/>
  <c r="D56" i="8" s="1"/>
  <c r="M9" i="8"/>
  <c r="D57" i="8" s="1" a="1"/>
  <c r="D57" i="8" s="1"/>
  <c r="N9" i="8"/>
  <c r="D58" i="8" s="1" a="1"/>
  <c r="D58" i="8" s="1"/>
  <c r="O9" i="8"/>
  <c r="P9" i="8"/>
  <c r="D60" i="8" s="1" a="1"/>
  <c r="D60" i="8" s="1"/>
  <c r="Q9" i="8"/>
  <c r="D61" i="8" s="1" a="1"/>
  <c r="D61" i="8" s="1"/>
  <c r="R9" i="8"/>
  <c r="D62" i="8" s="1" a="1"/>
  <c r="D62" i="8" s="1"/>
  <c r="S9" i="8"/>
  <c r="G10" i="8"/>
  <c r="E51" i="8" s="1" a="1"/>
  <c r="E51" i="8" s="1"/>
  <c r="H10" i="8"/>
  <c r="E52" i="8" s="1" a="1"/>
  <c r="E52" i="8" s="1"/>
  <c r="I10" i="8"/>
  <c r="E53" i="8" s="1" a="1"/>
  <c r="E53" i="8" s="1"/>
  <c r="J10" i="8"/>
  <c r="E54" i="8" s="1" a="1"/>
  <c r="E54" i="8" s="1"/>
  <c r="K10" i="8"/>
  <c r="L10" i="8"/>
  <c r="E56" i="8" s="1" a="1"/>
  <c r="E56" i="8" s="1"/>
  <c r="M10" i="8"/>
  <c r="E57" i="8" s="1" a="1"/>
  <c r="E57" i="8" s="1"/>
  <c r="N10" i="8"/>
  <c r="E58" i="8" s="1" a="1"/>
  <c r="E58" i="8" s="1"/>
  <c r="O10" i="8"/>
  <c r="P10" i="8"/>
  <c r="E60" i="8" s="1" a="1"/>
  <c r="E60" i="8" s="1"/>
  <c r="Q10" i="8"/>
  <c r="E61" i="8" s="1" a="1"/>
  <c r="E61" i="8" s="1"/>
  <c r="R10" i="8"/>
  <c r="E62" i="8" s="1" a="1"/>
  <c r="E62" i="8" s="1"/>
  <c r="S10" i="8"/>
  <c r="G11" i="8"/>
  <c r="F51" i="8" s="1" a="1"/>
  <c r="F51" i="8" s="1"/>
  <c r="H11" i="8"/>
  <c r="F52" i="8" s="1" a="1"/>
  <c r="F52" i="8" s="1"/>
  <c r="I11" i="8"/>
  <c r="F53" i="8" s="1" a="1"/>
  <c r="F53" i="8" s="1"/>
  <c r="J11" i="8"/>
  <c r="F54" i="8" s="1" a="1"/>
  <c r="F54" i="8" s="1"/>
  <c r="K11" i="8"/>
  <c r="F55" i="8" s="1" a="1"/>
  <c r="F55" i="8" s="1"/>
  <c r="L11" i="8"/>
  <c r="F56" i="8" s="1" a="1"/>
  <c r="F56" i="8" s="1"/>
  <c r="M11" i="8"/>
  <c r="F57" i="8" s="1" a="1"/>
  <c r="F57" i="8" s="1"/>
  <c r="N11" i="8"/>
  <c r="F58" i="8" s="1" a="1"/>
  <c r="F58" i="8" s="1"/>
  <c r="O11" i="8"/>
  <c r="F59" i="8" s="1" a="1"/>
  <c r="F59" i="8" s="1"/>
  <c r="P11" i="8"/>
  <c r="F60" i="8" s="1" a="1"/>
  <c r="F60" i="8" s="1"/>
  <c r="Q11" i="8"/>
  <c r="F61" i="8" s="1" a="1"/>
  <c r="F61" i="8" s="1"/>
  <c r="R11" i="8"/>
  <c r="F62" i="8" s="1" a="1"/>
  <c r="F62" i="8" s="1"/>
  <c r="S11" i="8"/>
  <c r="F63" i="8" s="1" a="1"/>
  <c r="F63" i="8" s="1"/>
  <c r="G12" i="8"/>
  <c r="G51" i="8" s="1" a="1"/>
  <c r="G51" i="8" s="1"/>
  <c r="H12" i="8"/>
  <c r="G52" i="8" s="1" a="1"/>
  <c r="G52" i="8" s="1"/>
  <c r="I12" i="8"/>
  <c r="G53" i="8" s="1" a="1"/>
  <c r="G53" i="8" s="1"/>
  <c r="J12" i="8"/>
  <c r="G54" i="8" s="1" a="1"/>
  <c r="G54" i="8" s="1"/>
  <c r="K12" i="8"/>
  <c r="G55" i="8" s="1" a="1"/>
  <c r="G55" i="8" s="1"/>
  <c r="L12" i="8"/>
  <c r="G56" i="8" s="1" a="1"/>
  <c r="G56" i="8" s="1"/>
  <c r="M12" i="8"/>
  <c r="G57" i="8" s="1" a="1"/>
  <c r="G57" i="8" s="1"/>
  <c r="N12" i="8"/>
  <c r="G58" i="8" s="1" a="1"/>
  <c r="G58" i="8" s="1"/>
  <c r="O12" i="8"/>
  <c r="G59" i="8" s="1" a="1"/>
  <c r="G59" i="8" s="1"/>
  <c r="P12" i="8"/>
  <c r="G60" i="8" s="1" a="1"/>
  <c r="G60" i="8" s="1"/>
  <c r="Q12" i="8"/>
  <c r="G61" i="8" s="1" a="1"/>
  <c r="G61" i="8" s="1"/>
  <c r="R12" i="8"/>
  <c r="G62" i="8" s="1" a="1"/>
  <c r="G62" i="8" s="1"/>
  <c r="S12" i="8"/>
  <c r="G63" i="8" s="1" a="1"/>
  <c r="G63" i="8" s="1"/>
  <c r="G13" i="8"/>
  <c r="H51" i="8" s="1" a="1"/>
  <c r="H51" i="8" s="1"/>
  <c r="H13" i="8"/>
  <c r="H52" i="8" s="1" a="1"/>
  <c r="H52" i="8" s="1"/>
  <c r="I13" i="8"/>
  <c r="H53" i="8" s="1" a="1"/>
  <c r="H53" i="8" s="1"/>
  <c r="J13" i="8"/>
  <c r="H54" i="8" s="1" a="1"/>
  <c r="H54" i="8" s="1"/>
  <c r="K13" i="8"/>
  <c r="L13" i="8"/>
  <c r="H56" i="8" s="1" a="1"/>
  <c r="H56" i="8" s="1"/>
  <c r="M13" i="8"/>
  <c r="H57" i="8" s="1" a="1"/>
  <c r="H57" i="8" s="1"/>
  <c r="N13" i="8"/>
  <c r="H58" i="8" s="1" a="1"/>
  <c r="H58" i="8" s="1"/>
  <c r="O13" i="8"/>
  <c r="P13" i="8"/>
  <c r="H60" i="8" s="1" a="1"/>
  <c r="H60" i="8" s="1"/>
  <c r="Q13" i="8"/>
  <c r="H61" i="8" s="1" a="1"/>
  <c r="H61" i="8" s="1"/>
  <c r="R13" i="8"/>
  <c r="H62" i="8" s="1" a="1"/>
  <c r="H62" i="8" s="1"/>
  <c r="S13" i="8"/>
  <c r="G14" i="8"/>
  <c r="I51" i="8" s="1" a="1"/>
  <c r="I51" i="8" s="1"/>
  <c r="H14" i="8"/>
  <c r="I52" i="8" s="1" a="1"/>
  <c r="I52" i="8" s="1"/>
  <c r="I14" i="8"/>
  <c r="I53" i="8" s="1" a="1"/>
  <c r="I53" i="8" s="1"/>
  <c r="J14" i="8"/>
  <c r="I54" i="8" s="1" a="1"/>
  <c r="I54" i="8" s="1"/>
  <c r="K14" i="8"/>
  <c r="L14" i="8"/>
  <c r="I56" i="8" s="1" a="1"/>
  <c r="I56" i="8" s="1"/>
  <c r="M14" i="8"/>
  <c r="I57" i="8" s="1" a="1"/>
  <c r="I57" i="8" s="1"/>
  <c r="N14" i="8"/>
  <c r="I58" i="8" s="1" a="1"/>
  <c r="I58" i="8" s="1"/>
  <c r="O14" i="8"/>
  <c r="P14" i="8"/>
  <c r="I60" i="8" s="1" a="1"/>
  <c r="I60" i="8" s="1"/>
  <c r="Q14" i="8"/>
  <c r="I61" i="8" s="1" a="1"/>
  <c r="I61" i="8" s="1"/>
  <c r="R14" i="8"/>
  <c r="I62" i="8" s="1" a="1"/>
  <c r="I62" i="8" s="1"/>
  <c r="S14" i="8"/>
  <c r="G15" i="8"/>
  <c r="J51" i="8" s="1" a="1"/>
  <c r="J51" i="8" s="1"/>
  <c r="H15" i="8"/>
  <c r="J52" i="8" s="1" a="1"/>
  <c r="J52" i="8" s="1"/>
  <c r="I15" i="8"/>
  <c r="J53" i="8" s="1" a="1"/>
  <c r="J53" i="8" s="1"/>
  <c r="J15" i="8"/>
  <c r="J54" i="8" s="1" a="1"/>
  <c r="J54" i="8" s="1"/>
  <c r="K15" i="8"/>
  <c r="L15" i="8"/>
  <c r="J56" i="8" s="1" a="1"/>
  <c r="J56" i="8" s="1"/>
  <c r="M15" i="8"/>
  <c r="J57" i="8" s="1" a="1"/>
  <c r="J57" i="8" s="1"/>
  <c r="N15" i="8"/>
  <c r="J58" i="8" s="1" a="1"/>
  <c r="J58" i="8" s="1"/>
  <c r="O15" i="8"/>
  <c r="P15" i="8"/>
  <c r="J60" i="8" s="1" a="1"/>
  <c r="J60" i="8" s="1"/>
  <c r="Q15" i="8"/>
  <c r="J61" i="8" s="1" a="1"/>
  <c r="J61" i="8" s="1"/>
  <c r="R15" i="8"/>
  <c r="J62" i="8" s="1" a="1"/>
  <c r="J62" i="8" s="1"/>
  <c r="S15" i="8"/>
  <c r="G16" i="8"/>
  <c r="K51" i="8" s="1" a="1"/>
  <c r="K51" i="8" s="1"/>
  <c r="H16" i="8"/>
  <c r="K52" i="8" s="1" a="1"/>
  <c r="K52" i="8" s="1"/>
  <c r="I16" i="8"/>
  <c r="K53" i="8" s="1" a="1"/>
  <c r="K53" i="8" s="1"/>
  <c r="J16" i="8"/>
  <c r="K54" i="8" s="1" a="1"/>
  <c r="K54" i="8" s="1"/>
  <c r="K16" i="8"/>
  <c r="L16" i="8"/>
  <c r="K56" i="8" s="1" a="1"/>
  <c r="K56" i="8" s="1"/>
  <c r="M16" i="8"/>
  <c r="K57" i="8" s="1" a="1"/>
  <c r="K57" i="8" s="1"/>
  <c r="N16" i="8"/>
  <c r="K58" i="8" s="1" a="1"/>
  <c r="K58" i="8" s="1"/>
  <c r="O16" i="8"/>
  <c r="P16" i="8"/>
  <c r="K60" i="8" s="1" a="1"/>
  <c r="K60" i="8" s="1"/>
  <c r="Q16" i="8"/>
  <c r="K61" i="8" s="1" a="1"/>
  <c r="K61" i="8" s="1"/>
  <c r="R16" i="8"/>
  <c r="K62" i="8" s="1" a="1"/>
  <c r="K62" i="8" s="1"/>
  <c r="S16" i="8"/>
  <c r="G17" i="8"/>
  <c r="L51" i="8" s="1" a="1"/>
  <c r="L51" i="8" s="1"/>
  <c r="H17" i="8"/>
  <c r="L52" i="8" s="1" a="1"/>
  <c r="L52" i="8" s="1"/>
  <c r="I17" i="8"/>
  <c r="L53" i="8" s="1" a="1"/>
  <c r="L53" i="8" s="1"/>
  <c r="J17" i="8"/>
  <c r="L54" i="8" s="1" a="1"/>
  <c r="L54" i="8" s="1"/>
  <c r="K17" i="8"/>
  <c r="L55" i="8" s="1" a="1"/>
  <c r="L55" i="8" s="1"/>
  <c r="L17" i="8"/>
  <c r="L56" i="8" s="1" a="1"/>
  <c r="L56" i="8" s="1"/>
  <c r="M17" i="8"/>
  <c r="L57" i="8" s="1" a="1"/>
  <c r="L57" i="8" s="1"/>
  <c r="N17" i="8"/>
  <c r="L58" i="8" s="1" a="1"/>
  <c r="L58" i="8" s="1"/>
  <c r="O17" i="8"/>
  <c r="L59" i="8" s="1" a="1"/>
  <c r="L59" i="8" s="1"/>
  <c r="P17" i="8"/>
  <c r="L60" i="8" s="1" a="1"/>
  <c r="L60" i="8" s="1"/>
  <c r="Q17" i="8"/>
  <c r="L61" i="8" s="1" a="1"/>
  <c r="L61" i="8" s="1"/>
  <c r="R17" i="8"/>
  <c r="L62" i="8" s="1" a="1"/>
  <c r="L62" i="8" s="1"/>
  <c r="S17" i="8"/>
  <c r="L63" i="8" s="1" a="1"/>
  <c r="L63" i="8" s="1"/>
  <c r="G18" i="8"/>
  <c r="M51" i="8" s="1" a="1"/>
  <c r="M51" i="8" s="1"/>
  <c r="H18" i="8"/>
  <c r="M52" i="8" s="1" a="1"/>
  <c r="M52" i="8" s="1"/>
  <c r="I18" i="8"/>
  <c r="M53" i="8" s="1" a="1"/>
  <c r="M53" i="8" s="1"/>
  <c r="J18" i="8"/>
  <c r="M54" i="8" s="1" a="1"/>
  <c r="M54" i="8" s="1"/>
  <c r="K18" i="8"/>
  <c r="M55" i="8" s="1" a="1"/>
  <c r="M55" i="8" s="1"/>
  <c r="L18" i="8"/>
  <c r="M56" i="8" s="1" a="1"/>
  <c r="M56" i="8" s="1"/>
  <c r="M18" i="8"/>
  <c r="M57" i="8" s="1" a="1"/>
  <c r="M57" i="8" s="1"/>
  <c r="N18" i="8"/>
  <c r="M58" i="8" s="1" a="1"/>
  <c r="M58" i="8" s="1"/>
  <c r="O18" i="8"/>
  <c r="M59" i="8" s="1" a="1"/>
  <c r="M59" i="8" s="1"/>
  <c r="P18" i="8"/>
  <c r="M60" i="8" s="1" a="1"/>
  <c r="M60" i="8" s="1"/>
  <c r="Q18" i="8"/>
  <c r="M61" i="8" s="1" a="1"/>
  <c r="M61" i="8" s="1"/>
  <c r="R18" i="8"/>
  <c r="M62" i="8" s="1" a="1"/>
  <c r="M62" i="8" s="1"/>
  <c r="S18" i="8"/>
  <c r="M63" i="8" s="1" a="1"/>
  <c r="M63" i="8" s="1"/>
  <c r="G19" i="8"/>
  <c r="N51" i="8" s="1" a="1"/>
  <c r="N51" i="8" s="1"/>
  <c r="H19" i="8"/>
  <c r="N52" i="8" s="1" a="1"/>
  <c r="N52" i="8" s="1"/>
  <c r="I19" i="8"/>
  <c r="N53" i="8" s="1" a="1"/>
  <c r="N53" i="8" s="1"/>
  <c r="J19" i="8"/>
  <c r="N54" i="8" s="1" a="1"/>
  <c r="N54" i="8" s="1"/>
  <c r="K19" i="8"/>
  <c r="N55" i="8" s="1" a="1"/>
  <c r="N55" i="8" s="1"/>
  <c r="L19" i="8"/>
  <c r="N56" i="8" s="1" a="1"/>
  <c r="N56" i="8" s="1"/>
  <c r="M19" i="8"/>
  <c r="N57" i="8" s="1" a="1"/>
  <c r="N57" i="8" s="1"/>
  <c r="N19" i="8"/>
  <c r="N58" i="8" s="1" a="1"/>
  <c r="N58" i="8" s="1"/>
  <c r="O19" i="8"/>
  <c r="N59" i="8" s="1" a="1"/>
  <c r="N59" i="8" s="1"/>
  <c r="P19" i="8"/>
  <c r="N60" i="8" s="1" a="1"/>
  <c r="N60" i="8" s="1"/>
  <c r="Q19" i="8"/>
  <c r="N61" i="8" s="1" a="1"/>
  <c r="N61" i="8" s="1"/>
  <c r="R19" i="8"/>
  <c r="N62" i="8" s="1" a="1"/>
  <c r="N62" i="8" s="1"/>
  <c r="S19" i="8"/>
  <c r="N63" i="8" s="1" a="1"/>
  <c r="N63" i="8" s="1"/>
  <c r="G20" i="8"/>
  <c r="O51" i="8" s="1" a="1"/>
  <c r="O51" i="8" s="1"/>
  <c r="H20" i="8"/>
  <c r="O52" i="8" s="1" a="1"/>
  <c r="O52" i="8" s="1"/>
  <c r="I20" i="8"/>
  <c r="O53" i="8" s="1" a="1"/>
  <c r="O53" i="8" s="1"/>
  <c r="J20" i="8"/>
  <c r="O54" i="8" s="1" a="1"/>
  <c r="O54" i="8" s="1"/>
  <c r="K20" i="8"/>
  <c r="O55" i="8" s="1" a="1"/>
  <c r="O55" i="8" s="1"/>
  <c r="L20" i="8"/>
  <c r="O56" i="8" s="1" a="1"/>
  <c r="O56" i="8" s="1"/>
  <c r="M20" i="8"/>
  <c r="O57" i="8" s="1" a="1"/>
  <c r="O57" i="8" s="1"/>
  <c r="N20" i="8"/>
  <c r="O58" i="8" s="1" a="1"/>
  <c r="O58" i="8" s="1"/>
  <c r="O20" i="8"/>
  <c r="O59" i="8" s="1" a="1"/>
  <c r="O59" i="8" s="1"/>
  <c r="P20" i="8"/>
  <c r="O60" i="8" s="1" a="1"/>
  <c r="O60" i="8" s="1"/>
  <c r="Q20" i="8"/>
  <c r="O61" i="8" s="1" a="1"/>
  <c r="O61" i="8" s="1"/>
  <c r="R20" i="8"/>
  <c r="O62" i="8" s="1" a="1"/>
  <c r="O62" i="8" s="1"/>
  <c r="S20" i="8"/>
  <c r="O63" i="8" s="1" a="1"/>
  <c r="O63" i="8" s="1"/>
  <c r="H6" i="8"/>
  <c r="A52" i="8" s="1" a="1"/>
  <c r="A52" i="8" s="1"/>
  <c r="I6" i="8"/>
  <c r="A53" i="8" s="1" a="1"/>
  <c r="A53" i="8" s="1"/>
  <c r="J6" i="8"/>
  <c r="A54" i="8" s="1" a="1"/>
  <c r="A54" i="8" s="1"/>
  <c r="K6" i="8"/>
  <c r="A55" i="8" s="1" a="1"/>
  <c r="A55" i="8" s="1"/>
  <c r="L6" i="8"/>
  <c r="A56" i="8" s="1" a="1"/>
  <c r="A56" i="8" s="1"/>
  <c r="M6" i="8"/>
  <c r="A57" i="8" s="1" a="1"/>
  <c r="A57" i="8" s="1"/>
  <c r="N6" i="8"/>
  <c r="A58" i="8" s="1" a="1"/>
  <c r="A58" i="8" s="1"/>
  <c r="O6" i="8"/>
  <c r="A59" i="8" s="1" a="1"/>
  <c r="A59" i="8" s="1"/>
  <c r="P6" i="8"/>
  <c r="A60" i="8" s="1" a="1"/>
  <c r="A60" i="8" s="1"/>
  <c r="Q6" i="8"/>
  <c r="A61" i="8" s="1" a="1"/>
  <c r="A61" i="8" s="1"/>
  <c r="R6" i="8"/>
  <c r="A62" i="8" s="1" a="1"/>
  <c r="A62" i="8" s="1"/>
  <c r="S6" i="8"/>
  <c r="A63" i="8" s="1" a="1"/>
  <c r="A63" i="8" s="1"/>
  <c r="G6" i="8"/>
  <c r="A51" i="8" s="1" a="1"/>
  <c r="A51" i="8" s="1"/>
  <c r="E55" i="8" l="1" a="1"/>
  <c r="E55" i="8" s="1"/>
  <c r="E73" i="8" s="1"/>
  <c r="Q4" i="11" s="1"/>
  <c r="K55" i="8" a="1"/>
  <c r="K55" i="8" s="1"/>
  <c r="M73" i="8" s="1"/>
  <c r="Q11" i="11" s="1"/>
  <c r="C74" i="8"/>
  <c r="O35" i="11" s="1"/>
  <c r="C59" i="8" a="1"/>
  <c r="C59" i="8" s="1"/>
  <c r="H63" i="8" a="1"/>
  <c r="H63" i="8" s="1"/>
  <c r="J75" i="8" s="1"/>
  <c r="N73" i="11" s="1"/>
  <c r="D73" i="8"/>
  <c r="P4" i="11" s="1"/>
  <c r="D55" i="8" a="1"/>
  <c r="D55" i="8" s="1"/>
  <c r="D59" i="8" a="1"/>
  <c r="D59" i="8" s="1"/>
  <c r="D74" i="8" s="1"/>
  <c r="P35" i="11" s="1"/>
  <c r="B55" i="8" a="1"/>
  <c r="B55" i="8" s="1"/>
  <c r="B73" i="8" s="1"/>
  <c r="N4" i="11" s="1"/>
  <c r="I79" i="12"/>
  <c r="J97" i="11" s="1"/>
  <c r="I63" i="8" a="1"/>
  <c r="I63" i="8" s="1"/>
  <c r="K75" i="8" s="1"/>
  <c r="O73" i="11" s="1"/>
  <c r="M75" i="8"/>
  <c r="Q73" i="11" s="1"/>
  <c r="K63" i="8" a="1"/>
  <c r="K63" i="8" s="1"/>
  <c r="H55" i="8" a="1"/>
  <c r="H55" i="8" s="1"/>
  <c r="J73" i="8" s="1"/>
  <c r="N11" i="11" s="1"/>
  <c r="L74" i="8"/>
  <c r="P42" i="11" s="1"/>
  <c r="J59" i="8" a="1"/>
  <c r="J59" i="8" s="1"/>
  <c r="B63" i="8" a="1"/>
  <c r="B63" i="8" s="1"/>
  <c r="B75" i="8" s="1"/>
  <c r="N66" i="11" s="1"/>
  <c r="E63" i="8" a="1"/>
  <c r="E63" i="8" s="1"/>
  <c r="E75" i="8" s="1"/>
  <c r="Q66" i="11" s="1"/>
  <c r="K74" i="8"/>
  <c r="O42" i="11" s="1"/>
  <c r="I59" i="8" a="1"/>
  <c r="I59" i="8" s="1"/>
  <c r="E59" i="8" a="1"/>
  <c r="E59" i="8" s="1"/>
  <c r="E74" i="8" s="1"/>
  <c r="Q35" i="11" s="1"/>
  <c r="C55" i="8" a="1"/>
  <c r="C55" i="8" s="1"/>
  <c r="C73" i="8" s="1"/>
  <c r="O4" i="11" s="1"/>
  <c r="J63" i="8" a="1"/>
  <c r="J63" i="8" s="1"/>
  <c r="L75" i="8" s="1"/>
  <c r="P73" i="11" s="1"/>
  <c r="J74" i="8"/>
  <c r="N42" i="11" s="1"/>
  <c r="H59" i="8" a="1"/>
  <c r="H59" i="8" s="1"/>
  <c r="J55" i="8" a="1"/>
  <c r="J55" i="8" s="1"/>
  <c r="L73" i="8" s="1"/>
  <c r="P11" i="11" s="1"/>
  <c r="D63" i="8" a="1"/>
  <c r="D63" i="8" s="1"/>
  <c r="D75" i="8" s="1"/>
  <c r="P66" i="11" s="1"/>
  <c r="B59" i="8" a="1"/>
  <c r="B59" i="8" s="1"/>
  <c r="B74" i="8" s="1"/>
  <c r="N35" i="11" s="1"/>
  <c r="K59" i="8" a="1"/>
  <c r="K59" i="8" s="1"/>
  <c r="M74" i="8" s="1"/>
  <c r="Q42" i="11" s="1"/>
  <c r="K73" i="8"/>
  <c r="O11" i="11" s="1"/>
  <c r="I55" i="8" a="1"/>
  <c r="I55" i="8" s="1"/>
  <c r="C63" i="8" a="1"/>
  <c r="C63" i="8" s="1"/>
  <c r="C75" i="8" s="1"/>
  <c r="O66" i="11" s="1"/>
  <c r="G27" i="9"/>
  <c r="V51" i="9" s="1" a="1"/>
  <c r="V51" i="9" s="1"/>
  <c r="H27" i="9"/>
  <c r="V52" i="9" s="1" a="1"/>
  <c r="V52" i="9" s="1"/>
  <c r="I27" i="9"/>
  <c r="V53" i="9" s="1" a="1"/>
  <c r="V53" i="9" s="1"/>
  <c r="J27" i="9"/>
  <c r="V54" i="9" s="1" a="1"/>
  <c r="V54" i="9" s="1"/>
  <c r="K27" i="9"/>
  <c r="V55" i="9" s="1" a="1"/>
  <c r="V55" i="9" s="1"/>
  <c r="L27" i="9"/>
  <c r="V56" i="9" s="1" a="1"/>
  <c r="V56" i="9" s="1"/>
  <c r="M27" i="9"/>
  <c r="V57" i="9" s="1" a="1"/>
  <c r="V57" i="9" s="1"/>
  <c r="N27" i="9"/>
  <c r="V58" i="9" s="1" a="1"/>
  <c r="V58" i="9" s="1"/>
  <c r="O27" i="9"/>
  <c r="V59" i="9" s="1" a="1"/>
  <c r="V59" i="9" s="1"/>
  <c r="P27" i="9"/>
  <c r="V60" i="9" s="1" a="1"/>
  <c r="V60" i="9" s="1"/>
  <c r="Q27" i="9"/>
  <c r="V61" i="9" s="1" a="1"/>
  <c r="V61" i="9" s="1"/>
  <c r="R27" i="9"/>
  <c r="V62" i="9" s="1" a="1"/>
  <c r="V62" i="9" s="1"/>
  <c r="S27" i="9"/>
  <c r="V63" i="9" s="1" a="1"/>
  <c r="V63" i="9" s="1"/>
  <c r="G28" i="9"/>
  <c r="W51" i="9" s="1" a="1"/>
  <c r="W51" i="9" s="1"/>
  <c r="H28" i="9"/>
  <c r="W52" i="9" s="1" a="1"/>
  <c r="W52" i="9" s="1"/>
  <c r="I28" i="9"/>
  <c r="W53" i="9" s="1" a="1"/>
  <c r="W53" i="9" s="1"/>
  <c r="J28" i="9"/>
  <c r="W54" i="9" s="1" a="1"/>
  <c r="W54" i="9" s="1"/>
  <c r="K28" i="9"/>
  <c r="W55" i="9" s="1" a="1"/>
  <c r="W55" i="9" s="1"/>
  <c r="L28" i="9"/>
  <c r="W56" i="9" s="1" a="1"/>
  <c r="W56" i="9" s="1"/>
  <c r="M28" i="9"/>
  <c r="W57" i="9" s="1" a="1"/>
  <c r="W57" i="9" s="1"/>
  <c r="N28" i="9"/>
  <c r="W58" i="9" s="1" a="1"/>
  <c r="W58" i="9" s="1"/>
  <c r="O28" i="9"/>
  <c r="W59" i="9" s="1" a="1"/>
  <c r="W59" i="9" s="1"/>
  <c r="P28" i="9"/>
  <c r="W60" i="9" s="1" a="1"/>
  <c r="W60" i="9" s="1"/>
  <c r="Q28" i="9"/>
  <c r="W61" i="9" s="1" a="1"/>
  <c r="W61" i="9" s="1"/>
  <c r="R28" i="9"/>
  <c r="W62" i="9" s="1" a="1"/>
  <c r="W62" i="9" s="1"/>
  <c r="S28" i="9"/>
  <c r="W63" i="9" s="1" a="1"/>
  <c r="W63" i="9" s="1"/>
  <c r="G29" i="9"/>
  <c r="X51" i="9" s="1" a="1"/>
  <c r="X51" i="9" s="1"/>
  <c r="H29" i="9"/>
  <c r="X52" i="9" s="1" a="1"/>
  <c r="X52" i="9" s="1"/>
  <c r="I29" i="9"/>
  <c r="X53" i="9" s="1" a="1"/>
  <c r="X53" i="9" s="1"/>
  <c r="J29" i="9"/>
  <c r="X54" i="9" s="1" a="1"/>
  <c r="X54" i="9" s="1"/>
  <c r="K29" i="9"/>
  <c r="X55" i="9" s="1" a="1"/>
  <c r="X55" i="9" s="1"/>
  <c r="L29" i="9"/>
  <c r="X56" i="9" s="1" a="1"/>
  <c r="X56" i="9" s="1"/>
  <c r="M29" i="9"/>
  <c r="X57" i="9" s="1" a="1"/>
  <c r="X57" i="9" s="1"/>
  <c r="N29" i="9"/>
  <c r="X58" i="9" s="1" a="1"/>
  <c r="X58" i="9" s="1"/>
  <c r="O29" i="9"/>
  <c r="X59" i="9" s="1" a="1"/>
  <c r="X59" i="9" s="1"/>
  <c r="P29" i="9"/>
  <c r="X60" i="9" s="1" a="1"/>
  <c r="X60" i="9" s="1"/>
  <c r="Q29" i="9"/>
  <c r="X61" i="9" s="1" a="1"/>
  <c r="X61" i="9" s="1"/>
  <c r="R29" i="9"/>
  <c r="X62" i="9" s="1" a="1"/>
  <c r="X62" i="9" s="1"/>
  <c r="S29" i="9"/>
  <c r="X63" i="9" s="1" a="1"/>
  <c r="X63" i="9" s="1"/>
  <c r="G30" i="9"/>
  <c r="Y51" i="9" s="1" a="1"/>
  <c r="Y51" i="9" s="1"/>
  <c r="H30" i="9"/>
  <c r="Y52" i="9" s="1" a="1"/>
  <c r="Y52" i="9" s="1"/>
  <c r="I30" i="9"/>
  <c r="Y53" i="9" s="1" a="1"/>
  <c r="Y53" i="9" s="1"/>
  <c r="J30" i="9"/>
  <c r="Y54" i="9" s="1" a="1"/>
  <c r="Y54" i="9" s="1"/>
  <c r="K30" i="9"/>
  <c r="Y55" i="9" s="1" a="1"/>
  <c r="Y55" i="9" s="1"/>
  <c r="L30" i="9"/>
  <c r="Y56" i="9" s="1" a="1"/>
  <c r="Y56" i="9" s="1"/>
  <c r="M30" i="9"/>
  <c r="Y57" i="9" s="1" a="1"/>
  <c r="Y57" i="9" s="1"/>
  <c r="N30" i="9"/>
  <c r="Y58" i="9" s="1" a="1"/>
  <c r="Y58" i="9" s="1"/>
  <c r="O30" i="9"/>
  <c r="Y59" i="9" s="1" a="1"/>
  <c r="Y59" i="9" s="1"/>
  <c r="P30" i="9"/>
  <c r="Y60" i="9" s="1" a="1"/>
  <c r="Y60" i="9" s="1"/>
  <c r="Q30" i="9"/>
  <c r="Y61" i="9" s="1" a="1"/>
  <c r="Y61" i="9" s="1"/>
  <c r="R30" i="9"/>
  <c r="Y62" i="9" s="1" a="1"/>
  <c r="Y62" i="9" s="1"/>
  <c r="S30" i="9"/>
  <c r="Y63" i="9" s="1" a="1"/>
  <c r="Y63" i="9" s="1"/>
  <c r="G31" i="9"/>
  <c r="Z51" i="9" s="1" a="1"/>
  <c r="Z51" i="9" s="1"/>
  <c r="H31" i="9"/>
  <c r="Z52" i="9" s="1" a="1"/>
  <c r="Z52" i="9" s="1"/>
  <c r="I31" i="9"/>
  <c r="Z53" i="9" s="1" a="1"/>
  <c r="Z53" i="9" s="1"/>
  <c r="J31" i="9"/>
  <c r="Z54" i="9" s="1" a="1"/>
  <c r="Z54" i="9" s="1"/>
  <c r="K31" i="9"/>
  <c r="Z55" i="9" s="1" a="1"/>
  <c r="Z55" i="9" s="1"/>
  <c r="L31" i="9"/>
  <c r="Z56" i="9" s="1" a="1"/>
  <c r="Z56" i="9" s="1"/>
  <c r="M31" i="9"/>
  <c r="Z57" i="9" s="1" a="1"/>
  <c r="Z57" i="9" s="1"/>
  <c r="N31" i="9"/>
  <c r="Z58" i="9" s="1" a="1"/>
  <c r="Z58" i="9" s="1"/>
  <c r="O31" i="9"/>
  <c r="Z59" i="9" s="1" a="1"/>
  <c r="Z59" i="9" s="1"/>
  <c r="P31" i="9"/>
  <c r="Z60" i="9" s="1" a="1"/>
  <c r="Z60" i="9" s="1"/>
  <c r="Q31" i="9"/>
  <c r="Z61" i="9" s="1" a="1"/>
  <c r="Z61" i="9" s="1"/>
  <c r="R31" i="9"/>
  <c r="Z62" i="9" s="1" a="1"/>
  <c r="Z62" i="9" s="1"/>
  <c r="S31" i="9"/>
  <c r="Z63" i="9" s="1" a="1"/>
  <c r="Z63" i="9" s="1"/>
  <c r="G32" i="9"/>
  <c r="AA51" i="9" s="1" a="1"/>
  <c r="AA51" i="9" s="1"/>
  <c r="H32" i="9"/>
  <c r="AA52" i="9" s="1" a="1"/>
  <c r="AA52" i="9" s="1"/>
  <c r="I32" i="9"/>
  <c r="AA53" i="9" s="1" a="1"/>
  <c r="AA53" i="9" s="1"/>
  <c r="J32" i="9"/>
  <c r="AA54" i="9" s="1" a="1"/>
  <c r="AA54" i="9" s="1"/>
  <c r="K32" i="9"/>
  <c r="AA55" i="9" s="1" a="1"/>
  <c r="AA55" i="9" s="1"/>
  <c r="L32" i="9"/>
  <c r="AA56" i="9" s="1" a="1"/>
  <c r="AA56" i="9" s="1"/>
  <c r="M32" i="9"/>
  <c r="AA57" i="9" s="1" a="1"/>
  <c r="AA57" i="9" s="1"/>
  <c r="N32" i="9"/>
  <c r="AA58" i="9" s="1" a="1"/>
  <c r="AA58" i="9" s="1"/>
  <c r="O32" i="9"/>
  <c r="AA59" i="9" s="1" a="1"/>
  <c r="AA59" i="9" s="1"/>
  <c r="P32" i="9"/>
  <c r="AA60" i="9" s="1" a="1"/>
  <c r="AA60" i="9" s="1"/>
  <c r="Q32" i="9"/>
  <c r="AA61" i="9" s="1" a="1"/>
  <c r="AA61" i="9" s="1"/>
  <c r="R32" i="9"/>
  <c r="AA62" i="9" s="1" a="1"/>
  <c r="AA62" i="9" s="1"/>
  <c r="S32" i="9"/>
  <c r="AA63" i="9" s="1" a="1"/>
  <c r="AA63" i="9" s="1"/>
  <c r="G33" i="9"/>
  <c r="AB51" i="9" s="1" a="1"/>
  <c r="AB51" i="9" s="1"/>
  <c r="H33" i="9"/>
  <c r="AB52" i="9" s="1" a="1"/>
  <c r="AB52" i="9" s="1"/>
  <c r="I33" i="9"/>
  <c r="AB53" i="9" s="1" a="1"/>
  <c r="AB53" i="9" s="1"/>
  <c r="J33" i="9"/>
  <c r="AB54" i="9" s="1" a="1"/>
  <c r="AB54" i="9" s="1"/>
  <c r="K33" i="9"/>
  <c r="AB55" i="9" s="1" a="1"/>
  <c r="AB55" i="9" s="1"/>
  <c r="L33" i="9"/>
  <c r="AB56" i="9" s="1" a="1"/>
  <c r="AB56" i="9" s="1"/>
  <c r="M33" i="9"/>
  <c r="AB57" i="9" s="1" a="1"/>
  <c r="AB57" i="9" s="1"/>
  <c r="N33" i="9"/>
  <c r="AB58" i="9" s="1" a="1"/>
  <c r="AB58" i="9" s="1"/>
  <c r="O33" i="9"/>
  <c r="AB59" i="9" s="1" a="1"/>
  <c r="AB59" i="9" s="1"/>
  <c r="P33" i="9"/>
  <c r="AB60" i="9" s="1" a="1"/>
  <c r="AB60" i="9" s="1"/>
  <c r="Q33" i="9"/>
  <c r="AB61" i="9" s="1" a="1"/>
  <c r="AB61" i="9" s="1"/>
  <c r="R33" i="9"/>
  <c r="AB62" i="9" s="1" a="1"/>
  <c r="AB62" i="9" s="1"/>
  <c r="S33" i="9"/>
  <c r="AB63" i="9" s="1" a="1"/>
  <c r="AB63" i="9" s="1"/>
  <c r="G34" i="9"/>
  <c r="AC51" i="9" s="1" a="1"/>
  <c r="AC51" i="9" s="1"/>
  <c r="H34" i="9"/>
  <c r="AC52" i="9" s="1" a="1"/>
  <c r="AC52" i="9" s="1"/>
  <c r="I34" i="9"/>
  <c r="AC53" i="9" s="1" a="1"/>
  <c r="AC53" i="9" s="1"/>
  <c r="J34" i="9"/>
  <c r="AC54" i="9" s="1" a="1"/>
  <c r="AC54" i="9" s="1"/>
  <c r="K34" i="9"/>
  <c r="AC55" i="9" s="1" a="1"/>
  <c r="AC55" i="9" s="1"/>
  <c r="L34" i="9"/>
  <c r="AC56" i="9" s="1" a="1"/>
  <c r="AC56" i="9" s="1"/>
  <c r="M34" i="9"/>
  <c r="AC57" i="9" s="1" a="1"/>
  <c r="AC57" i="9" s="1"/>
  <c r="N34" i="9"/>
  <c r="AC58" i="9" s="1" a="1"/>
  <c r="AC58" i="9" s="1"/>
  <c r="O34" i="9"/>
  <c r="AC59" i="9" s="1" a="1"/>
  <c r="AC59" i="9" s="1"/>
  <c r="P34" i="9"/>
  <c r="AC60" i="9" s="1" a="1"/>
  <c r="AC60" i="9" s="1"/>
  <c r="Q34" i="9"/>
  <c r="AC61" i="9" s="1" a="1"/>
  <c r="AC61" i="9" s="1"/>
  <c r="R34" i="9"/>
  <c r="AC62" i="9" s="1" a="1"/>
  <c r="AC62" i="9" s="1"/>
  <c r="S34" i="9"/>
  <c r="AC63" i="9" s="1" a="1"/>
  <c r="AC63" i="9" s="1"/>
  <c r="G35" i="9"/>
  <c r="AD51" i="9" s="1" a="1"/>
  <c r="AD51" i="9" s="1"/>
  <c r="H35" i="9"/>
  <c r="AD52" i="9" s="1" a="1"/>
  <c r="AD52" i="9" s="1"/>
  <c r="I35" i="9"/>
  <c r="AD53" i="9" s="1" a="1"/>
  <c r="AD53" i="9" s="1"/>
  <c r="J35" i="9"/>
  <c r="AD54" i="9" s="1" a="1"/>
  <c r="AD54" i="9" s="1"/>
  <c r="K35" i="9"/>
  <c r="AD55" i="9" s="1" a="1"/>
  <c r="AD55" i="9" s="1"/>
  <c r="L35" i="9"/>
  <c r="AD56" i="9" s="1" a="1"/>
  <c r="AD56" i="9" s="1"/>
  <c r="M35" i="9"/>
  <c r="AD57" i="9" s="1" a="1"/>
  <c r="AD57" i="9" s="1"/>
  <c r="N35" i="9"/>
  <c r="AD58" i="9" s="1" a="1"/>
  <c r="AD58" i="9" s="1"/>
  <c r="O35" i="9"/>
  <c r="AD59" i="9" s="1" a="1"/>
  <c r="AD59" i="9" s="1"/>
  <c r="P35" i="9"/>
  <c r="AD60" i="9" s="1" a="1"/>
  <c r="AD60" i="9" s="1"/>
  <c r="Q35" i="9"/>
  <c r="AD61" i="9" s="1" a="1"/>
  <c r="AD61" i="9" s="1"/>
  <c r="R35" i="9"/>
  <c r="AD62" i="9" s="1" a="1"/>
  <c r="AD62" i="9" s="1"/>
  <c r="S35" i="9"/>
  <c r="AD63" i="9" s="1" a="1"/>
  <c r="AD63" i="9" s="1"/>
  <c r="G36" i="9"/>
  <c r="AE51" i="9" s="1" a="1"/>
  <c r="AE51" i="9" s="1"/>
  <c r="H36" i="9"/>
  <c r="AE52" i="9" s="1" a="1"/>
  <c r="AE52" i="9" s="1"/>
  <c r="I36" i="9"/>
  <c r="AE53" i="9" s="1" a="1"/>
  <c r="AE53" i="9" s="1"/>
  <c r="J36" i="9"/>
  <c r="AE54" i="9" s="1" a="1"/>
  <c r="AE54" i="9" s="1"/>
  <c r="K36" i="9"/>
  <c r="AE55" i="9" s="1" a="1"/>
  <c r="AE55" i="9" s="1"/>
  <c r="L36" i="9"/>
  <c r="AE56" i="9" s="1" a="1"/>
  <c r="AE56" i="9" s="1"/>
  <c r="M36" i="9"/>
  <c r="AE57" i="9" s="1" a="1"/>
  <c r="AE57" i="9" s="1"/>
  <c r="N36" i="9"/>
  <c r="AE58" i="9" s="1" a="1"/>
  <c r="AE58" i="9" s="1"/>
  <c r="O36" i="9"/>
  <c r="AE59" i="9" s="1" a="1"/>
  <c r="AE59" i="9" s="1"/>
  <c r="P36" i="9"/>
  <c r="AE60" i="9" s="1" a="1"/>
  <c r="AE60" i="9" s="1"/>
  <c r="Q36" i="9"/>
  <c r="AE61" i="9" s="1" a="1"/>
  <c r="AE61" i="9" s="1"/>
  <c r="R36" i="9"/>
  <c r="AE62" i="9" s="1" a="1"/>
  <c r="AE62" i="9" s="1"/>
  <c r="S36" i="9"/>
  <c r="AE63" i="9" s="1" a="1"/>
  <c r="AE63" i="9" s="1"/>
  <c r="G37" i="9"/>
  <c r="AF51" i="9" s="1" a="1"/>
  <c r="AF51" i="9" s="1"/>
  <c r="H37" i="9"/>
  <c r="AF52" i="9" s="1" a="1"/>
  <c r="AF52" i="9" s="1"/>
  <c r="I37" i="9"/>
  <c r="AF53" i="9" s="1" a="1"/>
  <c r="AF53" i="9" s="1"/>
  <c r="J37" i="9"/>
  <c r="AF54" i="9" s="1" a="1"/>
  <c r="AF54" i="9" s="1"/>
  <c r="K37" i="9"/>
  <c r="AF55" i="9" s="1" a="1"/>
  <c r="AF55" i="9" s="1"/>
  <c r="L37" i="9"/>
  <c r="AF56" i="9" s="1" a="1"/>
  <c r="AF56" i="9" s="1"/>
  <c r="M37" i="9"/>
  <c r="AF57" i="9" s="1" a="1"/>
  <c r="AF57" i="9" s="1"/>
  <c r="N37" i="9"/>
  <c r="AF58" i="9" s="1" a="1"/>
  <c r="AF58" i="9" s="1"/>
  <c r="O37" i="9"/>
  <c r="AF59" i="9" s="1" a="1"/>
  <c r="AF59" i="9" s="1"/>
  <c r="P37" i="9"/>
  <c r="AF60" i="9" s="1" a="1"/>
  <c r="AF60" i="9" s="1"/>
  <c r="Q37" i="9"/>
  <c r="AF61" i="9" s="1" a="1"/>
  <c r="AF61" i="9" s="1"/>
  <c r="R37" i="9"/>
  <c r="AF62" i="9" s="1" a="1"/>
  <c r="AF62" i="9" s="1"/>
  <c r="S37" i="9"/>
  <c r="AF63" i="9" s="1" a="1"/>
  <c r="AF63" i="9" s="1"/>
  <c r="G38" i="9"/>
  <c r="AG51" i="9" s="1" a="1"/>
  <c r="AG51" i="9" s="1"/>
  <c r="H38" i="9"/>
  <c r="AG52" i="9" s="1" a="1"/>
  <c r="AG52" i="9" s="1"/>
  <c r="I38" i="9"/>
  <c r="AG53" i="9" s="1" a="1"/>
  <c r="AG53" i="9" s="1"/>
  <c r="J38" i="9"/>
  <c r="AG54" i="9" s="1" a="1"/>
  <c r="AG54" i="9" s="1"/>
  <c r="K38" i="9"/>
  <c r="AG55" i="9" s="1" a="1"/>
  <c r="AG55" i="9" s="1"/>
  <c r="L38" i="9"/>
  <c r="AG56" i="9" s="1" a="1"/>
  <c r="AG56" i="9" s="1"/>
  <c r="M38" i="9"/>
  <c r="AG57" i="9" s="1" a="1"/>
  <c r="AG57" i="9" s="1"/>
  <c r="N38" i="9"/>
  <c r="AG58" i="9" s="1" a="1"/>
  <c r="AG58" i="9" s="1"/>
  <c r="O38" i="9"/>
  <c r="AG59" i="9" s="1" a="1"/>
  <c r="AG59" i="9" s="1"/>
  <c r="P38" i="9"/>
  <c r="AG60" i="9" s="1" a="1"/>
  <c r="AG60" i="9" s="1"/>
  <c r="Q38" i="9"/>
  <c r="AG61" i="9" s="1" a="1"/>
  <c r="AG61" i="9" s="1"/>
  <c r="R38" i="9"/>
  <c r="AG62" i="9" s="1" a="1"/>
  <c r="AG62" i="9" s="1"/>
  <c r="S38" i="9"/>
  <c r="AG63" i="9" s="1" a="1"/>
  <c r="AG63" i="9" s="1"/>
  <c r="G39" i="9"/>
  <c r="AH51" i="9" s="1" a="1"/>
  <c r="AH51" i="9" s="1"/>
  <c r="H39" i="9"/>
  <c r="AH52" i="9" s="1" a="1"/>
  <c r="AH52" i="9" s="1"/>
  <c r="I39" i="9"/>
  <c r="AH53" i="9" s="1" a="1"/>
  <c r="AH53" i="9" s="1"/>
  <c r="J39" i="9"/>
  <c r="AH54" i="9" s="1" a="1"/>
  <c r="AH54" i="9" s="1"/>
  <c r="K39" i="9"/>
  <c r="AH55" i="9" s="1" a="1"/>
  <c r="AH55" i="9" s="1"/>
  <c r="L39" i="9"/>
  <c r="AH56" i="9" s="1" a="1"/>
  <c r="AH56" i="9" s="1"/>
  <c r="M39" i="9"/>
  <c r="AH57" i="9" s="1" a="1"/>
  <c r="AH57" i="9" s="1"/>
  <c r="N39" i="9"/>
  <c r="AH58" i="9" s="1" a="1"/>
  <c r="AH58" i="9" s="1"/>
  <c r="O39" i="9"/>
  <c r="AH59" i="9" s="1" a="1"/>
  <c r="AH59" i="9" s="1"/>
  <c r="P39" i="9"/>
  <c r="AH60" i="9" s="1" a="1"/>
  <c r="AH60" i="9" s="1"/>
  <c r="Q39" i="9"/>
  <c r="AH61" i="9" s="1" a="1"/>
  <c r="AH61" i="9" s="1"/>
  <c r="R39" i="9"/>
  <c r="AH62" i="9" s="1" a="1"/>
  <c r="AH62" i="9" s="1"/>
  <c r="S39" i="9"/>
  <c r="AH63" i="9" s="1" a="1"/>
  <c r="AH63" i="9" s="1"/>
  <c r="G40" i="9"/>
  <c r="AI51" i="9" s="1" a="1"/>
  <c r="AI51" i="9" s="1"/>
  <c r="H40" i="9"/>
  <c r="AI52" i="9" s="1" a="1"/>
  <c r="AI52" i="9" s="1"/>
  <c r="I40" i="9"/>
  <c r="AI53" i="9" s="1" a="1"/>
  <c r="AI53" i="9" s="1"/>
  <c r="J40" i="9"/>
  <c r="AI54" i="9" s="1" a="1"/>
  <c r="AI54" i="9" s="1"/>
  <c r="K40" i="9"/>
  <c r="AI55" i="9" s="1" a="1"/>
  <c r="AI55" i="9" s="1"/>
  <c r="L40" i="9"/>
  <c r="AI56" i="9" s="1" a="1"/>
  <c r="AI56" i="9" s="1"/>
  <c r="M40" i="9"/>
  <c r="AI57" i="9" s="1" a="1"/>
  <c r="AI57" i="9" s="1"/>
  <c r="N40" i="9"/>
  <c r="AI58" i="9" s="1" a="1"/>
  <c r="AI58" i="9" s="1"/>
  <c r="O40" i="9"/>
  <c r="AI59" i="9" s="1" a="1"/>
  <c r="AI59" i="9" s="1"/>
  <c r="P40" i="9"/>
  <c r="AI60" i="9" s="1" a="1"/>
  <c r="AI60" i="9" s="1"/>
  <c r="Q40" i="9"/>
  <c r="AI61" i="9" s="1" a="1"/>
  <c r="AI61" i="9" s="1"/>
  <c r="R40" i="9"/>
  <c r="AI62" i="9" s="1" a="1"/>
  <c r="AI62" i="9" s="1"/>
  <c r="S40" i="9"/>
  <c r="AI63" i="9" s="1" a="1"/>
  <c r="AI63" i="9" s="1"/>
  <c r="H26" i="9"/>
  <c r="U52" i="9" s="1" a="1"/>
  <c r="U52" i="9" s="1"/>
  <c r="I26" i="9"/>
  <c r="U53" i="9" s="1" a="1"/>
  <c r="U53" i="9" s="1"/>
  <c r="J26" i="9"/>
  <c r="U54" i="9" s="1" a="1"/>
  <c r="U54" i="9" s="1"/>
  <c r="K26" i="9"/>
  <c r="U55" i="9" s="1" a="1"/>
  <c r="U55" i="9" s="1"/>
  <c r="L26" i="9"/>
  <c r="U56" i="9" s="1" a="1"/>
  <c r="U56" i="9" s="1"/>
  <c r="M26" i="9"/>
  <c r="U57" i="9" s="1" a="1"/>
  <c r="U57" i="9" s="1"/>
  <c r="N26" i="9"/>
  <c r="U58" i="9" s="1" a="1"/>
  <c r="U58" i="9" s="1"/>
  <c r="O26" i="9"/>
  <c r="U59" i="9" s="1" a="1"/>
  <c r="U59" i="9" s="1"/>
  <c r="P26" i="9"/>
  <c r="U60" i="9" s="1" a="1"/>
  <c r="U60" i="9" s="1"/>
  <c r="Q26" i="9"/>
  <c r="U61" i="9" s="1" a="1"/>
  <c r="U61" i="9" s="1"/>
  <c r="R26" i="9"/>
  <c r="U62" i="9" s="1" a="1"/>
  <c r="U62" i="9" s="1"/>
  <c r="S26" i="9"/>
  <c r="U63" i="9" s="1" a="1"/>
  <c r="U63" i="9" s="1"/>
  <c r="G26" i="9"/>
  <c r="U51" i="9" s="1" a="1"/>
  <c r="U51" i="9" s="1"/>
  <c r="G7" i="9" l="1"/>
  <c r="B51" i="9" s="1" a="1"/>
  <c r="B51" i="9" s="1"/>
  <c r="H7" i="9"/>
  <c r="B52" i="9" s="1" a="1"/>
  <c r="B52" i="9" s="1"/>
  <c r="I7" i="9"/>
  <c r="B53" i="9" s="1" a="1"/>
  <c r="B53" i="9" s="1"/>
  <c r="J7" i="9"/>
  <c r="B54" i="9" s="1" a="1"/>
  <c r="B54" i="9" s="1"/>
  <c r="K7" i="9"/>
  <c r="B55" i="9" s="1" a="1"/>
  <c r="B55" i="9" s="1"/>
  <c r="B73" i="9" s="1"/>
  <c r="N5" i="11" s="1"/>
  <c r="L7" i="9"/>
  <c r="B56" i="9" s="1" a="1"/>
  <c r="B56" i="9" s="1"/>
  <c r="M7" i="9"/>
  <c r="B57" i="9" s="1" a="1"/>
  <c r="B57" i="9" s="1"/>
  <c r="N7" i="9"/>
  <c r="B58" i="9" s="1" a="1"/>
  <c r="B58" i="9" s="1"/>
  <c r="O7" i="9"/>
  <c r="B59" i="9" s="1" a="1"/>
  <c r="B59" i="9" s="1"/>
  <c r="B74" i="9" s="1"/>
  <c r="N36" i="11" s="1"/>
  <c r="P7" i="9"/>
  <c r="B60" i="9" s="1" a="1"/>
  <c r="B60" i="9" s="1"/>
  <c r="Q7" i="9"/>
  <c r="B61" i="9" s="1" a="1"/>
  <c r="B61" i="9" s="1"/>
  <c r="R7" i="9"/>
  <c r="B62" i="9" s="1" a="1"/>
  <c r="B62" i="9" s="1"/>
  <c r="S7" i="9"/>
  <c r="B63" i="9" s="1" a="1"/>
  <c r="B63" i="9" s="1"/>
  <c r="B75" i="9" s="1"/>
  <c r="N67" i="11" s="1"/>
  <c r="G8" i="9"/>
  <c r="C51" i="9" s="1" a="1"/>
  <c r="C51" i="9" s="1"/>
  <c r="H8" i="9"/>
  <c r="C52" i="9" s="1" a="1"/>
  <c r="C52" i="9" s="1"/>
  <c r="I8" i="9"/>
  <c r="C53" i="9" s="1" a="1"/>
  <c r="C53" i="9" s="1"/>
  <c r="J8" i="9"/>
  <c r="C54" i="9" s="1" a="1"/>
  <c r="C54" i="9" s="1"/>
  <c r="K8" i="9"/>
  <c r="C55" i="9" s="1" a="1"/>
  <c r="C55" i="9" s="1"/>
  <c r="C73" i="9" s="1"/>
  <c r="O5" i="11" s="1"/>
  <c r="L8" i="9"/>
  <c r="C56" i="9" s="1" a="1"/>
  <c r="C56" i="9" s="1"/>
  <c r="M8" i="9"/>
  <c r="C57" i="9" s="1" a="1"/>
  <c r="C57" i="9" s="1"/>
  <c r="N8" i="9"/>
  <c r="C58" i="9" s="1" a="1"/>
  <c r="C58" i="9" s="1"/>
  <c r="O8" i="9"/>
  <c r="C59" i="9" s="1" a="1"/>
  <c r="C59" i="9" s="1"/>
  <c r="C74" i="9" s="1"/>
  <c r="O36" i="11" s="1"/>
  <c r="P8" i="9"/>
  <c r="C60" i="9" s="1" a="1"/>
  <c r="C60" i="9" s="1"/>
  <c r="Q8" i="9"/>
  <c r="C61" i="9" s="1" a="1"/>
  <c r="C61" i="9" s="1"/>
  <c r="R8" i="9"/>
  <c r="C62" i="9" s="1" a="1"/>
  <c r="C62" i="9" s="1"/>
  <c r="S8" i="9"/>
  <c r="C63" i="9" s="1" a="1"/>
  <c r="C63" i="9" s="1"/>
  <c r="C75" i="9" s="1"/>
  <c r="O67" i="11" s="1"/>
  <c r="G9" i="9"/>
  <c r="D51" i="9" s="1" a="1"/>
  <c r="D51" i="9" s="1"/>
  <c r="H9" i="9"/>
  <c r="D52" i="9" s="1" a="1"/>
  <c r="D52" i="9" s="1"/>
  <c r="I9" i="9"/>
  <c r="D53" i="9" s="1" a="1"/>
  <c r="D53" i="9" s="1"/>
  <c r="J9" i="9"/>
  <c r="D54" i="9" s="1" a="1"/>
  <c r="D54" i="9" s="1"/>
  <c r="K9" i="9"/>
  <c r="D55" i="9" s="1" a="1"/>
  <c r="D55" i="9" s="1"/>
  <c r="D73" i="9" s="1"/>
  <c r="P5" i="11" s="1"/>
  <c r="L9" i="9"/>
  <c r="D56" i="9" s="1" a="1"/>
  <c r="D56" i="9" s="1"/>
  <c r="M9" i="9"/>
  <c r="D57" i="9" s="1" a="1"/>
  <c r="D57" i="9" s="1"/>
  <c r="N9" i="9"/>
  <c r="D58" i="9" s="1" a="1"/>
  <c r="D58" i="9" s="1"/>
  <c r="O9" i="9"/>
  <c r="D59" i="9" s="1" a="1"/>
  <c r="D59" i="9" s="1"/>
  <c r="D74" i="9" s="1"/>
  <c r="P36" i="11" s="1"/>
  <c r="P9" i="9"/>
  <c r="D60" i="9" s="1" a="1"/>
  <c r="D60" i="9" s="1"/>
  <c r="Q9" i="9"/>
  <c r="D61" i="9" s="1" a="1"/>
  <c r="D61" i="9" s="1"/>
  <c r="R9" i="9"/>
  <c r="D62" i="9" s="1" a="1"/>
  <c r="D62" i="9" s="1"/>
  <c r="S9" i="9"/>
  <c r="D63" i="9" s="1" a="1"/>
  <c r="D63" i="9" s="1"/>
  <c r="D75" i="9" s="1"/>
  <c r="P67" i="11" s="1"/>
  <c r="G10" i="9"/>
  <c r="E51" i="9" s="1" a="1"/>
  <c r="E51" i="9" s="1"/>
  <c r="H10" i="9"/>
  <c r="E52" i="9" s="1" a="1"/>
  <c r="E52" i="9" s="1"/>
  <c r="I10" i="9"/>
  <c r="E53" i="9" s="1" a="1"/>
  <c r="E53" i="9" s="1"/>
  <c r="J10" i="9"/>
  <c r="E54" i="9" s="1" a="1"/>
  <c r="E54" i="9" s="1"/>
  <c r="K10" i="9"/>
  <c r="E55" i="9" s="1" a="1"/>
  <c r="E55" i="9" s="1"/>
  <c r="E73" i="9" s="1"/>
  <c r="Q5" i="11" s="1"/>
  <c r="L10" i="9"/>
  <c r="E56" i="9" s="1" a="1"/>
  <c r="E56" i="9" s="1"/>
  <c r="M10" i="9"/>
  <c r="E57" i="9" s="1" a="1"/>
  <c r="E57" i="9" s="1"/>
  <c r="N10" i="9"/>
  <c r="E58" i="9" s="1" a="1"/>
  <c r="E58" i="9" s="1"/>
  <c r="O10" i="9"/>
  <c r="E59" i="9" s="1" a="1"/>
  <c r="E59" i="9" s="1"/>
  <c r="E74" i="9" s="1"/>
  <c r="Q36" i="11" s="1"/>
  <c r="P10" i="9"/>
  <c r="E60" i="9" s="1" a="1"/>
  <c r="E60" i="9" s="1"/>
  <c r="Q10" i="9"/>
  <c r="E61" i="9" s="1" a="1"/>
  <c r="E61" i="9" s="1"/>
  <c r="R10" i="9"/>
  <c r="E62" i="9" s="1" a="1"/>
  <c r="E62" i="9" s="1"/>
  <c r="S10" i="9"/>
  <c r="E63" i="9" s="1" a="1"/>
  <c r="E63" i="9" s="1"/>
  <c r="E75" i="9" s="1"/>
  <c r="Q67" i="11" s="1"/>
  <c r="G11" i="9"/>
  <c r="F51" i="9" s="1" a="1"/>
  <c r="F51" i="9" s="1"/>
  <c r="H11" i="9"/>
  <c r="F52" i="9" s="1" a="1"/>
  <c r="F52" i="9" s="1"/>
  <c r="I11" i="9"/>
  <c r="F53" i="9" s="1" a="1"/>
  <c r="F53" i="9" s="1"/>
  <c r="J11" i="9"/>
  <c r="F54" i="9" s="1" a="1"/>
  <c r="F54" i="9" s="1"/>
  <c r="K11" i="9"/>
  <c r="F55" i="9" s="1" a="1"/>
  <c r="F55" i="9" s="1"/>
  <c r="L11" i="9"/>
  <c r="F56" i="9" s="1" a="1"/>
  <c r="F56" i="9" s="1"/>
  <c r="M11" i="9"/>
  <c r="F57" i="9" s="1" a="1"/>
  <c r="F57" i="9" s="1"/>
  <c r="N11" i="9"/>
  <c r="F58" i="9" s="1" a="1"/>
  <c r="F58" i="9" s="1"/>
  <c r="O11" i="9"/>
  <c r="F59" i="9" s="1" a="1"/>
  <c r="F59" i="9" s="1"/>
  <c r="P11" i="9"/>
  <c r="F60" i="9" s="1" a="1"/>
  <c r="F60" i="9" s="1"/>
  <c r="Q11" i="9"/>
  <c r="F61" i="9" s="1" a="1"/>
  <c r="F61" i="9" s="1"/>
  <c r="R11" i="9"/>
  <c r="F62" i="9" s="1" a="1"/>
  <c r="F62" i="9" s="1"/>
  <c r="S11" i="9"/>
  <c r="F63" i="9" s="1" a="1"/>
  <c r="F63" i="9" s="1"/>
  <c r="G12" i="9"/>
  <c r="G51" i="9" s="1" a="1"/>
  <c r="G51" i="9" s="1"/>
  <c r="H12" i="9"/>
  <c r="G52" i="9" s="1" a="1"/>
  <c r="G52" i="9" s="1"/>
  <c r="I12" i="9"/>
  <c r="G53" i="9" s="1" a="1"/>
  <c r="G53" i="9" s="1"/>
  <c r="J12" i="9"/>
  <c r="G54" i="9" s="1" a="1"/>
  <c r="G54" i="9" s="1"/>
  <c r="K12" i="9"/>
  <c r="G55" i="9" s="1" a="1"/>
  <c r="G55" i="9" s="1"/>
  <c r="L12" i="9"/>
  <c r="G56" i="9" s="1" a="1"/>
  <c r="G56" i="9" s="1"/>
  <c r="M12" i="9"/>
  <c r="G57" i="9" s="1" a="1"/>
  <c r="G57" i="9" s="1"/>
  <c r="N12" i="9"/>
  <c r="G58" i="9" s="1" a="1"/>
  <c r="G58" i="9" s="1"/>
  <c r="O12" i="9"/>
  <c r="G59" i="9" s="1" a="1"/>
  <c r="G59" i="9" s="1"/>
  <c r="P12" i="9"/>
  <c r="G60" i="9" s="1" a="1"/>
  <c r="G60" i="9" s="1"/>
  <c r="Q12" i="9"/>
  <c r="G61" i="9" s="1" a="1"/>
  <c r="G61" i="9" s="1"/>
  <c r="R12" i="9"/>
  <c r="G62" i="9" s="1" a="1"/>
  <c r="G62" i="9" s="1"/>
  <c r="S12" i="9"/>
  <c r="G63" i="9" s="1" a="1"/>
  <c r="G63" i="9" s="1"/>
  <c r="G13" i="9"/>
  <c r="H51" i="9" s="1" a="1"/>
  <c r="H51" i="9" s="1"/>
  <c r="H13" i="9"/>
  <c r="H52" i="9" s="1" a="1"/>
  <c r="H52" i="9" s="1"/>
  <c r="I13" i="9"/>
  <c r="H53" i="9" s="1" a="1"/>
  <c r="H53" i="9" s="1"/>
  <c r="J13" i="9"/>
  <c r="H54" i="9" s="1" a="1"/>
  <c r="H54" i="9" s="1"/>
  <c r="K13" i="9"/>
  <c r="H55" i="9" s="1" a="1"/>
  <c r="H55" i="9" s="1"/>
  <c r="J73" i="9" s="1"/>
  <c r="N12" i="11" s="1"/>
  <c r="L13" i="9"/>
  <c r="H56" i="9" s="1" a="1"/>
  <c r="H56" i="9" s="1"/>
  <c r="M13" i="9"/>
  <c r="H57" i="9" s="1" a="1"/>
  <c r="H57" i="9" s="1"/>
  <c r="N13" i="9"/>
  <c r="H58" i="9" s="1" a="1"/>
  <c r="H58" i="9" s="1"/>
  <c r="O13" i="9"/>
  <c r="H59" i="9" s="1" a="1"/>
  <c r="H59" i="9" s="1"/>
  <c r="J74" i="9" s="1"/>
  <c r="N43" i="11" s="1"/>
  <c r="P13" i="9"/>
  <c r="H60" i="9" s="1" a="1"/>
  <c r="H60" i="9" s="1"/>
  <c r="Q13" i="9"/>
  <c r="H61" i="9" s="1" a="1"/>
  <c r="H61" i="9" s="1"/>
  <c r="R13" i="9"/>
  <c r="H62" i="9" s="1" a="1"/>
  <c r="H62" i="9" s="1"/>
  <c r="S13" i="9"/>
  <c r="H63" i="9" s="1" a="1"/>
  <c r="H63" i="9" s="1"/>
  <c r="J75" i="9" s="1"/>
  <c r="N74" i="11" s="1"/>
  <c r="G14" i="9"/>
  <c r="I51" i="9" s="1" a="1"/>
  <c r="I51" i="9" s="1"/>
  <c r="H14" i="9"/>
  <c r="I52" i="9" s="1" a="1"/>
  <c r="I52" i="9" s="1"/>
  <c r="I14" i="9"/>
  <c r="I53" i="9" s="1" a="1"/>
  <c r="I53" i="9" s="1"/>
  <c r="J14" i="9"/>
  <c r="I54" i="9" s="1" a="1"/>
  <c r="I54" i="9" s="1"/>
  <c r="K14" i="9"/>
  <c r="I55" i="9" s="1" a="1"/>
  <c r="I55" i="9" s="1"/>
  <c r="K73" i="9" s="1"/>
  <c r="O12" i="11" s="1"/>
  <c r="L14" i="9"/>
  <c r="I56" i="9" s="1" a="1"/>
  <c r="I56" i="9" s="1"/>
  <c r="M14" i="9"/>
  <c r="I57" i="9" s="1" a="1"/>
  <c r="I57" i="9" s="1"/>
  <c r="N14" i="9"/>
  <c r="I58" i="9" s="1" a="1"/>
  <c r="I58" i="9" s="1"/>
  <c r="O14" i="9"/>
  <c r="I59" i="9" s="1" a="1"/>
  <c r="I59" i="9" s="1"/>
  <c r="K74" i="9" s="1"/>
  <c r="O43" i="11" s="1"/>
  <c r="P14" i="9"/>
  <c r="I60" i="9" s="1" a="1"/>
  <c r="I60" i="9" s="1"/>
  <c r="Q14" i="9"/>
  <c r="I61" i="9" s="1" a="1"/>
  <c r="I61" i="9" s="1"/>
  <c r="R14" i="9"/>
  <c r="I62" i="9" s="1" a="1"/>
  <c r="I62" i="9" s="1"/>
  <c r="S14" i="9"/>
  <c r="I63" i="9" s="1" a="1"/>
  <c r="I63" i="9" s="1"/>
  <c r="K75" i="9" s="1"/>
  <c r="O74" i="11" s="1"/>
  <c r="G15" i="9"/>
  <c r="J51" i="9" s="1" a="1"/>
  <c r="J51" i="9" s="1"/>
  <c r="H15" i="9"/>
  <c r="J52" i="9" s="1" a="1"/>
  <c r="J52" i="9" s="1"/>
  <c r="I15" i="9"/>
  <c r="J53" i="9" s="1" a="1"/>
  <c r="J53" i="9" s="1"/>
  <c r="J15" i="9"/>
  <c r="J54" i="9" s="1" a="1"/>
  <c r="J54" i="9" s="1"/>
  <c r="K15" i="9"/>
  <c r="J55" i="9" s="1" a="1"/>
  <c r="J55" i="9" s="1"/>
  <c r="L73" i="9" s="1"/>
  <c r="P12" i="11" s="1"/>
  <c r="L15" i="9"/>
  <c r="J56" i="9" s="1" a="1"/>
  <c r="J56" i="9" s="1"/>
  <c r="M15" i="9"/>
  <c r="J57" i="9" s="1" a="1"/>
  <c r="J57" i="9" s="1"/>
  <c r="N15" i="9"/>
  <c r="J58" i="9" s="1" a="1"/>
  <c r="J58" i="9" s="1"/>
  <c r="O15" i="9"/>
  <c r="J59" i="9" s="1" a="1"/>
  <c r="J59" i="9" s="1"/>
  <c r="L74" i="9" s="1"/>
  <c r="P43" i="11" s="1"/>
  <c r="P15" i="9"/>
  <c r="J60" i="9" s="1" a="1"/>
  <c r="J60" i="9" s="1"/>
  <c r="Q15" i="9"/>
  <c r="J61" i="9" s="1" a="1"/>
  <c r="J61" i="9" s="1"/>
  <c r="R15" i="9"/>
  <c r="J62" i="9" s="1" a="1"/>
  <c r="J62" i="9" s="1"/>
  <c r="S15" i="9"/>
  <c r="J63" i="9" s="1" a="1"/>
  <c r="J63" i="9" s="1"/>
  <c r="L75" i="9" s="1"/>
  <c r="P74" i="11" s="1"/>
  <c r="G16" i="9"/>
  <c r="K51" i="9" s="1" a="1"/>
  <c r="K51" i="9" s="1"/>
  <c r="H16" i="9"/>
  <c r="K52" i="9" s="1" a="1"/>
  <c r="K52" i="9" s="1"/>
  <c r="I16" i="9"/>
  <c r="K53" i="9" s="1" a="1"/>
  <c r="K53" i="9" s="1"/>
  <c r="J16" i="9"/>
  <c r="K54" i="9" s="1" a="1"/>
  <c r="K54" i="9" s="1"/>
  <c r="K16" i="9"/>
  <c r="K55" i="9" s="1" a="1"/>
  <c r="K55" i="9" s="1"/>
  <c r="M73" i="9" s="1"/>
  <c r="Q12" i="11" s="1"/>
  <c r="L16" i="9"/>
  <c r="K56" i="9" s="1" a="1"/>
  <c r="K56" i="9" s="1"/>
  <c r="M16" i="9"/>
  <c r="K57" i="9" s="1" a="1"/>
  <c r="K57" i="9" s="1"/>
  <c r="N16" i="9"/>
  <c r="K58" i="9" s="1" a="1"/>
  <c r="K58" i="9" s="1"/>
  <c r="O16" i="9"/>
  <c r="K59" i="9" s="1" a="1"/>
  <c r="K59" i="9" s="1"/>
  <c r="M74" i="9" s="1"/>
  <c r="Q43" i="11" s="1"/>
  <c r="P16" i="9"/>
  <c r="K60" i="9" s="1" a="1"/>
  <c r="K60" i="9" s="1"/>
  <c r="Q16" i="9"/>
  <c r="K61" i="9" s="1" a="1"/>
  <c r="K61" i="9" s="1"/>
  <c r="R16" i="9"/>
  <c r="K62" i="9" s="1" a="1"/>
  <c r="K62" i="9" s="1"/>
  <c r="S16" i="9"/>
  <c r="K63" i="9" s="1" a="1"/>
  <c r="K63" i="9" s="1"/>
  <c r="M75" i="9" s="1"/>
  <c r="Q74" i="11" s="1"/>
  <c r="G17" i="9"/>
  <c r="L51" i="9" s="1" a="1"/>
  <c r="L51" i="9" s="1"/>
  <c r="H17" i="9"/>
  <c r="L52" i="9" s="1" a="1"/>
  <c r="L52" i="9" s="1"/>
  <c r="I17" i="9"/>
  <c r="L53" i="9" s="1" a="1"/>
  <c r="L53" i="9" s="1"/>
  <c r="J17" i="9"/>
  <c r="L54" i="9" s="1" a="1"/>
  <c r="L54" i="9" s="1"/>
  <c r="K17" i="9"/>
  <c r="L55" i="9" s="1" a="1"/>
  <c r="L55" i="9" s="1"/>
  <c r="L17" i="9"/>
  <c r="L56" i="9" s="1" a="1"/>
  <c r="L56" i="9" s="1"/>
  <c r="M17" i="9"/>
  <c r="L57" i="9" s="1" a="1"/>
  <c r="L57" i="9" s="1"/>
  <c r="N17" i="9"/>
  <c r="L58" i="9" s="1" a="1"/>
  <c r="L58" i="9" s="1"/>
  <c r="O17" i="9"/>
  <c r="L59" i="9" s="1" a="1"/>
  <c r="L59" i="9" s="1"/>
  <c r="P17" i="9"/>
  <c r="L60" i="9" s="1" a="1"/>
  <c r="L60" i="9" s="1"/>
  <c r="Q17" i="9"/>
  <c r="L61" i="9" s="1" a="1"/>
  <c r="L61" i="9" s="1"/>
  <c r="R17" i="9"/>
  <c r="L62" i="9" s="1" a="1"/>
  <c r="L62" i="9" s="1"/>
  <c r="S17" i="9"/>
  <c r="L63" i="9" s="1" a="1"/>
  <c r="L63" i="9" s="1"/>
  <c r="G18" i="9"/>
  <c r="M51" i="9" s="1" a="1"/>
  <c r="M51" i="9" s="1"/>
  <c r="H18" i="9"/>
  <c r="M52" i="9" s="1" a="1"/>
  <c r="M52" i="9" s="1"/>
  <c r="I18" i="9"/>
  <c r="M53" i="9" s="1" a="1"/>
  <c r="M53" i="9" s="1"/>
  <c r="J18" i="9"/>
  <c r="M54" i="9" s="1" a="1"/>
  <c r="M54" i="9" s="1"/>
  <c r="K18" i="9"/>
  <c r="M55" i="9" s="1" a="1"/>
  <c r="M55" i="9" s="1"/>
  <c r="L18" i="9"/>
  <c r="M56" i="9" s="1" a="1"/>
  <c r="M56" i="9" s="1"/>
  <c r="M18" i="9"/>
  <c r="M57" i="9" s="1" a="1"/>
  <c r="M57" i="9" s="1"/>
  <c r="N18" i="9"/>
  <c r="M58" i="9" s="1" a="1"/>
  <c r="M58" i="9" s="1"/>
  <c r="O18" i="9"/>
  <c r="M59" i="9" s="1" a="1"/>
  <c r="M59" i="9" s="1"/>
  <c r="P18" i="9"/>
  <c r="M60" i="9" s="1" a="1"/>
  <c r="M60" i="9" s="1"/>
  <c r="Q18" i="9"/>
  <c r="M61" i="9" s="1" a="1"/>
  <c r="M61" i="9" s="1"/>
  <c r="R18" i="9"/>
  <c r="M62" i="9" s="1" a="1"/>
  <c r="M62" i="9" s="1"/>
  <c r="S18" i="9"/>
  <c r="M63" i="9" s="1" a="1"/>
  <c r="M63" i="9" s="1"/>
  <c r="G19" i="9"/>
  <c r="N51" i="9" s="1" a="1"/>
  <c r="N51" i="9" s="1"/>
  <c r="H19" i="9"/>
  <c r="N52" i="9" s="1" a="1"/>
  <c r="N52" i="9" s="1"/>
  <c r="I19" i="9"/>
  <c r="N53" i="9" s="1" a="1"/>
  <c r="N53" i="9" s="1"/>
  <c r="J19" i="9"/>
  <c r="N54" i="9" s="1" a="1"/>
  <c r="N54" i="9" s="1"/>
  <c r="K19" i="9"/>
  <c r="N55" i="9" s="1" a="1"/>
  <c r="N55" i="9" s="1"/>
  <c r="L19" i="9"/>
  <c r="N56" i="9" s="1" a="1"/>
  <c r="N56" i="9" s="1"/>
  <c r="M19" i="9"/>
  <c r="N57" i="9" s="1" a="1"/>
  <c r="N57" i="9" s="1"/>
  <c r="N19" i="9"/>
  <c r="N58" i="9" s="1" a="1"/>
  <c r="N58" i="9" s="1"/>
  <c r="O19" i="9"/>
  <c r="N59" i="9" s="1" a="1"/>
  <c r="N59" i="9" s="1"/>
  <c r="P19" i="9"/>
  <c r="N60" i="9" s="1" a="1"/>
  <c r="N60" i="9" s="1"/>
  <c r="Q19" i="9"/>
  <c r="N61" i="9" s="1" a="1"/>
  <c r="N61" i="9" s="1"/>
  <c r="R19" i="9"/>
  <c r="N62" i="9" s="1" a="1"/>
  <c r="N62" i="9" s="1"/>
  <c r="S19" i="9"/>
  <c r="N63" i="9" s="1" a="1"/>
  <c r="N63" i="9" s="1"/>
  <c r="G20" i="9"/>
  <c r="O51" i="9" s="1" a="1"/>
  <c r="O51" i="9" s="1"/>
  <c r="H20" i="9"/>
  <c r="O52" i="9" s="1" a="1"/>
  <c r="O52" i="9" s="1"/>
  <c r="I20" i="9"/>
  <c r="O53" i="9" s="1" a="1"/>
  <c r="O53" i="9" s="1"/>
  <c r="J20" i="9"/>
  <c r="O54" i="9" s="1" a="1"/>
  <c r="O54" i="9" s="1"/>
  <c r="K20" i="9"/>
  <c r="O55" i="9" s="1" a="1"/>
  <c r="O55" i="9" s="1"/>
  <c r="L20" i="9"/>
  <c r="O56" i="9" s="1" a="1"/>
  <c r="O56" i="9" s="1"/>
  <c r="M20" i="9"/>
  <c r="O57" i="9" s="1" a="1"/>
  <c r="O57" i="9" s="1"/>
  <c r="N20" i="9"/>
  <c r="O58" i="9" s="1" a="1"/>
  <c r="O58" i="9" s="1"/>
  <c r="O20" i="9"/>
  <c r="O59" i="9" s="1" a="1"/>
  <c r="O59" i="9" s="1"/>
  <c r="P20" i="9"/>
  <c r="O60" i="9" s="1" a="1"/>
  <c r="O60" i="9" s="1"/>
  <c r="Q20" i="9"/>
  <c r="O61" i="9" s="1" a="1"/>
  <c r="O61" i="9" s="1"/>
  <c r="R20" i="9"/>
  <c r="O62" i="9" s="1" a="1"/>
  <c r="O62" i="9" s="1"/>
  <c r="S20" i="9"/>
  <c r="O63" i="9" s="1" a="1"/>
  <c r="O63" i="9" s="1"/>
  <c r="R6" i="9"/>
  <c r="A62" i="9" s="1" a="1"/>
  <c r="A62" i="9" s="1"/>
  <c r="S6" i="9"/>
  <c r="A63" i="9" s="1" a="1"/>
  <c r="A63" i="9" s="1"/>
  <c r="H6" i="9"/>
  <c r="A52" i="9" s="1" a="1"/>
  <c r="A52" i="9" s="1"/>
  <c r="I6" i="9"/>
  <c r="A53" i="9" s="1" a="1"/>
  <c r="A53" i="9" s="1"/>
  <c r="J6" i="9"/>
  <c r="A54" i="9" s="1" a="1"/>
  <c r="A54" i="9" s="1"/>
  <c r="K6" i="9"/>
  <c r="A55" i="9" s="1" a="1"/>
  <c r="A55" i="9" s="1"/>
  <c r="L6" i="9"/>
  <c r="A56" i="9" s="1" a="1"/>
  <c r="A56" i="9" s="1"/>
  <c r="M6" i="9"/>
  <c r="A57" i="9" s="1" a="1"/>
  <c r="A57" i="9" s="1"/>
  <c r="N6" i="9"/>
  <c r="A58" i="9" s="1" a="1"/>
  <c r="A58" i="9" s="1"/>
  <c r="O6" i="9"/>
  <c r="A59" i="9" s="1" a="1"/>
  <c r="A59" i="9" s="1"/>
  <c r="P6" i="9"/>
  <c r="A60" i="9" s="1" a="1"/>
  <c r="A60" i="9" s="1"/>
  <c r="Q6" i="9"/>
  <c r="A61" i="9" s="1" a="1"/>
  <c r="A61" i="9" s="1"/>
  <c r="G6" i="9"/>
  <c r="A51" i="9" s="1" a="1"/>
  <c r="A51" i="9" s="1"/>
  <c r="G27" i="10" l="1"/>
  <c r="V51" i="10" s="1" a="1"/>
  <c r="V51" i="10" s="1"/>
  <c r="H27" i="10"/>
  <c r="V52" i="10" s="1" a="1"/>
  <c r="V52" i="10" s="1"/>
  <c r="I27" i="10"/>
  <c r="V53" i="10" s="1" a="1"/>
  <c r="V53" i="10" s="1"/>
  <c r="J27" i="10"/>
  <c r="V54" i="10" s="1" a="1"/>
  <c r="V54" i="10" s="1"/>
  <c r="K27" i="10"/>
  <c r="V55" i="10" s="1" a="1"/>
  <c r="V55" i="10" s="1"/>
  <c r="L27" i="10"/>
  <c r="V56" i="10" s="1" a="1"/>
  <c r="V56" i="10" s="1"/>
  <c r="M27" i="10"/>
  <c r="V57" i="10" s="1" a="1"/>
  <c r="V57" i="10" s="1"/>
  <c r="N27" i="10"/>
  <c r="V58" i="10" s="1" a="1"/>
  <c r="V58" i="10" s="1"/>
  <c r="O27" i="10"/>
  <c r="V59" i="10" s="1" a="1"/>
  <c r="V59" i="10" s="1"/>
  <c r="P27" i="10"/>
  <c r="V60" i="10" s="1" a="1"/>
  <c r="V60" i="10" s="1"/>
  <c r="Q27" i="10"/>
  <c r="V61" i="10" s="1" a="1"/>
  <c r="V61" i="10" s="1"/>
  <c r="R27" i="10"/>
  <c r="V62" i="10" s="1" a="1"/>
  <c r="V62" i="10" s="1"/>
  <c r="S27" i="10"/>
  <c r="V63" i="10" s="1" a="1"/>
  <c r="V63" i="10" s="1"/>
  <c r="G28" i="10"/>
  <c r="W51" i="10" s="1" a="1"/>
  <c r="W51" i="10" s="1"/>
  <c r="H28" i="10"/>
  <c r="W52" i="10" s="1" a="1"/>
  <c r="W52" i="10" s="1"/>
  <c r="I28" i="10"/>
  <c r="W53" i="10" s="1" a="1"/>
  <c r="W53" i="10" s="1"/>
  <c r="J28" i="10"/>
  <c r="W54" i="10" s="1" a="1"/>
  <c r="W54" i="10" s="1"/>
  <c r="K28" i="10"/>
  <c r="W55" i="10" s="1" a="1"/>
  <c r="W55" i="10" s="1"/>
  <c r="L28" i="10"/>
  <c r="W56" i="10" s="1" a="1"/>
  <c r="W56" i="10" s="1"/>
  <c r="M28" i="10"/>
  <c r="W57" i="10" s="1" a="1"/>
  <c r="W57" i="10" s="1"/>
  <c r="N28" i="10"/>
  <c r="W58" i="10" s="1" a="1"/>
  <c r="W58" i="10" s="1"/>
  <c r="O28" i="10"/>
  <c r="W59" i="10" s="1" a="1"/>
  <c r="W59" i="10" s="1"/>
  <c r="P28" i="10"/>
  <c r="W60" i="10" s="1" a="1"/>
  <c r="W60" i="10" s="1"/>
  <c r="Q28" i="10"/>
  <c r="W61" i="10" s="1" a="1"/>
  <c r="W61" i="10" s="1"/>
  <c r="R28" i="10"/>
  <c r="W62" i="10" s="1" a="1"/>
  <c r="W62" i="10" s="1"/>
  <c r="S28" i="10"/>
  <c r="W63" i="10" s="1" a="1"/>
  <c r="W63" i="10" s="1"/>
  <c r="G29" i="10"/>
  <c r="X51" i="10" s="1" a="1"/>
  <c r="X51" i="10" s="1"/>
  <c r="H29" i="10"/>
  <c r="X52" i="10" s="1" a="1"/>
  <c r="X52" i="10" s="1"/>
  <c r="I29" i="10"/>
  <c r="X53" i="10" s="1" a="1"/>
  <c r="X53" i="10" s="1"/>
  <c r="J29" i="10"/>
  <c r="X54" i="10" s="1" a="1"/>
  <c r="X54" i="10" s="1"/>
  <c r="K29" i="10"/>
  <c r="X55" i="10" s="1" a="1"/>
  <c r="X55" i="10" s="1"/>
  <c r="L29" i="10"/>
  <c r="X56" i="10" s="1" a="1"/>
  <c r="X56" i="10" s="1"/>
  <c r="M29" i="10"/>
  <c r="X57" i="10" s="1" a="1"/>
  <c r="X57" i="10" s="1"/>
  <c r="N29" i="10"/>
  <c r="X58" i="10" s="1" a="1"/>
  <c r="X58" i="10" s="1"/>
  <c r="O29" i="10"/>
  <c r="X59" i="10" s="1" a="1"/>
  <c r="X59" i="10" s="1"/>
  <c r="P29" i="10"/>
  <c r="X60" i="10" s="1" a="1"/>
  <c r="X60" i="10" s="1"/>
  <c r="Q29" i="10"/>
  <c r="X61" i="10" s="1" a="1"/>
  <c r="X61" i="10" s="1"/>
  <c r="R29" i="10"/>
  <c r="X62" i="10" s="1" a="1"/>
  <c r="X62" i="10" s="1"/>
  <c r="S29" i="10"/>
  <c r="X63" i="10" s="1" a="1"/>
  <c r="X63" i="10" s="1"/>
  <c r="G30" i="10"/>
  <c r="Y51" i="10" s="1" a="1"/>
  <c r="Y51" i="10" s="1"/>
  <c r="H30" i="10"/>
  <c r="Y52" i="10" s="1" a="1"/>
  <c r="Y52" i="10" s="1"/>
  <c r="I30" i="10"/>
  <c r="Y53" i="10" s="1" a="1"/>
  <c r="Y53" i="10" s="1"/>
  <c r="J30" i="10"/>
  <c r="Y54" i="10" s="1" a="1"/>
  <c r="Y54" i="10" s="1"/>
  <c r="K30" i="10"/>
  <c r="Y55" i="10" s="1" a="1"/>
  <c r="Y55" i="10" s="1"/>
  <c r="L30" i="10"/>
  <c r="Y56" i="10" s="1" a="1"/>
  <c r="Y56" i="10" s="1"/>
  <c r="M30" i="10"/>
  <c r="Y57" i="10" s="1" a="1"/>
  <c r="Y57" i="10" s="1"/>
  <c r="N30" i="10"/>
  <c r="Y58" i="10" s="1" a="1"/>
  <c r="Y58" i="10" s="1"/>
  <c r="O30" i="10"/>
  <c r="Y59" i="10" s="1" a="1"/>
  <c r="Y59" i="10" s="1"/>
  <c r="P30" i="10"/>
  <c r="Y60" i="10" s="1" a="1"/>
  <c r="Y60" i="10" s="1"/>
  <c r="Q30" i="10"/>
  <c r="Y61" i="10" s="1" a="1"/>
  <c r="Y61" i="10" s="1"/>
  <c r="R30" i="10"/>
  <c r="Y62" i="10" s="1" a="1"/>
  <c r="Y62" i="10" s="1"/>
  <c r="S30" i="10"/>
  <c r="Y63" i="10" s="1" a="1"/>
  <c r="Y63" i="10" s="1"/>
  <c r="G31" i="10"/>
  <c r="Z51" i="10" s="1" a="1"/>
  <c r="Z51" i="10" s="1"/>
  <c r="H31" i="10"/>
  <c r="Z52" i="10" s="1" a="1"/>
  <c r="Z52" i="10" s="1"/>
  <c r="I31" i="10"/>
  <c r="Z53" i="10" s="1" a="1"/>
  <c r="Z53" i="10" s="1"/>
  <c r="J31" i="10"/>
  <c r="Z54" i="10" s="1" a="1"/>
  <c r="Z54" i="10" s="1"/>
  <c r="K31" i="10"/>
  <c r="Z55" i="10" s="1" a="1"/>
  <c r="Z55" i="10" s="1"/>
  <c r="L31" i="10"/>
  <c r="Z56" i="10" s="1" a="1"/>
  <c r="Z56" i="10" s="1"/>
  <c r="M31" i="10"/>
  <c r="Z57" i="10" s="1" a="1"/>
  <c r="Z57" i="10" s="1"/>
  <c r="N31" i="10"/>
  <c r="Z58" i="10" s="1" a="1"/>
  <c r="Z58" i="10" s="1"/>
  <c r="O31" i="10"/>
  <c r="Z59" i="10" s="1" a="1"/>
  <c r="Z59" i="10" s="1"/>
  <c r="P31" i="10"/>
  <c r="Z60" i="10" s="1" a="1"/>
  <c r="Z60" i="10" s="1"/>
  <c r="Q31" i="10"/>
  <c r="Z61" i="10" s="1" a="1"/>
  <c r="Z61" i="10" s="1"/>
  <c r="R31" i="10"/>
  <c r="Z62" i="10" s="1" a="1"/>
  <c r="Z62" i="10" s="1"/>
  <c r="S31" i="10"/>
  <c r="Z63" i="10" s="1" a="1"/>
  <c r="Z63" i="10" s="1"/>
  <c r="G32" i="10"/>
  <c r="AA51" i="10" s="1" a="1"/>
  <c r="AA51" i="10" s="1"/>
  <c r="H32" i="10"/>
  <c r="AA52" i="10" s="1" a="1"/>
  <c r="AA52" i="10" s="1"/>
  <c r="I32" i="10"/>
  <c r="AA53" i="10" s="1" a="1"/>
  <c r="AA53" i="10" s="1"/>
  <c r="J32" i="10"/>
  <c r="AA54" i="10" s="1" a="1"/>
  <c r="AA54" i="10" s="1"/>
  <c r="K32" i="10"/>
  <c r="AA55" i="10" s="1" a="1"/>
  <c r="AA55" i="10" s="1"/>
  <c r="L32" i="10"/>
  <c r="AA56" i="10" s="1" a="1"/>
  <c r="AA56" i="10" s="1"/>
  <c r="M32" i="10"/>
  <c r="AA57" i="10" s="1" a="1"/>
  <c r="AA57" i="10" s="1"/>
  <c r="N32" i="10"/>
  <c r="AA58" i="10" s="1" a="1"/>
  <c r="AA58" i="10" s="1"/>
  <c r="O32" i="10"/>
  <c r="AA59" i="10" s="1" a="1"/>
  <c r="AA59" i="10" s="1"/>
  <c r="P32" i="10"/>
  <c r="AA60" i="10" s="1" a="1"/>
  <c r="AA60" i="10" s="1"/>
  <c r="Q32" i="10"/>
  <c r="AA61" i="10" s="1" a="1"/>
  <c r="AA61" i="10" s="1"/>
  <c r="R32" i="10"/>
  <c r="AA62" i="10" s="1" a="1"/>
  <c r="AA62" i="10" s="1"/>
  <c r="S32" i="10"/>
  <c r="AA63" i="10" s="1" a="1"/>
  <c r="AA63" i="10" s="1"/>
  <c r="G33" i="10"/>
  <c r="AB51" i="10" s="1" a="1"/>
  <c r="AB51" i="10" s="1"/>
  <c r="H33" i="10"/>
  <c r="AB52" i="10" s="1" a="1"/>
  <c r="AB52" i="10" s="1"/>
  <c r="I33" i="10"/>
  <c r="AB53" i="10" s="1" a="1"/>
  <c r="AB53" i="10" s="1"/>
  <c r="J33" i="10"/>
  <c r="AB54" i="10" s="1" a="1"/>
  <c r="AB54" i="10" s="1"/>
  <c r="K33" i="10"/>
  <c r="AB55" i="10" s="1" a="1"/>
  <c r="AB55" i="10" s="1"/>
  <c r="L33" i="10"/>
  <c r="AB56" i="10" s="1" a="1"/>
  <c r="AB56" i="10" s="1"/>
  <c r="M33" i="10"/>
  <c r="AB57" i="10" s="1" a="1"/>
  <c r="AB57" i="10" s="1"/>
  <c r="N33" i="10"/>
  <c r="AB58" i="10" s="1" a="1"/>
  <c r="AB58" i="10" s="1"/>
  <c r="O33" i="10"/>
  <c r="AB59" i="10" s="1" a="1"/>
  <c r="AB59" i="10" s="1"/>
  <c r="P33" i="10"/>
  <c r="AB60" i="10" s="1" a="1"/>
  <c r="AB60" i="10" s="1"/>
  <c r="Q33" i="10"/>
  <c r="AB61" i="10" s="1" a="1"/>
  <c r="AB61" i="10" s="1"/>
  <c r="R33" i="10"/>
  <c r="AB62" i="10" s="1" a="1"/>
  <c r="AB62" i="10" s="1"/>
  <c r="S33" i="10"/>
  <c r="AB63" i="10" s="1" a="1"/>
  <c r="AB63" i="10" s="1"/>
  <c r="G34" i="10"/>
  <c r="AC51" i="10" s="1" a="1"/>
  <c r="AC51" i="10" s="1"/>
  <c r="H34" i="10"/>
  <c r="AC52" i="10" s="1" a="1"/>
  <c r="AC52" i="10" s="1"/>
  <c r="I34" i="10"/>
  <c r="AC53" i="10" s="1" a="1"/>
  <c r="AC53" i="10" s="1"/>
  <c r="J34" i="10"/>
  <c r="AC54" i="10" s="1" a="1"/>
  <c r="AC54" i="10" s="1"/>
  <c r="K34" i="10"/>
  <c r="AC55" i="10" s="1" a="1"/>
  <c r="AC55" i="10" s="1"/>
  <c r="L34" i="10"/>
  <c r="AC56" i="10" s="1" a="1"/>
  <c r="AC56" i="10" s="1"/>
  <c r="M34" i="10"/>
  <c r="AC57" i="10" s="1" a="1"/>
  <c r="AC57" i="10" s="1"/>
  <c r="N34" i="10"/>
  <c r="AC58" i="10" s="1" a="1"/>
  <c r="AC58" i="10" s="1"/>
  <c r="O34" i="10"/>
  <c r="AC59" i="10" s="1" a="1"/>
  <c r="AC59" i="10" s="1"/>
  <c r="P34" i="10"/>
  <c r="AC60" i="10" s="1" a="1"/>
  <c r="AC60" i="10" s="1"/>
  <c r="Q34" i="10"/>
  <c r="AC61" i="10" s="1" a="1"/>
  <c r="AC61" i="10" s="1"/>
  <c r="R34" i="10"/>
  <c r="AC62" i="10" s="1" a="1"/>
  <c r="AC62" i="10" s="1"/>
  <c r="S34" i="10"/>
  <c r="AC63" i="10" s="1" a="1"/>
  <c r="AC63" i="10" s="1"/>
  <c r="G35" i="10"/>
  <c r="AD51" i="10" s="1" a="1"/>
  <c r="AD51" i="10" s="1"/>
  <c r="H35" i="10"/>
  <c r="AD52" i="10" s="1" a="1"/>
  <c r="AD52" i="10" s="1"/>
  <c r="I35" i="10"/>
  <c r="AD53" i="10" s="1" a="1"/>
  <c r="AD53" i="10" s="1"/>
  <c r="J35" i="10"/>
  <c r="AD54" i="10" s="1" a="1"/>
  <c r="AD54" i="10" s="1"/>
  <c r="K35" i="10"/>
  <c r="AD55" i="10" s="1" a="1"/>
  <c r="AD55" i="10" s="1"/>
  <c r="L35" i="10"/>
  <c r="AD56" i="10" s="1" a="1"/>
  <c r="AD56" i="10" s="1"/>
  <c r="M35" i="10"/>
  <c r="AD57" i="10" s="1" a="1"/>
  <c r="AD57" i="10" s="1"/>
  <c r="N35" i="10"/>
  <c r="AD58" i="10" s="1" a="1"/>
  <c r="AD58" i="10" s="1"/>
  <c r="O35" i="10"/>
  <c r="AD59" i="10" s="1" a="1"/>
  <c r="AD59" i="10" s="1"/>
  <c r="P35" i="10"/>
  <c r="AD60" i="10" s="1" a="1"/>
  <c r="AD60" i="10" s="1"/>
  <c r="Q35" i="10"/>
  <c r="AD61" i="10" s="1" a="1"/>
  <c r="AD61" i="10" s="1"/>
  <c r="R35" i="10"/>
  <c r="AD62" i="10" s="1" a="1"/>
  <c r="AD62" i="10" s="1"/>
  <c r="S35" i="10"/>
  <c r="AD63" i="10" s="1" a="1"/>
  <c r="AD63" i="10" s="1"/>
  <c r="G36" i="10"/>
  <c r="AE51" i="10" s="1" a="1"/>
  <c r="AE51" i="10" s="1"/>
  <c r="H36" i="10"/>
  <c r="AE52" i="10" s="1" a="1"/>
  <c r="AE52" i="10" s="1"/>
  <c r="I36" i="10"/>
  <c r="AE53" i="10" s="1" a="1"/>
  <c r="AE53" i="10" s="1"/>
  <c r="J36" i="10"/>
  <c r="AE54" i="10" s="1" a="1"/>
  <c r="AE54" i="10" s="1"/>
  <c r="K36" i="10"/>
  <c r="AE55" i="10" s="1" a="1"/>
  <c r="AE55" i="10" s="1"/>
  <c r="L36" i="10"/>
  <c r="AE56" i="10" s="1" a="1"/>
  <c r="AE56" i="10" s="1"/>
  <c r="M36" i="10"/>
  <c r="AE57" i="10" s="1" a="1"/>
  <c r="AE57" i="10" s="1"/>
  <c r="N36" i="10"/>
  <c r="AE58" i="10" s="1" a="1"/>
  <c r="AE58" i="10" s="1"/>
  <c r="O36" i="10"/>
  <c r="AE59" i="10" s="1" a="1"/>
  <c r="AE59" i="10" s="1"/>
  <c r="P36" i="10"/>
  <c r="AE60" i="10" s="1" a="1"/>
  <c r="AE60" i="10" s="1"/>
  <c r="Q36" i="10"/>
  <c r="AE61" i="10" s="1" a="1"/>
  <c r="AE61" i="10" s="1"/>
  <c r="R36" i="10"/>
  <c r="AE62" i="10" s="1" a="1"/>
  <c r="AE62" i="10" s="1"/>
  <c r="S36" i="10"/>
  <c r="AE63" i="10" s="1" a="1"/>
  <c r="AE63" i="10" s="1"/>
  <c r="G37" i="10"/>
  <c r="AF51" i="10" s="1" a="1"/>
  <c r="AF51" i="10" s="1"/>
  <c r="H37" i="10"/>
  <c r="AF52" i="10" s="1" a="1"/>
  <c r="AF52" i="10" s="1"/>
  <c r="I37" i="10"/>
  <c r="AF53" i="10" s="1" a="1"/>
  <c r="AF53" i="10" s="1"/>
  <c r="J37" i="10"/>
  <c r="AF54" i="10" s="1" a="1"/>
  <c r="AF54" i="10" s="1"/>
  <c r="K37" i="10"/>
  <c r="AF55" i="10" s="1" a="1"/>
  <c r="AF55" i="10" s="1"/>
  <c r="L37" i="10"/>
  <c r="AF56" i="10" s="1" a="1"/>
  <c r="AF56" i="10" s="1"/>
  <c r="M37" i="10"/>
  <c r="AF57" i="10" s="1" a="1"/>
  <c r="AF57" i="10" s="1"/>
  <c r="N37" i="10"/>
  <c r="AF58" i="10" s="1" a="1"/>
  <c r="AF58" i="10" s="1"/>
  <c r="O37" i="10"/>
  <c r="AF59" i="10" s="1" a="1"/>
  <c r="AF59" i="10" s="1"/>
  <c r="P37" i="10"/>
  <c r="AF60" i="10" s="1" a="1"/>
  <c r="AF60" i="10" s="1"/>
  <c r="Q37" i="10"/>
  <c r="AF61" i="10" s="1" a="1"/>
  <c r="AF61" i="10" s="1"/>
  <c r="R37" i="10"/>
  <c r="AF62" i="10" s="1" a="1"/>
  <c r="AF62" i="10" s="1"/>
  <c r="S37" i="10"/>
  <c r="AF63" i="10" s="1" a="1"/>
  <c r="AF63" i="10" s="1"/>
  <c r="G38" i="10"/>
  <c r="AG51" i="10" s="1" a="1"/>
  <c r="AG51" i="10" s="1"/>
  <c r="H38" i="10"/>
  <c r="AG52" i="10" s="1" a="1"/>
  <c r="AG52" i="10" s="1"/>
  <c r="I38" i="10"/>
  <c r="AG53" i="10" s="1" a="1"/>
  <c r="AG53" i="10" s="1"/>
  <c r="J38" i="10"/>
  <c r="AG54" i="10" s="1" a="1"/>
  <c r="AG54" i="10" s="1"/>
  <c r="K38" i="10"/>
  <c r="AG55" i="10" s="1" a="1"/>
  <c r="AG55" i="10" s="1"/>
  <c r="L38" i="10"/>
  <c r="AG56" i="10" s="1" a="1"/>
  <c r="AG56" i="10" s="1"/>
  <c r="M38" i="10"/>
  <c r="AG57" i="10" s="1" a="1"/>
  <c r="AG57" i="10" s="1"/>
  <c r="N38" i="10"/>
  <c r="AG58" i="10" s="1" a="1"/>
  <c r="AG58" i="10" s="1"/>
  <c r="O38" i="10"/>
  <c r="AG59" i="10" s="1" a="1"/>
  <c r="AG59" i="10" s="1"/>
  <c r="P38" i="10"/>
  <c r="AG60" i="10" s="1" a="1"/>
  <c r="AG60" i="10" s="1"/>
  <c r="Q38" i="10"/>
  <c r="AG61" i="10" s="1" a="1"/>
  <c r="AG61" i="10" s="1"/>
  <c r="R38" i="10"/>
  <c r="AG62" i="10" s="1" a="1"/>
  <c r="AG62" i="10" s="1"/>
  <c r="S38" i="10"/>
  <c r="AG63" i="10" s="1" a="1"/>
  <c r="AG63" i="10" s="1"/>
  <c r="G39" i="10"/>
  <c r="AH51" i="10" s="1" a="1"/>
  <c r="AH51" i="10" s="1"/>
  <c r="H39" i="10"/>
  <c r="AH52" i="10" s="1" a="1"/>
  <c r="AH52" i="10" s="1"/>
  <c r="I39" i="10"/>
  <c r="AH53" i="10" s="1" a="1"/>
  <c r="AH53" i="10" s="1"/>
  <c r="J39" i="10"/>
  <c r="AH54" i="10" s="1" a="1"/>
  <c r="AH54" i="10" s="1"/>
  <c r="K39" i="10"/>
  <c r="AH55" i="10" s="1" a="1"/>
  <c r="AH55" i="10" s="1"/>
  <c r="L39" i="10"/>
  <c r="AH56" i="10" s="1" a="1"/>
  <c r="AH56" i="10" s="1"/>
  <c r="M39" i="10"/>
  <c r="AH57" i="10" s="1" a="1"/>
  <c r="AH57" i="10" s="1"/>
  <c r="N39" i="10"/>
  <c r="AH58" i="10" s="1" a="1"/>
  <c r="AH58" i="10" s="1"/>
  <c r="O39" i="10"/>
  <c r="AH59" i="10" s="1" a="1"/>
  <c r="AH59" i="10" s="1"/>
  <c r="P39" i="10"/>
  <c r="AH60" i="10" s="1" a="1"/>
  <c r="AH60" i="10" s="1"/>
  <c r="Q39" i="10"/>
  <c r="AH61" i="10" s="1" a="1"/>
  <c r="AH61" i="10" s="1"/>
  <c r="R39" i="10"/>
  <c r="AH62" i="10" s="1" a="1"/>
  <c r="AH62" i="10" s="1"/>
  <c r="S39" i="10"/>
  <c r="AH63" i="10" s="1" a="1"/>
  <c r="AH63" i="10" s="1"/>
  <c r="G40" i="10"/>
  <c r="AI51" i="10" s="1" a="1"/>
  <c r="AI51" i="10" s="1"/>
  <c r="H40" i="10"/>
  <c r="AI52" i="10" s="1" a="1"/>
  <c r="AI52" i="10" s="1"/>
  <c r="I40" i="10"/>
  <c r="AI53" i="10" s="1" a="1"/>
  <c r="AI53" i="10" s="1"/>
  <c r="J40" i="10"/>
  <c r="AI54" i="10" s="1" a="1"/>
  <c r="AI54" i="10" s="1"/>
  <c r="K40" i="10"/>
  <c r="AI55" i="10" s="1" a="1"/>
  <c r="AI55" i="10" s="1"/>
  <c r="L40" i="10"/>
  <c r="AI56" i="10" s="1" a="1"/>
  <c r="AI56" i="10" s="1"/>
  <c r="M40" i="10"/>
  <c r="AI57" i="10" s="1" a="1"/>
  <c r="AI57" i="10" s="1"/>
  <c r="N40" i="10"/>
  <c r="AI58" i="10" s="1" a="1"/>
  <c r="AI58" i="10" s="1"/>
  <c r="O40" i="10"/>
  <c r="AI59" i="10" s="1" a="1"/>
  <c r="AI59" i="10" s="1"/>
  <c r="P40" i="10"/>
  <c r="AI60" i="10" s="1" a="1"/>
  <c r="AI60" i="10" s="1"/>
  <c r="Q40" i="10"/>
  <c r="AI61" i="10" s="1" a="1"/>
  <c r="AI61" i="10" s="1"/>
  <c r="R40" i="10"/>
  <c r="AI62" i="10" s="1" a="1"/>
  <c r="AI62" i="10" s="1"/>
  <c r="S40" i="10"/>
  <c r="AI63" i="10" s="1" a="1"/>
  <c r="AI63" i="10" s="1"/>
  <c r="H26" i="10"/>
  <c r="U52" i="10" s="1" a="1"/>
  <c r="U52" i="10" s="1"/>
  <c r="I26" i="10"/>
  <c r="U53" i="10" s="1" a="1"/>
  <c r="U53" i="10" s="1"/>
  <c r="J26" i="10"/>
  <c r="U54" i="10" s="1" a="1"/>
  <c r="U54" i="10" s="1"/>
  <c r="K26" i="10"/>
  <c r="U55" i="10" s="1" a="1"/>
  <c r="U55" i="10" s="1"/>
  <c r="L26" i="10"/>
  <c r="U56" i="10" s="1" a="1"/>
  <c r="U56" i="10" s="1"/>
  <c r="M26" i="10"/>
  <c r="U57" i="10" s="1" a="1"/>
  <c r="U57" i="10" s="1"/>
  <c r="N26" i="10"/>
  <c r="U58" i="10" s="1" a="1"/>
  <c r="U58" i="10" s="1"/>
  <c r="O26" i="10"/>
  <c r="U59" i="10" s="1" a="1"/>
  <c r="U59" i="10" s="1"/>
  <c r="P26" i="10"/>
  <c r="U60" i="10" s="1" a="1"/>
  <c r="U60" i="10" s="1"/>
  <c r="Q26" i="10"/>
  <c r="U61" i="10" s="1" a="1"/>
  <c r="U61" i="10" s="1"/>
  <c r="R26" i="10"/>
  <c r="U62" i="10" s="1" a="1"/>
  <c r="U62" i="10" s="1"/>
  <c r="S26" i="10"/>
  <c r="U63" i="10" s="1" a="1"/>
  <c r="U63" i="10" s="1"/>
  <c r="G26" i="10"/>
  <c r="U51" i="10" s="1" a="1"/>
  <c r="U51" i="10" s="1"/>
  <c r="G7" i="10" l="1"/>
  <c r="B51" i="10" s="1" a="1"/>
  <c r="B51" i="10" s="1"/>
  <c r="H7" i="10"/>
  <c r="B52" i="10" s="1" a="1"/>
  <c r="B52" i="10" s="1"/>
  <c r="I7" i="10"/>
  <c r="B53" i="10" s="1" a="1"/>
  <c r="B53" i="10" s="1"/>
  <c r="J7" i="10"/>
  <c r="B54" i="10" s="1" a="1"/>
  <c r="B54" i="10" s="1"/>
  <c r="K7" i="10"/>
  <c r="B55" i="10" s="1" a="1"/>
  <c r="B55" i="10" s="1"/>
  <c r="B73" i="10" s="1"/>
  <c r="N3" i="11" s="1"/>
  <c r="L7" i="10"/>
  <c r="B56" i="10" s="1" a="1"/>
  <c r="B56" i="10" s="1"/>
  <c r="M7" i="10"/>
  <c r="B57" i="10" s="1" a="1"/>
  <c r="B57" i="10" s="1"/>
  <c r="N7" i="10"/>
  <c r="B58" i="10" s="1" a="1"/>
  <c r="B58" i="10" s="1"/>
  <c r="O7" i="10"/>
  <c r="B59" i="10" s="1" a="1"/>
  <c r="B59" i="10" s="1"/>
  <c r="B74" i="10" s="1"/>
  <c r="N34" i="11" s="1"/>
  <c r="P7" i="10"/>
  <c r="B60" i="10" s="1" a="1"/>
  <c r="B60" i="10" s="1"/>
  <c r="Q7" i="10"/>
  <c r="B61" i="10" s="1" a="1"/>
  <c r="B61" i="10" s="1"/>
  <c r="R7" i="10"/>
  <c r="B62" i="10" s="1" a="1"/>
  <c r="B62" i="10" s="1"/>
  <c r="S7" i="10"/>
  <c r="B63" i="10" s="1" a="1"/>
  <c r="B63" i="10" s="1"/>
  <c r="B75" i="10" s="1"/>
  <c r="N65" i="11" s="1"/>
  <c r="G8" i="10"/>
  <c r="C51" i="10" s="1" a="1"/>
  <c r="C51" i="10" s="1"/>
  <c r="H8" i="10"/>
  <c r="C52" i="10" s="1" a="1"/>
  <c r="C52" i="10" s="1"/>
  <c r="I8" i="10"/>
  <c r="C53" i="10" s="1" a="1"/>
  <c r="C53" i="10" s="1"/>
  <c r="J8" i="10"/>
  <c r="C54" i="10" s="1" a="1"/>
  <c r="C54" i="10" s="1"/>
  <c r="K8" i="10"/>
  <c r="C55" i="10" s="1" a="1"/>
  <c r="C55" i="10" s="1"/>
  <c r="C73" i="10" s="1"/>
  <c r="O3" i="11" s="1"/>
  <c r="L8" i="10"/>
  <c r="C56" i="10" s="1" a="1"/>
  <c r="C56" i="10" s="1"/>
  <c r="M8" i="10"/>
  <c r="C57" i="10" s="1" a="1"/>
  <c r="C57" i="10" s="1"/>
  <c r="N8" i="10"/>
  <c r="C58" i="10" s="1" a="1"/>
  <c r="C58" i="10" s="1"/>
  <c r="O8" i="10"/>
  <c r="C59" i="10" s="1" a="1"/>
  <c r="C59" i="10" s="1"/>
  <c r="C74" i="10" s="1"/>
  <c r="O34" i="11" s="1"/>
  <c r="P8" i="10"/>
  <c r="C60" i="10" s="1" a="1"/>
  <c r="C60" i="10" s="1"/>
  <c r="Q8" i="10"/>
  <c r="C61" i="10" s="1" a="1"/>
  <c r="C61" i="10" s="1"/>
  <c r="R8" i="10"/>
  <c r="C62" i="10" s="1" a="1"/>
  <c r="C62" i="10" s="1"/>
  <c r="S8" i="10"/>
  <c r="C63" i="10" s="1" a="1"/>
  <c r="C63" i="10" s="1"/>
  <c r="C75" i="10" s="1"/>
  <c r="O65" i="11" s="1"/>
  <c r="G9" i="10"/>
  <c r="D51" i="10" s="1" a="1"/>
  <c r="D51" i="10" s="1"/>
  <c r="H9" i="10"/>
  <c r="D52" i="10" s="1" a="1"/>
  <c r="D52" i="10" s="1"/>
  <c r="I9" i="10"/>
  <c r="D53" i="10" s="1" a="1"/>
  <c r="D53" i="10" s="1"/>
  <c r="J9" i="10"/>
  <c r="D54" i="10" s="1" a="1"/>
  <c r="D54" i="10" s="1"/>
  <c r="K9" i="10"/>
  <c r="D55" i="10" s="1" a="1"/>
  <c r="D55" i="10" s="1"/>
  <c r="D73" i="10" s="1"/>
  <c r="P3" i="11" s="1"/>
  <c r="L9" i="10"/>
  <c r="D56" i="10" s="1" a="1"/>
  <c r="D56" i="10" s="1"/>
  <c r="M9" i="10"/>
  <c r="D57" i="10" s="1" a="1"/>
  <c r="D57" i="10" s="1"/>
  <c r="N9" i="10"/>
  <c r="D58" i="10" s="1" a="1"/>
  <c r="D58" i="10" s="1"/>
  <c r="O9" i="10"/>
  <c r="D59" i="10" s="1" a="1"/>
  <c r="D59" i="10" s="1"/>
  <c r="D74" i="10" s="1"/>
  <c r="P34" i="11" s="1"/>
  <c r="P9" i="10"/>
  <c r="D60" i="10" s="1" a="1"/>
  <c r="D60" i="10" s="1"/>
  <c r="Q9" i="10"/>
  <c r="D61" i="10" s="1" a="1"/>
  <c r="D61" i="10" s="1"/>
  <c r="R9" i="10"/>
  <c r="D62" i="10" s="1" a="1"/>
  <c r="D62" i="10" s="1"/>
  <c r="S9" i="10"/>
  <c r="D63" i="10" s="1" a="1"/>
  <c r="D63" i="10" s="1"/>
  <c r="D75" i="10" s="1"/>
  <c r="P65" i="11" s="1"/>
  <c r="G10" i="10"/>
  <c r="E51" i="10" s="1" a="1"/>
  <c r="E51" i="10" s="1"/>
  <c r="H10" i="10"/>
  <c r="E52" i="10" s="1" a="1"/>
  <c r="E52" i="10" s="1"/>
  <c r="I10" i="10"/>
  <c r="E53" i="10" s="1" a="1"/>
  <c r="E53" i="10" s="1"/>
  <c r="J10" i="10"/>
  <c r="E54" i="10" s="1" a="1"/>
  <c r="E54" i="10" s="1"/>
  <c r="K10" i="10"/>
  <c r="E55" i="10" s="1" a="1"/>
  <c r="E55" i="10" s="1"/>
  <c r="E73" i="10" s="1"/>
  <c r="Q3" i="11" s="1"/>
  <c r="L10" i="10"/>
  <c r="E56" i="10" s="1" a="1"/>
  <c r="E56" i="10" s="1"/>
  <c r="M10" i="10"/>
  <c r="E57" i="10" s="1" a="1"/>
  <c r="E57" i="10" s="1"/>
  <c r="N10" i="10"/>
  <c r="E58" i="10" s="1" a="1"/>
  <c r="E58" i="10" s="1"/>
  <c r="O10" i="10"/>
  <c r="E59" i="10" s="1" a="1"/>
  <c r="E59" i="10" s="1"/>
  <c r="E74" i="10" s="1"/>
  <c r="Q34" i="11" s="1"/>
  <c r="P10" i="10"/>
  <c r="E60" i="10" s="1" a="1"/>
  <c r="E60" i="10" s="1"/>
  <c r="Q10" i="10"/>
  <c r="E61" i="10" s="1" a="1"/>
  <c r="E61" i="10" s="1"/>
  <c r="R10" i="10"/>
  <c r="E62" i="10" s="1" a="1"/>
  <c r="E62" i="10" s="1"/>
  <c r="S10" i="10"/>
  <c r="E63" i="10" s="1" a="1"/>
  <c r="E63" i="10" s="1"/>
  <c r="E75" i="10" s="1"/>
  <c r="Q65" i="11" s="1"/>
  <c r="G11" i="10"/>
  <c r="F51" i="10" s="1" a="1"/>
  <c r="F51" i="10" s="1"/>
  <c r="H11" i="10"/>
  <c r="F52" i="10" s="1" a="1"/>
  <c r="F52" i="10" s="1"/>
  <c r="I11" i="10"/>
  <c r="F53" i="10" s="1" a="1"/>
  <c r="F53" i="10" s="1"/>
  <c r="J11" i="10"/>
  <c r="F54" i="10" s="1" a="1"/>
  <c r="F54" i="10" s="1"/>
  <c r="K11" i="10"/>
  <c r="F55" i="10" s="1" a="1"/>
  <c r="F55" i="10" s="1"/>
  <c r="L11" i="10"/>
  <c r="F56" i="10" s="1" a="1"/>
  <c r="F56" i="10" s="1"/>
  <c r="M11" i="10"/>
  <c r="F57" i="10" s="1" a="1"/>
  <c r="F57" i="10" s="1"/>
  <c r="N11" i="10"/>
  <c r="F58" i="10" s="1" a="1"/>
  <c r="F58" i="10" s="1"/>
  <c r="O11" i="10"/>
  <c r="F59" i="10" s="1" a="1"/>
  <c r="F59" i="10" s="1"/>
  <c r="P11" i="10"/>
  <c r="F60" i="10" s="1" a="1"/>
  <c r="F60" i="10" s="1"/>
  <c r="Q11" i="10"/>
  <c r="F61" i="10" s="1" a="1"/>
  <c r="F61" i="10" s="1"/>
  <c r="R11" i="10"/>
  <c r="F62" i="10" s="1" a="1"/>
  <c r="F62" i="10" s="1"/>
  <c r="S11" i="10"/>
  <c r="F63" i="10" s="1" a="1"/>
  <c r="F63" i="10" s="1"/>
  <c r="G12" i="10"/>
  <c r="G51" i="10" s="1" a="1"/>
  <c r="G51" i="10" s="1"/>
  <c r="H12" i="10"/>
  <c r="G52" i="10" s="1" a="1"/>
  <c r="G52" i="10" s="1"/>
  <c r="I12" i="10"/>
  <c r="G53" i="10" s="1" a="1"/>
  <c r="G53" i="10" s="1"/>
  <c r="J12" i="10"/>
  <c r="G54" i="10" s="1" a="1"/>
  <c r="G54" i="10" s="1"/>
  <c r="K12" i="10"/>
  <c r="G55" i="10" s="1" a="1"/>
  <c r="G55" i="10" s="1"/>
  <c r="L12" i="10"/>
  <c r="G56" i="10" s="1" a="1"/>
  <c r="G56" i="10" s="1"/>
  <c r="M12" i="10"/>
  <c r="G57" i="10" s="1" a="1"/>
  <c r="G57" i="10" s="1"/>
  <c r="N12" i="10"/>
  <c r="G58" i="10" s="1" a="1"/>
  <c r="G58" i="10" s="1"/>
  <c r="O12" i="10"/>
  <c r="G59" i="10" s="1" a="1"/>
  <c r="G59" i="10" s="1"/>
  <c r="P12" i="10"/>
  <c r="G60" i="10" s="1" a="1"/>
  <c r="G60" i="10" s="1"/>
  <c r="Q12" i="10"/>
  <c r="G61" i="10" s="1" a="1"/>
  <c r="G61" i="10" s="1"/>
  <c r="R12" i="10"/>
  <c r="G62" i="10" s="1" a="1"/>
  <c r="G62" i="10" s="1"/>
  <c r="S12" i="10"/>
  <c r="G63" i="10" s="1" a="1"/>
  <c r="G63" i="10" s="1"/>
  <c r="G13" i="10"/>
  <c r="H51" i="10" s="1" a="1"/>
  <c r="H51" i="10" s="1"/>
  <c r="H13" i="10"/>
  <c r="H52" i="10" s="1" a="1"/>
  <c r="H52" i="10" s="1"/>
  <c r="I13" i="10"/>
  <c r="H53" i="10" s="1" a="1"/>
  <c r="H53" i="10" s="1"/>
  <c r="J13" i="10"/>
  <c r="H54" i="10" s="1" a="1"/>
  <c r="H54" i="10" s="1"/>
  <c r="K13" i="10"/>
  <c r="H55" i="10" s="1" a="1"/>
  <c r="H55" i="10" s="1"/>
  <c r="J73" i="10" s="1"/>
  <c r="N10" i="11" s="1"/>
  <c r="L13" i="10"/>
  <c r="H56" i="10" s="1" a="1"/>
  <c r="H56" i="10" s="1"/>
  <c r="M13" i="10"/>
  <c r="H57" i="10" s="1" a="1"/>
  <c r="H57" i="10" s="1"/>
  <c r="N13" i="10"/>
  <c r="H58" i="10" s="1" a="1"/>
  <c r="H58" i="10" s="1"/>
  <c r="O13" i="10"/>
  <c r="H59" i="10" s="1" a="1"/>
  <c r="H59" i="10" s="1"/>
  <c r="J74" i="10" s="1"/>
  <c r="N41" i="11" s="1"/>
  <c r="P13" i="10"/>
  <c r="H60" i="10" s="1" a="1"/>
  <c r="H60" i="10" s="1"/>
  <c r="Q13" i="10"/>
  <c r="H61" i="10" s="1" a="1"/>
  <c r="H61" i="10" s="1"/>
  <c r="R13" i="10"/>
  <c r="H62" i="10" s="1" a="1"/>
  <c r="H62" i="10" s="1"/>
  <c r="S13" i="10"/>
  <c r="H63" i="10" s="1" a="1"/>
  <c r="H63" i="10" s="1"/>
  <c r="J75" i="10" s="1"/>
  <c r="N72" i="11" s="1"/>
  <c r="G14" i="10"/>
  <c r="I51" i="10" s="1" a="1"/>
  <c r="I51" i="10" s="1"/>
  <c r="H14" i="10"/>
  <c r="I52" i="10" s="1" a="1"/>
  <c r="I52" i="10" s="1"/>
  <c r="I14" i="10"/>
  <c r="I53" i="10" s="1" a="1"/>
  <c r="I53" i="10" s="1"/>
  <c r="J14" i="10"/>
  <c r="I54" i="10" s="1" a="1"/>
  <c r="I54" i="10" s="1"/>
  <c r="K14" i="10"/>
  <c r="I55" i="10" s="1" a="1"/>
  <c r="I55" i="10" s="1"/>
  <c r="K73" i="10" s="1"/>
  <c r="O10" i="11" s="1"/>
  <c r="L14" i="10"/>
  <c r="I56" i="10" s="1" a="1"/>
  <c r="I56" i="10" s="1"/>
  <c r="M14" i="10"/>
  <c r="I57" i="10" s="1" a="1"/>
  <c r="I57" i="10" s="1"/>
  <c r="N14" i="10"/>
  <c r="I58" i="10" s="1" a="1"/>
  <c r="I58" i="10" s="1"/>
  <c r="O14" i="10"/>
  <c r="I59" i="10" s="1" a="1"/>
  <c r="I59" i="10" s="1"/>
  <c r="K74" i="10" s="1"/>
  <c r="O41" i="11" s="1"/>
  <c r="P14" i="10"/>
  <c r="I60" i="10" s="1" a="1"/>
  <c r="I60" i="10" s="1"/>
  <c r="Q14" i="10"/>
  <c r="I61" i="10" s="1" a="1"/>
  <c r="I61" i="10" s="1"/>
  <c r="R14" i="10"/>
  <c r="I62" i="10" s="1" a="1"/>
  <c r="I62" i="10" s="1"/>
  <c r="S14" i="10"/>
  <c r="I63" i="10" s="1" a="1"/>
  <c r="I63" i="10" s="1"/>
  <c r="K75" i="10" s="1"/>
  <c r="O72" i="11" s="1"/>
  <c r="G15" i="10"/>
  <c r="J51" i="10" s="1" a="1"/>
  <c r="J51" i="10" s="1"/>
  <c r="H15" i="10"/>
  <c r="J52" i="10" s="1" a="1"/>
  <c r="J52" i="10" s="1"/>
  <c r="I15" i="10"/>
  <c r="J53" i="10" s="1" a="1"/>
  <c r="J53" i="10" s="1"/>
  <c r="J15" i="10"/>
  <c r="J54" i="10" s="1" a="1"/>
  <c r="J54" i="10" s="1"/>
  <c r="K15" i="10"/>
  <c r="J55" i="10" s="1" a="1"/>
  <c r="J55" i="10" s="1"/>
  <c r="L73" i="10" s="1"/>
  <c r="P10" i="11" s="1"/>
  <c r="L15" i="10"/>
  <c r="J56" i="10" s="1" a="1"/>
  <c r="J56" i="10" s="1"/>
  <c r="M15" i="10"/>
  <c r="J57" i="10" s="1" a="1"/>
  <c r="J57" i="10" s="1"/>
  <c r="N15" i="10"/>
  <c r="J58" i="10" s="1" a="1"/>
  <c r="J58" i="10" s="1"/>
  <c r="O15" i="10"/>
  <c r="J59" i="10" s="1" a="1"/>
  <c r="J59" i="10" s="1"/>
  <c r="L74" i="10" s="1"/>
  <c r="P41" i="11" s="1"/>
  <c r="P15" i="10"/>
  <c r="J60" i="10" s="1" a="1"/>
  <c r="J60" i="10" s="1"/>
  <c r="Q15" i="10"/>
  <c r="J61" i="10" s="1" a="1"/>
  <c r="J61" i="10" s="1"/>
  <c r="R15" i="10"/>
  <c r="J62" i="10" s="1" a="1"/>
  <c r="J62" i="10" s="1"/>
  <c r="S15" i="10"/>
  <c r="J63" i="10" s="1" a="1"/>
  <c r="J63" i="10" s="1"/>
  <c r="L75" i="10" s="1"/>
  <c r="P72" i="11" s="1"/>
  <c r="G16" i="10"/>
  <c r="K51" i="10" s="1" a="1"/>
  <c r="K51" i="10" s="1"/>
  <c r="H16" i="10"/>
  <c r="K52" i="10" s="1" a="1"/>
  <c r="K52" i="10" s="1"/>
  <c r="I16" i="10"/>
  <c r="K53" i="10" s="1" a="1"/>
  <c r="K53" i="10" s="1"/>
  <c r="J16" i="10"/>
  <c r="K54" i="10" s="1" a="1"/>
  <c r="K54" i="10" s="1"/>
  <c r="K16" i="10"/>
  <c r="K55" i="10" s="1" a="1"/>
  <c r="K55" i="10" s="1"/>
  <c r="M73" i="10" s="1"/>
  <c r="Q10" i="11" s="1"/>
  <c r="L16" i="10"/>
  <c r="K56" i="10" s="1" a="1"/>
  <c r="K56" i="10" s="1"/>
  <c r="M16" i="10"/>
  <c r="K57" i="10" s="1" a="1"/>
  <c r="K57" i="10" s="1"/>
  <c r="N16" i="10"/>
  <c r="K58" i="10" s="1" a="1"/>
  <c r="K58" i="10" s="1"/>
  <c r="O16" i="10"/>
  <c r="K59" i="10" s="1" a="1"/>
  <c r="K59" i="10" s="1"/>
  <c r="M74" i="10" s="1"/>
  <c r="Q41" i="11" s="1"/>
  <c r="P16" i="10"/>
  <c r="K60" i="10" s="1" a="1"/>
  <c r="K60" i="10" s="1"/>
  <c r="Q16" i="10"/>
  <c r="K61" i="10" s="1" a="1"/>
  <c r="K61" i="10" s="1"/>
  <c r="R16" i="10"/>
  <c r="K62" i="10" s="1" a="1"/>
  <c r="K62" i="10" s="1"/>
  <c r="S16" i="10"/>
  <c r="K63" i="10" s="1" a="1"/>
  <c r="K63" i="10" s="1"/>
  <c r="M75" i="10" s="1"/>
  <c r="Q72" i="11" s="1"/>
  <c r="G17" i="10"/>
  <c r="L51" i="10" s="1" a="1"/>
  <c r="L51" i="10" s="1"/>
  <c r="H17" i="10"/>
  <c r="L52" i="10" s="1" a="1"/>
  <c r="L52" i="10" s="1"/>
  <c r="I17" i="10"/>
  <c r="L53" i="10" s="1" a="1"/>
  <c r="L53" i="10" s="1"/>
  <c r="J17" i="10"/>
  <c r="L54" i="10" s="1" a="1"/>
  <c r="L54" i="10" s="1"/>
  <c r="K17" i="10"/>
  <c r="L55" i="10" s="1" a="1"/>
  <c r="L55" i="10" s="1"/>
  <c r="L17" i="10"/>
  <c r="L56" i="10" s="1" a="1"/>
  <c r="L56" i="10" s="1"/>
  <c r="M17" i="10"/>
  <c r="L57" i="10" s="1" a="1"/>
  <c r="L57" i="10" s="1"/>
  <c r="N17" i="10"/>
  <c r="L58" i="10" s="1" a="1"/>
  <c r="L58" i="10" s="1"/>
  <c r="O17" i="10"/>
  <c r="L59" i="10" s="1" a="1"/>
  <c r="L59" i="10" s="1"/>
  <c r="P17" i="10"/>
  <c r="L60" i="10" s="1" a="1"/>
  <c r="L60" i="10" s="1"/>
  <c r="Q17" i="10"/>
  <c r="L61" i="10" s="1" a="1"/>
  <c r="L61" i="10" s="1"/>
  <c r="R17" i="10"/>
  <c r="L62" i="10" s="1" a="1"/>
  <c r="L62" i="10" s="1"/>
  <c r="S17" i="10"/>
  <c r="L63" i="10" s="1" a="1"/>
  <c r="L63" i="10" s="1"/>
  <c r="G18" i="10"/>
  <c r="M51" i="10" s="1" a="1"/>
  <c r="M51" i="10" s="1"/>
  <c r="H18" i="10"/>
  <c r="M52" i="10" s="1" a="1"/>
  <c r="M52" i="10" s="1"/>
  <c r="I18" i="10"/>
  <c r="M53" i="10" s="1" a="1"/>
  <c r="M53" i="10" s="1"/>
  <c r="J18" i="10"/>
  <c r="M54" i="10" s="1" a="1"/>
  <c r="M54" i="10" s="1"/>
  <c r="K18" i="10"/>
  <c r="M55" i="10" s="1" a="1"/>
  <c r="M55" i="10" s="1"/>
  <c r="L18" i="10"/>
  <c r="M56" i="10" s="1" a="1"/>
  <c r="M56" i="10" s="1"/>
  <c r="M18" i="10"/>
  <c r="M57" i="10" s="1" a="1"/>
  <c r="M57" i="10" s="1"/>
  <c r="N18" i="10"/>
  <c r="M58" i="10" s="1" a="1"/>
  <c r="M58" i="10" s="1"/>
  <c r="O18" i="10"/>
  <c r="M59" i="10" s="1" a="1"/>
  <c r="M59" i="10" s="1"/>
  <c r="P18" i="10"/>
  <c r="M60" i="10" s="1" a="1"/>
  <c r="M60" i="10" s="1"/>
  <c r="Q18" i="10"/>
  <c r="M61" i="10" s="1" a="1"/>
  <c r="M61" i="10" s="1"/>
  <c r="R18" i="10"/>
  <c r="M62" i="10" s="1" a="1"/>
  <c r="M62" i="10" s="1"/>
  <c r="S18" i="10"/>
  <c r="M63" i="10" s="1" a="1"/>
  <c r="M63" i="10" s="1"/>
  <c r="G19" i="10"/>
  <c r="N51" i="10" s="1" a="1"/>
  <c r="N51" i="10" s="1"/>
  <c r="H19" i="10"/>
  <c r="N52" i="10" s="1" a="1"/>
  <c r="N52" i="10" s="1"/>
  <c r="I19" i="10"/>
  <c r="N53" i="10" s="1" a="1"/>
  <c r="N53" i="10" s="1"/>
  <c r="J19" i="10"/>
  <c r="N54" i="10" s="1" a="1"/>
  <c r="N54" i="10" s="1"/>
  <c r="K19" i="10"/>
  <c r="N55" i="10" s="1" a="1"/>
  <c r="N55" i="10" s="1"/>
  <c r="L19" i="10"/>
  <c r="N56" i="10" s="1" a="1"/>
  <c r="N56" i="10" s="1"/>
  <c r="M19" i="10"/>
  <c r="N57" i="10" s="1" a="1"/>
  <c r="N57" i="10" s="1"/>
  <c r="N19" i="10"/>
  <c r="N58" i="10" s="1" a="1"/>
  <c r="N58" i="10" s="1"/>
  <c r="O19" i="10"/>
  <c r="N59" i="10" s="1" a="1"/>
  <c r="N59" i="10" s="1"/>
  <c r="P19" i="10"/>
  <c r="N60" i="10" s="1" a="1"/>
  <c r="N60" i="10" s="1"/>
  <c r="Q19" i="10"/>
  <c r="N61" i="10" s="1" a="1"/>
  <c r="N61" i="10" s="1"/>
  <c r="R19" i="10"/>
  <c r="N62" i="10" s="1" a="1"/>
  <c r="N62" i="10" s="1"/>
  <c r="S19" i="10"/>
  <c r="N63" i="10" s="1" a="1"/>
  <c r="N63" i="10" s="1"/>
  <c r="G20" i="10"/>
  <c r="O51" i="10" s="1" a="1"/>
  <c r="O51" i="10" s="1"/>
  <c r="H20" i="10"/>
  <c r="O52" i="10" s="1" a="1"/>
  <c r="O52" i="10" s="1"/>
  <c r="I20" i="10"/>
  <c r="O53" i="10" s="1" a="1"/>
  <c r="O53" i="10" s="1"/>
  <c r="J20" i="10"/>
  <c r="O54" i="10" s="1" a="1"/>
  <c r="O54" i="10" s="1"/>
  <c r="K20" i="10"/>
  <c r="O55" i="10" s="1" a="1"/>
  <c r="O55" i="10" s="1"/>
  <c r="L20" i="10"/>
  <c r="O56" i="10" s="1" a="1"/>
  <c r="O56" i="10" s="1"/>
  <c r="M20" i="10"/>
  <c r="O57" i="10" s="1" a="1"/>
  <c r="O57" i="10" s="1"/>
  <c r="N20" i="10"/>
  <c r="O58" i="10" s="1" a="1"/>
  <c r="O58" i="10" s="1"/>
  <c r="O20" i="10"/>
  <c r="O59" i="10" s="1" a="1"/>
  <c r="O59" i="10" s="1"/>
  <c r="P20" i="10"/>
  <c r="O60" i="10" s="1" a="1"/>
  <c r="O60" i="10" s="1"/>
  <c r="Q20" i="10"/>
  <c r="O61" i="10" s="1" a="1"/>
  <c r="O61" i="10" s="1"/>
  <c r="R20" i="10"/>
  <c r="O62" i="10" s="1" a="1"/>
  <c r="O62" i="10" s="1"/>
  <c r="S20" i="10"/>
  <c r="O63" i="10" s="1" a="1"/>
  <c r="O63" i="10" s="1"/>
  <c r="S6" i="10"/>
  <c r="A63" i="10" s="1" a="1"/>
  <c r="A63" i="10" s="1"/>
  <c r="H6" i="10"/>
  <c r="A52" i="10" s="1" a="1"/>
  <c r="A52" i="10" s="1"/>
  <c r="I6" i="10"/>
  <c r="A53" i="10" s="1" a="1"/>
  <c r="A53" i="10" s="1"/>
  <c r="J6" i="10"/>
  <c r="A54" i="10" s="1" a="1"/>
  <c r="A54" i="10" s="1"/>
  <c r="K6" i="10"/>
  <c r="A55" i="10" s="1" a="1"/>
  <c r="A55" i="10" s="1"/>
  <c r="L6" i="10"/>
  <c r="A56" i="10" s="1" a="1"/>
  <c r="A56" i="10" s="1"/>
  <c r="M6" i="10"/>
  <c r="A57" i="10" s="1" a="1"/>
  <c r="A57" i="10" s="1"/>
  <c r="N6" i="10"/>
  <c r="A58" i="10" s="1" a="1"/>
  <c r="A58" i="10" s="1"/>
  <c r="O6" i="10"/>
  <c r="A59" i="10" s="1" a="1"/>
  <c r="A59" i="10" s="1"/>
  <c r="P6" i="10"/>
  <c r="A60" i="10" s="1" a="1"/>
  <c r="A60" i="10" s="1"/>
  <c r="Q6" i="10"/>
  <c r="A61" i="10" s="1" a="1"/>
  <c r="A61" i="10" s="1"/>
  <c r="R6" i="10"/>
  <c r="A62" i="10" s="1" a="1"/>
  <c r="A62" i="10" s="1"/>
  <c r="G6" i="10"/>
  <c r="A51" i="10" s="1" a="1"/>
  <c r="A51" i="10" s="1"/>
  <c r="I6" i="7" l="1"/>
  <c r="A53" i="7" s="1" a="1"/>
  <c r="A53" i="7" s="1"/>
  <c r="I27" i="7" l="1"/>
  <c r="V53" i="7" s="1" a="1"/>
  <c r="V53" i="7" s="1"/>
  <c r="J27" i="7"/>
  <c r="V54" i="7" s="1" a="1"/>
  <c r="V54" i="7" s="1"/>
  <c r="K27" i="7"/>
  <c r="V55" i="7" s="1" a="1"/>
  <c r="V55" i="7" s="1"/>
  <c r="L27" i="7"/>
  <c r="V56" i="7" s="1" a="1"/>
  <c r="V56" i="7" s="1"/>
  <c r="M27" i="7"/>
  <c r="V57" i="7" s="1" a="1"/>
  <c r="V57" i="7" s="1"/>
  <c r="N27" i="7"/>
  <c r="V58" i="7" s="1" a="1"/>
  <c r="V58" i="7" s="1"/>
  <c r="O27" i="7"/>
  <c r="V59" i="7" s="1" a="1"/>
  <c r="V59" i="7" s="1"/>
  <c r="P27" i="7"/>
  <c r="V60" i="7" s="1" a="1"/>
  <c r="V60" i="7" s="1"/>
  <c r="Q27" i="7"/>
  <c r="V61" i="7" s="1" a="1"/>
  <c r="V61" i="7" s="1"/>
  <c r="R27" i="7"/>
  <c r="V62" i="7" s="1" a="1"/>
  <c r="V62" i="7" s="1"/>
  <c r="S27" i="7"/>
  <c r="V63" i="7" s="1" a="1"/>
  <c r="V63" i="7" s="1"/>
  <c r="T27" i="7"/>
  <c r="V64" i="7" s="1" a="1"/>
  <c r="V64" i="7" s="1"/>
  <c r="U27" i="7"/>
  <c r="V65" i="7" s="1" a="1"/>
  <c r="V65" i="7" s="1"/>
  <c r="I28" i="7"/>
  <c r="W53" i="7" s="1" a="1"/>
  <c r="W53" i="7" s="1"/>
  <c r="J28" i="7"/>
  <c r="W54" i="7" s="1" a="1"/>
  <c r="W54" i="7" s="1"/>
  <c r="K28" i="7"/>
  <c r="W55" i="7" s="1" a="1"/>
  <c r="W55" i="7" s="1"/>
  <c r="L28" i="7"/>
  <c r="W56" i="7" s="1" a="1"/>
  <c r="W56" i="7" s="1"/>
  <c r="M28" i="7"/>
  <c r="W57" i="7" s="1" a="1"/>
  <c r="W57" i="7" s="1"/>
  <c r="N28" i="7"/>
  <c r="W58" i="7" s="1" a="1"/>
  <c r="W58" i="7" s="1"/>
  <c r="O28" i="7"/>
  <c r="W59" i="7" s="1" a="1"/>
  <c r="W59" i="7" s="1"/>
  <c r="P28" i="7"/>
  <c r="W60" i="7" s="1" a="1"/>
  <c r="W60" i="7" s="1"/>
  <c r="Q28" i="7"/>
  <c r="W61" i="7" s="1" a="1"/>
  <c r="W61" i="7" s="1"/>
  <c r="R28" i="7"/>
  <c r="W62" i="7" s="1" a="1"/>
  <c r="W62" i="7" s="1"/>
  <c r="S28" i="7"/>
  <c r="W63" i="7" s="1" a="1"/>
  <c r="W63" i="7" s="1"/>
  <c r="T28" i="7"/>
  <c r="W64" i="7" s="1" a="1"/>
  <c r="W64" i="7" s="1"/>
  <c r="U28" i="7"/>
  <c r="W65" i="7" s="1" a="1"/>
  <c r="W65" i="7" s="1"/>
  <c r="I29" i="7"/>
  <c r="X53" i="7" s="1" a="1"/>
  <c r="X53" i="7" s="1"/>
  <c r="J29" i="7"/>
  <c r="X54" i="7" s="1" a="1"/>
  <c r="X54" i="7" s="1"/>
  <c r="K29" i="7"/>
  <c r="X55" i="7" s="1" a="1"/>
  <c r="X55" i="7" s="1"/>
  <c r="L29" i="7"/>
  <c r="X56" i="7" s="1" a="1"/>
  <c r="X56" i="7" s="1"/>
  <c r="M29" i="7"/>
  <c r="X57" i="7" s="1" a="1"/>
  <c r="X57" i="7" s="1"/>
  <c r="N29" i="7"/>
  <c r="X58" i="7" s="1" a="1"/>
  <c r="X58" i="7" s="1"/>
  <c r="O29" i="7"/>
  <c r="X59" i="7" s="1" a="1"/>
  <c r="X59" i="7" s="1"/>
  <c r="P29" i="7"/>
  <c r="X60" i="7" s="1" a="1"/>
  <c r="X60" i="7" s="1"/>
  <c r="Q29" i="7"/>
  <c r="X61" i="7" s="1" a="1"/>
  <c r="X61" i="7" s="1"/>
  <c r="R29" i="7"/>
  <c r="X62" i="7" s="1" a="1"/>
  <c r="X62" i="7" s="1"/>
  <c r="S29" i="7"/>
  <c r="X63" i="7" s="1" a="1"/>
  <c r="X63" i="7" s="1"/>
  <c r="T29" i="7"/>
  <c r="X64" i="7" s="1" a="1"/>
  <c r="X64" i="7" s="1"/>
  <c r="U29" i="7"/>
  <c r="X65" i="7" s="1" a="1"/>
  <c r="X65" i="7" s="1"/>
  <c r="I30" i="7"/>
  <c r="Y53" i="7" s="1" a="1"/>
  <c r="Y53" i="7" s="1"/>
  <c r="J30" i="7"/>
  <c r="Y54" i="7" s="1" a="1"/>
  <c r="Y54" i="7" s="1"/>
  <c r="K30" i="7"/>
  <c r="Y55" i="7" s="1" a="1"/>
  <c r="Y55" i="7" s="1"/>
  <c r="L30" i="7"/>
  <c r="Y56" i="7" s="1" a="1"/>
  <c r="Y56" i="7" s="1"/>
  <c r="M30" i="7"/>
  <c r="Y57" i="7" s="1" a="1"/>
  <c r="Y57" i="7" s="1"/>
  <c r="N30" i="7"/>
  <c r="Y58" i="7" s="1" a="1"/>
  <c r="Y58" i="7" s="1"/>
  <c r="O30" i="7"/>
  <c r="Y59" i="7" s="1" a="1"/>
  <c r="Y59" i="7" s="1"/>
  <c r="P30" i="7"/>
  <c r="Y60" i="7" s="1" a="1"/>
  <c r="Y60" i="7" s="1"/>
  <c r="Q30" i="7"/>
  <c r="Y61" i="7" s="1" a="1"/>
  <c r="Y61" i="7" s="1"/>
  <c r="R30" i="7"/>
  <c r="Y62" i="7" s="1" a="1"/>
  <c r="Y62" i="7" s="1"/>
  <c r="S30" i="7"/>
  <c r="Y63" i="7" s="1" a="1"/>
  <c r="Y63" i="7" s="1"/>
  <c r="T30" i="7"/>
  <c r="Y64" i="7" s="1" a="1"/>
  <c r="Y64" i="7" s="1"/>
  <c r="U30" i="7"/>
  <c r="Y65" i="7" s="1" a="1"/>
  <c r="Y65" i="7" s="1"/>
  <c r="I31" i="7"/>
  <c r="Z53" i="7" s="1" a="1"/>
  <c r="Z53" i="7" s="1"/>
  <c r="J31" i="7"/>
  <c r="Z54" i="7" s="1" a="1"/>
  <c r="Z54" i="7" s="1"/>
  <c r="K31" i="7"/>
  <c r="Z55" i="7" s="1" a="1"/>
  <c r="Z55" i="7" s="1"/>
  <c r="L31" i="7"/>
  <c r="Z56" i="7" s="1" a="1"/>
  <c r="Z56" i="7" s="1"/>
  <c r="M31" i="7"/>
  <c r="Z57" i="7" s="1" a="1"/>
  <c r="Z57" i="7" s="1"/>
  <c r="N31" i="7"/>
  <c r="Z58" i="7" s="1" a="1"/>
  <c r="Z58" i="7" s="1"/>
  <c r="O31" i="7"/>
  <c r="Z59" i="7" s="1" a="1"/>
  <c r="Z59" i="7" s="1"/>
  <c r="P31" i="7"/>
  <c r="Z60" i="7" s="1" a="1"/>
  <c r="Z60" i="7" s="1"/>
  <c r="Q31" i="7"/>
  <c r="Z61" i="7" s="1" a="1"/>
  <c r="Z61" i="7" s="1"/>
  <c r="R31" i="7"/>
  <c r="Z62" i="7" s="1" a="1"/>
  <c r="Z62" i="7" s="1"/>
  <c r="S31" i="7"/>
  <c r="Z63" i="7" s="1" a="1"/>
  <c r="Z63" i="7" s="1"/>
  <c r="T31" i="7"/>
  <c r="Z64" i="7" s="1" a="1"/>
  <c r="Z64" i="7" s="1"/>
  <c r="U31" i="7"/>
  <c r="Z65" i="7" s="1" a="1"/>
  <c r="Z65" i="7" s="1"/>
  <c r="I32" i="7"/>
  <c r="AA53" i="7" s="1" a="1"/>
  <c r="AA53" i="7" s="1"/>
  <c r="J32" i="7"/>
  <c r="AA54" i="7" s="1" a="1"/>
  <c r="AA54" i="7" s="1"/>
  <c r="K32" i="7"/>
  <c r="AA55" i="7" s="1" a="1"/>
  <c r="AA55" i="7" s="1"/>
  <c r="L32" i="7"/>
  <c r="AA56" i="7" s="1" a="1"/>
  <c r="AA56" i="7" s="1"/>
  <c r="M32" i="7"/>
  <c r="AA57" i="7" s="1" a="1"/>
  <c r="AA57" i="7" s="1"/>
  <c r="N32" i="7"/>
  <c r="AA58" i="7" s="1" a="1"/>
  <c r="AA58" i="7" s="1"/>
  <c r="O32" i="7"/>
  <c r="AA59" i="7" s="1" a="1"/>
  <c r="AA59" i="7" s="1"/>
  <c r="P32" i="7"/>
  <c r="AA60" i="7" s="1" a="1"/>
  <c r="AA60" i="7" s="1"/>
  <c r="Q32" i="7"/>
  <c r="AA61" i="7" s="1" a="1"/>
  <c r="AA61" i="7" s="1"/>
  <c r="R32" i="7"/>
  <c r="AA62" i="7" s="1" a="1"/>
  <c r="AA62" i="7" s="1"/>
  <c r="S32" i="7"/>
  <c r="AA63" i="7" s="1" a="1"/>
  <c r="AA63" i="7" s="1"/>
  <c r="T32" i="7"/>
  <c r="AA64" i="7" s="1" a="1"/>
  <c r="AA64" i="7" s="1"/>
  <c r="U32" i="7"/>
  <c r="AA65" i="7" s="1" a="1"/>
  <c r="AA65" i="7" s="1"/>
  <c r="I33" i="7"/>
  <c r="AB53" i="7" s="1" a="1"/>
  <c r="AB53" i="7" s="1"/>
  <c r="J33" i="7"/>
  <c r="AB54" i="7" s="1" a="1"/>
  <c r="AB54" i="7" s="1"/>
  <c r="K33" i="7"/>
  <c r="AB55" i="7" s="1" a="1"/>
  <c r="AB55" i="7" s="1"/>
  <c r="L33" i="7"/>
  <c r="AB56" i="7" s="1" a="1"/>
  <c r="AB56" i="7" s="1"/>
  <c r="M33" i="7"/>
  <c r="AB57" i="7" s="1" a="1"/>
  <c r="AB57" i="7" s="1"/>
  <c r="N33" i="7"/>
  <c r="AB58" i="7" s="1" a="1"/>
  <c r="AB58" i="7" s="1"/>
  <c r="O33" i="7"/>
  <c r="AB59" i="7" s="1" a="1"/>
  <c r="AB59" i="7" s="1"/>
  <c r="P33" i="7"/>
  <c r="AB60" i="7" s="1" a="1"/>
  <c r="AB60" i="7" s="1"/>
  <c r="Q33" i="7"/>
  <c r="AB61" i="7" s="1" a="1"/>
  <c r="AB61" i="7" s="1"/>
  <c r="R33" i="7"/>
  <c r="AB62" i="7" s="1" a="1"/>
  <c r="AB62" i="7" s="1"/>
  <c r="S33" i="7"/>
  <c r="AB63" i="7" s="1" a="1"/>
  <c r="AB63" i="7" s="1"/>
  <c r="T33" i="7"/>
  <c r="AB64" i="7" s="1" a="1"/>
  <c r="AB64" i="7" s="1"/>
  <c r="U33" i="7"/>
  <c r="AB65" i="7" s="1" a="1"/>
  <c r="AB65" i="7" s="1"/>
  <c r="I34" i="7"/>
  <c r="AC53" i="7" s="1" a="1"/>
  <c r="AC53" i="7" s="1"/>
  <c r="J34" i="7"/>
  <c r="AC54" i="7" s="1" a="1"/>
  <c r="AC54" i="7" s="1"/>
  <c r="K34" i="7"/>
  <c r="AC55" i="7" s="1" a="1"/>
  <c r="AC55" i="7" s="1"/>
  <c r="L34" i="7"/>
  <c r="AC56" i="7" s="1" a="1"/>
  <c r="AC56" i="7" s="1"/>
  <c r="M34" i="7"/>
  <c r="AC57" i="7" s="1" a="1"/>
  <c r="AC57" i="7" s="1"/>
  <c r="N34" i="7"/>
  <c r="AC58" i="7" s="1" a="1"/>
  <c r="AC58" i="7" s="1"/>
  <c r="O34" i="7"/>
  <c r="AC59" i="7" s="1" a="1"/>
  <c r="AC59" i="7" s="1"/>
  <c r="P34" i="7"/>
  <c r="AC60" i="7" s="1" a="1"/>
  <c r="AC60" i="7" s="1"/>
  <c r="Q34" i="7"/>
  <c r="AC61" i="7" s="1" a="1"/>
  <c r="AC61" i="7" s="1"/>
  <c r="R34" i="7"/>
  <c r="AC62" i="7" s="1" a="1"/>
  <c r="AC62" i="7" s="1"/>
  <c r="S34" i="7"/>
  <c r="AC63" i="7" s="1" a="1"/>
  <c r="AC63" i="7" s="1"/>
  <c r="T34" i="7"/>
  <c r="AC64" i="7" s="1" a="1"/>
  <c r="AC64" i="7" s="1"/>
  <c r="U34" i="7"/>
  <c r="AC65" i="7" s="1" a="1"/>
  <c r="AC65" i="7" s="1"/>
  <c r="I35" i="7"/>
  <c r="AD53" i="7" s="1" a="1"/>
  <c r="AD53" i="7" s="1"/>
  <c r="J35" i="7"/>
  <c r="AD54" i="7" s="1" a="1"/>
  <c r="AD54" i="7" s="1"/>
  <c r="K35" i="7"/>
  <c r="AD55" i="7" s="1" a="1"/>
  <c r="AD55" i="7" s="1"/>
  <c r="L35" i="7"/>
  <c r="AD56" i="7" s="1" a="1"/>
  <c r="AD56" i="7" s="1"/>
  <c r="M35" i="7"/>
  <c r="AD57" i="7" s="1" a="1"/>
  <c r="AD57" i="7" s="1"/>
  <c r="N35" i="7"/>
  <c r="AD58" i="7" s="1" a="1"/>
  <c r="AD58" i="7" s="1"/>
  <c r="O35" i="7"/>
  <c r="AD59" i="7" s="1" a="1"/>
  <c r="AD59" i="7" s="1"/>
  <c r="P35" i="7"/>
  <c r="AD60" i="7" s="1" a="1"/>
  <c r="AD60" i="7" s="1"/>
  <c r="Q35" i="7"/>
  <c r="AD61" i="7" s="1" a="1"/>
  <c r="AD61" i="7" s="1"/>
  <c r="R35" i="7"/>
  <c r="AD62" i="7" s="1" a="1"/>
  <c r="AD62" i="7" s="1"/>
  <c r="S35" i="7"/>
  <c r="AD63" i="7" s="1" a="1"/>
  <c r="AD63" i="7" s="1"/>
  <c r="T35" i="7"/>
  <c r="AD64" i="7" s="1" a="1"/>
  <c r="AD64" i="7" s="1"/>
  <c r="U35" i="7"/>
  <c r="AD65" i="7" s="1" a="1"/>
  <c r="AD65" i="7" s="1"/>
  <c r="I36" i="7"/>
  <c r="AE53" i="7" s="1" a="1"/>
  <c r="AE53" i="7" s="1"/>
  <c r="J36" i="7"/>
  <c r="AE54" i="7" s="1" a="1"/>
  <c r="AE54" i="7" s="1"/>
  <c r="K36" i="7"/>
  <c r="AE55" i="7" s="1" a="1"/>
  <c r="AE55" i="7" s="1"/>
  <c r="L36" i="7"/>
  <c r="AE56" i="7" s="1" a="1"/>
  <c r="AE56" i="7" s="1"/>
  <c r="M36" i="7"/>
  <c r="AE57" i="7" s="1" a="1"/>
  <c r="AE57" i="7" s="1"/>
  <c r="N36" i="7"/>
  <c r="AE58" i="7" s="1" a="1"/>
  <c r="AE58" i="7" s="1"/>
  <c r="O36" i="7"/>
  <c r="AE59" i="7" s="1" a="1"/>
  <c r="AE59" i="7" s="1"/>
  <c r="P36" i="7"/>
  <c r="AE60" i="7" s="1" a="1"/>
  <c r="AE60" i="7" s="1"/>
  <c r="Q36" i="7"/>
  <c r="AE61" i="7" s="1" a="1"/>
  <c r="AE61" i="7" s="1"/>
  <c r="R36" i="7"/>
  <c r="AE62" i="7" s="1" a="1"/>
  <c r="AE62" i="7" s="1"/>
  <c r="S36" i="7"/>
  <c r="AE63" i="7" s="1" a="1"/>
  <c r="AE63" i="7" s="1"/>
  <c r="T36" i="7"/>
  <c r="AE64" i="7" s="1" a="1"/>
  <c r="AE64" i="7" s="1"/>
  <c r="U36" i="7"/>
  <c r="AE65" i="7" s="1" a="1"/>
  <c r="AE65" i="7" s="1"/>
  <c r="I37" i="7"/>
  <c r="AF53" i="7" s="1" a="1"/>
  <c r="AF53" i="7" s="1"/>
  <c r="J37" i="7"/>
  <c r="AF54" i="7" s="1" a="1"/>
  <c r="AF54" i="7" s="1"/>
  <c r="K37" i="7"/>
  <c r="AF55" i="7" s="1" a="1"/>
  <c r="AF55" i="7" s="1"/>
  <c r="L37" i="7"/>
  <c r="AF56" i="7" s="1" a="1"/>
  <c r="AF56" i="7" s="1"/>
  <c r="M37" i="7"/>
  <c r="AF57" i="7" s="1" a="1"/>
  <c r="AF57" i="7" s="1"/>
  <c r="N37" i="7"/>
  <c r="AF58" i="7" s="1" a="1"/>
  <c r="AF58" i="7" s="1"/>
  <c r="O37" i="7"/>
  <c r="AF59" i="7" s="1" a="1"/>
  <c r="AF59" i="7" s="1"/>
  <c r="P37" i="7"/>
  <c r="AF60" i="7" s="1" a="1"/>
  <c r="AF60" i="7" s="1"/>
  <c r="Q37" i="7"/>
  <c r="AF61" i="7" s="1" a="1"/>
  <c r="AF61" i="7" s="1"/>
  <c r="R37" i="7"/>
  <c r="AF62" i="7" s="1" a="1"/>
  <c r="AF62" i="7" s="1"/>
  <c r="S37" i="7"/>
  <c r="AF63" i="7" s="1" a="1"/>
  <c r="AF63" i="7" s="1"/>
  <c r="T37" i="7"/>
  <c r="AF64" i="7" s="1" a="1"/>
  <c r="AF64" i="7" s="1"/>
  <c r="U37" i="7"/>
  <c r="AF65" i="7" s="1" a="1"/>
  <c r="AF65" i="7" s="1"/>
  <c r="I38" i="7"/>
  <c r="AG53" i="7" s="1" a="1"/>
  <c r="AG53" i="7" s="1"/>
  <c r="J38" i="7"/>
  <c r="AG54" i="7" s="1" a="1"/>
  <c r="AG54" i="7" s="1"/>
  <c r="K38" i="7"/>
  <c r="AG55" i="7" s="1" a="1"/>
  <c r="AG55" i="7" s="1"/>
  <c r="L38" i="7"/>
  <c r="AG56" i="7" s="1" a="1"/>
  <c r="AG56" i="7" s="1"/>
  <c r="M38" i="7"/>
  <c r="AG57" i="7" s="1" a="1"/>
  <c r="AG57" i="7" s="1"/>
  <c r="N38" i="7"/>
  <c r="AG58" i="7" s="1" a="1"/>
  <c r="AG58" i="7" s="1"/>
  <c r="O38" i="7"/>
  <c r="AG59" i="7" s="1" a="1"/>
  <c r="AG59" i="7" s="1"/>
  <c r="P38" i="7"/>
  <c r="AG60" i="7" s="1" a="1"/>
  <c r="AG60" i="7" s="1"/>
  <c r="Q38" i="7"/>
  <c r="AG61" i="7" s="1" a="1"/>
  <c r="AG61" i="7" s="1"/>
  <c r="R38" i="7"/>
  <c r="AG62" i="7" s="1" a="1"/>
  <c r="AG62" i="7" s="1"/>
  <c r="S38" i="7"/>
  <c r="AG63" i="7" s="1" a="1"/>
  <c r="AG63" i="7" s="1"/>
  <c r="T38" i="7"/>
  <c r="AG64" i="7" s="1" a="1"/>
  <c r="AG64" i="7" s="1"/>
  <c r="U38" i="7"/>
  <c r="AG65" i="7" s="1" a="1"/>
  <c r="AG65" i="7" s="1"/>
  <c r="I39" i="7"/>
  <c r="AH53" i="7" s="1" a="1"/>
  <c r="AH53" i="7" s="1"/>
  <c r="J39" i="7"/>
  <c r="AH54" i="7" s="1" a="1"/>
  <c r="AH54" i="7" s="1"/>
  <c r="K39" i="7"/>
  <c r="AH55" i="7" s="1" a="1"/>
  <c r="AH55" i="7" s="1"/>
  <c r="L39" i="7"/>
  <c r="AH56" i="7" s="1" a="1"/>
  <c r="AH56" i="7" s="1"/>
  <c r="M39" i="7"/>
  <c r="AH57" i="7" s="1" a="1"/>
  <c r="AH57" i="7" s="1"/>
  <c r="N39" i="7"/>
  <c r="AH58" i="7" s="1" a="1"/>
  <c r="AH58" i="7" s="1"/>
  <c r="O39" i="7"/>
  <c r="AH59" i="7" s="1" a="1"/>
  <c r="AH59" i="7" s="1"/>
  <c r="P39" i="7"/>
  <c r="AH60" i="7" s="1" a="1"/>
  <c r="AH60" i="7" s="1"/>
  <c r="Q39" i="7"/>
  <c r="AH61" i="7" s="1" a="1"/>
  <c r="AH61" i="7" s="1"/>
  <c r="R39" i="7"/>
  <c r="AH62" i="7" s="1" a="1"/>
  <c r="AH62" i="7" s="1"/>
  <c r="S39" i="7"/>
  <c r="AH63" i="7" s="1" a="1"/>
  <c r="AH63" i="7" s="1"/>
  <c r="T39" i="7"/>
  <c r="AH64" i="7" s="1" a="1"/>
  <c r="AH64" i="7" s="1"/>
  <c r="U39" i="7"/>
  <c r="AH65" i="7" s="1" a="1"/>
  <c r="AH65" i="7" s="1"/>
  <c r="I40" i="7"/>
  <c r="AI53" i="7" s="1" a="1"/>
  <c r="AI53" i="7" s="1"/>
  <c r="J40" i="7"/>
  <c r="AI54" i="7" s="1" a="1"/>
  <c r="AI54" i="7" s="1"/>
  <c r="K40" i="7"/>
  <c r="AI55" i="7" s="1" a="1"/>
  <c r="AI55" i="7" s="1"/>
  <c r="L40" i="7"/>
  <c r="AI56" i="7" s="1" a="1"/>
  <c r="AI56" i="7" s="1"/>
  <c r="M40" i="7"/>
  <c r="AI57" i="7" s="1" a="1"/>
  <c r="AI57" i="7" s="1"/>
  <c r="N40" i="7"/>
  <c r="AI58" i="7" s="1" a="1"/>
  <c r="AI58" i="7" s="1"/>
  <c r="O40" i="7"/>
  <c r="AI59" i="7" s="1" a="1"/>
  <c r="AI59" i="7" s="1"/>
  <c r="P40" i="7"/>
  <c r="AI60" i="7" s="1" a="1"/>
  <c r="AI60" i="7" s="1"/>
  <c r="Q40" i="7"/>
  <c r="AI61" i="7" s="1" a="1"/>
  <c r="AI61" i="7" s="1"/>
  <c r="R40" i="7"/>
  <c r="AI62" i="7" s="1" a="1"/>
  <c r="AI62" i="7" s="1"/>
  <c r="S40" i="7"/>
  <c r="AI63" i="7" s="1" a="1"/>
  <c r="AI63" i="7" s="1"/>
  <c r="T40" i="7"/>
  <c r="AI64" i="7" s="1" a="1"/>
  <c r="AI64" i="7" s="1"/>
  <c r="U40" i="7"/>
  <c r="AI65" i="7" s="1" a="1"/>
  <c r="AI65" i="7" s="1"/>
  <c r="J26" i="7"/>
  <c r="U54" i="7" s="1" a="1"/>
  <c r="U54" i="7" s="1"/>
  <c r="K26" i="7"/>
  <c r="U55" i="7" s="1" a="1"/>
  <c r="U55" i="7" s="1"/>
  <c r="L26" i="7"/>
  <c r="U56" i="7" s="1" a="1"/>
  <c r="U56" i="7" s="1"/>
  <c r="M26" i="7"/>
  <c r="U57" i="7" s="1" a="1"/>
  <c r="U57" i="7" s="1"/>
  <c r="N26" i="7"/>
  <c r="U58" i="7" s="1" a="1"/>
  <c r="U58" i="7" s="1"/>
  <c r="O26" i="7"/>
  <c r="U59" i="7" s="1" a="1"/>
  <c r="U59" i="7" s="1"/>
  <c r="P26" i="7"/>
  <c r="U60" i="7" s="1" a="1"/>
  <c r="U60" i="7" s="1"/>
  <c r="Q26" i="7"/>
  <c r="U61" i="7" s="1" a="1"/>
  <c r="U61" i="7" s="1"/>
  <c r="R26" i="7"/>
  <c r="U62" i="7" s="1" a="1"/>
  <c r="U62" i="7" s="1"/>
  <c r="S26" i="7"/>
  <c r="U63" i="7" s="1" a="1"/>
  <c r="U63" i="7" s="1"/>
  <c r="T26" i="7"/>
  <c r="U64" i="7" s="1" a="1"/>
  <c r="U64" i="7" s="1"/>
  <c r="U26" i="7"/>
  <c r="U65" i="7" s="1" a="1"/>
  <c r="U65" i="7" s="1"/>
  <c r="I26" i="7"/>
  <c r="U53" i="7" s="1" a="1"/>
  <c r="U53" i="7" s="1"/>
  <c r="I7" i="7" l="1"/>
  <c r="B53" i="7" s="1" a="1"/>
  <c r="B53" i="7" s="1"/>
  <c r="J7" i="7"/>
  <c r="B54" i="7" s="1" a="1"/>
  <c r="B54" i="7" s="1"/>
  <c r="K7" i="7"/>
  <c r="B55" i="7" s="1" a="1"/>
  <c r="B55" i="7" s="1"/>
  <c r="L7" i="7"/>
  <c r="B56" i="7" s="1" a="1"/>
  <c r="B56" i="7" s="1"/>
  <c r="M7" i="7"/>
  <c r="B57" i="7" s="1" a="1"/>
  <c r="B57" i="7" s="1"/>
  <c r="B77" i="7" s="1"/>
  <c r="N6" i="11" s="1"/>
  <c r="X2" i="11" s="1" a="1"/>
  <c r="X2" i="11" s="1"/>
  <c r="N7" i="7"/>
  <c r="B58" i="7" s="1" a="1"/>
  <c r="B58" i="7" s="1"/>
  <c r="O7" i="7"/>
  <c r="B59" i="7" s="1" a="1"/>
  <c r="B59" i="7" s="1"/>
  <c r="P7" i="7"/>
  <c r="B60" i="7" s="1" a="1"/>
  <c r="B60" i="7" s="1"/>
  <c r="Q7" i="7"/>
  <c r="B61" i="7" s="1" a="1"/>
  <c r="B61" i="7" s="1"/>
  <c r="B78" i="7" s="1"/>
  <c r="N37" i="11" s="1"/>
  <c r="X33" i="11" s="1" a="1"/>
  <c r="X33" i="11" s="1"/>
  <c r="R7" i="7"/>
  <c r="B62" i="7" s="1" a="1"/>
  <c r="B62" i="7" s="1"/>
  <c r="S7" i="7"/>
  <c r="B63" i="7" s="1" a="1"/>
  <c r="B63" i="7" s="1"/>
  <c r="T7" i="7"/>
  <c r="B64" i="7" s="1" a="1"/>
  <c r="B64" i="7" s="1"/>
  <c r="U7" i="7"/>
  <c r="B65" i="7" s="1" a="1"/>
  <c r="B65" i="7" s="1"/>
  <c r="B79" i="7" s="1"/>
  <c r="N68" i="11" s="1"/>
  <c r="X64" i="11" s="1" a="1"/>
  <c r="X64" i="11" s="1"/>
  <c r="I8" i="7"/>
  <c r="C53" i="7" s="1" a="1"/>
  <c r="C53" i="7" s="1"/>
  <c r="J8" i="7"/>
  <c r="C54" i="7" s="1" a="1"/>
  <c r="C54" i="7" s="1"/>
  <c r="K8" i="7"/>
  <c r="C55" i="7" s="1" a="1"/>
  <c r="C55" i="7" s="1"/>
  <c r="L8" i="7"/>
  <c r="C56" i="7" s="1" a="1"/>
  <c r="C56" i="7" s="1"/>
  <c r="M8" i="7"/>
  <c r="C57" i="7" s="1" a="1"/>
  <c r="C57" i="7" s="1"/>
  <c r="C77" i="7" s="1"/>
  <c r="O6" i="11" s="1"/>
  <c r="X3" i="11" s="1" a="1"/>
  <c r="X3" i="11" s="1"/>
  <c r="N8" i="7"/>
  <c r="C58" i="7" s="1" a="1"/>
  <c r="C58" i="7" s="1"/>
  <c r="O8" i="7"/>
  <c r="C59" i="7" s="1" a="1"/>
  <c r="C59" i="7" s="1"/>
  <c r="P8" i="7"/>
  <c r="C60" i="7" s="1" a="1"/>
  <c r="C60" i="7" s="1"/>
  <c r="Q8" i="7"/>
  <c r="C61" i="7" s="1" a="1"/>
  <c r="C61" i="7" s="1"/>
  <c r="C78" i="7" s="1"/>
  <c r="O37" i="11" s="1"/>
  <c r="X34" i="11" s="1" a="1"/>
  <c r="X34" i="11" s="1"/>
  <c r="R8" i="7"/>
  <c r="C62" i="7" s="1" a="1"/>
  <c r="C62" i="7" s="1"/>
  <c r="S8" i="7"/>
  <c r="C63" i="7" s="1" a="1"/>
  <c r="C63" i="7" s="1"/>
  <c r="T8" i="7"/>
  <c r="C64" i="7" s="1" a="1"/>
  <c r="C64" i="7" s="1"/>
  <c r="U8" i="7"/>
  <c r="C65" i="7" s="1" a="1"/>
  <c r="C65" i="7" s="1"/>
  <c r="C79" i="7" s="1"/>
  <c r="O68" i="11" s="1"/>
  <c r="X65" i="11" s="1" a="1"/>
  <c r="X65" i="11" s="1"/>
  <c r="I9" i="7"/>
  <c r="D53" i="7" s="1" a="1"/>
  <c r="D53" i="7" s="1"/>
  <c r="J9" i="7"/>
  <c r="D54" i="7" s="1" a="1"/>
  <c r="D54" i="7" s="1"/>
  <c r="K9" i="7"/>
  <c r="D55" i="7" s="1" a="1"/>
  <c r="D55" i="7" s="1"/>
  <c r="L9" i="7"/>
  <c r="D56" i="7" s="1" a="1"/>
  <c r="D56" i="7" s="1"/>
  <c r="M9" i="7"/>
  <c r="D57" i="7" s="1" a="1"/>
  <c r="D57" i="7" s="1"/>
  <c r="D77" i="7" s="1"/>
  <c r="P6" i="11" s="1"/>
  <c r="X4" i="11" s="1" a="1"/>
  <c r="X4" i="11" s="1"/>
  <c r="N9" i="7"/>
  <c r="D58" i="7" s="1" a="1"/>
  <c r="D58" i="7" s="1"/>
  <c r="O9" i="7"/>
  <c r="D59" i="7" s="1" a="1"/>
  <c r="D59" i="7" s="1"/>
  <c r="P9" i="7"/>
  <c r="D60" i="7" s="1" a="1"/>
  <c r="D60" i="7" s="1"/>
  <c r="Q9" i="7"/>
  <c r="D61" i="7" s="1" a="1"/>
  <c r="D61" i="7" s="1"/>
  <c r="D78" i="7" s="1"/>
  <c r="P37" i="11" s="1"/>
  <c r="X35" i="11" s="1" a="1"/>
  <c r="X35" i="11" s="1"/>
  <c r="R9" i="7"/>
  <c r="D62" i="7" s="1" a="1"/>
  <c r="D62" i="7" s="1"/>
  <c r="S9" i="7"/>
  <c r="D63" i="7" s="1" a="1"/>
  <c r="D63" i="7" s="1"/>
  <c r="T9" i="7"/>
  <c r="D64" i="7" s="1" a="1"/>
  <c r="D64" i="7" s="1"/>
  <c r="U9" i="7"/>
  <c r="D65" i="7" s="1" a="1"/>
  <c r="D65" i="7" s="1"/>
  <c r="D79" i="7" s="1"/>
  <c r="P68" i="11" s="1"/>
  <c r="X66" i="11" s="1" a="1"/>
  <c r="X66" i="11" s="1"/>
  <c r="I10" i="7"/>
  <c r="E53" i="7" s="1" a="1"/>
  <c r="E53" i="7" s="1"/>
  <c r="J10" i="7"/>
  <c r="E54" i="7" s="1" a="1"/>
  <c r="E54" i="7" s="1"/>
  <c r="K10" i="7"/>
  <c r="E55" i="7" s="1" a="1"/>
  <c r="E55" i="7" s="1"/>
  <c r="L10" i="7"/>
  <c r="E56" i="7" s="1" a="1"/>
  <c r="E56" i="7" s="1"/>
  <c r="M10" i="7"/>
  <c r="E57" i="7" s="1" a="1"/>
  <c r="E57" i="7" s="1"/>
  <c r="E77" i="7" s="1"/>
  <c r="Q6" i="11" s="1"/>
  <c r="X5" i="11" s="1" a="1"/>
  <c r="X5" i="11" s="1"/>
  <c r="N10" i="7"/>
  <c r="E58" i="7" s="1" a="1"/>
  <c r="E58" i="7" s="1"/>
  <c r="O10" i="7"/>
  <c r="E59" i="7" s="1" a="1"/>
  <c r="E59" i="7" s="1"/>
  <c r="P10" i="7"/>
  <c r="E60" i="7" s="1" a="1"/>
  <c r="E60" i="7" s="1"/>
  <c r="Q10" i="7"/>
  <c r="E61" i="7" s="1" a="1"/>
  <c r="E61" i="7" s="1"/>
  <c r="E78" i="7" s="1"/>
  <c r="Q37" i="11" s="1"/>
  <c r="X36" i="11" s="1" a="1"/>
  <c r="X36" i="11" s="1"/>
  <c r="R10" i="7"/>
  <c r="E62" i="7" s="1" a="1"/>
  <c r="E62" i="7" s="1"/>
  <c r="S10" i="7"/>
  <c r="E63" i="7" s="1" a="1"/>
  <c r="E63" i="7" s="1"/>
  <c r="T10" i="7"/>
  <c r="E64" i="7" s="1" a="1"/>
  <c r="E64" i="7" s="1"/>
  <c r="U10" i="7"/>
  <c r="E65" i="7" s="1" a="1"/>
  <c r="E65" i="7" s="1"/>
  <c r="E79" i="7" s="1"/>
  <c r="Q68" i="11" s="1"/>
  <c r="X67" i="11" s="1" a="1"/>
  <c r="X67" i="11" s="1"/>
  <c r="I11" i="7"/>
  <c r="F53" i="7" s="1" a="1"/>
  <c r="F53" i="7" s="1"/>
  <c r="J11" i="7"/>
  <c r="F54" i="7" s="1" a="1"/>
  <c r="F54" i="7" s="1"/>
  <c r="K11" i="7"/>
  <c r="F55" i="7" s="1" a="1"/>
  <c r="F55" i="7" s="1"/>
  <c r="L11" i="7"/>
  <c r="F56" i="7" s="1" a="1"/>
  <c r="F56" i="7" s="1"/>
  <c r="M11" i="7"/>
  <c r="F57" i="7" s="1" a="1"/>
  <c r="F57" i="7" s="1"/>
  <c r="N11" i="7"/>
  <c r="F58" i="7" s="1" a="1"/>
  <c r="F58" i="7" s="1"/>
  <c r="O11" i="7"/>
  <c r="F59" i="7" s="1" a="1"/>
  <c r="F59" i="7" s="1"/>
  <c r="P11" i="7"/>
  <c r="F60" i="7" s="1" a="1"/>
  <c r="F60" i="7" s="1"/>
  <c r="Q11" i="7"/>
  <c r="F61" i="7" s="1" a="1"/>
  <c r="F61" i="7" s="1"/>
  <c r="R11" i="7"/>
  <c r="F62" i="7" s="1" a="1"/>
  <c r="F62" i="7" s="1"/>
  <c r="S11" i="7"/>
  <c r="F63" i="7" s="1" a="1"/>
  <c r="F63" i="7" s="1"/>
  <c r="T11" i="7"/>
  <c r="F64" i="7" s="1" a="1"/>
  <c r="F64" i="7" s="1"/>
  <c r="U11" i="7"/>
  <c r="F65" i="7" s="1" a="1"/>
  <c r="F65" i="7" s="1"/>
  <c r="I12" i="7"/>
  <c r="G53" i="7" s="1" a="1"/>
  <c r="G53" i="7" s="1"/>
  <c r="J12" i="7"/>
  <c r="G54" i="7" s="1" a="1"/>
  <c r="G54" i="7" s="1"/>
  <c r="K12" i="7"/>
  <c r="G55" i="7" s="1" a="1"/>
  <c r="G55" i="7" s="1"/>
  <c r="L12" i="7"/>
  <c r="G56" i="7" s="1" a="1"/>
  <c r="G56" i="7" s="1"/>
  <c r="M12" i="7"/>
  <c r="G57" i="7" s="1" a="1"/>
  <c r="G57" i="7" s="1"/>
  <c r="N12" i="7"/>
  <c r="G58" i="7" s="1" a="1"/>
  <c r="G58" i="7" s="1"/>
  <c r="O12" i="7"/>
  <c r="G59" i="7" s="1" a="1"/>
  <c r="G59" i="7" s="1"/>
  <c r="P12" i="7"/>
  <c r="G60" i="7" s="1" a="1"/>
  <c r="G60" i="7" s="1"/>
  <c r="Q12" i="7"/>
  <c r="G61" i="7" s="1" a="1"/>
  <c r="G61" i="7" s="1"/>
  <c r="R12" i="7"/>
  <c r="G62" i="7" s="1" a="1"/>
  <c r="G62" i="7" s="1"/>
  <c r="S12" i="7"/>
  <c r="G63" i="7" s="1" a="1"/>
  <c r="G63" i="7" s="1"/>
  <c r="T12" i="7"/>
  <c r="G64" i="7" s="1" a="1"/>
  <c r="G64" i="7" s="1"/>
  <c r="U12" i="7"/>
  <c r="G65" i="7" s="1" a="1"/>
  <c r="G65" i="7" s="1"/>
  <c r="I13" i="7"/>
  <c r="H53" i="7" s="1" a="1"/>
  <c r="H53" i="7" s="1"/>
  <c r="J13" i="7"/>
  <c r="H54" i="7" s="1" a="1"/>
  <c r="H54" i="7" s="1"/>
  <c r="K13" i="7"/>
  <c r="H55" i="7" s="1" a="1"/>
  <c r="H55" i="7" s="1"/>
  <c r="L13" i="7"/>
  <c r="H56" i="7" s="1" a="1"/>
  <c r="H56" i="7" s="1"/>
  <c r="M13" i="7"/>
  <c r="H57" i="7" s="1" a="1"/>
  <c r="H57" i="7" s="1"/>
  <c r="J77" i="7" s="1"/>
  <c r="N13" i="11" s="1"/>
  <c r="AE2" i="11" s="1" a="1"/>
  <c r="AE2" i="11" s="1"/>
  <c r="N13" i="7"/>
  <c r="H58" i="7" s="1" a="1"/>
  <c r="H58" i="7" s="1"/>
  <c r="O13" i="7"/>
  <c r="H59" i="7" s="1" a="1"/>
  <c r="H59" i="7" s="1"/>
  <c r="P13" i="7"/>
  <c r="H60" i="7" s="1" a="1"/>
  <c r="H60" i="7" s="1"/>
  <c r="Q13" i="7"/>
  <c r="H61" i="7" s="1" a="1"/>
  <c r="H61" i="7" s="1"/>
  <c r="J78" i="7" s="1"/>
  <c r="N44" i="11" s="1"/>
  <c r="AE33" i="11" s="1" a="1"/>
  <c r="AE33" i="11" s="1"/>
  <c r="R13" i="7"/>
  <c r="H62" i="7" s="1" a="1"/>
  <c r="H62" i="7" s="1"/>
  <c r="S13" i="7"/>
  <c r="H63" i="7" s="1" a="1"/>
  <c r="H63" i="7" s="1"/>
  <c r="T13" i="7"/>
  <c r="H64" i="7" s="1" a="1"/>
  <c r="H64" i="7" s="1"/>
  <c r="U13" i="7"/>
  <c r="H65" i="7" s="1" a="1"/>
  <c r="H65" i="7" s="1"/>
  <c r="J79" i="7" s="1"/>
  <c r="N75" i="11" s="1"/>
  <c r="AE64" i="11" s="1" a="1"/>
  <c r="AE64" i="11" s="1"/>
  <c r="I14" i="7"/>
  <c r="I53" i="7" s="1" a="1"/>
  <c r="I53" i="7" s="1"/>
  <c r="J14" i="7"/>
  <c r="I54" i="7" s="1" a="1"/>
  <c r="I54" i="7" s="1"/>
  <c r="K14" i="7"/>
  <c r="I55" i="7" s="1" a="1"/>
  <c r="I55" i="7" s="1"/>
  <c r="L14" i="7"/>
  <c r="I56" i="7" s="1" a="1"/>
  <c r="I56" i="7" s="1"/>
  <c r="M14" i="7"/>
  <c r="I57" i="7" s="1" a="1"/>
  <c r="I57" i="7" s="1"/>
  <c r="K77" i="7" s="1"/>
  <c r="O13" i="11" s="1"/>
  <c r="AE3" i="11" s="1" a="1"/>
  <c r="AE3" i="11" s="1"/>
  <c r="N14" i="7"/>
  <c r="I58" i="7" s="1" a="1"/>
  <c r="I58" i="7" s="1"/>
  <c r="O14" i="7"/>
  <c r="I59" i="7" s="1" a="1"/>
  <c r="I59" i="7" s="1"/>
  <c r="P14" i="7"/>
  <c r="I60" i="7" s="1" a="1"/>
  <c r="I60" i="7" s="1"/>
  <c r="Q14" i="7"/>
  <c r="I61" i="7" s="1" a="1"/>
  <c r="I61" i="7" s="1"/>
  <c r="K78" i="7" s="1"/>
  <c r="O44" i="11" s="1"/>
  <c r="AE34" i="11" s="1" a="1"/>
  <c r="AE34" i="11" s="1"/>
  <c r="R14" i="7"/>
  <c r="I62" i="7" s="1" a="1"/>
  <c r="I62" i="7" s="1"/>
  <c r="S14" i="7"/>
  <c r="I63" i="7" s="1" a="1"/>
  <c r="I63" i="7" s="1"/>
  <c r="T14" i="7"/>
  <c r="I64" i="7" s="1" a="1"/>
  <c r="I64" i="7" s="1"/>
  <c r="U14" i="7"/>
  <c r="I65" i="7" s="1" a="1"/>
  <c r="I65" i="7" s="1"/>
  <c r="K79" i="7" s="1"/>
  <c r="O75" i="11" s="1"/>
  <c r="AE65" i="11" s="1" a="1"/>
  <c r="AE65" i="11" s="1"/>
  <c r="I15" i="7"/>
  <c r="J53" i="7" s="1" a="1"/>
  <c r="J53" i="7" s="1"/>
  <c r="J15" i="7"/>
  <c r="J54" i="7" s="1" a="1"/>
  <c r="J54" i="7" s="1"/>
  <c r="K15" i="7"/>
  <c r="J55" i="7" s="1" a="1"/>
  <c r="J55" i="7" s="1"/>
  <c r="L15" i="7"/>
  <c r="J56" i="7" s="1" a="1"/>
  <c r="J56" i="7" s="1"/>
  <c r="M15" i="7"/>
  <c r="J57" i="7" s="1" a="1"/>
  <c r="J57" i="7" s="1"/>
  <c r="L77" i="7" s="1"/>
  <c r="P13" i="11" s="1"/>
  <c r="AE4" i="11" s="1" a="1"/>
  <c r="AE4" i="11" s="1"/>
  <c r="N15" i="7"/>
  <c r="J58" i="7" s="1" a="1"/>
  <c r="J58" i="7" s="1"/>
  <c r="O15" i="7"/>
  <c r="J59" i="7" s="1" a="1"/>
  <c r="J59" i="7" s="1"/>
  <c r="P15" i="7"/>
  <c r="J60" i="7" s="1" a="1"/>
  <c r="J60" i="7" s="1"/>
  <c r="Q15" i="7"/>
  <c r="J61" i="7" s="1" a="1"/>
  <c r="J61" i="7" s="1"/>
  <c r="L78" i="7" s="1"/>
  <c r="P44" i="11" s="1"/>
  <c r="AE35" i="11" s="1" a="1"/>
  <c r="AE35" i="11" s="1"/>
  <c r="R15" i="7"/>
  <c r="J62" i="7" s="1" a="1"/>
  <c r="J62" i="7" s="1"/>
  <c r="S15" i="7"/>
  <c r="J63" i="7" s="1" a="1"/>
  <c r="J63" i="7" s="1"/>
  <c r="T15" i="7"/>
  <c r="J64" i="7" s="1" a="1"/>
  <c r="J64" i="7" s="1"/>
  <c r="U15" i="7"/>
  <c r="J65" i="7" s="1" a="1"/>
  <c r="J65" i="7" s="1"/>
  <c r="L79" i="7" s="1"/>
  <c r="P75" i="11" s="1"/>
  <c r="AE66" i="11" s="1" a="1"/>
  <c r="AE66" i="11" s="1"/>
  <c r="I16" i="7"/>
  <c r="K53" i="7" s="1" a="1"/>
  <c r="K53" i="7" s="1"/>
  <c r="J16" i="7"/>
  <c r="K54" i="7" s="1" a="1"/>
  <c r="K54" i="7" s="1"/>
  <c r="K16" i="7"/>
  <c r="K55" i="7" s="1" a="1"/>
  <c r="K55" i="7" s="1"/>
  <c r="L16" i="7"/>
  <c r="K56" i="7" s="1" a="1"/>
  <c r="K56" i="7" s="1"/>
  <c r="M16" i="7"/>
  <c r="K57" i="7" s="1" a="1"/>
  <c r="K57" i="7" s="1"/>
  <c r="M77" i="7" s="1"/>
  <c r="Q13" i="11" s="1"/>
  <c r="AE5" i="11" s="1" a="1"/>
  <c r="AE5" i="11" s="1"/>
  <c r="N16" i="7"/>
  <c r="K58" i="7" s="1" a="1"/>
  <c r="K58" i="7" s="1"/>
  <c r="O16" i="7"/>
  <c r="K59" i="7" s="1" a="1"/>
  <c r="K59" i="7" s="1"/>
  <c r="P16" i="7"/>
  <c r="K60" i="7" s="1" a="1"/>
  <c r="K60" i="7" s="1"/>
  <c r="Q16" i="7"/>
  <c r="K61" i="7" s="1" a="1"/>
  <c r="K61" i="7" s="1"/>
  <c r="M78" i="7" s="1"/>
  <c r="Q44" i="11" s="1"/>
  <c r="AE36" i="11" s="1" a="1"/>
  <c r="AE36" i="11" s="1"/>
  <c r="R16" i="7"/>
  <c r="K62" i="7" s="1" a="1"/>
  <c r="K62" i="7" s="1"/>
  <c r="S16" i="7"/>
  <c r="K63" i="7" s="1" a="1"/>
  <c r="K63" i="7" s="1"/>
  <c r="T16" i="7"/>
  <c r="K64" i="7" s="1" a="1"/>
  <c r="K64" i="7" s="1"/>
  <c r="U16" i="7"/>
  <c r="K65" i="7" s="1" a="1"/>
  <c r="K65" i="7" s="1"/>
  <c r="M79" i="7" s="1"/>
  <c r="Q75" i="11" s="1"/>
  <c r="AE67" i="11" s="1" a="1"/>
  <c r="AE67" i="11" s="1"/>
  <c r="I17" i="7"/>
  <c r="L53" i="7" s="1" a="1"/>
  <c r="L53" i="7" s="1"/>
  <c r="J17" i="7"/>
  <c r="L54" i="7" s="1" a="1"/>
  <c r="L54" i="7" s="1"/>
  <c r="K17" i="7"/>
  <c r="L55" i="7" s="1" a="1"/>
  <c r="L55" i="7" s="1"/>
  <c r="L17" i="7"/>
  <c r="L56" i="7" s="1" a="1"/>
  <c r="L56" i="7" s="1"/>
  <c r="M17" i="7"/>
  <c r="L57" i="7" s="1" a="1"/>
  <c r="L57" i="7" s="1"/>
  <c r="N17" i="7"/>
  <c r="L58" i="7" s="1" a="1"/>
  <c r="L58" i="7" s="1"/>
  <c r="O17" i="7"/>
  <c r="L59" i="7" s="1" a="1"/>
  <c r="L59" i="7" s="1"/>
  <c r="P17" i="7"/>
  <c r="L60" i="7" s="1" a="1"/>
  <c r="L60" i="7" s="1"/>
  <c r="Q17" i="7"/>
  <c r="L61" i="7" s="1" a="1"/>
  <c r="L61" i="7" s="1"/>
  <c r="R17" i="7"/>
  <c r="L62" i="7" s="1" a="1"/>
  <c r="L62" i="7" s="1"/>
  <c r="S17" i="7"/>
  <c r="L63" i="7" s="1" a="1"/>
  <c r="L63" i="7" s="1"/>
  <c r="T17" i="7"/>
  <c r="L64" i="7" s="1" a="1"/>
  <c r="L64" i="7" s="1"/>
  <c r="U17" i="7"/>
  <c r="L65" i="7" s="1" a="1"/>
  <c r="L65" i="7" s="1"/>
  <c r="I18" i="7"/>
  <c r="M53" i="7" s="1" a="1"/>
  <c r="M53" i="7" s="1"/>
  <c r="J18" i="7"/>
  <c r="M54" i="7" s="1" a="1"/>
  <c r="M54" i="7" s="1"/>
  <c r="K18" i="7"/>
  <c r="M55" i="7" s="1" a="1"/>
  <c r="M55" i="7" s="1"/>
  <c r="L18" i="7"/>
  <c r="M56" i="7" s="1" a="1"/>
  <c r="M56" i="7" s="1"/>
  <c r="M18" i="7"/>
  <c r="M57" i="7" s="1" a="1"/>
  <c r="M57" i="7" s="1"/>
  <c r="N18" i="7"/>
  <c r="M58" i="7" s="1" a="1"/>
  <c r="M58" i="7" s="1"/>
  <c r="O18" i="7"/>
  <c r="M59" i="7" s="1" a="1"/>
  <c r="M59" i="7" s="1"/>
  <c r="P18" i="7"/>
  <c r="M60" i="7" s="1" a="1"/>
  <c r="M60" i="7" s="1"/>
  <c r="Q18" i="7"/>
  <c r="M61" i="7" s="1" a="1"/>
  <c r="M61" i="7" s="1"/>
  <c r="R18" i="7"/>
  <c r="M62" i="7" s="1" a="1"/>
  <c r="M62" i="7" s="1"/>
  <c r="S18" i="7"/>
  <c r="M63" i="7" s="1" a="1"/>
  <c r="M63" i="7" s="1"/>
  <c r="T18" i="7"/>
  <c r="M64" i="7" s="1" a="1"/>
  <c r="M64" i="7" s="1"/>
  <c r="U18" i="7"/>
  <c r="M65" i="7" s="1" a="1"/>
  <c r="M65" i="7" s="1"/>
  <c r="I19" i="7"/>
  <c r="N53" i="7" s="1" a="1"/>
  <c r="N53" i="7" s="1"/>
  <c r="J19" i="7"/>
  <c r="N54" i="7" s="1" a="1"/>
  <c r="N54" i="7" s="1"/>
  <c r="K19" i="7"/>
  <c r="N55" i="7" s="1" a="1"/>
  <c r="N55" i="7" s="1"/>
  <c r="L19" i="7"/>
  <c r="N56" i="7" s="1" a="1"/>
  <c r="N56" i="7" s="1"/>
  <c r="M19" i="7"/>
  <c r="N57" i="7" s="1" a="1"/>
  <c r="N57" i="7" s="1"/>
  <c r="N19" i="7"/>
  <c r="N58" i="7" s="1" a="1"/>
  <c r="N58" i="7" s="1"/>
  <c r="O19" i="7"/>
  <c r="N59" i="7" s="1" a="1"/>
  <c r="N59" i="7" s="1"/>
  <c r="P19" i="7"/>
  <c r="N60" i="7" s="1" a="1"/>
  <c r="N60" i="7" s="1"/>
  <c r="Q19" i="7"/>
  <c r="N61" i="7" s="1" a="1"/>
  <c r="N61" i="7" s="1"/>
  <c r="R19" i="7"/>
  <c r="N62" i="7" s="1" a="1"/>
  <c r="N62" i="7" s="1"/>
  <c r="S19" i="7"/>
  <c r="N63" i="7" s="1" a="1"/>
  <c r="N63" i="7" s="1"/>
  <c r="T19" i="7"/>
  <c r="N64" i="7" s="1" a="1"/>
  <c r="N64" i="7" s="1"/>
  <c r="U19" i="7"/>
  <c r="N65" i="7" s="1" a="1"/>
  <c r="N65" i="7" s="1"/>
  <c r="I20" i="7"/>
  <c r="O53" i="7" s="1" a="1"/>
  <c r="O53" i="7" s="1"/>
  <c r="J20" i="7"/>
  <c r="O54" i="7" s="1" a="1"/>
  <c r="O54" i="7" s="1"/>
  <c r="K20" i="7"/>
  <c r="O55" i="7" s="1" a="1"/>
  <c r="O55" i="7" s="1"/>
  <c r="L20" i="7"/>
  <c r="O56" i="7" s="1" a="1"/>
  <c r="O56" i="7" s="1"/>
  <c r="M20" i="7"/>
  <c r="O57" i="7" s="1" a="1"/>
  <c r="O57" i="7" s="1"/>
  <c r="N20" i="7"/>
  <c r="O58" i="7" s="1" a="1"/>
  <c r="O58" i="7" s="1"/>
  <c r="O20" i="7"/>
  <c r="O59" i="7" s="1" a="1"/>
  <c r="O59" i="7" s="1"/>
  <c r="P20" i="7"/>
  <c r="O60" i="7" s="1" a="1"/>
  <c r="O60" i="7" s="1"/>
  <c r="Q20" i="7"/>
  <c r="O61" i="7" s="1" a="1"/>
  <c r="O61" i="7" s="1"/>
  <c r="R20" i="7"/>
  <c r="O62" i="7" s="1" a="1"/>
  <c r="O62" i="7" s="1"/>
  <c r="S20" i="7"/>
  <c r="O63" i="7" s="1" a="1"/>
  <c r="O63" i="7" s="1"/>
  <c r="T20" i="7"/>
  <c r="O64" i="7" s="1" a="1"/>
  <c r="O64" i="7" s="1"/>
  <c r="U20" i="7"/>
  <c r="O65" i="7" s="1" a="1"/>
  <c r="O65" i="7" s="1"/>
  <c r="S6" i="7"/>
  <c r="A63" i="7" s="1" a="1"/>
  <c r="A63" i="7" s="1"/>
  <c r="T6" i="7"/>
  <c r="A64" i="7" s="1" a="1"/>
  <c r="A64" i="7" s="1"/>
  <c r="U6" i="7"/>
  <c r="A65" i="7" s="1" a="1"/>
  <c r="A65" i="7" s="1"/>
  <c r="J6" i="7"/>
  <c r="A54" i="7" s="1" a="1"/>
  <c r="A54" i="7" s="1"/>
  <c r="K6" i="7"/>
  <c r="A55" i="7" s="1" a="1"/>
  <c r="A55" i="7" s="1"/>
  <c r="L6" i="7"/>
  <c r="A56" i="7" s="1" a="1"/>
  <c r="A56" i="7" s="1"/>
  <c r="M6" i="7"/>
  <c r="A57" i="7" s="1" a="1"/>
  <c r="A57" i="7" s="1"/>
  <c r="N6" i="7"/>
  <c r="A58" i="7" s="1" a="1"/>
  <c r="A58" i="7" s="1"/>
  <c r="O6" i="7"/>
  <c r="A59" i="7" s="1" a="1"/>
  <c r="A59" i="7" s="1"/>
  <c r="P6" i="7"/>
  <c r="A60" i="7" s="1" a="1"/>
  <c r="A60" i="7" s="1"/>
  <c r="Q6" i="7"/>
  <c r="A61" i="7" s="1" a="1"/>
  <c r="A61" i="7" s="1"/>
  <c r="R6" i="7"/>
  <c r="A62" i="7" s="1" a="1"/>
  <c r="A62" i="7" s="1"/>
  <c r="A39" i="9" l="1"/>
  <c r="AH45" i="9" s="1" a="1"/>
  <c r="AH45" i="9" s="1"/>
  <c r="B39" i="9"/>
  <c r="AH46" i="9" s="1" a="1"/>
  <c r="AH46" i="9" s="1"/>
  <c r="C39" i="9"/>
  <c r="AH47" i="9" s="1" a="1"/>
  <c r="AH47" i="9" s="1"/>
  <c r="D39" i="9"/>
  <c r="AH48" i="9" s="1" a="1"/>
  <c r="AH48" i="9" s="1"/>
  <c r="E39" i="9"/>
  <c r="AH49" i="9" s="1" a="1"/>
  <c r="AH49" i="9" s="1"/>
  <c r="A40" i="9"/>
  <c r="AI45" i="9" s="1" a="1"/>
  <c r="AI45" i="9" s="1"/>
  <c r="B40" i="9"/>
  <c r="AI46" i="9" s="1" a="1"/>
  <c r="AI46" i="9" s="1"/>
  <c r="C40" i="9"/>
  <c r="AI47" i="9" s="1" a="1"/>
  <c r="AI47" i="9" s="1"/>
  <c r="D40" i="9"/>
  <c r="AI48" i="9" s="1" a="1"/>
  <c r="AI48" i="9" s="1"/>
  <c r="E40" i="9"/>
  <c r="AI49" i="9" s="1" a="1"/>
  <c r="AI49" i="9" s="1"/>
  <c r="A41" i="9"/>
  <c r="AJ45" i="9" s="1" a="1"/>
  <c r="AJ45" i="9" s="1"/>
  <c r="B41" i="9"/>
  <c r="AJ46" i="9" s="1" a="1"/>
  <c r="AJ46" i="9" s="1"/>
  <c r="C41" i="9"/>
  <c r="AJ47" i="9" s="1" a="1"/>
  <c r="AJ47" i="9" s="1"/>
  <c r="D41" i="9"/>
  <c r="AJ48" i="9" s="1" a="1"/>
  <c r="AJ48" i="9" s="1"/>
  <c r="E41" i="9"/>
  <c r="AJ49" i="9" s="1" a="1"/>
  <c r="AJ49" i="9" s="1"/>
  <c r="A27" i="9"/>
  <c r="V45" i="9" s="1" a="1"/>
  <c r="V45" i="9" s="1"/>
  <c r="B27" i="9"/>
  <c r="V46" i="9" s="1" a="1"/>
  <c r="V46" i="9" s="1"/>
  <c r="C27" i="9"/>
  <c r="V47" i="9" s="1" a="1"/>
  <c r="V47" i="9" s="1"/>
  <c r="D27" i="9"/>
  <c r="V48" i="9" s="1" a="1"/>
  <c r="V48" i="9" s="1"/>
  <c r="E27" i="9"/>
  <c r="V49" i="9" s="1" a="1"/>
  <c r="V49" i="9" s="1"/>
  <c r="A28" i="9"/>
  <c r="W45" i="9" s="1" a="1"/>
  <c r="W45" i="9" s="1"/>
  <c r="B28" i="9"/>
  <c r="W46" i="9" s="1" a="1"/>
  <c r="W46" i="9" s="1"/>
  <c r="C28" i="9"/>
  <c r="W47" i="9" s="1" a="1"/>
  <c r="W47" i="9" s="1"/>
  <c r="D28" i="9"/>
  <c r="W48" i="9" s="1" a="1"/>
  <c r="W48" i="9" s="1"/>
  <c r="E28" i="9"/>
  <c r="W49" i="9" s="1" a="1"/>
  <c r="W49" i="9" s="1"/>
  <c r="A29" i="9"/>
  <c r="X45" i="9" s="1" a="1"/>
  <c r="X45" i="9" s="1"/>
  <c r="B29" i="9"/>
  <c r="X46" i="9" s="1" a="1"/>
  <c r="X46" i="9" s="1"/>
  <c r="C29" i="9"/>
  <c r="X47" i="9" s="1" a="1"/>
  <c r="X47" i="9" s="1"/>
  <c r="D29" i="9"/>
  <c r="X48" i="9" s="1" a="1"/>
  <c r="X48" i="9" s="1"/>
  <c r="E29" i="9"/>
  <c r="X49" i="9" s="1" a="1"/>
  <c r="X49" i="9" s="1"/>
  <c r="A30" i="9"/>
  <c r="Y45" i="9" s="1" a="1"/>
  <c r="Y45" i="9" s="1"/>
  <c r="B30" i="9"/>
  <c r="Y46" i="9" s="1" a="1"/>
  <c r="Y46" i="9" s="1"/>
  <c r="C30" i="9"/>
  <c r="Y47" i="9" s="1" a="1"/>
  <c r="Y47" i="9" s="1"/>
  <c r="D30" i="9"/>
  <c r="Y48" i="9" s="1" a="1"/>
  <c r="Y48" i="9" s="1"/>
  <c r="E30" i="9"/>
  <c r="Y49" i="9" s="1" a="1"/>
  <c r="Y49" i="9" s="1"/>
  <c r="A31" i="9"/>
  <c r="Z45" i="9" s="1" a="1"/>
  <c r="Z45" i="9" s="1"/>
  <c r="B31" i="9"/>
  <c r="Z46" i="9" s="1" a="1"/>
  <c r="Z46" i="9" s="1"/>
  <c r="C31" i="9"/>
  <c r="Z47" i="9" s="1" a="1"/>
  <c r="Z47" i="9" s="1"/>
  <c r="D31" i="9"/>
  <c r="Z48" i="9" s="1" a="1"/>
  <c r="Z48" i="9" s="1"/>
  <c r="E31" i="9"/>
  <c r="Z49" i="9" s="1" a="1"/>
  <c r="Z49" i="9" s="1"/>
  <c r="A32" i="9"/>
  <c r="AA45" i="9" s="1" a="1"/>
  <c r="AA45" i="9" s="1"/>
  <c r="B32" i="9"/>
  <c r="AA46" i="9" s="1" a="1"/>
  <c r="AA46" i="9" s="1"/>
  <c r="C32" i="9"/>
  <c r="AA47" i="9" s="1" a="1"/>
  <c r="AA47" i="9" s="1"/>
  <c r="D32" i="9"/>
  <c r="AA48" i="9" s="1" a="1"/>
  <c r="AA48" i="9" s="1"/>
  <c r="E32" i="9"/>
  <c r="AA49" i="9" s="1" a="1"/>
  <c r="AA49" i="9" s="1"/>
  <c r="A33" i="9"/>
  <c r="AB45" i="9" s="1" a="1"/>
  <c r="AB45" i="9" s="1"/>
  <c r="B33" i="9"/>
  <c r="AB46" i="9" s="1" a="1"/>
  <c r="AB46" i="9" s="1"/>
  <c r="C33" i="9"/>
  <c r="AB47" i="9" s="1" a="1"/>
  <c r="AB47" i="9" s="1"/>
  <c r="D33" i="9"/>
  <c r="AB48" i="9" s="1" a="1"/>
  <c r="AB48" i="9" s="1"/>
  <c r="E33" i="9"/>
  <c r="AB49" i="9" s="1" a="1"/>
  <c r="AB49" i="9" s="1"/>
  <c r="A34" i="9"/>
  <c r="AC45" i="9" s="1" a="1"/>
  <c r="AC45" i="9" s="1"/>
  <c r="B34" i="9"/>
  <c r="AC46" i="9" s="1" a="1"/>
  <c r="AC46" i="9" s="1"/>
  <c r="C34" i="9"/>
  <c r="AC47" i="9" s="1" a="1"/>
  <c r="AC47" i="9" s="1"/>
  <c r="D34" i="9"/>
  <c r="AC48" i="9" s="1" a="1"/>
  <c r="AC48" i="9" s="1"/>
  <c r="E34" i="9"/>
  <c r="AC49" i="9" s="1" a="1"/>
  <c r="AC49" i="9" s="1"/>
  <c r="A35" i="9"/>
  <c r="AD45" i="9" s="1" a="1"/>
  <c r="AD45" i="9" s="1"/>
  <c r="B35" i="9"/>
  <c r="AD46" i="9" s="1" a="1"/>
  <c r="AD46" i="9" s="1"/>
  <c r="C35" i="9"/>
  <c r="AD47" i="9" s="1" a="1"/>
  <c r="AD47" i="9" s="1"/>
  <c r="D35" i="9"/>
  <c r="AD48" i="9" s="1" a="1"/>
  <c r="AD48" i="9" s="1"/>
  <c r="E35" i="9"/>
  <c r="AD49" i="9" s="1" a="1"/>
  <c r="AD49" i="9" s="1"/>
  <c r="A36" i="9"/>
  <c r="AE45" i="9" s="1" a="1"/>
  <c r="AE45" i="9" s="1"/>
  <c r="B36" i="9"/>
  <c r="AE46" i="9" s="1" a="1"/>
  <c r="AE46" i="9" s="1"/>
  <c r="C36" i="9"/>
  <c r="AE47" i="9" s="1" a="1"/>
  <c r="AE47" i="9" s="1"/>
  <c r="D36" i="9"/>
  <c r="AE48" i="9" s="1" a="1"/>
  <c r="AE48" i="9" s="1"/>
  <c r="E36" i="9"/>
  <c r="AE49" i="9" s="1" a="1"/>
  <c r="AE49" i="9" s="1"/>
  <c r="A37" i="9"/>
  <c r="AF45" i="9" s="1" a="1"/>
  <c r="AF45" i="9" s="1"/>
  <c r="B37" i="9"/>
  <c r="AF46" i="9" s="1" a="1"/>
  <c r="AF46" i="9" s="1"/>
  <c r="C37" i="9"/>
  <c r="AF47" i="9" s="1" a="1"/>
  <c r="AF47" i="9" s="1"/>
  <c r="D37" i="9"/>
  <c r="AF48" i="9" s="1" a="1"/>
  <c r="AF48" i="9" s="1"/>
  <c r="E37" i="9"/>
  <c r="AF49" i="9" s="1" a="1"/>
  <c r="AF49" i="9" s="1"/>
  <c r="A38" i="9"/>
  <c r="AG45" i="9" s="1" a="1"/>
  <c r="AG45" i="9" s="1"/>
  <c r="B38" i="9"/>
  <c r="AG46" i="9" s="1" a="1"/>
  <c r="AG46" i="9" s="1"/>
  <c r="C38" i="9"/>
  <c r="AG47" i="9" s="1" a="1"/>
  <c r="AG47" i="9" s="1"/>
  <c r="D38" i="9"/>
  <c r="AG48" i="9" s="1" a="1"/>
  <c r="AG48" i="9" s="1"/>
  <c r="E38" i="9"/>
  <c r="AG49" i="9" s="1" a="1"/>
  <c r="AG49" i="9" s="1"/>
  <c r="B26" i="9"/>
  <c r="U46" i="9" s="1" a="1"/>
  <c r="U46" i="9" s="1"/>
  <c r="C26" i="9"/>
  <c r="U47" i="9" s="1" a="1"/>
  <c r="U47" i="9" s="1"/>
  <c r="D26" i="9"/>
  <c r="U48" i="9" s="1" a="1"/>
  <c r="U48" i="9" s="1"/>
  <c r="E26" i="9"/>
  <c r="U49" i="9" s="1" a="1"/>
  <c r="U49" i="9" s="1"/>
  <c r="A26" i="9"/>
  <c r="U45" i="9" s="1" a="1"/>
  <c r="U45" i="9" s="1"/>
  <c r="A7" i="9" l="1"/>
  <c r="B45" i="9" s="1" a="1"/>
  <c r="B45" i="9" s="1"/>
  <c r="B7" i="9"/>
  <c r="B46" i="9" s="1" a="1"/>
  <c r="B46" i="9" s="1"/>
  <c r="C7" i="9"/>
  <c r="B47" i="9" s="1" a="1"/>
  <c r="B47" i="9" s="1"/>
  <c r="B69" i="9" s="1"/>
  <c r="C5" i="11" s="1"/>
  <c r="D7" i="9"/>
  <c r="B48" i="9" s="1" a="1"/>
  <c r="B48" i="9" s="1"/>
  <c r="B70" i="9" s="1"/>
  <c r="C36" i="11" s="1"/>
  <c r="E7" i="9"/>
  <c r="B49" i="9" s="1" a="1"/>
  <c r="B49" i="9" s="1"/>
  <c r="B71" i="9" s="1"/>
  <c r="C67" i="11" s="1"/>
  <c r="A8" i="9"/>
  <c r="C45" i="9" s="1" a="1"/>
  <c r="C45" i="9" s="1"/>
  <c r="B8" i="9"/>
  <c r="C46" i="9" s="1" a="1"/>
  <c r="C46" i="9" s="1"/>
  <c r="C8" i="9"/>
  <c r="C47" i="9" s="1" a="1"/>
  <c r="C47" i="9" s="1"/>
  <c r="C69" i="9" s="1"/>
  <c r="D5" i="11" s="1"/>
  <c r="D8" i="9"/>
  <c r="C48" i="9" s="1" a="1"/>
  <c r="C48" i="9" s="1"/>
  <c r="C70" i="9" s="1"/>
  <c r="D36" i="11" s="1"/>
  <c r="E8" i="9"/>
  <c r="C49" i="9" s="1" a="1"/>
  <c r="C49" i="9" s="1"/>
  <c r="C71" i="9" s="1"/>
  <c r="D67" i="11" s="1"/>
  <c r="A9" i="9"/>
  <c r="D45" i="9" s="1" a="1"/>
  <c r="D45" i="9" s="1"/>
  <c r="B9" i="9"/>
  <c r="D46" i="9" s="1" a="1"/>
  <c r="D46" i="9" s="1"/>
  <c r="C9" i="9"/>
  <c r="D47" i="9" s="1" a="1"/>
  <c r="D47" i="9" s="1"/>
  <c r="D69" i="9" s="1"/>
  <c r="E5" i="11" s="1"/>
  <c r="D9" i="9"/>
  <c r="D48" i="9" s="1" a="1"/>
  <c r="D48" i="9" s="1"/>
  <c r="D70" i="9" s="1"/>
  <c r="E36" i="11" s="1"/>
  <c r="E9" i="9"/>
  <c r="D49" i="9" s="1" a="1"/>
  <c r="D49" i="9" s="1"/>
  <c r="D71" i="9" s="1"/>
  <c r="E67" i="11" s="1"/>
  <c r="A10" i="9"/>
  <c r="E45" i="9" s="1" a="1"/>
  <c r="E45" i="9" s="1"/>
  <c r="B10" i="9"/>
  <c r="E46" i="9" s="1" a="1"/>
  <c r="E46" i="9" s="1"/>
  <c r="C10" i="9"/>
  <c r="E47" i="9" s="1" a="1"/>
  <c r="E47" i="9" s="1"/>
  <c r="E69" i="9" s="1"/>
  <c r="F5" i="11" s="1"/>
  <c r="D10" i="9"/>
  <c r="E48" i="9" s="1" a="1"/>
  <c r="E48" i="9" s="1"/>
  <c r="E70" i="9" s="1"/>
  <c r="F36" i="11" s="1"/>
  <c r="E10" i="9"/>
  <c r="E49" i="9" s="1" a="1"/>
  <c r="E49" i="9" s="1"/>
  <c r="E71" i="9" s="1"/>
  <c r="F67" i="11" s="1"/>
  <c r="A11" i="9"/>
  <c r="F45" i="9" s="1" a="1"/>
  <c r="F45" i="9" s="1"/>
  <c r="B11" i="9"/>
  <c r="F46" i="9" s="1" a="1"/>
  <c r="F46" i="9" s="1"/>
  <c r="C11" i="9"/>
  <c r="F47" i="9" s="1" a="1"/>
  <c r="F47" i="9" s="1"/>
  <c r="F69" i="9" s="1"/>
  <c r="G5" i="11" s="1"/>
  <c r="D11" i="9"/>
  <c r="F48" i="9" s="1" a="1"/>
  <c r="F48" i="9" s="1"/>
  <c r="F70" i="9" s="1"/>
  <c r="G36" i="11" s="1"/>
  <c r="E11" i="9"/>
  <c r="F49" i="9" s="1" a="1"/>
  <c r="F49" i="9" s="1"/>
  <c r="F71" i="9" s="1"/>
  <c r="G67" i="11" s="1"/>
  <c r="A12" i="9"/>
  <c r="G45" i="9" s="1" a="1"/>
  <c r="G45" i="9" s="1"/>
  <c r="B12" i="9"/>
  <c r="G46" i="9" s="1" a="1"/>
  <c r="G46" i="9" s="1"/>
  <c r="C12" i="9"/>
  <c r="G47" i="9" s="1" a="1"/>
  <c r="G47" i="9" s="1"/>
  <c r="G69" i="9" s="1"/>
  <c r="H5" i="11" s="1"/>
  <c r="D12" i="9"/>
  <c r="G48" i="9" s="1" a="1"/>
  <c r="G48" i="9" s="1"/>
  <c r="G70" i="9" s="1"/>
  <c r="H36" i="11" s="1"/>
  <c r="E12" i="9"/>
  <c r="G49" i="9" s="1" a="1"/>
  <c r="G49" i="9" s="1"/>
  <c r="G71" i="9" s="1"/>
  <c r="H67" i="11" s="1"/>
  <c r="A13" i="9"/>
  <c r="H45" i="9" s="1" a="1"/>
  <c r="H45" i="9" s="1"/>
  <c r="B13" i="9"/>
  <c r="H46" i="9" s="1" a="1"/>
  <c r="H46" i="9" s="1"/>
  <c r="C13" i="9"/>
  <c r="H47" i="9" s="1" a="1"/>
  <c r="H47" i="9" s="1"/>
  <c r="H69" i="9" s="1"/>
  <c r="D13" i="9"/>
  <c r="H48" i="9" s="1" a="1"/>
  <c r="H48" i="9" s="1"/>
  <c r="E13" i="9"/>
  <c r="H49" i="9" s="1" a="1"/>
  <c r="H49" i="9" s="1"/>
  <c r="H71" i="9" s="1"/>
  <c r="A14" i="9"/>
  <c r="I45" i="9" s="1" a="1"/>
  <c r="I45" i="9" s="1"/>
  <c r="B14" i="9"/>
  <c r="I46" i="9" s="1" a="1"/>
  <c r="I46" i="9" s="1"/>
  <c r="C14" i="9"/>
  <c r="I47" i="9" s="1" a="1"/>
  <c r="I47" i="9" s="1"/>
  <c r="D14" i="9"/>
  <c r="I48" i="9" s="1" a="1"/>
  <c r="I48" i="9" s="1"/>
  <c r="E14" i="9"/>
  <c r="I49" i="9" s="1" a="1"/>
  <c r="I49" i="9" s="1"/>
  <c r="A15" i="9"/>
  <c r="J45" i="9" s="1" a="1"/>
  <c r="J45" i="9" s="1"/>
  <c r="B15" i="9"/>
  <c r="J46" i="9" s="1" a="1"/>
  <c r="J46" i="9" s="1"/>
  <c r="C15" i="9"/>
  <c r="J47" i="9" s="1" a="1"/>
  <c r="J47" i="9" s="1"/>
  <c r="J69" i="9" s="1"/>
  <c r="C12" i="11" s="1"/>
  <c r="D15" i="9"/>
  <c r="J48" i="9" s="1" a="1"/>
  <c r="J48" i="9" s="1"/>
  <c r="J70" i="9" s="1"/>
  <c r="C43" i="11" s="1"/>
  <c r="E15" i="9"/>
  <c r="J49" i="9" s="1" a="1"/>
  <c r="J49" i="9" s="1"/>
  <c r="J71" i="9" s="1"/>
  <c r="C74" i="11" s="1"/>
  <c r="A16" i="9"/>
  <c r="K45" i="9" s="1" a="1"/>
  <c r="K45" i="9" s="1"/>
  <c r="B16" i="9"/>
  <c r="K46" i="9" s="1" a="1"/>
  <c r="K46" i="9" s="1"/>
  <c r="C16" i="9"/>
  <c r="K47" i="9" s="1" a="1"/>
  <c r="K47" i="9" s="1"/>
  <c r="K69" i="9" s="1"/>
  <c r="D12" i="11" s="1"/>
  <c r="D16" i="9"/>
  <c r="K48" i="9" s="1" a="1"/>
  <c r="K48" i="9" s="1"/>
  <c r="K70" i="9" s="1"/>
  <c r="D43" i="11" s="1"/>
  <c r="E16" i="9"/>
  <c r="K49" i="9" s="1" a="1"/>
  <c r="K49" i="9" s="1"/>
  <c r="K71" i="9" s="1"/>
  <c r="D74" i="11" s="1"/>
  <c r="A17" i="9"/>
  <c r="L45" i="9" s="1" a="1"/>
  <c r="L45" i="9" s="1"/>
  <c r="B17" i="9"/>
  <c r="L46" i="9" s="1" a="1"/>
  <c r="L46" i="9" s="1"/>
  <c r="C17" i="9"/>
  <c r="L47" i="9" s="1" a="1"/>
  <c r="L47" i="9" s="1"/>
  <c r="L69" i="9" s="1"/>
  <c r="E12" i="11" s="1"/>
  <c r="D17" i="9"/>
  <c r="L48" i="9" s="1" a="1"/>
  <c r="L48" i="9" s="1"/>
  <c r="L70" i="9" s="1"/>
  <c r="E43" i="11" s="1"/>
  <c r="E17" i="9"/>
  <c r="L49" i="9" s="1" a="1"/>
  <c r="L49" i="9" s="1"/>
  <c r="L71" i="9" s="1"/>
  <c r="E74" i="11" s="1"/>
  <c r="A18" i="9"/>
  <c r="M45" i="9" s="1" a="1"/>
  <c r="M45" i="9" s="1"/>
  <c r="B18" i="9"/>
  <c r="M46" i="9" s="1" a="1"/>
  <c r="M46" i="9" s="1"/>
  <c r="C18" i="9"/>
  <c r="M47" i="9" s="1" a="1"/>
  <c r="M47" i="9" s="1"/>
  <c r="M69" i="9" s="1"/>
  <c r="F12" i="11" s="1"/>
  <c r="D18" i="9"/>
  <c r="M48" i="9" s="1" a="1"/>
  <c r="M48" i="9" s="1"/>
  <c r="M70" i="9" s="1"/>
  <c r="F43" i="11" s="1"/>
  <c r="E18" i="9"/>
  <c r="M49" i="9" s="1" a="1"/>
  <c r="M49" i="9" s="1"/>
  <c r="M71" i="9" s="1"/>
  <c r="F74" i="11" s="1"/>
  <c r="A19" i="9"/>
  <c r="N45" i="9" s="1" a="1"/>
  <c r="N45" i="9" s="1"/>
  <c r="B19" i="9"/>
  <c r="N46" i="9" s="1" a="1"/>
  <c r="N46" i="9" s="1"/>
  <c r="C19" i="9"/>
  <c r="N47" i="9" s="1" a="1"/>
  <c r="N47" i="9" s="1"/>
  <c r="N69" i="9" s="1"/>
  <c r="G12" i="11" s="1"/>
  <c r="D19" i="9"/>
  <c r="N48" i="9" s="1" a="1"/>
  <c r="N48" i="9" s="1"/>
  <c r="N70" i="9" s="1"/>
  <c r="G43" i="11" s="1"/>
  <c r="E19" i="9"/>
  <c r="N49" i="9" s="1" a="1"/>
  <c r="N49" i="9" s="1"/>
  <c r="N71" i="9" s="1"/>
  <c r="G74" i="11" s="1"/>
  <c r="A20" i="9"/>
  <c r="O45" i="9" s="1" a="1"/>
  <c r="O45" i="9" s="1"/>
  <c r="B20" i="9"/>
  <c r="O46" i="9" s="1" a="1"/>
  <c r="O46" i="9" s="1"/>
  <c r="C20" i="9"/>
  <c r="O47" i="9" s="1" a="1"/>
  <c r="O47" i="9" s="1"/>
  <c r="O69" i="9" s="1"/>
  <c r="H12" i="11" s="1"/>
  <c r="D20" i="9"/>
  <c r="O48" i="9" s="1" a="1"/>
  <c r="O48" i="9" s="1"/>
  <c r="O70" i="9" s="1"/>
  <c r="H43" i="11" s="1"/>
  <c r="E20" i="9"/>
  <c r="O49" i="9" s="1" a="1"/>
  <c r="O49" i="9" s="1"/>
  <c r="O71" i="9" s="1"/>
  <c r="H74" i="11" s="1"/>
  <c r="A21" i="9"/>
  <c r="P45" i="9" s="1" a="1"/>
  <c r="P45" i="9" s="1"/>
  <c r="B21" i="9"/>
  <c r="P46" i="9" s="1" a="1"/>
  <c r="P46" i="9" s="1"/>
  <c r="C21" i="9"/>
  <c r="P47" i="9" s="1" a="1"/>
  <c r="P47" i="9" s="1"/>
  <c r="P69" i="9" s="1"/>
  <c r="D21" i="9"/>
  <c r="P48" i="9" s="1" a="1"/>
  <c r="P48" i="9" s="1"/>
  <c r="E21" i="9"/>
  <c r="P49" i="9" s="1" a="1"/>
  <c r="P49" i="9" s="1"/>
  <c r="P71" i="9" s="1"/>
  <c r="B6" i="9"/>
  <c r="A46" i="9" s="1" a="1"/>
  <c r="A46" i="9" s="1"/>
  <c r="C6" i="9"/>
  <c r="A47" i="9" s="1" a="1"/>
  <c r="A47" i="9" s="1"/>
  <c r="D6" i="9"/>
  <c r="A48" i="9" s="1" a="1"/>
  <c r="A48" i="9" s="1"/>
  <c r="E6" i="9"/>
  <c r="A49" i="9" s="1" a="1"/>
  <c r="A49" i="9" s="1"/>
  <c r="A6" i="9"/>
  <c r="A45" i="9" s="1" a="1"/>
  <c r="A45" i="9" s="1"/>
  <c r="I71" i="9" l="1"/>
  <c r="J67" i="11" s="1"/>
  <c r="I67" i="11"/>
  <c r="Q71" i="9"/>
  <c r="J74" i="11" s="1"/>
  <c r="I74" i="11"/>
  <c r="P70" i="9"/>
  <c r="I43" i="11" s="1"/>
  <c r="I69" i="9"/>
  <c r="J5" i="11" s="1"/>
  <c r="I5" i="11"/>
  <c r="Q69" i="9"/>
  <c r="J12" i="11" s="1"/>
  <c r="I12" i="11"/>
  <c r="H70" i="9"/>
  <c r="I36" i="11" s="1"/>
  <c r="A27" i="10"/>
  <c r="V45" i="10" s="1" a="1"/>
  <c r="V45" i="10" s="1"/>
  <c r="B27" i="10"/>
  <c r="V46" i="10" s="1" a="1"/>
  <c r="V46" i="10" s="1"/>
  <c r="C27" i="10"/>
  <c r="V47" i="10" s="1" a="1"/>
  <c r="V47" i="10" s="1"/>
  <c r="D27" i="10"/>
  <c r="V48" i="10" s="1" a="1"/>
  <c r="V48" i="10" s="1"/>
  <c r="E27" i="10"/>
  <c r="V49" i="10" s="1" a="1"/>
  <c r="V49" i="10" s="1"/>
  <c r="A28" i="10"/>
  <c r="W45" i="10" s="1" a="1"/>
  <c r="W45" i="10" s="1"/>
  <c r="B28" i="10"/>
  <c r="W46" i="10" s="1" a="1"/>
  <c r="W46" i="10" s="1"/>
  <c r="C28" i="10"/>
  <c r="W47" i="10" s="1" a="1"/>
  <c r="W47" i="10" s="1"/>
  <c r="D28" i="10"/>
  <c r="W48" i="10" s="1" a="1"/>
  <c r="W48" i="10" s="1"/>
  <c r="E28" i="10"/>
  <c r="W49" i="10" s="1" a="1"/>
  <c r="W49" i="10" s="1"/>
  <c r="A29" i="10"/>
  <c r="X45" i="10" s="1" a="1"/>
  <c r="X45" i="10" s="1"/>
  <c r="B29" i="10"/>
  <c r="X46" i="10" s="1" a="1"/>
  <c r="X46" i="10" s="1"/>
  <c r="C29" i="10"/>
  <c r="X47" i="10" s="1" a="1"/>
  <c r="X47" i="10" s="1"/>
  <c r="D29" i="10"/>
  <c r="X48" i="10" s="1" a="1"/>
  <c r="X48" i="10" s="1"/>
  <c r="E29" i="10"/>
  <c r="X49" i="10" s="1" a="1"/>
  <c r="X49" i="10" s="1"/>
  <c r="A30" i="10"/>
  <c r="Y45" i="10" s="1" a="1"/>
  <c r="Y45" i="10" s="1"/>
  <c r="B30" i="10"/>
  <c r="Y46" i="10" s="1" a="1"/>
  <c r="Y46" i="10" s="1"/>
  <c r="C30" i="10"/>
  <c r="Y47" i="10" s="1" a="1"/>
  <c r="Y47" i="10" s="1"/>
  <c r="D30" i="10"/>
  <c r="Y48" i="10" s="1" a="1"/>
  <c r="Y48" i="10" s="1"/>
  <c r="E30" i="10"/>
  <c r="Y49" i="10" s="1" a="1"/>
  <c r="Y49" i="10" s="1"/>
  <c r="A31" i="10"/>
  <c r="Z45" i="10" s="1" a="1"/>
  <c r="Z45" i="10" s="1"/>
  <c r="B31" i="10"/>
  <c r="Z46" i="10" s="1" a="1"/>
  <c r="Z46" i="10" s="1"/>
  <c r="C31" i="10"/>
  <c r="Z47" i="10" s="1" a="1"/>
  <c r="Z47" i="10" s="1"/>
  <c r="D31" i="10"/>
  <c r="Z48" i="10" s="1" a="1"/>
  <c r="Z48" i="10" s="1"/>
  <c r="E31" i="10"/>
  <c r="Z49" i="10" s="1" a="1"/>
  <c r="Z49" i="10" s="1"/>
  <c r="A32" i="10"/>
  <c r="AA45" i="10" s="1" a="1"/>
  <c r="AA45" i="10" s="1"/>
  <c r="B32" i="10"/>
  <c r="AA46" i="10" s="1" a="1"/>
  <c r="AA46" i="10" s="1"/>
  <c r="C32" i="10"/>
  <c r="AA47" i="10" s="1" a="1"/>
  <c r="AA47" i="10" s="1"/>
  <c r="D32" i="10"/>
  <c r="AA48" i="10" s="1" a="1"/>
  <c r="AA48" i="10" s="1"/>
  <c r="E32" i="10"/>
  <c r="AA49" i="10" s="1" a="1"/>
  <c r="AA49" i="10" s="1"/>
  <c r="A33" i="10"/>
  <c r="AB45" i="10" s="1" a="1"/>
  <c r="AB45" i="10" s="1"/>
  <c r="B33" i="10"/>
  <c r="AB46" i="10" s="1" a="1"/>
  <c r="AB46" i="10" s="1"/>
  <c r="C33" i="10"/>
  <c r="AB47" i="10" s="1" a="1"/>
  <c r="AB47" i="10" s="1"/>
  <c r="D33" i="10"/>
  <c r="AB48" i="10" s="1" a="1"/>
  <c r="AB48" i="10" s="1"/>
  <c r="E33" i="10"/>
  <c r="AB49" i="10" s="1" a="1"/>
  <c r="AB49" i="10" s="1"/>
  <c r="A34" i="10"/>
  <c r="AC45" i="10" s="1" a="1"/>
  <c r="AC45" i="10" s="1"/>
  <c r="B34" i="10"/>
  <c r="AC46" i="10" s="1" a="1"/>
  <c r="AC46" i="10" s="1"/>
  <c r="C34" i="10"/>
  <c r="AC47" i="10" s="1" a="1"/>
  <c r="AC47" i="10" s="1"/>
  <c r="D34" i="10"/>
  <c r="AC48" i="10" s="1" a="1"/>
  <c r="AC48" i="10" s="1"/>
  <c r="E34" i="10"/>
  <c r="AC49" i="10" s="1" a="1"/>
  <c r="AC49" i="10" s="1"/>
  <c r="A35" i="10"/>
  <c r="AD45" i="10" s="1" a="1"/>
  <c r="AD45" i="10" s="1"/>
  <c r="B35" i="10"/>
  <c r="AD46" i="10" s="1" a="1"/>
  <c r="AD46" i="10" s="1"/>
  <c r="C35" i="10"/>
  <c r="AD47" i="10" s="1" a="1"/>
  <c r="AD47" i="10" s="1"/>
  <c r="D35" i="10"/>
  <c r="AD48" i="10" s="1" a="1"/>
  <c r="AD48" i="10" s="1"/>
  <c r="E35" i="10"/>
  <c r="AD49" i="10" s="1" a="1"/>
  <c r="AD49" i="10" s="1"/>
  <c r="A36" i="10"/>
  <c r="AE45" i="10" s="1" a="1"/>
  <c r="AE45" i="10" s="1"/>
  <c r="B36" i="10"/>
  <c r="AE46" i="10" s="1" a="1"/>
  <c r="AE46" i="10" s="1"/>
  <c r="C36" i="10"/>
  <c r="AE47" i="10" s="1" a="1"/>
  <c r="AE47" i="10" s="1"/>
  <c r="D36" i="10"/>
  <c r="AE48" i="10" s="1" a="1"/>
  <c r="AE48" i="10" s="1"/>
  <c r="E36" i="10"/>
  <c r="AE49" i="10" s="1" a="1"/>
  <c r="AE49" i="10" s="1"/>
  <c r="A37" i="10"/>
  <c r="AF45" i="10" s="1" a="1"/>
  <c r="AF45" i="10" s="1"/>
  <c r="B37" i="10"/>
  <c r="AF46" i="10" s="1" a="1"/>
  <c r="AF46" i="10" s="1"/>
  <c r="C37" i="10"/>
  <c r="AF47" i="10" s="1" a="1"/>
  <c r="AF47" i="10" s="1"/>
  <c r="D37" i="10"/>
  <c r="AF48" i="10" s="1" a="1"/>
  <c r="AF48" i="10" s="1"/>
  <c r="E37" i="10"/>
  <c r="AF49" i="10" s="1" a="1"/>
  <c r="AF49" i="10" s="1"/>
  <c r="A38" i="10"/>
  <c r="AG45" i="10" s="1" a="1"/>
  <c r="AG45" i="10" s="1"/>
  <c r="B38" i="10"/>
  <c r="AG46" i="10" s="1" a="1"/>
  <c r="AG46" i="10" s="1"/>
  <c r="C38" i="10"/>
  <c r="AG47" i="10" s="1" a="1"/>
  <c r="AG47" i="10" s="1"/>
  <c r="D38" i="10"/>
  <c r="AG48" i="10" s="1" a="1"/>
  <c r="AG48" i="10" s="1"/>
  <c r="E38" i="10"/>
  <c r="AG49" i="10" s="1" a="1"/>
  <c r="AG49" i="10" s="1"/>
  <c r="A39" i="10"/>
  <c r="AH45" i="10" s="1" a="1"/>
  <c r="AH45" i="10" s="1"/>
  <c r="B39" i="10"/>
  <c r="AH46" i="10" s="1" a="1"/>
  <c r="AH46" i="10" s="1"/>
  <c r="C39" i="10"/>
  <c r="AH47" i="10" s="1" a="1"/>
  <c r="AH47" i="10" s="1"/>
  <c r="D39" i="10"/>
  <c r="AH48" i="10" s="1" a="1"/>
  <c r="AH48" i="10" s="1"/>
  <c r="E39" i="10"/>
  <c r="AH49" i="10" s="1" a="1"/>
  <c r="AH49" i="10" s="1"/>
  <c r="A40" i="10"/>
  <c r="AI45" i="10" s="1" a="1"/>
  <c r="AI45" i="10" s="1"/>
  <c r="B40" i="10"/>
  <c r="AI46" i="10" s="1" a="1"/>
  <c r="AI46" i="10" s="1"/>
  <c r="C40" i="10"/>
  <c r="AI47" i="10" s="1" a="1"/>
  <c r="AI47" i="10" s="1"/>
  <c r="D40" i="10"/>
  <c r="AI48" i="10" s="1" a="1"/>
  <c r="AI48" i="10" s="1"/>
  <c r="E40" i="10"/>
  <c r="AI49" i="10" s="1" a="1"/>
  <c r="AI49" i="10" s="1"/>
  <c r="A41" i="10"/>
  <c r="AJ45" i="10" s="1" a="1"/>
  <c r="AJ45" i="10" s="1"/>
  <c r="B41" i="10"/>
  <c r="AJ46" i="10" s="1" a="1"/>
  <c r="AJ46" i="10" s="1"/>
  <c r="C41" i="10"/>
  <c r="AJ47" i="10" s="1" a="1"/>
  <c r="AJ47" i="10" s="1"/>
  <c r="D41" i="10"/>
  <c r="AJ48" i="10" s="1" a="1"/>
  <c r="AJ48" i="10" s="1"/>
  <c r="E41" i="10"/>
  <c r="AJ49" i="10" s="1" a="1"/>
  <c r="AJ49" i="10" s="1"/>
  <c r="B26" i="10"/>
  <c r="U46" i="10" s="1" a="1"/>
  <c r="U46" i="10" s="1"/>
  <c r="C26" i="10"/>
  <c r="U47" i="10" s="1" a="1"/>
  <c r="U47" i="10" s="1"/>
  <c r="D26" i="10"/>
  <c r="U48" i="10" s="1" a="1"/>
  <c r="U48" i="10" s="1"/>
  <c r="E26" i="10"/>
  <c r="U49" i="10" s="1" a="1"/>
  <c r="U49" i="10" s="1"/>
  <c r="A26" i="10"/>
  <c r="U45" i="10" s="1" a="1"/>
  <c r="U45" i="10" s="1"/>
  <c r="Q70" i="9" l="1"/>
  <c r="J43" i="11" s="1"/>
  <c r="I70" i="9"/>
  <c r="J36" i="11" s="1"/>
  <c r="A7" i="10"/>
  <c r="B45" i="10" s="1" a="1"/>
  <c r="B45" i="10" s="1"/>
  <c r="B7" i="10"/>
  <c r="B46" i="10" s="1" a="1"/>
  <c r="B46" i="10" s="1"/>
  <c r="C7" i="10"/>
  <c r="B47" i="10" s="1" a="1"/>
  <c r="B47" i="10" s="1"/>
  <c r="B69" i="10" s="1"/>
  <c r="C3" i="11" s="1"/>
  <c r="D7" i="10"/>
  <c r="B48" i="10" s="1" a="1"/>
  <c r="B48" i="10" s="1"/>
  <c r="B70" i="10" s="1"/>
  <c r="C34" i="11" s="1"/>
  <c r="E7" i="10"/>
  <c r="B49" i="10" s="1" a="1"/>
  <c r="B49" i="10" s="1"/>
  <c r="B71" i="10" s="1"/>
  <c r="C65" i="11" s="1"/>
  <c r="A8" i="10"/>
  <c r="C45" i="10" s="1" a="1"/>
  <c r="C45" i="10" s="1"/>
  <c r="B8" i="10"/>
  <c r="C46" i="10" s="1" a="1"/>
  <c r="C46" i="10" s="1"/>
  <c r="C8" i="10"/>
  <c r="C47" i="10" s="1" a="1"/>
  <c r="C47" i="10" s="1"/>
  <c r="C69" i="10" s="1"/>
  <c r="D3" i="11" s="1"/>
  <c r="D8" i="10"/>
  <c r="C48" i="10" s="1" a="1"/>
  <c r="C48" i="10" s="1"/>
  <c r="C70" i="10" s="1"/>
  <c r="D34" i="11" s="1"/>
  <c r="E8" i="10"/>
  <c r="C49" i="10" s="1" a="1"/>
  <c r="C49" i="10" s="1"/>
  <c r="C71" i="10" s="1"/>
  <c r="D65" i="11" s="1"/>
  <c r="A9" i="10"/>
  <c r="D45" i="10" s="1" a="1"/>
  <c r="D45" i="10" s="1"/>
  <c r="B9" i="10"/>
  <c r="D46" i="10" s="1" a="1"/>
  <c r="D46" i="10" s="1"/>
  <c r="C9" i="10"/>
  <c r="D47" i="10" s="1" a="1"/>
  <c r="D47" i="10" s="1"/>
  <c r="D69" i="10" s="1"/>
  <c r="E3" i="11" s="1"/>
  <c r="D9" i="10"/>
  <c r="D48" i="10" s="1" a="1"/>
  <c r="D48" i="10" s="1"/>
  <c r="D70" i="10" s="1"/>
  <c r="E34" i="11" s="1"/>
  <c r="E9" i="10"/>
  <c r="D49" i="10" s="1" a="1"/>
  <c r="D49" i="10" s="1"/>
  <c r="D71" i="10" s="1"/>
  <c r="E65" i="11" s="1"/>
  <c r="A10" i="10"/>
  <c r="E45" i="10" s="1" a="1"/>
  <c r="E45" i="10" s="1"/>
  <c r="B10" i="10"/>
  <c r="E46" i="10" s="1" a="1"/>
  <c r="E46" i="10" s="1"/>
  <c r="C10" i="10"/>
  <c r="E47" i="10" s="1" a="1"/>
  <c r="E47" i="10" s="1"/>
  <c r="E69" i="10" s="1"/>
  <c r="F3" i="11" s="1"/>
  <c r="D10" i="10"/>
  <c r="E48" i="10" s="1" a="1"/>
  <c r="E48" i="10" s="1"/>
  <c r="E70" i="10" s="1"/>
  <c r="F34" i="11" s="1"/>
  <c r="E10" i="10"/>
  <c r="E49" i="10" s="1" a="1"/>
  <c r="E49" i="10" s="1"/>
  <c r="E71" i="10" s="1"/>
  <c r="F65" i="11" s="1"/>
  <c r="A11" i="10"/>
  <c r="F45" i="10" s="1" a="1"/>
  <c r="F45" i="10" s="1"/>
  <c r="B11" i="10"/>
  <c r="F46" i="10" s="1" a="1"/>
  <c r="F46" i="10" s="1"/>
  <c r="C11" i="10"/>
  <c r="F47" i="10" s="1" a="1"/>
  <c r="F47" i="10" s="1"/>
  <c r="F69" i="10" s="1"/>
  <c r="G3" i="11" s="1"/>
  <c r="D11" i="10"/>
  <c r="F48" i="10" s="1" a="1"/>
  <c r="F48" i="10" s="1"/>
  <c r="F70" i="10" s="1"/>
  <c r="G34" i="11" s="1"/>
  <c r="E11" i="10"/>
  <c r="F49" i="10" s="1" a="1"/>
  <c r="F49" i="10" s="1"/>
  <c r="F71" i="10" s="1"/>
  <c r="G65" i="11" s="1"/>
  <c r="A12" i="10"/>
  <c r="G45" i="10" s="1" a="1"/>
  <c r="G45" i="10" s="1"/>
  <c r="B12" i="10"/>
  <c r="G46" i="10" s="1" a="1"/>
  <c r="G46" i="10" s="1"/>
  <c r="C12" i="10"/>
  <c r="G47" i="10" s="1" a="1"/>
  <c r="G47" i="10" s="1"/>
  <c r="G69" i="10" s="1"/>
  <c r="H3" i="11" s="1"/>
  <c r="D12" i="10"/>
  <c r="G48" i="10" s="1" a="1"/>
  <c r="G48" i="10" s="1"/>
  <c r="G70" i="10" s="1"/>
  <c r="H34" i="11" s="1"/>
  <c r="E12" i="10"/>
  <c r="G49" i="10" s="1" a="1"/>
  <c r="G49" i="10" s="1"/>
  <c r="G71" i="10" s="1"/>
  <c r="H65" i="11" s="1"/>
  <c r="A13" i="10"/>
  <c r="H45" i="10" s="1" a="1"/>
  <c r="H45" i="10" s="1"/>
  <c r="B13" i="10"/>
  <c r="H46" i="10" s="1" a="1"/>
  <c r="H46" i="10" s="1"/>
  <c r="C13" i="10"/>
  <c r="H47" i="10" s="1" a="1"/>
  <c r="H47" i="10" s="1"/>
  <c r="D13" i="10"/>
  <c r="H48" i="10" s="1" a="1"/>
  <c r="H48" i="10" s="1"/>
  <c r="E13" i="10"/>
  <c r="H49" i="10" s="1" a="1"/>
  <c r="H49" i="10" s="1"/>
  <c r="A14" i="10"/>
  <c r="I45" i="10" s="1" a="1"/>
  <c r="I45" i="10" s="1"/>
  <c r="B14" i="10"/>
  <c r="I46" i="10" s="1" a="1"/>
  <c r="I46" i="10" s="1"/>
  <c r="C14" i="10"/>
  <c r="I47" i="10" s="1" a="1"/>
  <c r="I47" i="10" s="1"/>
  <c r="D14" i="10"/>
  <c r="I48" i="10" s="1" a="1"/>
  <c r="I48" i="10" s="1"/>
  <c r="E14" i="10"/>
  <c r="I49" i="10" s="1" a="1"/>
  <c r="I49" i="10" s="1"/>
  <c r="A15" i="10"/>
  <c r="J45" i="10" s="1" a="1"/>
  <c r="J45" i="10" s="1"/>
  <c r="B15" i="10"/>
  <c r="J46" i="10" s="1" a="1"/>
  <c r="J46" i="10" s="1"/>
  <c r="C15" i="10"/>
  <c r="J47" i="10" s="1" a="1"/>
  <c r="J47" i="10" s="1"/>
  <c r="J69" i="10" s="1"/>
  <c r="C10" i="11" s="1"/>
  <c r="D15" i="10"/>
  <c r="J48" i="10" s="1" a="1"/>
  <c r="J48" i="10" s="1"/>
  <c r="J70" i="10" s="1"/>
  <c r="C41" i="11" s="1"/>
  <c r="E15" i="10"/>
  <c r="J49" i="10" s="1" a="1"/>
  <c r="J49" i="10" s="1"/>
  <c r="J71" i="10" s="1"/>
  <c r="C72" i="11" s="1"/>
  <c r="A16" i="10"/>
  <c r="K45" i="10" s="1" a="1"/>
  <c r="K45" i="10" s="1"/>
  <c r="B16" i="10"/>
  <c r="K46" i="10" s="1" a="1"/>
  <c r="K46" i="10" s="1"/>
  <c r="C16" i="10"/>
  <c r="K47" i="10" s="1" a="1"/>
  <c r="K47" i="10" s="1"/>
  <c r="K69" i="10" s="1"/>
  <c r="D10" i="11" s="1"/>
  <c r="D16" i="10"/>
  <c r="K48" i="10" s="1" a="1"/>
  <c r="K48" i="10" s="1"/>
  <c r="K70" i="10" s="1"/>
  <c r="D41" i="11" s="1"/>
  <c r="E16" i="10"/>
  <c r="K49" i="10" s="1" a="1"/>
  <c r="K49" i="10" s="1"/>
  <c r="K71" i="10" s="1"/>
  <c r="D72" i="11" s="1"/>
  <c r="A17" i="10"/>
  <c r="L45" i="10" s="1" a="1"/>
  <c r="L45" i="10" s="1"/>
  <c r="B17" i="10"/>
  <c r="L46" i="10" s="1" a="1"/>
  <c r="L46" i="10" s="1"/>
  <c r="C17" i="10"/>
  <c r="L47" i="10" s="1" a="1"/>
  <c r="L47" i="10" s="1"/>
  <c r="L69" i="10" s="1"/>
  <c r="E10" i="11" s="1"/>
  <c r="D17" i="10"/>
  <c r="L48" i="10" s="1" a="1"/>
  <c r="L48" i="10" s="1"/>
  <c r="L70" i="10" s="1"/>
  <c r="E41" i="11" s="1"/>
  <c r="E17" i="10"/>
  <c r="L49" i="10" s="1" a="1"/>
  <c r="L49" i="10" s="1"/>
  <c r="L71" i="10" s="1"/>
  <c r="E72" i="11" s="1"/>
  <c r="A18" i="10"/>
  <c r="M45" i="10" s="1" a="1"/>
  <c r="M45" i="10" s="1"/>
  <c r="B18" i="10"/>
  <c r="M46" i="10" s="1" a="1"/>
  <c r="M46" i="10" s="1"/>
  <c r="C18" i="10"/>
  <c r="M47" i="10" s="1" a="1"/>
  <c r="M47" i="10" s="1"/>
  <c r="M69" i="10" s="1"/>
  <c r="F10" i="11" s="1"/>
  <c r="D18" i="10"/>
  <c r="M48" i="10" s="1" a="1"/>
  <c r="M48" i="10" s="1"/>
  <c r="M70" i="10" s="1"/>
  <c r="F41" i="11" s="1"/>
  <c r="E18" i="10"/>
  <c r="M49" i="10" s="1" a="1"/>
  <c r="M49" i="10" s="1"/>
  <c r="M71" i="10" s="1"/>
  <c r="F72" i="11" s="1"/>
  <c r="A19" i="10"/>
  <c r="N45" i="10" s="1" a="1"/>
  <c r="N45" i="10" s="1"/>
  <c r="B19" i="10"/>
  <c r="N46" i="10" s="1" a="1"/>
  <c r="N46" i="10" s="1"/>
  <c r="C19" i="10"/>
  <c r="N47" i="10" s="1" a="1"/>
  <c r="N47" i="10" s="1"/>
  <c r="N69" i="10" s="1"/>
  <c r="G10" i="11" s="1"/>
  <c r="D19" i="10"/>
  <c r="N48" i="10" s="1" a="1"/>
  <c r="N48" i="10" s="1"/>
  <c r="N70" i="10" s="1"/>
  <c r="G41" i="11" s="1"/>
  <c r="E19" i="10"/>
  <c r="N49" i="10" s="1" a="1"/>
  <c r="N49" i="10" s="1"/>
  <c r="N71" i="10" s="1"/>
  <c r="G72" i="11" s="1"/>
  <c r="A20" i="10"/>
  <c r="O45" i="10" s="1" a="1"/>
  <c r="O45" i="10" s="1"/>
  <c r="B20" i="10"/>
  <c r="O46" i="10" s="1" a="1"/>
  <c r="O46" i="10" s="1"/>
  <c r="C20" i="10"/>
  <c r="O47" i="10" s="1" a="1"/>
  <c r="O47" i="10" s="1"/>
  <c r="O69" i="10" s="1"/>
  <c r="H10" i="11" s="1"/>
  <c r="D20" i="10"/>
  <c r="O48" i="10" s="1" a="1"/>
  <c r="O48" i="10" s="1"/>
  <c r="O70" i="10" s="1"/>
  <c r="H41" i="11" s="1"/>
  <c r="E20" i="10"/>
  <c r="O49" i="10" s="1" a="1"/>
  <c r="O49" i="10" s="1"/>
  <c r="O71" i="10" s="1"/>
  <c r="H72" i="11" s="1"/>
  <c r="A21" i="10"/>
  <c r="P45" i="10" s="1" a="1"/>
  <c r="P45" i="10" s="1"/>
  <c r="B21" i="10"/>
  <c r="P46" i="10" s="1" a="1"/>
  <c r="P46" i="10" s="1"/>
  <c r="C21" i="10"/>
  <c r="P47" i="10" s="1" a="1"/>
  <c r="P47" i="10" s="1"/>
  <c r="D21" i="10"/>
  <c r="P48" i="10" s="1" a="1"/>
  <c r="P48" i="10" s="1"/>
  <c r="E21" i="10"/>
  <c r="P49" i="10" s="1" a="1"/>
  <c r="P49" i="10" s="1"/>
  <c r="B6" i="10"/>
  <c r="A46" i="10" s="1" a="1"/>
  <c r="A46" i="10" s="1"/>
  <c r="C6" i="10"/>
  <c r="A47" i="10" s="1" a="1"/>
  <c r="A47" i="10" s="1"/>
  <c r="D6" i="10"/>
  <c r="A48" i="10" s="1" a="1"/>
  <c r="A48" i="10" s="1"/>
  <c r="E6" i="10"/>
  <c r="A49" i="10" s="1" a="1"/>
  <c r="A49" i="10" s="1"/>
  <c r="A6" i="10"/>
  <c r="P71" i="10" l="1"/>
  <c r="I72" i="11" s="1"/>
  <c r="H71" i="10"/>
  <c r="I65" i="11" s="1"/>
  <c r="P70" i="10"/>
  <c r="I41" i="11" s="1"/>
  <c r="Q70" i="10"/>
  <c r="J41" i="11" s="1"/>
  <c r="H70" i="10"/>
  <c r="I34" i="11" s="1"/>
  <c r="Q69" i="10"/>
  <c r="J10" i="11" s="1"/>
  <c r="P69" i="10"/>
  <c r="I10" i="11" s="1"/>
  <c r="H69" i="10"/>
  <c r="I3" i="11" s="1"/>
  <c r="A27" i="8"/>
  <c r="V45" i="8" s="1" a="1"/>
  <c r="V45" i="8" s="1"/>
  <c r="B27" i="8"/>
  <c r="V46" i="8" s="1" a="1"/>
  <c r="V46" i="8" s="1"/>
  <c r="C27" i="8"/>
  <c r="V47" i="8" s="1" a="1"/>
  <c r="V47" i="8" s="1"/>
  <c r="D27" i="8"/>
  <c r="V48" i="8" s="1" a="1"/>
  <c r="V48" i="8" s="1"/>
  <c r="E27" i="8"/>
  <c r="V49" i="8" s="1" a="1"/>
  <c r="V49" i="8" s="1"/>
  <c r="A28" i="8"/>
  <c r="W45" i="8" s="1" a="1"/>
  <c r="W45" i="8" s="1"/>
  <c r="B28" i="8"/>
  <c r="W46" i="8" s="1" a="1"/>
  <c r="W46" i="8" s="1"/>
  <c r="C28" i="8"/>
  <c r="W47" i="8" s="1" a="1"/>
  <c r="W47" i="8" s="1"/>
  <c r="D28" i="8"/>
  <c r="W48" i="8" s="1" a="1"/>
  <c r="W48" i="8" s="1"/>
  <c r="E28" i="8"/>
  <c r="W49" i="8" s="1" a="1"/>
  <c r="W49" i="8" s="1"/>
  <c r="A29" i="8"/>
  <c r="X45" i="8" s="1" a="1"/>
  <c r="X45" i="8" s="1"/>
  <c r="B29" i="8"/>
  <c r="X46" i="8" s="1" a="1"/>
  <c r="X46" i="8" s="1"/>
  <c r="C29" i="8"/>
  <c r="X47" i="8" s="1" a="1"/>
  <c r="X47" i="8" s="1"/>
  <c r="D29" i="8"/>
  <c r="X48" i="8" s="1" a="1"/>
  <c r="X48" i="8" s="1"/>
  <c r="E29" i="8"/>
  <c r="X49" i="8" s="1" a="1"/>
  <c r="X49" i="8" s="1"/>
  <c r="A30" i="8"/>
  <c r="Y45" i="8" s="1" a="1"/>
  <c r="Y45" i="8" s="1"/>
  <c r="B30" i="8"/>
  <c r="Y46" i="8" s="1" a="1"/>
  <c r="Y46" i="8" s="1"/>
  <c r="C30" i="8"/>
  <c r="Y47" i="8" s="1" a="1"/>
  <c r="Y47" i="8" s="1"/>
  <c r="D30" i="8"/>
  <c r="Y48" i="8" s="1" a="1"/>
  <c r="Y48" i="8" s="1"/>
  <c r="E30" i="8"/>
  <c r="Y49" i="8" s="1" a="1"/>
  <c r="Y49" i="8" s="1"/>
  <c r="A31" i="8"/>
  <c r="Z45" i="8" s="1" a="1"/>
  <c r="Z45" i="8" s="1"/>
  <c r="B31" i="8"/>
  <c r="Z46" i="8" s="1" a="1"/>
  <c r="Z46" i="8" s="1"/>
  <c r="C31" i="8"/>
  <c r="Z47" i="8" s="1" a="1"/>
  <c r="Z47" i="8" s="1"/>
  <c r="D31" i="8"/>
  <c r="Z48" i="8" s="1" a="1"/>
  <c r="Z48" i="8" s="1"/>
  <c r="E31" i="8"/>
  <c r="Z49" i="8" s="1" a="1"/>
  <c r="Z49" i="8" s="1"/>
  <c r="A32" i="8"/>
  <c r="AA45" i="8" s="1" a="1"/>
  <c r="AA45" i="8" s="1"/>
  <c r="B32" i="8"/>
  <c r="AA46" i="8" s="1" a="1"/>
  <c r="AA46" i="8" s="1"/>
  <c r="C32" i="8"/>
  <c r="AA47" i="8" s="1" a="1"/>
  <c r="AA47" i="8" s="1"/>
  <c r="D32" i="8"/>
  <c r="AA48" i="8" s="1" a="1"/>
  <c r="AA48" i="8" s="1"/>
  <c r="E32" i="8"/>
  <c r="AA49" i="8" s="1" a="1"/>
  <c r="AA49" i="8" s="1"/>
  <c r="A33" i="8"/>
  <c r="AB45" i="8" s="1" a="1"/>
  <c r="AB45" i="8" s="1"/>
  <c r="B33" i="8"/>
  <c r="AB46" i="8" s="1" a="1"/>
  <c r="AB46" i="8" s="1"/>
  <c r="C33" i="8"/>
  <c r="AB47" i="8" s="1" a="1"/>
  <c r="AB47" i="8" s="1"/>
  <c r="D33" i="8"/>
  <c r="AB48" i="8" s="1" a="1"/>
  <c r="AB48" i="8" s="1"/>
  <c r="E33" i="8"/>
  <c r="AB49" i="8" s="1" a="1"/>
  <c r="AB49" i="8" s="1"/>
  <c r="A34" i="8"/>
  <c r="AC45" i="8" s="1" a="1"/>
  <c r="AC45" i="8" s="1"/>
  <c r="B34" i="8"/>
  <c r="AC46" i="8" s="1" a="1"/>
  <c r="AC46" i="8" s="1"/>
  <c r="C34" i="8"/>
  <c r="AC47" i="8" s="1" a="1"/>
  <c r="AC47" i="8" s="1"/>
  <c r="D34" i="8"/>
  <c r="AC48" i="8" s="1" a="1"/>
  <c r="AC48" i="8" s="1"/>
  <c r="E34" i="8"/>
  <c r="AC49" i="8" s="1" a="1"/>
  <c r="AC49" i="8" s="1"/>
  <c r="A35" i="8"/>
  <c r="AD45" i="8" s="1" a="1"/>
  <c r="AD45" i="8" s="1"/>
  <c r="B35" i="8"/>
  <c r="AD46" i="8" s="1" a="1"/>
  <c r="AD46" i="8" s="1"/>
  <c r="C35" i="8"/>
  <c r="AD47" i="8" s="1" a="1"/>
  <c r="AD47" i="8" s="1"/>
  <c r="D35" i="8"/>
  <c r="AD48" i="8" s="1" a="1"/>
  <c r="AD48" i="8" s="1"/>
  <c r="E35" i="8"/>
  <c r="AD49" i="8" s="1" a="1"/>
  <c r="AD49" i="8" s="1"/>
  <c r="A36" i="8"/>
  <c r="AE45" i="8" s="1" a="1"/>
  <c r="AE45" i="8" s="1"/>
  <c r="B36" i="8"/>
  <c r="AE46" i="8" s="1" a="1"/>
  <c r="AE46" i="8" s="1"/>
  <c r="C36" i="8"/>
  <c r="AE47" i="8" s="1" a="1"/>
  <c r="AE47" i="8" s="1"/>
  <c r="D36" i="8"/>
  <c r="AE48" i="8" s="1" a="1"/>
  <c r="AE48" i="8" s="1"/>
  <c r="E36" i="8"/>
  <c r="AE49" i="8" s="1" a="1"/>
  <c r="AE49" i="8" s="1"/>
  <c r="A37" i="8"/>
  <c r="AF45" i="8" s="1" a="1"/>
  <c r="AF45" i="8" s="1"/>
  <c r="B37" i="8"/>
  <c r="AF46" i="8" s="1" a="1"/>
  <c r="AF46" i="8" s="1"/>
  <c r="C37" i="8"/>
  <c r="AF47" i="8" s="1" a="1"/>
  <c r="AF47" i="8" s="1"/>
  <c r="D37" i="8"/>
  <c r="AF48" i="8" s="1" a="1"/>
  <c r="AF48" i="8" s="1"/>
  <c r="E37" i="8"/>
  <c r="AF49" i="8" s="1" a="1"/>
  <c r="AF49" i="8" s="1"/>
  <c r="A38" i="8"/>
  <c r="AG45" i="8" s="1" a="1"/>
  <c r="AG45" i="8" s="1"/>
  <c r="B38" i="8"/>
  <c r="AG46" i="8" s="1" a="1"/>
  <c r="AG46" i="8" s="1"/>
  <c r="C38" i="8"/>
  <c r="AG47" i="8" s="1" a="1"/>
  <c r="AG47" i="8" s="1"/>
  <c r="D38" i="8"/>
  <c r="AG48" i="8" s="1" a="1"/>
  <c r="AG48" i="8" s="1"/>
  <c r="E38" i="8"/>
  <c r="AG49" i="8" s="1" a="1"/>
  <c r="AG49" i="8" s="1"/>
  <c r="A39" i="8"/>
  <c r="AH45" i="8" s="1" a="1"/>
  <c r="AH45" i="8" s="1"/>
  <c r="B39" i="8"/>
  <c r="AH46" i="8" s="1" a="1"/>
  <c r="AH46" i="8" s="1"/>
  <c r="C39" i="8"/>
  <c r="AH47" i="8" s="1" a="1"/>
  <c r="AH47" i="8" s="1"/>
  <c r="D39" i="8"/>
  <c r="AH48" i="8" s="1" a="1"/>
  <c r="AH48" i="8" s="1"/>
  <c r="E39" i="8"/>
  <c r="AH49" i="8" s="1" a="1"/>
  <c r="AH49" i="8" s="1"/>
  <c r="A40" i="8"/>
  <c r="AI45" i="8" s="1" a="1"/>
  <c r="AI45" i="8" s="1"/>
  <c r="B40" i="8"/>
  <c r="AI46" i="8" s="1" a="1"/>
  <c r="AI46" i="8" s="1"/>
  <c r="C40" i="8"/>
  <c r="AI47" i="8" s="1" a="1"/>
  <c r="AI47" i="8" s="1"/>
  <c r="D40" i="8"/>
  <c r="AI48" i="8" s="1" a="1"/>
  <c r="AI48" i="8" s="1"/>
  <c r="E40" i="8"/>
  <c r="AI49" i="8" s="1" a="1"/>
  <c r="AI49" i="8" s="1"/>
  <c r="A41" i="8"/>
  <c r="AJ45" i="8" s="1" a="1"/>
  <c r="AJ45" i="8" s="1"/>
  <c r="B41" i="8"/>
  <c r="AJ46" i="8" s="1" a="1"/>
  <c r="AJ46" i="8" s="1"/>
  <c r="C41" i="8"/>
  <c r="AJ47" i="8" s="1" a="1"/>
  <c r="AJ47" i="8" s="1"/>
  <c r="D41" i="8"/>
  <c r="AJ48" i="8" s="1" a="1"/>
  <c r="AJ48" i="8" s="1"/>
  <c r="E41" i="8"/>
  <c r="AJ49" i="8" s="1" a="1"/>
  <c r="AJ49" i="8" s="1"/>
  <c r="B26" i="8"/>
  <c r="U46" i="8" s="1" a="1"/>
  <c r="U46" i="8" s="1"/>
  <c r="C26" i="8"/>
  <c r="U47" i="8" s="1" a="1"/>
  <c r="U47" i="8" s="1"/>
  <c r="D26" i="8"/>
  <c r="U48" i="8" s="1" a="1"/>
  <c r="U48" i="8" s="1"/>
  <c r="E26" i="8"/>
  <c r="U49" i="8" s="1" a="1"/>
  <c r="U49" i="8" s="1"/>
  <c r="A26" i="8"/>
  <c r="U45" i="8" s="1" a="1"/>
  <c r="U45" i="8" s="1"/>
  <c r="I71" i="10" l="1"/>
  <c r="J65" i="11" s="1"/>
  <c r="I70" i="10"/>
  <c r="J34" i="11" s="1"/>
  <c r="I69" i="10"/>
  <c r="J3" i="11" s="1"/>
  <c r="Q71" i="10"/>
  <c r="J72" i="11" s="1"/>
  <c r="A7" i="8"/>
  <c r="B45" i="8" s="1" a="1"/>
  <c r="B45" i="8" s="1"/>
  <c r="B7" i="8"/>
  <c r="B46" i="8" s="1" a="1"/>
  <c r="B46" i="8" s="1"/>
  <c r="C7" i="8"/>
  <c r="B47" i="8" s="1" a="1"/>
  <c r="B47" i="8" s="1"/>
  <c r="D7" i="8"/>
  <c r="B48" i="8" s="1" a="1"/>
  <c r="B48" i="8" s="1"/>
  <c r="E7" i="8"/>
  <c r="B49" i="8" s="1" a="1"/>
  <c r="B49" i="8" s="1"/>
  <c r="A8" i="8"/>
  <c r="C45" i="8" s="1" a="1"/>
  <c r="C45" i="8" s="1"/>
  <c r="B8" i="8"/>
  <c r="C46" i="8" s="1" a="1"/>
  <c r="C46" i="8" s="1"/>
  <c r="C8" i="8"/>
  <c r="C47" i="8" s="1" a="1"/>
  <c r="C47" i="8" s="1"/>
  <c r="C69" i="8" s="1"/>
  <c r="D4" i="11" s="1"/>
  <c r="D8" i="8"/>
  <c r="C48" i="8" s="1" a="1"/>
  <c r="C48" i="8" s="1"/>
  <c r="E8" i="8"/>
  <c r="C49" i="8" s="1" a="1"/>
  <c r="C49" i="8" s="1"/>
  <c r="A9" i="8"/>
  <c r="D45" i="8" s="1" a="1"/>
  <c r="D45" i="8" s="1"/>
  <c r="B9" i="8"/>
  <c r="D46" i="8" s="1" a="1"/>
  <c r="D46" i="8" s="1"/>
  <c r="C9" i="8"/>
  <c r="D47" i="8" s="1" a="1"/>
  <c r="D47" i="8" s="1"/>
  <c r="D69" i="8" s="1"/>
  <c r="E4" i="11" s="1"/>
  <c r="D9" i="8"/>
  <c r="D48" i="8" s="1" a="1"/>
  <c r="D48" i="8" s="1"/>
  <c r="E9" i="8"/>
  <c r="D49" i="8" s="1" a="1"/>
  <c r="D49" i="8" s="1"/>
  <c r="A10" i="8"/>
  <c r="E45" i="8" s="1" a="1"/>
  <c r="E45" i="8" s="1"/>
  <c r="B10" i="8"/>
  <c r="E46" i="8" s="1" a="1"/>
  <c r="E46" i="8" s="1"/>
  <c r="C10" i="8"/>
  <c r="E47" i="8" s="1" a="1"/>
  <c r="E47" i="8" s="1"/>
  <c r="E69" i="8" s="1"/>
  <c r="F4" i="11" s="1"/>
  <c r="D10" i="8"/>
  <c r="E48" i="8" s="1" a="1"/>
  <c r="E48" i="8" s="1"/>
  <c r="E10" i="8"/>
  <c r="E49" i="8" s="1" a="1"/>
  <c r="E49" i="8" s="1"/>
  <c r="A11" i="8"/>
  <c r="F45" i="8" s="1" a="1"/>
  <c r="F45" i="8" s="1"/>
  <c r="B11" i="8"/>
  <c r="F46" i="8" s="1" a="1"/>
  <c r="F46" i="8" s="1"/>
  <c r="C11" i="8"/>
  <c r="F47" i="8" s="1" a="1"/>
  <c r="F47" i="8" s="1"/>
  <c r="F69" i="8" s="1"/>
  <c r="G4" i="11" s="1"/>
  <c r="D11" i="8"/>
  <c r="F48" i="8" s="1" a="1"/>
  <c r="F48" i="8" s="1"/>
  <c r="E11" i="8"/>
  <c r="F49" i="8" s="1" a="1"/>
  <c r="F49" i="8" s="1"/>
  <c r="A12" i="8"/>
  <c r="G45" i="8" s="1" a="1"/>
  <c r="G45" i="8" s="1"/>
  <c r="B12" i="8"/>
  <c r="G46" i="8" s="1" a="1"/>
  <c r="G46" i="8" s="1"/>
  <c r="C12" i="8"/>
  <c r="G47" i="8" s="1" a="1"/>
  <c r="G47" i="8" s="1"/>
  <c r="G69" i="8" s="1"/>
  <c r="H4" i="11" s="1"/>
  <c r="D12" i="8"/>
  <c r="G48" i="8" s="1" a="1"/>
  <c r="G48" i="8" s="1"/>
  <c r="E12" i="8"/>
  <c r="G49" i="8" s="1" a="1"/>
  <c r="G49" i="8" s="1"/>
  <c r="A13" i="8"/>
  <c r="H45" i="8" s="1" a="1"/>
  <c r="H45" i="8" s="1"/>
  <c r="B13" i="8"/>
  <c r="H46" i="8" s="1" a="1"/>
  <c r="H46" i="8" s="1"/>
  <c r="C13" i="8"/>
  <c r="H47" i="8" s="1" a="1"/>
  <c r="H47" i="8" s="1"/>
  <c r="D13" i="8"/>
  <c r="H48" i="8" s="1" a="1"/>
  <c r="H48" i="8" s="1"/>
  <c r="E13" i="8"/>
  <c r="H49" i="8" s="1" a="1"/>
  <c r="H49" i="8" s="1"/>
  <c r="A14" i="8"/>
  <c r="I45" i="8" s="1" a="1"/>
  <c r="I45" i="8" s="1"/>
  <c r="B14" i="8"/>
  <c r="I46" i="8" s="1" a="1"/>
  <c r="I46" i="8" s="1"/>
  <c r="C14" i="8"/>
  <c r="I47" i="8" s="1" a="1"/>
  <c r="I47" i="8" s="1"/>
  <c r="D14" i="8"/>
  <c r="I48" i="8" s="1" a="1"/>
  <c r="I48" i="8" s="1"/>
  <c r="E14" i="8"/>
  <c r="I49" i="8" s="1" a="1"/>
  <c r="I49" i="8" s="1"/>
  <c r="A15" i="8"/>
  <c r="J45" i="8" s="1" a="1"/>
  <c r="J45" i="8" s="1"/>
  <c r="B15" i="8"/>
  <c r="J46" i="8" s="1" a="1"/>
  <c r="J46" i="8" s="1"/>
  <c r="C15" i="8"/>
  <c r="J47" i="8" s="1" a="1"/>
  <c r="J47" i="8" s="1"/>
  <c r="J69" i="8" s="1"/>
  <c r="C11" i="11" s="1"/>
  <c r="D15" i="8"/>
  <c r="E15" i="8"/>
  <c r="A16" i="8"/>
  <c r="K45" i="8" s="1" a="1"/>
  <c r="K45" i="8" s="1"/>
  <c r="B16" i="8"/>
  <c r="K46" i="8" s="1" a="1"/>
  <c r="K46" i="8" s="1"/>
  <c r="C16" i="8"/>
  <c r="K47" i="8" s="1" a="1"/>
  <c r="K47" i="8" s="1"/>
  <c r="K69" i="8" s="1"/>
  <c r="D11" i="11" s="1"/>
  <c r="D16" i="8"/>
  <c r="E16" i="8"/>
  <c r="A17" i="8"/>
  <c r="L45" i="8" s="1" a="1"/>
  <c r="L45" i="8" s="1"/>
  <c r="B17" i="8"/>
  <c r="L46" i="8" s="1" a="1"/>
  <c r="L46" i="8" s="1"/>
  <c r="C17" i="8"/>
  <c r="L47" i="8" s="1" a="1"/>
  <c r="L47" i="8" s="1"/>
  <c r="L69" i="8" s="1"/>
  <c r="E11" i="11" s="1"/>
  <c r="D17" i="8"/>
  <c r="E17" i="8"/>
  <c r="A18" i="8"/>
  <c r="M45" i="8" s="1" a="1"/>
  <c r="M45" i="8" s="1"/>
  <c r="B18" i="8"/>
  <c r="M46" i="8" s="1" a="1"/>
  <c r="M46" i="8" s="1"/>
  <c r="C18" i="8"/>
  <c r="M47" i="8" s="1" a="1"/>
  <c r="M47" i="8" s="1"/>
  <c r="M69" i="8" s="1"/>
  <c r="F11" i="11" s="1"/>
  <c r="D18" i="8"/>
  <c r="E18" i="8"/>
  <c r="A19" i="8"/>
  <c r="N45" i="8" s="1" a="1"/>
  <c r="N45" i="8" s="1"/>
  <c r="B19" i="8"/>
  <c r="N46" i="8" s="1" a="1"/>
  <c r="N46" i="8" s="1"/>
  <c r="C19" i="8"/>
  <c r="N47" i="8" s="1" a="1"/>
  <c r="N47" i="8" s="1"/>
  <c r="N69" i="8" s="1"/>
  <c r="G11" i="11" s="1"/>
  <c r="D19" i="8"/>
  <c r="E19" i="8"/>
  <c r="A20" i="8"/>
  <c r="O45" i="8" s="1" a="1"/>
  <c r="O45" i="8" s="1"/>
  <c r="B20" i="8"/>
  <c r="O46" i="8" s="1" a="1"/>
  <c r="O46" i="8" s="1"/>
  <c r="C20" i="8"/>
  <c r="O47" i="8" s="1" a="1"/>
  <c r="O47" i="8" s="1"/>
  <c r="O69" i="8" s="1"/>
  <c r="H11" i="11" s="1"/>
  <c r="D20" i="8"/>
  <c r="E20" i="8"/>
  <c r="A21" i="8"/>
  <c r="P45" i="8" s="1" a="1"/>
  <c r="P45" i="8" s="1"/>
  <c r="B21" i="8"/>
  <c r="P46" i="8" s="1" a="1"/>
  <c r="P46" i="8" s="1"/>
  <c r="C21" i="8"/>
  <c r="P47" i="8" s="1" a="1"/>
  <c r="P47" i="8" s="1"/>
  <c r="D21" i="8"/>
  <c r="P48" i="8" s="1" a="1"/>
  <c r="P48" i="8" s="1"/>
  <c r="E21" i="8"/>
  <c r="P49" i="8" s="1" a="1"/>
  <c r="P49" i="8" s="1"/>
  <c r="B6" i="8"/>
  <c r="A46" i="8" s="1" a="1"/>
  <c r="A46" i="8" s="1"/>
  <c r="C6" i="8"/>
  <c r="A47" i="8" s="1" a="1"/>
  <c r="A47" i="8" s="1"/>
  <c r="D6" i="8"/>
  <c r="A48" i="8" s="1" a="1"/>
  <c r="A48" i="8" s="1"/>
  <c r="E6" i="8"/>
  <c r="A49" i="8" s="1" a="1"/>
  <c r="A49" i="8" s="1"/>
  <c r="A6" i="8"/>
  <c r="A45" i="8" s="1" a="1"/>
  <c r="A45" i="8" s="1"/>
  <c r="N49" i="8" l="1" a="1"/>
  <c r="N49" i="8" s="1"/>
  <c r="N71" i="8" s="1"/>
  <c r="G73" i="11" s="1"/>
  <c r="L49" i="8" a="1"/>
  <c r="L49" i="8" s="1"/>
  <c r="L71" i="8" s="1"/>
  <c r="E73" i="11" s="1"/>
  <c r="J49" i="8" a="1"/>
  <c r="J49" i="8" s="1"/>
  <c r="J71" i="8" s="1"/>
  <c r="C73" i="11" s="1"/>
  <c r="H69" i="8"/>
  <c r="I4" i="11" s="1"/>
  <c r="O48" i="8" a="1"/>
  <c r="O48" i="8" s="1"/>
  <c r="O70" i="8" s="1"/>
  <c r="H42" i="11" s="1"/>
  <c r="M48" i="8" a="1"/>
  <c r="M48" i="8" s="1"/>
  <c r="M70" i="8" s="1"/>
  <c r="F42" i="11" s="1"/>
  <c r="M49" i="8" a="1"/>
  <c r="M49" i="8" s="1"/>
  <c r="M71" i="8" s="1"/>
  <c r="F73" i="11" s="1"/>
  <c r="N48" i="8" a="1"/>
  <c r="N48" i="8" s="1"/>
  <c r="N70" i="8" s="1"/>
  <c r="G42" i="11" s="1"/>
  <c r="L48" i="8" a="1"/>
  <c r="L48" i="8" s="1"/>
  <c r="L70" i="8" s="1"/>
  <c r="E42" i="11" s="1"/>
  <c r="J48" i="8" a="1"/>
  <c r="J48" i="8" s="1"/>
  <c r="J70" i="8" s="1"/>
  <c r="C42" i="11" s="1"/>
  <c r="P69" i="8"/>
  <c r="I11" i="11" s="1"/>
  <c r="O49" i="8" a="1"/>
  <c r="O49" i="8" s="1"/>
  <c r="O71" i="8" s="1"/>
  <c r="H73" i="11" s="1"/>
  <c r="K49" i="8" a="1"/>
  <c r="K49" i="8" s="1"/>
  <c r="K71" i="8" s="1"/>
  <c r="D73" i="11" s="1"/>
  <c r="K48" i="8" a="1"/>
  <c r="K48" i="8" s="1"/>
  <c r="K70" i="8" s="1"/>
  <c r="D42" i="11" s="1"/>
  <c r="G71" i="8"/>
  <c r="H66" i="11" s="1"/>
  <c r="C71" i="8"/>
  <c r="D66" i="11" s="1"/>
  <c r="G70" i="8"/>
  <c r="H35" i="11" s="1"/>
  <c r="E70" i="8"/>
  <c r="F35" i="11" s="1"/>
  <c r="C70" i="8"/>
  <c r="D35" i="11" s="1"/>
  <c r="D71" i="8"/>
  <c r="E66" i="11" s="1"/>
  <c r="H70" i="8"/>
  <c r="F70" i="8"/>
  <c r="G35" i="11" s="1"/>
  <c r="D70" i="8"/>
  <c r="E35" i="11" s="1"/>
  <c r="B70" i="8"/>
  <c r="C35" i="11" s="1"/>
  <c r="B69" i="8"/>
  <c r="C4" i="11" s="1"/>
  <c r="H71" i="8"/>
  <c r="P70" i="8"/>
  <c r="I42" i="11" s="1"/>
  <c r="Q70" i="8"/>
  <c r="J42" i="11" s="1"/>
  <c r="E71" i="8"/>
  <c r="F66" i="11" s="1"/>
  <c r="P71" i="8"/>
  <c r="I73" i="11" s="1"/>
  <c r="Q71" i="8"/>
  <c r="J73" i="11" s="1"/>
  <c r="F71" i="8"/>
  <c r="G66" i="11" s="1"/>
  <c r="B71" i="8"/>
  <c r="C66" i="11" s="1"/>
  <c r="E41" i="7"/>
  <c r="AJ49" i="7" s="1" a="1"/>
  <c r="AJ49" i="7" s="1"/>
  <c r="D41" i="7"/>
  <c r="AJ48" i="7" s="1" a="1"/>
  <c r="AJ48" i="7" s="1"/>
  <c r="C41" i="7"/>
  <c r="AJ47" i="7" s="1" a="1"/>
  <c r="AJ47" i="7" s="1"/>
  <c r="B41" i="7"/>
  <c r="AJ46" i="7" s="1" a="1"/>
  <c r="AJ46" i="7" s="1"/>
  <c r="A41" i="7"/>
  <c r="AJ45" i="7" s="1" a="1"/>
  <c r="AJ45" i="7" s="1"/>
  <c r="E40" i="7"/>
  <c r="AI49" i="7" s="1" a="1"/>
  <c r="AI49" i="7" s="1"/>
  <c r="D40" i="7"/>
  <c r="AI48" i="7" s="1" a="1"/>
  <c r="AI48" i="7" s="1"/>
  <c r="C40" i="7"/>
  <c r="AI47" i="7" s="1" a="1"/>
  <c r="AI47" i="7" s="1"/>
  <c r="B40" i="7"/>
  <c r="AI46" i="7" s="1" a="1"/>
  <c r="AI46" i="7" s="1"/>
  <c r="A40" i="7"/>
  <c r="AI45" i="7" s="1" a="1"/>
  <c r="AI45" i="7" s="1"/>
  <c r="E39" i="7"/>
  <c r="AH49" i="7" s="1" a="1"/>
  <c r="AH49" i="7" s="1"/>
  <c r="D39" i="7"/>
  <c r="AH48" i="7" s="1" a="1"/>
  <c r="AH48" i="7" s="1"/>
  <c r="C39" i="7"/>
  <c r="AH47" i="7" s="1" a="1"/>
  <c r="AH47" i="7" s="1"/>
  <c r="B39" i="7"/>
  <c r="AH46" i="7" s="1" a="1"/>
  <c r="AH46" i="7" s="1"/>
  <c r="A39" i="7"/>
  <c r="AH45" i="7" s="1" a="1"/>
  <c r="AH45" i="7" s="1"/>
  <c r="E38" i="7"/>
  <c r="AG49" i="7" s="1" a="1"/>
  <c r="AG49" i="7" s="1"/>
  <c r="D38" i="7"/>
  <c r="AG48" i="7" s="1" a="1"/>
  <c r="AG48" i="7" s="1"/>
  <c r="C38" i="7"/>
  <c r="AG47" i="7" s="1" a="1"/>
  <c r="AG47" i="7" s="1"/>
  <c r="B38" i="7"/>
  <c r="AG46" i="7" s="1" a="1"/>
  <c r="AG46" i="7" s="1"/>
  <c r="A38" i="7"/>
  <c r="AG45" i="7" s="1" a="1"/>
  <c r="AG45" i="7" s="1"/>
  <c r="E37" i="7"/>
  <c r="AF49" i="7" s="1" a="1"/>
  <c r="AF49" i="7" s="1"/>
  <c r="D37" i="7"/>
  <c r="AF48" i="7" s="1" a="1"/>
  <c r="AF48" i="7" s="1"/>
  <c r="C37" i="7"/>
  <c r="AF47" i="7" s="1" a="1"/>
  <c r="AF47" i="7" s="1"/>
  <c r="B37" i="7"/>
  <c r="AF46" i="7" s="1" a="1"/>
  <c r="AF46" i="7" s="1"/>
  <c r="A37" i="7"/>
  <c r="AF45" i="7" s="1" a="1"/>
  <c r="AF45" i="7" s="1"/>
  <c r="E36" i="7"/>
  <c r="AE49" i="7" s="1" a="1"/>
  <c r="AE49" i="7" s="1"/>
  <c r="D36" i="7"/>
  <c r="AE48" i="7" s="1" a="1"/>
  <c r="AE48" i="7" s="1"/>
  <c r="C36" i="7"/>
  <c r="AE47" i="7" s="1" a="1"/>
  <c r="AE47" i="7" s="1"/>
  <c r="B36" i="7"/>
  <c r="AE46" i="7" s="1" a="1"/>
  <c r="AE46" i="7" s="1"/>
  <c r="A36" i="7"/>
  <c r="AE45" i="7" s="1" a="1"/>
  <c r="AE45" i="7" s="1"/>
  <c r="E35" i="7"/>
  <c r="AD49" i="7" s="1" a="1"/>
  <c r="AD49" i="7" s="1"/>
  <c r="D35" i="7"/>
  <c r="AD48" i="7" s="1" a="1"/>
  <c r="AD48" i="7" s="1"/>
  <c r="C35" i="7"/>
  <c r="AD47" i="7" s="1" a="1"/>
  <c r="AD47" i="7" s="1"/>
  <c r="B35" i="7"/>
  <c r="AD46" i="7" s="1" a="1"/>
  <c r="AD46" i="7" s="1"/>
  <c r="A35" i="7"/>
  <c r="AD45" i="7" s="1" a="1"/>
  <c r="AD45" i="7" s="1"/>
  <c r="E34" i="7"/>
  <c r="AC49" i="7" s="1" a="1"/>
  <c r="AC49" i="7" s="1"/>
  <c r="D34" i="7"/>
  <c r="AC48" i="7" s="1" a="1"/>
  <c r="AC48" i="7" s="1"/>
  <c r="C34" i="7"/>
  <c r="AC47" i="7" s="1" a="1"/>
  <c r="AC47" i="7" s="1"/>
  <c r="B34" i="7"/>
  <c r="AC46" i="7" s="1" a="1"/>
  <c r="AC46" i="7" s="1"/>
  <c r="A34" i="7"/>
  <c r="AC45" i="7" s="1" a="1"/>
  <c r="AC45" i="7" s="1"/>
  <c r="E33" i="7"/>
  <c r="AB49" i="7" s="1" a="1"/>
  <c r="AB49" i="7" s="1"/>
  <c r="D33" i="7"/>
  <c r="AB48" i="7" s="1" a="1"/>
  <c r="AB48" i="7" s="1"/>
  <c r="C33" i="7"/>
  <c r="AB47" i="7" s="1" a="1"/>
  <c r="AB47" i="7" s="1"/>
  <c r="B33" i="7"/>
  <c r="AB46" i="7" s="1" a="1"/>
  <c r="AB46" i="7" s="1"/>
  <c r="A33" i="7"/>
  <c r="AB45" i="7" s="1" a="1"/>
  <c r="AB45" i="7" s="1"/>
  <c r="E32" i="7"/>
  <c r="AA49" i="7" s="1" a="1"/>
  <c r="AA49" i="7" s="1"/>
  <c r="D32" i="7"/>
  <c r="AA48" i="7" s="1" a="1"/>
  <c r="AA48" i="7" s="1"/>
  <c r="C32" i="7"/>
  <c r="AA47" i="7" s="1" a="1"/>
  <c r="AA47" i="7" s="1"/>
  <c r="B32" i="7"/>
  <c r="AA46" i="7" s="1" a="1"/>
  <c r="AA46" i="7" s="1"/>
  <c r="A32" i="7"/>
  <c r="AA45" i="7" s="1" a="1"/>
  <c r="AA45" i="7" s="1"/>
  <c r="E31" i="7"/>
  <c r="Z49" i="7" s="1" a="1"/>
  <c r="Z49" i="7" s="1"/>
  <c r="D31" i="7"/>
  <c r="Z48" i="7" s="1" a="1"/>
  <c r="Z48" i="7" s="1"/>
  <c r="C31" i="7"/>
  <c r="Z47" i="7" s="1" a="1"/>
  <c r="Z47" i="7" s="1"/>
  <c r="B31" i="7"/>
  <c r="Z46" i="7" s="1" a="1"/>
  <c r="Z46" i="7" s="1"/>
  <c r="A31" i="7"/>
  <c r="Z45" i="7" s="1" a="1"/>
  <c r="Z45" i="7" s="1"/>
  <c r="E30" i="7"/>
  <c r="Y49" i="7" s="1" a="1"/>
  <c r="Y49" i="7" s="1"/>
  <c r="D30" i="7"/>
  <c r="Y48" i="7" s="1" a="1"/>
  <c r="Y48" i="7" s="1"/>
  <c r="C30" i="7"/>
  <c r="Y47" i="7" s="1" a="1"/>
  <c r="Y47" i="7" s="1"/>
  <c r="B30" i="7"/>
  <c r="Y46" i="7" s="1" a="1"/>
  <c r="Y46" i="7" s="1"/>
  <c r="A30" i="7"/>
  <c r="Y45" i="7" s="1" a="1"/>
  <c r="Y45" i="7" s="1"/>
  <c r="E29" i="7"/>
  <c r="X49" i="7" s="1" a="1"/>
  <c r="X49" i="7" s="1"/>
  <c r="D29" i="7"/>
  <c r="X48" i="7" s="1" a="1"/>
  <c r="X48" i="7" s="1"/>
  <c r="C29" i="7"/>
  <c r="X47" i="7" s="1" a="1"/>
  <c r="X47" i="7" s="1"/>
  <c r="B29" i="7"/>
  <c r="X46" i="7" s="1" a="1"/>
  <c r="X46" i="7" s="1"/>
  <c r="A29" i="7"/>
  <c r="X45" i="7" s="1" a="1"/>
  <c r="X45" i="7" s="1"/>
  <c r="E28" i="7"/>
  <c r="W49" i="7" s="1" a="1"/>
  <c r="W49" i="7" s="1"/>
  <c r="D28" i="7"/>
  <c r="W48" i="7" s="1" a="1"/>
  <c r="W48" i="7" s="1"/>
  <c r="C28" i="7"/>
  <c r="W47" i="7" s="1" a="1"/>
  <c r="W47" i="7" s="1"/>
  <c r="B28" i="7"/>
  <c r="W46" i="7" s="1" a="1"/>
  <c r="W46" i="7" s="1"/>
  <c r="A28" i="7"/>
  <c r="W45" i="7" s="1" a="1"/>
  <c r="W45" i="7" s="1"/>
  <c r="E27" i="7"/>
  <c r="V49" i="7" s="1" a="1"/>
  <c r="V49" i="7" s="1"/>
  <c r="D27" i="7"/>
  <c r="V48" i="7" s="1" a="1"/>
  <c r="V48" i="7" s="1"/>
  <c r="C27" i="7"/>
  <c r="V47" i="7" s="1" a="1"/>
  <c r="V47" i="7" s="1"/>
  <c r="B27" i="7"/>
  <c r="V46" i="7" s="1" a="1"/>
  <c r="V46" i="7" s="1"/>
  <c r="A27" i="7"/>
  <c r="V45" i="7" s="1" a="1"/>
  <c r="V45" i="7" s="1"/>
  <c r="E26" i="7"/>
  <c r="U49" i="7" s="1" a="1"/>
  <c r="U49" i="7" s="1"/>
  <c r="D26" i="7"/>
  <c r="U48" i="7" s="1" a="1"/>
  <c r="U48" i="7" s="1"/>
  <c r="C26" i="7"/>
  <c r="U47" i="7" s="1" a="1"/>
  <c r="U47" i="7" s="1"/>
  <c r="B26" i="7"/>
  <c r="U46" i="7" s="1" a="1"/>
  <c r="U46" i="7" s="1"/>
  <c r="A26" i="7"/>
  <c r="U45" i="7" s="1" a="1"/>
  <c r="U45" i="7" s="1"/>
  <c r="E21" i="7"/>
  <c r="P49" i="7" s="1" a="1"/>
  <c r="P49" i="7" s="1"/>
  <c r="D21" i="7"/>
  <c r="P48" i="7" s="1" a="1"/>
  <c r="P48" i="7" s="1"/>
  <c r="C21" i="7"/>
  <c r="P47" i="7" s="1" a="1"/>
  <c r="P47" i="7" s="1"/>
  <c r="B21" i="7"/>
  <c r="P46" i="7" s="1" a="1"/>
  <c r="P46" i="7" s="1"/>
  <c r="A21" i="7"/>
  <c r="P45" i="7" s="1" a="1"/>
  <c r="P45" i="7" s="1"/>
  <c r="E20" i="7"/>
  <c r="O49" i="7" s="1" a="1"/>
  <c r="O49" i="7" s="1"/>
  <c r="O72" i="7" s="1"/>
  <c r="H75" i="11" s="1"/>
  <c r="D20" i="7"/>
  <c r="O48" i="7" s="1" a="1"/>
  <c r="O48" i="7" s="1"/>
  <c r="O71" i="7" s="1"/>
  <c r="H44" i="11" s="1"/>
  <c r="C20" i="7"/>
  <c r="O47" i="7" s="1" a="1"/>
  <c r="O47" i="7" s="1"/>
  <c r="O70" i="7" s="1"/>
  <c r="H13" i="11" s="1"/>
  <c r="B20" i="7"/>
  <c r="O46" i="7" s="1" a="1"/>
  <c r="O46" i="7" s="1"/>
  <c r="A20" i="7"/>
  <c r="O45" i="7" s="1" a="1"/>
  <c r="O45" i="7" s="1"/>
  <c r="E19" i="7"/>
  <c r="N49" i="7" s="1" a="1"/>
  <c r="N49" i="7" s="1"/>
  <c r="N72" i="7" s="1"/>
  <c r="G75" i="11" s="1"/>
  <c r="D19" i="7"/>
  <c r="N48" i="7" s="1" a="1"/>
  <c r="N48" i="7" s="1"/>
  <c r="N71" i="7" s="1"/>
  <c r="G44" i="11" s="1"/>
  <c r="C19" i="7"/>
  <c r="N47" i="7" s="1" a="1"/>
  <c r="N47" i="7" s="1"/>
  <c r="N70" i="7" s="1"/>
  <c r="G13" i="11" s="1"/>
  <c r="B19" i="7"/>
  <c r="N46" i="7" s="1" a="1"/>
  <c r="N46" i="7" s="1"/>
  <c r="A19" i="7"/>
  <c r="N45" i="7" s="1" a="1"/>
  <c r="N45" i="7" s="1"/>
  <c r="E18" i="7"/>
  <c r="M49" i="7" s="1" a="1"/>
  <c r="M49" i="7" s="1"/>
  <c r="M72" i="7" s="1"/>
  <c r="F75" i="11" s="1"/>
  <c r="D18" i="7"/>
  <c r="M48" i="7" s="1" a="1"/>
  <c r="M48" i="7" s="1"/>
  <c r="M71" i="7" s="1"/>
  <c r="F44" i="11" s="1"/>
  <c r="C18" i="7"/>
  <c r="M47" i="7" s="1" a="1"/>
  <c r="M47" i="7" s="1"/>
  <c r="M70" i="7" s="1"/>
  <c r="F13" i="11" s="1"/>
  <c r="B18" i="7"/>
  <c r="M46" i="7" s="1" a="1"/>
  <c r="M46" i="7" s="1"/>
  <c r="A18" i="7"/>
  <c r="M45" i="7" s="1" a="1"/>
  <c r="M45" i="7" s="1"/>
  <c r="E17" i="7"/>
  <c r="L49" i="7" s="1" a="1"/>
  <c r="L49" i="7" s="1"/>
  <c r="D17" i="7"/>
  <c r="L48" i="7" s="1" a="1"/>
  <c r="L48" i="7" s="1"/>
  <c r="L71" i="7" s="1"/>
  <c r="E44" i="11" s="1"/>
  <c r="C17" i="7"/>
  <c r="L47" i="7" s="1" a="1"/>
  <c r="L47" i="7" s="1"/>
  <c r="L70" i="7" s="1"/>
  <c r="E13" i="11" s="1"/>
  <c r="B17" i="7"/>
  <c r="L46" i="7" s="1" a="1"/>
  <c r="L46" i="7" s="1"/>
  <c r="A17" i="7"/>
  <c r="L45" i="7" s="1" a="1"/>
  <c r="L45" i="7" s="1"/>
  <c r="E16" i="7"/>
  <c r="K49" i="7" s="1" a="1"/>
  <c r="K49" i="7" s="1"/>
  <c r="K72" i="7" s="1"/>
  <c r="D75" i="11" s="1"/>
  <c r="D16" i="7"/>
  <c r="K48" i="7" s="1" a="1"/>
  <c r="K48" i="7" s="1"/>
  <c r="K71" i="7" s="1"/>
  <c r="D44" i="11" s="1"/>
  <c r="C16" i="7"/>
  <c r="K47" i="7" s="1" a="1"/>
  <c r="K47" i="7" s="1"/>
  <c r="K70" i="7" s="1"/>
  <c r="D13" i="11" s="1"/>
  <c r="B16" i="7"/>
  <c r="K46" i="7" s="1" a="1"/>
  <c r="K46" i="7" s="1"/>
  <c r="A16" i="7"/>
  <c r="K45" i="7" s="1" a="1"/>
  <c r="K45" i="7" s="1"/>
  <c r="E15" i="7"/>
  <c r="J49" i="7" s="1" a="1"/>
  <c r="J49" i="7" s="1"/>
  <c r="D15" i="7"/>
  <c r="J48" i="7" s="1" a="1"/>
  <c r="J48" i="7" s="1"/>
  <c r="J71" i="7" s="1"/>
  <c r="C44" i="11" s="1"/>
  <c r="C15" i="7"/>
  <c r="J47" i="7" s="1" a="1"/>
  <c r="J47" i="7" s="1"/>
  <c r="B15" i="7"/>
  <c r="J46" i="7" s="1" a="1"/>
  <c r="J46" i="7" s="1"/>
  <c r="A15" i="7"/>
  <c r="J45" i="7" s="1" a="1"/>
  <c r="J45" i="7" s="1"/>
  <c r="E14" i="7"/>
  <c r="I49" i="7" s="1" a="1"/>
  <c r="I49" i="7" s="1"/>
  <c r="D14" i="7"/>
  <c r="I48" i="7" s="1" a="1"/>
  <c r="I48" i="7" s="1"/>
  <c r="C14" i="7"/>
  <c r="I47" i="7" s="1" a="1"/>
  <c r="I47" i="7" s="1"/>
  <c r="B14" i="7"/>
  <c r="I46" i="7" s="1" a="1"/>
  <c r="I46" i="7" s="1"/>
  <c r="A14" i="7"/>
  <c r="I45" i="7" s="1" a="1"/>
  <c r="I45" i="7" s="1"/>
  <c r="E13" i="7"/>
  <c r="H49" i="7" s="1" a="1"/>
  <c r="H49" i="7" s="1"/>
  <c r="D13" i="7"/>
  <c r="H48" i="7" s="1" a="1"/>
  <c r="H48" i="7" s="1"/>
  <c r="C13" i="7"/>
  <c r="H47" i="7" s="1" a="1"/>
  <c r="H47" i="7" s="1"/>
  <c r="B13" i="7"/>
  <c r="H46" i="7" s="1" a="1"/>
  <c r="H46" i="7" s="1"/>
  <c r="A13" i="7"/>
  <c r="H45" i="7" s="1" a="1"/>
  <c r="H45" i="7" s="1"/>
  <c r="E12" i="7"/>
  <c r="G49" i="7" s="1" a="1"/>
  <c r="G49" i="7" s="1"/>
  <c r="G72" i="7" s="1"/>
  <c r="H68" i="11" s="1"/>
  <c r="D12" i="7"/>
  <c r="G48" i="7" s="1" a="1"/>
  <c r="G48" i="7" s="1"/>
  <c r="G71" i="7" s="1"/>
  <c r="H37" i="11" s="1"/>
  <c r="C12" i="7"/>
  <c r="G47" i="7" s="1" a="1"/>
  <c r="G47" i="7" s="1"/>
  <c r="G70" i="7" s="1"/>
  <c r="H6" i="11" s="1"/>
  <c r="B12" i="7"/>
  <c r="G46" i="7" s="1" a="1"/>
  <c r="G46" i="7" s="1"/>
  <c r="A12" i="7"/>
  <c r="G45" i="7" s="1" a="1"/>
  <c r="G45" i="7" s="1"/>
  <c r="E11" i="7"/>
  <c r="F49" i="7" s="1" a="1"/>
  <c r="F49" i="7" s="1"/>
  <c r="F72" i="7" s="1"/>
  <c r="G68" i="11" s="1"/>
  <c r="D11" i="7"/>
  <c r="F48" i="7" s="1" a="1"/>
  <c r="F48" i="7" s="1"/>
  <c r="F71" i="7" s="1"/>
  <c r="G37" i="11" s="1"/>
  <c r="C11" i="7"/>
  <c r="F47" i="7" s="1" a="1"/>
  <c r="F47" i="7" s="1"/>
  <c r="B11" i="7"/>
  <c r="F46" i="7" s="1" a="1"/>
  <c r="F46" i="7" s="1"/>
  <c r="A11" i="7"/>
  <c r="F45" i="7" s="1" a="1"/>
  <c r="F45" i="7" s="1"/>
  <c r="E10" i="7"/>
  <c r="E49" i="7" s="1" a="1"/>
  <c r="E49" i="7" s="1"/>
  <c r="E72" i="7" s="1"/>
  <c r="F68" i="11" s="1"/>
  <c r="D10" i="7"/>
  <c r="E48" i="7" s="1" a="1"/>
  <c r="E48" i="7" s="1"/>
  <c r="E71" i="7" s="1"/>
  <c r="F37" i="11" s="1"/>
  <c r="C10" i="7"/>
  <c r="E47" i="7" s="1" a="1"/>
  <c r="E47" i="7" s="1"/>
  <c r="E70" i="7" s="1"/>
  <c r="F6" i="11" s="1"/>
  <c r="B10" i="7"/>
  <c r="E46" i="7" s="1" a="1"/>
  <c r="E46" i="7" s="1"/>
  <c r="A10" i="7"/>
  <c r="E45" i="7" s="1" a="1"/>
  <c r="E45" i="7" s="1"/>
  <c r="E9" i="7"/>
  <c r="D49" i="7" s="1" a="1"/>
  <c r="D49" i="7" s="1"/>
  <c r="D72" i="7" s="1"/>
  <c r="E68" i="11" s="1"/>
  <c r="D9" i="7"/>
  <c r="D48" i="7" s="1" a="1"/>
  <c r="D48" i="7" s="1"/>
  <c r="D71" i="7" s="1"/>
  <c r="E37" i="11" s="1"/>
  <c r="C9" i="7"/>
  <c r="D47" i="7" s="1" a="1"/>
  <c r="D47" i="7" s="1"/>
  <c r="D70" i="7" s="1"/>
  <c r="E6" i="11" s="1"/>
  <c r="B9" i="7"/>
  <c r="D46" i="7" s="1" a="1"/>
  <c r="D46" i="7" s="1"/>
  <c r="A9" i="7"/>
  <c r="D45" i="7" s="1" a="1"/>
  <c r="D45" i="7" s="1"/>
  <c r="E8" i="7"/>
  <c r="C49" i="7" s="1" a="1"/>
  <c r="C49" i="7" s="1"/>
  <c r="C72" i="7" s="1"/>
  <c r="D68" i="11" s="1"/>
  <c r="D8" i="7"/>
  <c r="C48" i="7" s="1" a="1"/>
  <c r="C48" i="7" s="1"/>
  <c r="C71" i="7" s="1"/>
  <c r="D37" i="11" s="1"/>
  <c r="C8" i="7"/>
  <c r="C47" i="7" s="1" a="1"/>
  <c r="C47" i="7" s="1"/>
  <c r="C70" i="7" s="1"/>
  <c r="D6" i="11" s="1"/>
  <c r="B8" i="7"/>
  <c r="C46" i="7" s="1" a="1"/>
  <c r="C46" i="7" s="1"/>
  <c r="A8" i="7"/>
  <c r="C45" i="7" s="1" a="1"/>
  <c r="C45" i="7" s="1"/>
  <c r="E7" i="7"/>
  <c r="B49" i="7" s="1" a="1"/>
  <c r="B49" i="7" s="1"/>
  <c r="B72" i="7" s="1"/>
  <c r="C68" i="11" s="1"/>
  <c r="D7" i="7"/>
  <c r="B48" i="7" s="1" a="1"/>
  <c r="B48" i="7" s="1"/>
  <c r="B71" i="7" s="1"/>
  <c r="C37" i="11" s="1"/>
  <c r="C7" i="7"/>
  <c r="B47" i="7" s="1" a="1"/>
  <c r="B47" i="7" s="1"/>
  <c r="B70" i="7" s="1"/>
  <c r="C6" i="11" s="1"/>
  <c r="B7" i="7"/>
  <c r="B46" i="7" s="1" a="1"/>
  <c r="B46" i="7" s="1"/>
  <c r="A7" i="7"/>
  <c r="B45" i="7" s="1" a="1"/>
  <c r="B45" i="7" s="1"/>
  <c r="E6" i="7"/>
  <c r="A49" i="7" s="1" a="1"/>
  <c r="A49" i="7" s="1"/>
  <c r="D6" i="7"/>
  <c r="A48" i="7" s="1" a="1"/>
  <c r="A48" i="7" s="1"/>
  <c r="C6" i="7"/>
  <c r="A47" i="7" s="1" a="1"/>
  <c r="A47" i="7" s="1"/>
  <c r="B6" i="7"/>
  <c r="A46" i="7" s="1" a="1"/>
  <c r="A46" i="7" s="1"/>
  <c r="A6" i="7"/>
  <c r="A45" i="7" s="1" a="1"/>
  <c r="A45" i="7" s="1"/>
  <c r="G18" i="6"/>
  <c r="H99" i="11" s="1"/>
  <c r="G17" i="6"/>
  <c r="G99" i="11" s="1"/>
  <c r="G16" i="6"/>
  <c r="F99" i="11" s="1"/>
  <c r="G15" i="6"/>
  <c r="E99" i="11" s="1"/>
  <c r="G14" i="6"/>
  <c r="D99" i="11" s="1"/>
  <c r="G13" i="6"/>
  <c r="G10" i="6"/>
  <c r="H95" i="11" s="1"/>
  <c r="G9" i="6"/>
  <c r="G95" i="11" s="1"/>
  <c r="G8" i="6"/>
  <c r="F95" i="11" s="1"/>
  <c r="G7" i="6"/>
  <c r="E95" i="11" s="1"/>
  <c r="G6" i="6"/>
  <c r="D95" i="11" s="1"/>
  <c r="C95" i="11"/>
  <c r="G20" i="7"/>
  <c r="O51" i="7" s="1" a="1"/>
  <c r="O51" i="7" s="1"/>
  <c r="G19" i="7"/>
  <c r="N51" i="7" s="1" a="1"/>
  <c r="N51" i="7" s="1"/>
  <c r="G18" i="7"/>
  <c r="M51" i="7" s="1" a="1"/>
  <c r="M51" i="7" s="1"/>
  <c r="G17" i="7"/>
  <c r="L51" i="7" s="1" a="1"/>
  <c r="L51" i="7" s="1"/>
  <c r="G16" i="7"/>
  <c r="K51" i="7" s="1" a="1"/>
  <c r="K51" i="7" s="1"/>
  <c r="G15" i="7"/>
  <c r="J51" i="7" s="1" a="1"/>
  <c r="J51" i="7" s="1"/>
  <c r="G12" i="7"/>
  <c r="G51" i="7" s="1" a="1"/>
  <c r="G51" i="7" s="1"/>
  <c r="G11" i="7"/>
  <c r="F51" i="7" s="1" a="1"/>
  <c r="F51" i="7" s="1"/>
  <c r="G10" i="7"/>
  <c r="E51" i="7" s="1" a="1"/>
  <c r="E51" i="7" s="1"/>
  <c r="G9" i="7"/>
  <c r="D51" i="7" s="1" a="1"/>
  <c r="D51" i="7" s="1"/>
  <c r="G8" i="7"/>
  <c r="C51" i="7" s="1" a="1"/>
  <c r="C51" i="7" s="1"/>
  <c r="G7" i="7"/>
  <c r="B51" i="7" s="1" a="1"/>
  <c r="B51" i="7" s="1"/>
  <c r="G32" i="7"/>
  <c r="AA51" i="7" s="1" a="1"/>
  <c r="AA51" i="7" s="1"/>
  <c r="G40" i="7"/>
  <c r="AI51" i="7" s="1" a="1"/>
  <c r="AI51" i="7" s="1"/>
  <c r="G39" i="7"/>
  <c r="AH51" i="7" s="1" a="1"/>
  <c r="AH51" i="7" s="1"/>
  <c r="G38" i="7"/>
  <c r="AG51" i="7" s="1" a="1"/>
  <c r="AG51" i="7" s="1"/>
  <c r="G37" i="7"/>
  <c r="AF51" i="7" s="1" a="1"/>
  <c r="AF51" i="7" s="1"/>
  <c r="G36" i="7"/>
  <c r="AE51" i="7" s="1" a="1"/>
  <c r="AE51" i="7" s="1"/>
  <c r="G35" i="7"/>
  <c r="AD51" i="7" s="1" a="1"/>
  <c r="AD51" i="7" s="1"/>
  <c r="G31" i="7"/>
  <c r="Z51" i="7" s="1" a="1"/>
  <c r="Z51" i="7" s="1"/>
  <c r="G30" i="7"/>
  <c r="Y51" i="7" s="1" a="1"/>
  <c r="Y51" i="7" s="1"/>
  <c r="G29" i="7"/>
  <c r="X51" i="7" s="1" a="1"/>
  <c r="X51" i="7" s="1"/>
  <c r="G28" i="7"/>
  <c r="W51" i="7" s="1" a="1"/>
  <c r="W51" i="7" s="1"/>
  <c r="G27" i="7"/>
  <c r="V51" i="7" s="1" a="1"/>
  <c r="V51" i="7" s="1"/>
  <c r="I71" i="8" l="1"/>
  <c r="J66" i="11" s="1"/>
  <c r="I66" i="11"/>
  <c r="I95" i="11"/>
  <c r="H104" i="11" s="1"/>
  <c r="I69" i="8"/>
  <c r="J4" i="11" s="1"/>
  <c r="I70" i="8"/>
  <c r="J35" i="11" s="1"/>
  <c r="I35" i="11"/>
  <c r="L74" i="7"/>
  <c r="E100" i="11" s="1"/>
  <c r="M74" i="7"/>
  <c r="F100" i="11" s="1"/>
  <c r="C99" i="11"/>
  <c r="G35" i="12"/>
  <c r="N74" i="7"/>
  <c r="G100" i="11" s="1"/>
  <c r="Q69" i="8"/>
  <c r="J11" i="11" s="1"/>
  <c r="F74" i="7"/>
  <c r="G96" i="11" s="1"/>
  <c r="G74" i="7"/>
  <c r="H96" i="11" s="1"/>
  <c r="B74" i="7"/>
  <c r="C96" i="11" s="1"/>
  <c r="C74" i="7"/>
  <c r="D96" i="11" s="1"/>
  <c r="D105" i="11" s="1"/>
  <c r="F70" i="7"/>
  <c r="G6" i="11" s="1"/>
  <c r="J70" i="7"/>
  <c r="C13" i="11" s="1"/>
  <c r="E74" i="7"/>
  <c r="F96" i="11" s="1"/>
  <c r="F105" i="11" s="1"/>
  <c r="P72" i="7"/>
  <c r="J72" i="7"/>
  <c r="C75" i="11" s="1"/>
  <c r="J74" i="7"/>
  <c r="C100" i="11" s="1"/>
  <c r="O74" i="7"/>
  <c r="H100" i="11" s="1"/>
  <c r="H70" i="7"/>
  <c r="I6" i="11" s="1"/>
  <c r="I70" i="7"/>
  <c r="J6" i="11" s="1"/>
  <c r="P70" i="7"/>
  <c r="D74" i="7"/>
  <c r="E96" i="11" s="1"/>
  <c r="E105" i="11" s="1"/>
  <c r="H71" i="7"/>
  <c r="Q71" i="7"/>
  <c r="J44" i="11" s="1"/>
  <c r="P71" i="7"/>
  <c r="I44" i="11" s="1"/>
  <c r="H72" i="7"/>
  <c r="L72" i="7"/>
  <c r="E75" i="11" s="1"/>
  <c r="K74" i="7"/>
  <c r="D100" i="11" s="1"/>
  <c r="G41" i="7"/>
  <c r="AJ51" i="7" s="1" a="1"/>
  <c r="AJ51" i="7" s="1"/>
  <c r="G11" i="6"/>
  <c r="G19" i="6"/>
  <c r="G33" i="7"/>
  <c r="AB51" i="7" s="1" a="1"/>
  <c r="AB51" i="7" s="1"/>
  <c r="G21" i="7"/>
  <c r="P51" i="7" s="1" a="1"/>
  <c r="P51" i="7" s="1"/>
  <c r="G13" i="7"/>
  <c r="H51" i="7" s="1" a="1"/>
  <c r="H51" i="7" s="1"/>
  <c r="AD51" i="12" l="1" a="1"/>
  <c r="AD51" i="12" s="1"/>
  <c r="J79" i="12" s="1"/>
  <c r="C101" i="11" s="1"/>
  <c r="G41" i="12"/>
  <c r="AJ51" i="12" s="1" a="1"/>
  <c r="AJ51" i="12" s="1"/>
  <c r="P79" i="12" s="1"/>
  <c r="I71" i="7"/>
  <c r="J37" i="11" s="1"/>
  <c r="I37" i="11"/>
  <c r="H105" i="11"/>
  <c r="G105" i="11"/>
  <c r="D104" i="11"/>
  <c r="I99" i="11"/>
  <c r="I104" i="11"/>
  <c r="J104" i="11"/>
  <c r="C106" i="11"/>
  <c r="E106" i="11"/>
  <c r="H106" i="11"/>
  <c r="G106" i="11"/>
  <c r="D106" i="11"/>
  <c r="F106" i="11"/>
  <c r="I106" i="11"/>
  <c r="J106" i="11"/>
  <c r="Q70" i="7"/>
  <c r="J13" i="11" s="1"/>
  <c r="I13" i="11"/>
  <c r="C104" i="11"/>
  <c r="I72" i="7"/>
  <c r="J68" i="11" s="1"/>
  <c r="I68" i="11"/>
  <c r="F104" i="11"/>
  <c r="C105" i="11"/>
  <c r="G104" i="11"/>
  <c r="Q72" i="7"/>
  <c r="J75" i="11" s="1"/>
  <c r="I75" i="11"/>
  <c r="E104" i="11"/>
  <c r="P74" i="7"/>
  <c r="H74" i="7"/>
  <c r="A5" i="6"/>
  <c r="B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I2" i="11" s="1"/>
  <c r="D11" i="6"/>
  <c r="E11" i="6"/>
  <c r="A13" i="6"/>
  <c r="B13" i="6"/>
  <c r="C13" i="6"/>
  <c r="C9" i="11" s="1"/>
  <c r="D13" i="6"/>
  <c r="C40" i="11" s="1"/>
  <c r="E13" i="6"/>
  <c r="C71" i="11" s="1"/>
  <c r="B14" i="6"/>
  <c r="C14" i="6"/>
  <c r="D9" i="11" s="1"/>
  <c r="D14" i="6"/>
  <c r="D40" i="11" s="1"/>
  <c r="E14" i="6"/>
  <c r="D71" i="11" s="1"/>
  <c r="B15" i="6"/>
  <c r="C15" i="6"/>
  <c r="E9" i="11" s="1"/>
  <c r="D15" i="6"/>
  <c r="E40" i="11" s="1"/>
  <c r="E15" i="6"/>
  <c r="E71" i="11" s="1"/>
  <c r="B16" i="6"/>
  <c r="C16" i="6"/>
  <c r="F9" i="11" s="1"/>
  <c r="D16" i="6"/>
  <c r="F40" i="11" s="1"/>
  <c r="E16" i="6"/>
  <c r="F71" i="11" s="1"/>
  <c r="B17" i="6"/>
  <c r="C17" i="6"/>
  <c r="G9" i="11" s="1"/>
  <c r="D17" i="6"/>
  <c r="G40" i="11" s="1"/>
  <c r="E17" i="6"/>
  <c r="G71" i="11" s="1"/>
  <c r="B18" i="6"/>
  <c r="C18" i="6"/>
  <c r="H9" i="11" s="1"/>
  <c r="D18" i="6"/>
  <c r="H40" i="11" s="1"/>
  <c r="E18" i="6"/>
  <c r="H71" i="11" s="1"/>
  <c r="B19" i="6"/>
  <c r="C19" i="6"/>
  <c r="D19" i="6"/>
  <c r="E19" i="6"/>
  <c r="B4" i="6"/>
  <c r="C4" i="6"/>
  <c r="D4" i="6"/>
  <c r="E4" i="6"/>
  <c r="A4" i="6"/>
  <c r="J108" i="11" l="1"/>
  <c r="I108" i="11"/>
  <c r="D110" i="11"/>
  <c r="G110" i="11"/>
  <c r="F110" i="11"/>
  <c r="H110" i="11"/>
  <c r="E110" i="11"/>
  <c r="E108" i="11"/>
  <c r="H108" i="11"/>
  <c r="D108" i="11"/>
  <c r="G108" i="11"/>
  <c r="F108" i="11"/>
  <c r="C108" i="11"/>
  <c r="I74" i="7"/>
  <c r="J96" i="11" s="1"/>
  <c r="J105" i="11" s="1"/>
  <c r="I96" i="11"/>
  <c r="I105" i="11" s="1"/>
  <c r="Q74" i="7"/>
  <c r="J100" i="11" s="1"/>
  <c r="J109" i="11" s="1"/>
  <c r="I100" i="11"/>
  <c r="I109" i="11" s="1"/>
  <c r="C109" i="11"/>
  <c r="G109" i="11"/>
  <c r="H109" i="11"/>
  <c r="F109" i="11"/>
  <c r="E109" i="11"/>
  <c r="D109" i="11"/>
  <c r="I101" i="11"/>
  <c r="I110" i="11" s="1"/>
  <c r="Q79" i="12"/>
  <c r="J101" i="11" s="1"/>
  <c r="J110" i="11" s="1"/>
  <c r="C110" i="11"/>
  <c r="C19" i="11"/>
  <c r="I17" i="11"/>
  <c r="C18" i="11"/>
  <c r="J17" i="11"/>
  <c r="I18" i="11"/>
  <c r="H19" i="11"/>
  <c r="H18" i="11"/>
  <c r="G21" i="11"/>
  <c r="E20" i="11"/>
  <c r="D22" i="11"/>
  <c r="F18" i="11"/>
  <c r="H20" i="11"/>
  <c r="G18" i="11"/>
  <c r="J19" i="11"/>
  <c r="G19" i="11"/>
  <c r="C21" i="11"/>
  <c r="D21" i="11"/>
  <c r="E18" i="11"/>
  <c r="J18" i="11"/>
  <c r="C22" i="11"/>
  <c r="F19" i="11"/>
  <c r="E22" i="11"/>
  <c r="G20" i="11"/>
  <c r="F21" i="11"/>
  <c r="D18" i="11"/>
  <c r="J20" i="11"/>
  <c r="E19" i="11"/>
  <c r="D19" i="11"/>
  <c r="D20" i="11"/>
  <c r="I19" i="11"/>
  <c r="I21" i="11"/>
  <c r="C20" i="11"/>
  <c r="E21" i="11"/>
  <c r="I20" i="11"/>
  <c r="H21" i="11"/>
  <c r="F20" i="11"/>
  <c r="F22" i="11"/>
  <c r="H22" i="11"/>
  <c r="G22" i="11"/>
  <c r="J21" i="11"/>
  <c r="J22" i="11"/>
  <c r="I22" i="11"/>
  <c r="C17" i="11"/>
  <c r="I40" i="11"/>
  <c r="D55" i="11" s="1"/>
  <c r="I71" i="11"/>
  <c r="C86" i="11" s="1"/>
  <c r="I9" i="11"/>
  <c r="G24" i="11" s="1"/>
  <c r="E24" i="11"/>
  <c r="D64" i="11"/>
  <c r="F2" i="11"/>
  <c r="F17" i="11" s="1"/>
  <c r="H2" i="11"/>
  <c r="H17" i="11" s="1"/>
  <c r="E64" i="11"/>
  <c r="G33" i="11"/>
  <c r="G2" i="11"/>
  <c r="G17" i="11" s="1"/>
  <c r="D2" i="11"/>
  <c r="D17" i="11" s="1"/>
  <c r="F33" i="11"/>
  <c r="C64" i="11"/>
  <c r="H33" i="11"/>
  <c r="E33" i="11"/>
  <c r="D33" i="11"/>
  <c r="F64" i="11"/>
  <c r="H64" i="11"/>
  <c r="C33" i="11"/>
  <c r="G64" i="11"/>
  <c r="E2" i="11"/>
  <c r="E17" i="11" s="1"/>
  <c r="H24" i="11" l="1"/>
  <c r="E55" i="11"/>
  <c r="H86" i="11"/>
  <c r="F55" i="11"/>
  <c r="C24" i="11"/>
  <c r="F86" i="11"/>
  <c r="E86" i="11"/>
  <c r="H55" i="11"/>
  <c r="F24" i="11"/>
  <c r="D24" i="11"/>
  <c r="I33" i="11"/>
  <c r="C48" i="11" s="1"/>
  <c r="F89" i="11"/>
  <c r="C90" i="11"/>
  <c r="D90" i="11"/>
  <c r="F90" i="11"/>
  <c r="G87" i="11"/>
  <c r="G90" i="11"/>
  <c r="I86" i="11"/>
  <c r="H87" i="11"/>
  <c r="H90" i="11"/>
  <c r="J86" i="11"/>
  <c r="J87" i="11"/>
  <c r="C88" i="11"/>
  <c r="D89" i="11"/>
  <c r="E89" i="11"/>
  <c r="E88" i="11"/>
  <c r="I89" i="11"/>
  <c r="E90" i="11"/>
  <c r="G91" i="11"/>
  <c r="I88" i="11"/>
  <c r="I87" i="11"/>
  <c r="E87" i="11"/>
  <c r="J90" i="11"/>
  <c r="J88" i="11"/>
  <c r="F91" i="11"/>
  <c r="F88" i="11"/>
  <c r="E91" i="11"/>
  <c r="D87" i="11"/>
  <c r="C87" i="11"/>
  <c r="I90" i="11"/>
  <c r="J89" i="11"/>
  <c r="H89" i="11"/>
  <c r="H88" i="11"/>
  <c r="F87" i="11"/>
  <c r="G88" i="11"/>
  <c r="D88" i="11"/>
  <c r="C89" i="11"/>
  <c r="G89" i="11"/>
  <c r="C91" i="11"/>
  <c r="H91" i="11"/>
  <c r="D91" i="11"/>
  <c r="J91" i="11"/>
  <c r="I91" i="11"/>
  <c r="I64" i="11"/>
  <c r="D79" i="11" s="1"/>
  <c r="C79" i="11"/>
  <c r="G86" i="11"/>
  <c r="J58" i="11"/>
  <c r="E59" i="11"/>
  <c r="I55" i="11"/>
  <c r="I59" i="11"/>
  <c r="J55" i="11"/>
  <c r="I56" i="11"/>
  <c r="J59" i="11"/>
  <c r="D56" i="11"/>
  <c r="F56" i="11"/>
  <c r="C56" i="11"/>
  <c r="H60" i="11"/>
  <c r="E58" i="11"/>
  <c r="C58" i="11"/>
  <c r="G56" i="11"/>
  <c r="C59" i="11"/>
  <c r="G59" i="11"/>
  <c r="D58" i="11"/>
  <c r="C57" i="11"/>
  <c r="H58" i="11"/>
  <c r="E56" i="11"/>
  <c r="H57" i="11"/>
  <c r="F59" i="11"/>
  <c r="H59" i="11"/>
  <c r="C60" i="11"/>
  <c r="J57" i="11"/>
  <c r="F57" i="11"/>
  <c r="I57" i="11"/>
  <c r="J56" i="11"/>
  <c r="G57" i="11"/>
  <c r="I58" i="11"/>
  <c r="G58" i="11"/>
  <c r="D59" i="11"/>
  <c r="D57" i="11"/>
  <c r="E57" i="11"/>
  <c r="F58" i="11"/>
  <c r="H56" i="11"/>
  <c r="F60" i="11"/>
  <c r="G60" i="11"/>
  <c r="D60" i="11"/>
  <c r="E60" i="11"/>
  <c r="I60" i="11"/>
  <c r="J60" i="11"/>
  <c r="D86" i="11"/>
  <c r="I24" i="11"/>
  <c r="G25" i="11"/>
  <c r="J24" i="11"/>
  <c r="H25" i="11"/>
  <c r="I25" i="11"/>
  <c r="J25" i="11"/>
  <c r="G26" i="11"/>
  <c r="E27" i="11"/>
  <c r="C27" i="11"/>
  <c r="C28" i="11"/>
  <c r="D25" i="11"/>
  <c r="E28" i="11"/>
  <c r="D26" i="11"/>
  <c r="C29" i="11"/>
  <c r="D29" i="11"/>
  <c r="F26" i="11"/>
  <c r="I27" i="11"/>
  <c r="F28" i="11"/>
  <c r="I28" i="11"/>
  <c r="I26" i="11"/>
  <c r="D28" i="11"/>
  <c r="C25" i="11"/>
  <c r="H27" i="11"/>
  <c r="F27" i="11"/>
  <c r="H26" i="11"/>
  <c r="H28" i="11"/>
  <c r="J28" i="11"/>
  <c r="J27" i="11"/>
  <c r="J26" i="11"/>
  <c r="C26" i="11"/>
  <c r="F25" i="11"/>
  <c r="G28" i="11"/>
  <c r="E26" i="11"/>
  <c r="E25" i="11"/>
  <c r="D27" i="11"/>
  <c r="G27" i="11"/>
  <c r="F29" i="11"/>
  <c r="E29" i="11"/>
  <c r="G29" i="11"/>
  <c r="H29" i="11"/>
  <c r="I29" i="11"/>
  <c r="J29" i="11"/>
  <c r="C55" i="11"/>
  <c r="G55" i="11"/>
  <c r="F79" i="11" l="1"/>
  <c r="H79" i="11"/>
  <c r="E48" i="11"/>
  <c r="G48" i="11"/>
  <c r="F48" i="11"/>
  <c r="D48" i="11"/>
  <c r="F81" i="11"/>
  <c r="C82" i="11"/>
  <c r="F83" i="11"/>
  <c r="G83" i="11"/>
  <c r="H83" i="11"/>
  <c r="J83" i="11"/>
  <c r="I79" i="11"/>
  <c r="J79" i="11"/>
  <c r="D80" i="11"/>
  <c r="J80" i="11"/>
  <c r="D81" i="11"/>
  <c r="G80" i="11"/>
  <c r="G84" i="11"/>
  <c r="H84" i="11"/>
  <c r="D82" i="11"/>
  <c r="F80" i="11"/>
  <c r="G81" i="11"/>
  <c r="E81" i="11"/>
  <c r="F84" i="11"/>
  <c r="I81" i="11"/>
  <c r="E80" i="11"/>
  <c r="H80" i="11"/>
  <c r="E83" i="11"/>
  <c r="I83" i="11"/>
  <c r="E82" i="11"/>
  <c r="I80" i="11"/>
  <c r="J82" i="11"/>
  <c r="I82" i="11"/>
  <c r="G82" i="11"/>
  <c r="F82" i="11"/>
  <c r="D83" i="11"/>
  <c r="C83" i="11"/>
  <c r="H81" i="11"/>
  <c r="J81" i="11"/>
  <c r="C81" i="11"/>
  <c r="C80" i="11"/>
  <c r="H82" i="11"/>
  <c r="C84" i="11"/>
  <c r="D84" i="11"/>
  <c r="E84" i="11"/>
  <c r="J84" i="11"/>
  <c r="I84" i="11"/>
  <c r="E79" i="11"/>
  <c r="C52" i="11"/>
  <c r="J52" i="11"/>
  <c r="D49" i="11"/>
  <c r="E49" i="11"/>
  <c r="F49" i="11"/>
  <c r="H51" i="11"/>
  <c r="I48" i="11"/>
  <c r="I51" i="11"/>
  <c r="J48" i="11"/>
  <c r="G50" i="11"/>
  <c r="C49" i="11"/>
  <c r="I52" i="11"/>
  <c r="F51" i="11"/>
  <c r="I50" i="11"/>
  <c r="J51" i="11"/>
  <c r="G49" i="11"/>
  <c r="H50" i="11"/>
  <c r="D51" i="11"/>
  <c r="H52" i="11"/>
  <c r="J50" i="11"/>
  <c r="D50" i="11"/>
  <c r="F50" i="11"/>
  <c r="C51" i="11"/>
  <c r="F52" i="11"/>
  <c r="G51" i="11"/>
  <c r="E50" i="11"/>
  <c r="J49" i="11"/>
  <c r="C50" i="11"/>
  <c r="G52" i="11"/>
  <c r="E52" i="11"/>
  <c r="H49" i="11"/>
  <c r="I49" i="11"/>
  <c r="E51" i="11"/>
  <c r="D52" i="11"/>
  <c r="G53" i="11"/>
  <c r="E53" i="11"/>
  <c r="C53" i="11"/>
  <c r="D53" i="11"/>
  <c r="H53" i="11"/>
  <c r="F53" i="11"/>
  <c r="I53" i="11"/>
  <c r="J53" i="11"/>
  <c r="H48" i="11"/>
  <c r="G7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<sst xmlns="http://schemas.openxmlformats.org/spreadsheetml/2006/main" count="283" uniqueCount="46">
  <si>
    <t>Error</t>
  </si>
  <si>
    <t>4.5 years</t>
  </si>
  <si>
    <t>3.75 years</t>
  </si>
  <si>
    <t>Impact factor</t>
  </si>
  <si>
    <t>Usage amount</t>
  </si>
  <si>
    <t>Yearly usage amout, ton</t>
  </si>
  <si>
    <t>Usage amount ton</t>
  </si>
  <si>
    <t>11MJ</t>
  </si>
  <si>
    <t>13MJ</t>
  </si>
  <si>
    <t>cc</t>
  </si>
  <si>
    <t>2025 Basic</t>
  </si>
  <si>
    <t>PAG</t>
  </si>
  <si>
    <t>Sur</t>
  </si>
  <si>
    <t>TARC</t>
  </si>
  <si>
    <t>Polymer</t>
  </si>
  <si>
    <t>ITC</t>
  </si>
  <si>
    <t>PBO</t>
  </si>
  <si>
    <t>2030 Basic</t>
  </si>
  <si>
    <t>2025 S1</t>
  </si>
  <si>
    <t>2025 S2</t>
  </si>
  <si>
    <t>2025 S3</t>
  </si>
  <si>
    <t>2025 S4</t>
  </si>
  <si>
    <t>2025 S5</t>
  </si>
  <si>
    <t>2030 S1</t>
  </si>
  <si>
    <t>2030 S2</t>
  </si>
  <si>
    <t>2030 S3</t>
  </si>
  <si>
    <t>2030 S4</t>
  </si>
  <si>
    <t>2030 S5</t>
  </si>
  <si>
    <t>share cc</t>
  </si>
  <si>
    <t>Gas</t>
  </si>
  <si>
    <t>Solid</t>
  </si>
  <si>
    <t>Solvent</t>
  </si>
  <si>
    <t>Water</t>
  </si>
  <si>
    <t>HTC</t>
  </si>
  <si>
    <t>CED</t>
  </si>
  <si>
    <t>Final data for figure</t>
  </si>
  <si>
    <t>CC</t>
  </si>
  <si>
    <t>Share CC</t>
  </si>
  <si>
    <t>Share HTC</t>
  </si>
  <si>
    <t>Share CED</t>
  </si>
  <si>
    <t>Total</t>
  </si>
  <si>
    <t>100% replacement</t>
  </si>
  <si>
    <t>50% replacement</t>
  </si>
  <si>
    <t>Amount</t>
  </si>
  <si>
    <t>Share</t>
  </si>
  <si>
    <t>Share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</si>
</sst>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 applyAlignment="1">
      <alignment vertical="center"/>
    </xf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incineration-11MJ/Figure%202%206%20processes.xlsx" TargetMode="External"/><Relationship Id="rId1" Type="http://schemas.openxmlformats.org/officeDocument/2006/relationships/externalLinkPath" Target="/personal/bw537_cornell_edu/Documents/1A-PFAS-destruction/Code/Chapter%202/Test%20code%20better%20incineration-11MJ/Figure%202%206%20process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incineration-11MJ/Figure%202%204%20media.xlsx" TargetMode="External"/><Relationship Id="rId1" Type="http://schemas.openxmlformats.org/officeDocument/2006/relationships/externalLinkPath" Target="/personal/bw537_cornell_edu/Documents/1A-PFAS-destruction/Code/Chapter%202/Test%20code%20better%20incineration-11MJ/Figure%202%204%20medi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incineration-13MJ/Figure%202%206%20processes.xlsx" TargetMode="External"/><Relationship Id="rId1" Type="http://schemas.openxmlformats.org/officeDocument/2006/relationships/externalLinkPath" Target="/personal/bw537_cornell_edu/Documents/1A-PFAS-destruction/Code/Chapter%202/Test%20code%20better%20incineration-13MJ/Figure%202%206%20proces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incineration-13MJ/Figure%202%204%20media.xlsx" TargetMode="External"/><Relationship Id="rId1" Type="http://schemas.openxmlformats.org/officeDocument/2006/relationships/externalLinkPath" Target="/personal/bw537_cornell_edu/Documents/1A-PFAS-destruction/Code/Chapter%202/Test%20code%20better%20incineration-13MJ/Figure%202%204%20medi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separation-1.5g/Figure%202%206%20processes.xlsx" TargetMode="External"/><Relationship Id="rId1" Type="http://schemas.openxmlformats.org/officeDocument/2006/relationships/externalLinkPath" Target="/personal/bw537_cornell_edu/Documents/1A-PFAS-destruction/Code/Chapter%202/Test%20code%20better%20separation-1.5g/Figure%202%206%20process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separation-1.5g/Figure%202%204%20media.xlsx" TargetMode="External"/><Relationship Id="rId1" Type="http://schemas.openxmlformats.org/officeDocument/2006/relationships/externalLinkPath" Target="/personal/bw537_cornell_edu/Documents/1A-PFAS-destruction/Code/Chapter%202/Test%20code%20better%20separation-1.5g/Figure%202%204%20medi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separation-2g/Figure%202%206%20processes.xlsx" TargetMode="External"/><Relationship Id="rId1" Type="http://schemas.openxmlformats.org/officeDocument/2006/relationships/externalLinkPath" Target="/personal/bw537_cornell_edu/Documents/1A-PFAS-destruction/Code/Chapter%202/Test%20code%20better%20separation-2g/Figure%202%206%20process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better%20separation-2g/Figure%202%204%20media.xlsx" TargetMode="External"/><Relationship Id="rId1" Type="http://schemas.openxmlformats.org/officeDocument/2006/relationships/externalLinkPath" Target="/personal/bw537_cornell_edu/Documents/1A-PFAS-destruction/Code/Chapter%202/Test%20code%20better%20separation-2g/Figure%202%204%20medi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source%20management-2.5g/Figure%202%206%20processes.xlsx" TargetMode="External"/><Relationship Id="rId1" Type="http://schemas.openxmlformats.org/officeDocument/2006/relationships/externalLinkPath" Target="/personal/bw537_cornell_edu/Documents/1A-PFAS-destruction/Code/Chapter%202/Test%20code%20source%20management-2.5g/Figure%202%206%20process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source%20management-2.5g/Figure%202%204%20media.xlsx" TargetMode="External"/><Relationship Id="rId1" Type="http://schemas.openxmlformats.org/officeDocument/2006/relationships/externalLinkPath" Target="/personal/bw537_cornell_edu/Documents/1A-PFAS-destruction/Code/Chapter%202/Test%20code%20source%20management-2.5g/Figure%202%204%20medi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source%20management-3g/Figure%202%206%20processes.xlsx" TargetMode="External"/><Relationship Id="rId1" Type="http://schemas.openxmlformats.org/officeDocument/2006/relationships/externalLinkPath" Target="/personal/bw537_cornell_edu/Documents/1A-PFAS-destruction/Code/Chapter%202/Test%20code%20source%20management-3g/Figure%202%206%20process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%20source%20management-3g/Figure%202%204%20media.xlsx" TargetMode="External"/><Relationship Id="rId1" Type="http://schemas.openxmlformats.org/officeDocument/2006/relationships/externalLinkPath" Target="/personal/bw537_cornell_edu/Documents/1A-PFAS-destruction/Code/Chapter%202/Test%20code%20source%20management-3g/Figure%202%204%20media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/Figure%202%206%20processes-4.5years.xlsx" TargetMode="External"/><Relationship Id="rId1" Type="http://schemas.openxmlformats.org/officeDocument/2006/relationships/externalLinkPath" Target="/personal/bw537_cornell_edu/Documents/1A-PFAS-destruction/Code/Chapter%202/Test%20code-lifetime%20analysis/Figure%202%206%20processes-4.5year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-4.5%20years/Figure%202%204%20media.xlsx" TargetMode="External"/><Relationship Id="rId1" Type="http://schemas.openxmlformats.org/officeDocument/2006/relationships/externalLinkPath" Target="/personal/bw537_cornell_edu/Documents/1A-PFAS-destruction/Code/Chapter%202/Test%20code-lifetime%20analysis-4.5%20years/Figure%202%204%20medi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/PFAS_1.5%20year%20only%20total%20revised.xlsx" TargetMode="External"/><Relationship Id="rId1" Type="http://schemas.openxmlformats.org/officeDocument/2006/relationships/externalLinkPath" Target="/personal/bw537_cornell_edu/Documents/1A-PFAS-destruction/Code/Chapter%202/Test%20code-lifetime%20analysis/PFAS_1.5%20year%20only%20total%20revise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-4.5%20years/PFAS_Litho_agg.xlsx" TargetMode="External"/><Relationship Id="rId1" Type="http://schemas.openxmlformats.org/officeDocument/2006/relationships/externalLinkPath" Target="/personal/bw537_cornell_edu/Documents/1A-PFAS-destruction/Code/Chapter%202/Test%20code-lifetime%20analysis-4.5%20years/PFAS_Litho_agg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/Figure%202%206%20processes-3.75years.xlsx" TargetMode="External"/><Relationship Id="rId1" Type="http://schemas.openxmlformats.org/officeDocument/2006/relationships/externalLinkPath" Target="/personal/bw537_cornell_edu/Documents/1A-PFAS-destruction/Code/Chapter%202/Test%20code-lifetime%20analysis/Figure%202%206%20processes-3.75year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-3.75%20years/Figure%202%204%20media.xlsx" TargetMode="External"/><Relationship Id="rId1" Type="http://schemas.openxmlformats.org/officeDocument/2006/relationships/externalLinkPath" Target="/personal/bw537_cornell_edu/Documents/1A-PFAS-destruction/Code/Chapter%202/Test%20code-lifetime%20analysis-3.75%20years/Figure%202%204%20media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/PFAS_0.75%20year%20only%20total%20revised.xlsx" TargetMode="External"/><Relationship Id="rId1" Type="http://schemas.openxmlformats.org/officeDocument/2006/relationships/externalLinkPath" Target="/personal/bw537_cornell_edu/Documents/1A-PFAS-destruction/Code/Chapter%202/Test%20code-lifetime%20analysis/PFAS_0.75%20year%20only%20total%20revise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lifetime%20analysis-3.75%20years/PFAS_Litho_agg.xlsx" TargetMode="External"/><Relationship Id="rId1" Type="http://schemas.openxmlformats.org/officeDocument/2006/relationships/externalLinkPath" Target="/personal/bw537_cornell_edu/Documents/1A-PFAS-destruction/Code/Chapter%202/Test%20code-lifetime%20analysis-3.75%20years/PFAS_Litho_agg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Alternative%20100%25/Figure%202%206%20processes.xlsx" TargetMode="External"/><Relationship Id="rId1" Type="http://schemas.openxmlformats.org/officeDocument/2006/relationships/externalLinkPath" Target="/personal/bw537_cornell_edu/Documents/1A-PFAS-destruction/Code/Chapter%202/Test%20code-Alternative%20100%25/Figure%202%206%20processe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Figure%202%204%20media.xlsx" TargetMode="External"/><Relationship Id="rId1" Type="http://schemas.openxmlformats.org/officeDocument/2006/relationships/externalLinkPath" Target="/personal/bw537_cornell_edu/Documents/1A-PFAS-destruction/Code/Chapter%202/Test%20code/Figure%202%204%20media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agg.xlsx" TargetMode="External"/><Relationship Id="rId1" Type="http://schemas.openxmlformats.org/officeDocument/2006/relationships/externalLinkPath" Target="/personal/bw537_cornell_edu/Documents/1A-PFAS-destruction/Code/Chapter%202/Test%20code/PFAS_Litho_agg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Alternative-50%25/PFAS_Litho_agg.xlsx" TargetMode="External"/><Relationship Id="rId1" Type="http://schemas.openxmlformats.org/officeDocument/2006/relationships/externalLinkPath" Target="/personal/bw537_cornell_edu/Documents/1A-PFAS-destruction/Code/Chapter%202/Test%20code-Alternative-50%25/PFAS_Litho_agg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Alternative-50%25/Figure%202%206%20processes.xlsx" TargetMode="External"/><Relationship Id="rId1" Type="http://schemas.openxmlformats.org/officeDocument/2006/relationships/externalLinkPath" Target="/personal/bw537_cornell_edu/Documents/1A-PFAS-destruction/Code/Chapter%202/Test%20code-Alternative-50%25/Figure%202%206%20processes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Alternative-50%25/Figure%202%204%20media.xlsx" TargetMode="External"/><Relationship Id="rId1" Type="http://schemas.openxmlformats.org/officeDocument/2006/relationships/externalLinkPath" Target="/personal/bw537_cornell_edu/Documents/1A-PFAS-destruction/Code/Chapter%202/Test%20code-Alternative-50%25/Figure%202%204%20media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Alternative%20100%25/PFAS_Litho_agg.xlsx" TargetMode="External"/><Relationship Id="rId1" Type="http://schemas.openxmlformats.org/officeDocument/2006/relationships/externalLinkPath" Target="/personal/bw537_cornell_edu/Documents/1A-PFAS-destruction/Code/Chapter%202/Test%20code-Alternative%20100%25/PFAS_Litho_agg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Figure%202%206%20processes.xlsx" TargetMode="External"/><Relationship Id="rId1" Type="http://schemas.openxmlformats.org/officeDocument/2006/relationships/externalLinkPath" Target="/personal/bw537_cornell_edu/Documents/1A-PFAS-destruction/Code/Chapter%202/Test%20code/Figure%202%206%20processes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-Alternative%20100%25/Figure%202%204%20media.xlsx" TargetMode="External"/><Relationship Id="rId1" Type="http://schemas.openxmlformats.org/officeDocument/2006/relationships/externalLinkPath" Target="/personal/bw537_cornell_edu/Documents/1A-PFAS-destruction/Code/Chapter%202/Test%20code-Alternative%20100%25/Figure%202%204%20me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4251403.2559666513</v>
          </cell>
          <cell r="D36">
            <v>0.24581353895763169</v>
          </cell>
          <cell r="E36">
            <v>30496684.969730847</v>
          </cell>
        </row>
        <row r="37">
          <cell r="B37" t="str">
            <v>Sur</v>
          </cell>
          <cell r="C37">
            <v>224617.65338192534</v>
          </cell>
          <cell r="D37">
            <v>2.702023067651068E-2</v>
          </cell>
          <cell r="E37">
            <v>2242851.0766219627</v>
          </cell>
        </row>
        <row r="38">
          <cell r="B38" t="str">
            <v>TARC</v>
          </cell>
          <cell r="C38">
            <v>11780121.329725295</v>
          </cell>
          <cell r="D38">
            <v>1.3875142974526551</v>
          </cell>
          <cell r="E38">
            <v>116299506.03011468</v>
          </cell>
        </row>
        <row r="39">
          <cell r="B39" t="str">
            <v>Polymer</v>
          </cell>
          <cell r="C39">
            <v>286208.04610526672</v>
          </cell>
          <cell r="D39">
            <v>1.6232341274727516E-2</v>
          </cell>
          <cell r="E39">
            <v>2038811.1828306536</v>
          </cell>
        </row>
        <row r="40">
          <cell r="B40" t="str">
            <v>ITC</v>
          </cell>
          <cell r="C40">
            <v>6193781.965712118</v>
          </cell>
          <cell r="D40">
            <v>0.70621839341266091</v>
          </cell>
          <cell r="E40">
            <v>60109138.180475712</v>
          </cell>
        </row>
        <row r="41">
          <cell r="B41" t="str">
            <v>PBO</v>
          </cell>
          <cell r="C41">
            <v>2555997.7533663311</v>
          </cell>
          <cell r="D41">
            <v>0.14010064418235288</v>
          </cell>
          <cell r="E41">
            <v>18011776.911482114</v>
          </cell>
        </row>
        <row r="42">
          <cell r="C42">
            <v>25292130.00425759</v>
          </cell>
          <cell r="D42">
            <v>2.5228994459565386</v>
          </cell>
          <cell r="E42">
            <v>229198768.35125598</v>
          </cell>
        </row>
        <row r="44">
          <cell r="A44">
            <v>2030</v>
          </cell>
          <cell r="B44" t="str">
            <v>PAG</v>
          </cell>
          <cell r="C44">
            <v>30470469.005943894</v>
          </cell>
          <cell r="D44">
            <v>1.6330718030810116</v>
          </cell>
          <cell r="E44">
            <v>217498671.69452125</v>
          </cell>
        </row>
        <row r="45">
          <cell r="B45" t="str">
            <v>Sur</v>
          </cell>
          <cell r="C45">
            <v>1492142.3429854645</v>
          </cell>
          <cell r="D45">
            <v>0.16877955068800038</v>
          </cell>
          <cell r="E45">
            <v>14913964.577958558</v>
          </cell>
        </row>
        <row r="46">
          <cell r="B46" t="str">
            <v>TARC</v>
          </cell>
          <cell r="C46">
            <v>80653744.294497043</v>
          </cell>
          <cell r="D46">
            <v>8.9147864533021313</v>
          </cell>
          <cell r="E46">
            <v>796202671.73995101</v>
          </cell>
        </row>
        <row r="47">
          <cell r="B47" t="str">
            <v>Polymer</v>
          </cell>
          <cell r="C47">
            <v>2053953.0905894691</v>
          </cell>
          <cell r="D47">
            <v>0.10808286033854259</v>
          </cell>
          <cell r="E47">
            <v>14564960.537339879</v>
          </cell>
        </row>
        <row r="48">
          <cell r="B48" t="str">
            <v>ITC</v>
          </cell>
          <cell r="C48">
            <v>42209664.250355311</v>
          </cell>
          <cell r="D48">
            <v>4.5042829844180767</v>
          </cell>
          <cell r="E48">
            <v>409008892.70079952</v>
          </cell>
        </row>
        <row r="49">
          <cell r="B49" t="str">
            <v>PBO</v>
          </cell>
          <cell r="C49">
            <v>23175497.627594315</v>
          </cell>
          <cell r="D49">
            <v>1.1799188276020207</v>
          </cell>
          <cell r="E49">
            <v>162672993.59553814</v>
          </cell>
        </row>
        <row r="50">
          <cell r="C50">
            <v>180055470.61196551</v>
          </cell>
          <cell r="D50">
            <v>16.508922479429781</v>
          </cell>
          <cell r="E50">
            <v>1614862154.8461084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6.5086344535273885E-2</v>
          </cell>
          <cell r="P26">
            <v>6.524984500660619E-3</v>
          </cell>
          <cell r="Q26">
            <v>2.5733832826384125E-3</v>
          </cell>
          <cell r="S26">
            <v>5.3189608052447625E-3</v>
          </cell>
          <cell r="T26">
            <v>5.3308479977362262E-4</v>
          </cell>
          <cell r="U26">
            <v>2.1082730085693595E-3</v>
          </cell>
          <cell r="W26">
            <v>0.49320386448793424</v>
          </cell>
          <cell r="X26">
            <v>4.9407301970425498E-2</v>
          </cell>
          <cell r="Y26">
            <v>2.1518608849244785E-3</v>
          </cell>
        </row>
        <row r="27">
          <cell r="N27" t="str">
            <v>Solid</v>
          </cell>
          <cell r="O27">
            <v>7.7153690039646894E-2</v>
          </cell>
          <cell r="P27">
            <v>7.7371706511845202E-3</v>
          </cell>
          <cell r="Q27">
            <v>3.0505018765386352E-3</v>
          </cell>
          <cell r="S27">
            <v>6.3050398642571989E-3</v>
          </cell>
          <cell r="T27">
            <v>6.3211050394295764E-4</v>
          </cell>
          <cell r="U27">
            <v>2.4991245189586574E-3</v>
          </cell>
          <cell r="W27">
            <v>0.58464550694241613</v>
          </cell>
          <cell r="X27">
            <v>5.8585764486121891E-2</v>
          </cell>
          <cell r="Y27">
            <v>2.5508230744347819E-3</v>
          </cell>
        </row>
        <row r="28">
          <cell r="N28" t="str">
            <v>Solvent</v>
          </cell>
          <cell r="O28">
            <v>7.7757771951754489</v>
          </cell>
          <cell r="P28">
            <v>0.779449069862859</v>
          </cell>
          <cell r="Q28">
            <v>0.30743860615402901</v>
          </cell>
          <cell r="S28">
            <v>0.40990547250962001</v>
          </cell>
          <cell r="T28">
            <v>4.1134486701402073E-2</v>
          </cell>
          <cell r="U28">
            <v>0.16247396350519525</v>
          </cell>
          <cell r="W28">
            <v>54.113575915427177</v>
          </cell>
          <cell r="X28">
            <v>5.4222618702318419</v>
          </cell>
          <cell r="Y28">
            <v>0.23609889487929547</v>
          </cell>
        </row>
        <row r="29">
          <cell r="N29" t="str">
            <v>Water</v>
          </cell>
          <cell r="O29">
            <v>17.374112774507221</v>
          </cell>
          <cell r="P29">
            <v>1.7432501725160734</v>
          </cell>
          <cell r="Q29">
            <v>0.68693750868679404</v>
          </cell>
          <cell r="S29">
            <v>2.1013699727774169</v>
          </cell>
          <cell r="T29">
            <v>0.21043304929267165</v>
          </cell>
          <cell r="U29">
            <v>0.83291863896727669</v>
          </cell>
          <cell r="W29">
            <v>174.00734306439844</v>
          </cell>
          <cell r="X29">
            <v>17.428596569423476</v>
          </cell>
          <cell r="Y29">
            <v>0.75919842116134528</v>
          </cell>
        </row>
        <row r="30">
          <cell r="O30">
            <v>25.29213000425759</v>
          </cell>
          <cell r="P30">
            <v>2.5369613975307774</v>
          </cell>
          <cell r="S30">
            <v>2.522899445956539</v>
          </cell>
          <cell r="T30">
            <v>0.25273273129779028</v>
          </cell>
          <cell r="W30">
            <v>229.19876835125598</v>
          </cell>
          <cell r="X30">
            <v>22.958851506111866</v>
          </cell>
        </row>
        <row r="32">
          <cell r="M32">
            <v>2030</v>
          </cell>
          <cell r="N32" t="str">
            <v>Gas</v>
          </cell>
          <cell r="O32">
            <v>0.46008920020778293</v>
          </cell>
          <cell r="P32">
            <v>5.1349006917861137E-2</v>
          </cell>
          <cell r="Q32">
            <v>2.5552636564945773E-3</v>
          </cell>
          <cell r="S32">
            <v>3.5769125115531368E-2</v>
          </cell>
          <cell r="T32">
            <v>3.988968785075135E-3</v>
          </cell>
          <cell r="U32">
            <v>2.1666541326425095E-3</v>
          </cell>
          <cell r="W32">
            <v>3.4665582878031911</v>
          </cell>
          <cell r="X32">
            <v>0.38329476387971595</v>
          </cell>
          <cell r="Y32">
            <v>2.1466589438610901E-3</v>
          </cell>
        </row>
        <row r="33">
          <cell r="N33" t="str">
            <v>Solid</v>
          </cell>
          <cell r="O33">
            <v>0.59371643089445125</v>
          </cell>
          <cell r="P33">
            <v>6.6254557532706246E-2</v>
          </cell>
          <cell r="Q33">
            <v>3.2974084534979748E-3</v>
          </cell>
          <cell r="S33">
            <v>4.6156294807444861E-2</v>
          </cell>
          <cell r="T33">
            <v>5.1467189521978794E-3</v>
          </cell>
          <cell r="U33">
            <v>2.7958393326369953E-3</v>
          </cell>
          <cell r="V33"/>
          <cell r="W33">
            <v>4.4733607533739548</v>
          </cell>
          <cell r="X33">
            <v>0.49455286738465609</v>
          </cell>
          <cell r="Y33">
            <v>2.770119257516598E-3</v>
          </cell>
        </row>
        <row r="34">
          <cell r="N34" t="str">
            <v>Solvent</v>
          </cell>
          <cell r="O34">
            <v>60.863621661831331</v>
          </cell>
          <cell r="P34">
            <v>6.7393192448158894</v>
          </cell>
          <cell r="Q34">
            <v>0.3380270616325648</v>
          </cell>
          <cell r="S34">
            <v>2.9853934761556671</v>
          </cell>
          <cell r="T34">
            <v>0.33673237849524751</v>
          </cell>
          <cell r="U34">
            <v>0.18083515019683963</v>
          </cell>
          <cell r="V34"/>
          <cell r="W34">
            <v>422.22940166577587</v>
          </cell>
          <cell r="X34">
            <v>46.529446815662816</v>
          </cell>
          <cell r="Y34">
            <v>0.26146467077619584</v>
          </cell>
        </row>
        <row r="35">
          <cell r="N35" t="str">
            <v>Water</v>
          </cell>
          <cell r="O35">
            <v>118.13804331903195</v>
          </cell>
          <cell r="P35">
            <v>13.432348337392048</v>
          </cell>
          <cell r="Q35">
            <v>0.65612026625744257</v>
          </cell>
          <cell r="S35">
            <v>13.44160358335114</v>
          </cell>
          <cell r="T35">
            <v>1.4930943352920711</v>
          </cell>
          <cell r="U35">
            <v>0.81420235633788085</v>
          </cell>
          <cell r="W35">
            <v>1184.6928341391554</v>
          </cell>
          <cell r="X35">
            <v>131.51903859035997</v>
          </cell>
          <cell r="Y35">
            <v>0.73361855102242657</v>
          </cell>
        </row>
        <row r="36">
          <cell r="O36">
            <v>180.05547061196552</v>
          </cell>
          <cell r="P36">
            <v>20.289271146658503</v>
          </cell>
          <cell r="S36">
            <v>16.508922479429785</v>
          </cell>
          <cell r="T36">
            <v>1.8389624015245918</v>
          </cell>
          <cell r="W36">
            <v>1614.8621548461083</v>
          </cell>
          <cell r="X36">
            <v>178.92633303728715</v>
          </cell>
        </row>
        <row r="38">
          <cell r="M38">
            <v>2025</v>
          </cell>
          <cell r="O38">
            <v>25.29213000425759</v>
          </cell>
          <cell r="P38">
            <v>2.5369613975307774</v>
          </cell>
          <cell r="S38">
            <v>2.522899445956539</v>
          </cell>
          <cell r="T38">
            <v>0.25273273129779028</v>
          </cell>
          <cell r="W38">
            <v>229.19876835125598</v>
          </cell>
          <cell r="X38">
            <v>22.958851506111866</v>
          </cell>
        </row>
        <row r="39">
          <cell r="M39">
            <v>2030</v>
          </cell>
          <cell r="O39">
            <v>180.05547061196552</v>
          </cell>
          <cell r="P39">
            <v>20.289271146658503</v>
          </cell>
          <cell r="S39">
            <v>16.508922479429785</v>
          </cell>
          <cell r="T39">
            <v>1.8389624015245918</v>
          </cell>
          <cell r="W39">
            <v>1614.8621548461083</v>
          </cell>
          <cell r="X39">
            <v>178.92633303728715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4250269.7349737957</v>
          </cell>
          <cell r="D36">
            <v>0.24577970484133399</v>
          </cell>
          <cell r="E36">
            <v>30549096.183350913</v>
          </cell>
        </row>
        <row r="37">
          <cell r="B37" t="str">
            <v>Sur</v>
          </cell>
          <cell r="C37">
            <v>231289.73136732439</v>
          </cell>
          <cell r="D37">
            <v>2.7397986175068095E-2</v>
          </cell>
          <cell r="E37">
            <v>2337360.9410452568</v>
          </cell>
        </row>
        <row r="38">
          <cell r="B38" t="str">
            <v>TARC</v>
          </cell>
          <cell r="C38">
            <v>12115842.271092307</v>
          </cell>
          <cell r="D38">
            <v>1.4065218621868005</v>
          </cell>
          <cell r="E38">
            <v>121062924.78277341</v>
          </cell>
        </row>
        <row r="39">
          <cell r="B39" t="str">
            <v>Polymer</v>
          </cell>
          <cell r="C39">
            <v>285979.57464178838</v>
          </cell>
          <cell r="D39">
            <v>1.6221481997971157E-2</v>
          </cell>
          <cell r="E39">
            <v>2040265.8844255749</v>
          </cell>
        </row>
        <row r="40">
          <cell r="B40" t="str">
            <v>ITC</v>
          </cell>
          <cell r="C40">
            <v>6359396.0391024798</v>
          </cell>
          <cell r="D40">
            <v>0.71560198819351073</v>
          </cell>
          <cell r="E40">
            <v>62464831.750706404</v>
          </cell>
        </row>
        <row r="41">
          <cell r="B41" t="str">
            <v>PBO</v>
          </cell>
          <cell r="C41">
            <v>2552124.6465764749</v>
          </cell>
          <cell r="D41">
            <v>0.13990257338700135</v>
          </cell>
          <cell r="E41">
            <v>17999583.865617428</v>
          </cell>
        </row>
        <row r="42">
          <cell r="C42">
            <v>25794901.997754168</v>
          </cell>
          <cell r="D42">
            <v>2.5514255967816855</v>
          </cell>
          <cell r="E42">
            <v>236454063.40791899</v>
          </cell>
        </row>
        <row r="44">
          <cell r="A44">
            <v>2030</v>
          </cell>
          <cell r="B44" t="str">
            <v>PAG</v>
          </cell>
          <cell r="C44">
            <v>30441012.680731088</v>
          </cell>
          <cell r="D44">
            <v>1.631562713273158</v>
          </cell>
          <cell r="E44">
            <v>217732861.6683253</v>
          </cell>
        </row>
        <row r="45">
          <cell r="B45" t="str">
            <v>Sur</v>
          </cell>
          <cell r="C45">
            <v>1539589.9357912648</v>
          </cell>
          <cell r="D45">
            <v>0.17110058553055701</v>
          </cell>
          <cell r="E45">
            <v>15592918.247824268</v>
          </cell>
        </row>
        <row r="46">
          <cell r="B46" t="str">
            <v>TARC</v>
          </cell>
          <cell r="C46">
            <v>83104917.05748263</v>
          </cell>
          <cell r="D46">
            <v>9.0346776280797894</v>
          </cell>
          <cell r="E46">
            <v>831352923.86075044</v>
          </cell>
        </row>
        <row r="47">
          <cell r="B47" t="str">
            <v>Polymer</v>
          </cell>
          <cell r="C47">
            <v>2050862.4541576956</v>
          </cell>
          <cell r="D47">
            <v>0.10792697864544581</v>
          </cell>
          <cell r="E47">
            <v>14565659.358015824</v>
          </cell>
        </row>
        <row r="48">
          <cell r="B48" t="str">
            <v>ITC</v>
          </cell>
          <cell r="C48">
            <v>43404987.911218092</v>
          </cell>
          <cell r="D48">
            <v>4.5627566033429385</v>
          </cell>
          <cell r="E48">
            <v>426210097.46331692</v>
          </cell>
        </row>
        <row r="49">
          <cell r="B49" t="str">
            <v>PBO</v>
          </cell>
          <cell r="C49">
            <v>23123423.089120999</v>
          </cell>
          <cell r="D49">
            <v>1.1773434053913481</v>
          </cell>
          <cell r="E49">
            <v>162447061.64778692</v>
          </cell>
        </row>
        <row r="50">
          <cell r="C50">
            <v>183664793.12850177</v>
          </cell>
          <cell r="D50">
            <v>16.685367914263239</v>
          </cell>
          <cell r="E50">
            <v>1667901522.2460196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6.4930173349183259E-2</v>
          </cell>
          <cell r="P26">
            <v>6.3416264217000442E-3</v>
          </cell>
          <cell r="Q26">
            <v>2.5171707709855384E-3</v>
          </cell>
          <cell r="S26">
            <v>5.3061890660962216E-3</v>
          </cell>
          <cell r="T26">
            <v>5.1812994824228416E-4</v>
          </cell>
          <cell r="U26">
            <v>2.079695787637051E-3</v>
          </cell>
          <cell r="W26">
            <v>0.49202034874977502</v>
          </cell>
          <cell r="X26">
            <v>4.8019589258959543E-2</v>
          </cell>
          <cell r="Y26">
            <v>2.0808284774576514E-3</v>
          </cell>
        </row>
        <row r="27">
          <cell r="N27" t="str">
            <v>Solid</v>
          </cell>
          <cell r="O27">
            <v>7.6968833973436235E-2</v>
          </cell>
          <cell r="P27">
            <v>7.519038301582676E-3</v>
          </cell>
          <cell r="Q27">
            <v>2.9838777437548522E-3</v>
          </cell>
          <cell r="S27">
            <v>6.289922513587687E-3</v>
          </cell>
          <cell r="T27">
            <v>6.1431954164790957E-4</v>
          </cell>
          <cell r="U27">
            <v>2.4652580586796893E-3</v>
          </cell>
          <cell r="W27">
            <v>0.58324461060914279</v>
          </cell>
          <cell r="X27">
            <v>5.6934871903168358E-2</v>
          </cell>
          <cell r="Y27">
            <v>2.466629679368029E-3</v>
          </cell>
        </row>
        <row r="28">
          <cell r="N28" t="str">
            <v>Solvent</v>
          </cell>
          <cell r="O28">
            <v>7.757162199981865</v>
          </cell>
          <cell r="P28">
            <v>0.75743877846264207</v>
          </cell>
          <cell r="Q28">
            <v>0.3007246238290513</v>
          </cell>
          <cell r="S28">
            <v>0.40892314846117306</v>
          </cell>
          <cell r="T28">
            <v>3.9975057596078056E-2</v>
          </cell>
          <cell r="U28">
            <v>0.16027241749748847</v>
          </cell>
          <cell r="W28">
            <v>53.984023395943929</v>
          </cell>
          <cell r="X28">
            <v>5.2691864366007248</v>
          </cell>
          <cell r="Y28">
            <v>0.22830660052059809</v>
          </cell>
        </row>
        <row r="29">
          <cell r="N29" t="str">
            <v>Water</v>
          </cell>
          <cell r="O29">
            <v>17.895840790449682</v>
          </cell>
          <cell r="P29">
            <v>1.7494597542751273</v>
          </cell>
          <cell r="Q29">
            <v>0.69377432765620839</v>
          </cell>
          <cell r="S29">
            <v>2.130906336740829</v>
          </cell>
          <cell r="T29">
            <v>0.2079376915350783</v>
          </cell>
          <cell r="U29">
            <v>0.83518262865619475</v>
          </cell>
          <cell r="W29">
            <v>181.39477505261613</v>
          </cell>
          <cell r="X29">
            <v>17.702708161735572</v>
          </cell>
          <cell r="Y29">
            <v>0.7671459413225763</v>
          </cell>
        </row>
        <row r="30">
          <cell r="O30">
            <v>25.794901997754167</v>
          </cell>
          <cell r="P30">
            <v>2.5207591974610519</v>
          </cell>
          <cell r="S30">
            <v>2.5514255967816859</v>
          </cell>
          <cell r="T30">
            <v>0.24904519862104654</v>
          </cell>
          <cell r="W30">
            <v>236.45406340791897</v>
          </cell>
          <cell r="X30">
            <v>23.076849059498425</v>
          </cell>
        </row>
        <row r="32">
          <cell r="M32">
            <v>2030</v>
          </cell>
          <cell r="N32" t="str">
            <v>Gas</v>
          </cell>
          <cell r="O32">
            <v>0.4586556218011677</v>
          </cell>
          <cell r="P32">
            <v>5.1337499344812729E-2</v>
          </cell>
          <cell r="Q32">
            <v>2.4972430153244866E-3</v>
          </cell>
          <cell r="S32">
            <v>3.5657686363850784E-2</v>
          </cell>
          <cell r="T32">
            <v>3.9877198786024224E-3</v>
          </cell>
          <cell r="U32">
            <v>2.1370632369076704E-3</v>
          </cell>
          <cell r="W32">
            <v>3.4557570841316014</v>
          </cell>
          <cell r="X32">
            <v>0.38319936157005546</v>
          </cell>
          <cell r="Y32">
            <v>2.0719191379344934E-3</v>
          </cell>
        </row>
        <row r="33">
          <cell r="N33" t="str">
            <v>Solid</v>
          </cell>
          <cell r="O33">
            <v>0.59186567961449321</v>
          </cell>
          <cell r="P33">
            <v>6.6260945048698894E-2</v>
          </cell>
          <cell r="Q33">
            <v>3.2225320353062564E-3</v>
          </cell>
          <cell r="S33">
            <v>4.6012431298248509E-2</v>
          </cell>
          <cell r="T33">
            <v>5.1467551016813971E-3</v>
          </cell>
          <cell r="U33">
            <v>2.7576515863887824E-3</v>
          </cell>
          <cell r="V33"/>
          <cell r="W33">
            <v>4.4594164315316283</v>
          </cell>
          <cell r="X33">
            <v>0.49458822904236632</v>
          </cell>
          <cell r="Y33">
            <v>2.6736689019424336E-3</v>
          </cell>
        </row>
        <row r="34">
          <cell r="N34" t="str">
            <v>Solvent</v>
          </cell>
          <cell r="O34">
            <v>60.673895473356751</v>
          </cell>
          <cell r="P34">
            <v>6.7399035033010248</v>
          </cell>
          <cell r="Q34">
            <v>0.33035125807103399</v>
          </cell>
          <cell r="S34">
            <v>2.9760888227300537</v>
          </cell>
          <cell r="T34">
            <v>0.33672925844096901</v>
          </cell>
          <cell r="U34">
            <v>0.1783651902686538</v>
          </cell>
          <cell r="V34"/>
          <cell r="W34">
            <v>420.91322265022336</v>
          </cell>
          <cell r="X34">
            <v>46.532878265417899</v>
          </cell>
          <cell r="Y34">
            <v>0.25236095598942543</v>
          </cell>
        </row>
        <row r="35">
          <cell r="N35" t="str">
            <v>Water</v>
          </cell>
          <cell r="O35">
            <v>121.94037635372933</v>
          </cell>
          <cell r="P35">
            <v>13.892786369680275</v>
          </cell>
          <cell r="Q35">
            <v>0.66392896687833525</v>
          </cell>
          <cell r="S35">
            <v>13.627608973871085</v>
          </cell>
          <cell r="T35">
            <v>1.5182190047876429</v>
          </cell>
          <cell r="U35">
            <v>0.81674009490804977</v>
          </cell>
          <cell r="W35">
            <v>1239.0731260801329</v>
          </cell>
          <cell r="X35">
            <v>137.90402032259777</v>
          </cell>
          <cell r="Y35">
            <v>0.74289345597069767</v>
          </cell>
        </row>
        <row r="36">
          <cell r="O36">
            <v>183.66479312850174</v>
          </cell>
          <cell r="P36">
            <v>20.75028831737481</v>
          </cell>
          <cell r="S36">
            <v>16.685367914263239</v>
          </cell>
          <cell r="T36">
            <v>1.8640827382088958</v>
          </cell>
          <cell r="W36">
            <v>1667.9015222460193</v>
          </cell>
          <cell r="X36">
            <v>185.31468617862811</v>
          </cell>
        </row>
        <row r="38">
          <cell r="M38">
            <v>2025</v>
          </cell>
          <cell r="O38">
            <v>25.794901997754167</v>
          </cell>
          <cell r="P38">
            <v>2.5207591974610519</v>
          </cell>
          <cell r="S38">
            <v>2.5514255967816859</v>
          </cell>
          <cell r="T38">
            <v>0.24904519862104654</v>
          </cell>
          <cell r="W38">
            <v>236.45406340791897</v>
          </cell>
          <cell r="X38">
            <v>23.076849059498425</v>
          </cell>
        </row>
        <row r="39">
          <cell r="M39">
            <v>2030</v>
          </cell>
          <cell r="O39">
            <v>183.66479312850174</v>
          </cell>
          <cell r="P39">
            <v>20.75028831737481</v>
          </cell>
          <cell r="S39">
            <v>16.685367914263239</v>
          </cell>
          <cell r="T39">
            <v>1.8640827382088958</v>
          </cell>
          <cell r="W39">
            <v>1667.9015222460193</v>
          </cell>
          <cell r="X39">
            <v>185.31468617862811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4225983.1491808817</v>
          </cell>
          <cell r="D36">
            <v>0.24000977164894371</v>
          </cell>
          <cell r="E36">
            <v>30261195.612423833</v>
          </cell>
        </row>
        <row r="37">
          <cell r="B37" t="str">
            <v>Sur</v>
          </cell>
          <cell r="C37">
            <v>206300.6386464606</v>
          </cell>
          <cell r="D37">
            <v>2.2505513892008017E-2</v>
          </cell>
          <cell r="E37">
            <v>2068804.3847254876</v>
          </cell>
        </row>
        <row r="38">
          <cell r="B38" t="str">
            <v>TARC</v>
          </cell>
          <cell r="C38">
            <v>10854831.300538819</v>
          </cell>
          <cell r="D38">
            <v>1.1595270350129754</v>
          </cell>
          <cell r="E38">
            <v>107508015.20699281</v>
          </cell>
        </row>
        <row r="39">
          <cell r="B39" t="str">
            <v>Polymer</v>
          </cell>
          <cell r="C39">
            <v>284880.40385969565</v>
          </cell>
          <cell r="D39">
            <v>1.5936740860830974E-2</v>
          </cell>
          <cell r="E39">
            <v>2026610.5627408056</v>
          </cell>
        </row>
        <row r="40">
          <cell r="B40" t="str">
            <v>ITC</v>
          </cell>
          <cell r="C40">
            <v>5735174.8464510068</v>
          </cell>
          <cell r="D40">
            <v>0.5932402836427153</v>
          </cell>
          <cell r="E40">
            <v>55752417.321601816</v>
          </cell>
        </row>
        <row r="41">
          <cell r="B41" t="str">
            <v>PBO</v>
          </cell>
          <cell r="C41">
            <v>2548908.9422765751</v>
          </cell>
          <cell r="D41">
            <v>0.13863426270986975</v>
          </cell>
          <cell r="E41">
            <v>17948110.529480413</v>
          </cell>
        </row>
        <row r="42">
          <cell r="C42">
            <v>23856079.280953437</v>
          </cell>
          <cell r="D42">
            <v>2.1698536077673429</v>
          </cell>
          <cell r="E42">
            <v>215565153.61796516</v>
          </cell>
        </row>
        <row r="44">
          <cell r="A44">
            <v>2030</v>
          </cell>
          <cell r="B44" t="str">
            <v>PAG</v>
          </cell>
          <cell r="C44">
            <v>30262477.852509562</v>
          </cell>
          <cell r="D44">
            <v>1.5948824818717946</v>
          </cell>
          <cell r="E44">
            <v>215760153.99717367</v>
          </cell>
        </row>
        <row r="45">
          <cell r="B45" t="str">
            <v>Sur</v>
          </cell>
          <cell r="C45">
            <v>1391571.3103147487</v>
          </cell>
          <cell r="D45">
            <v>0.14162187715303648</v>
          </cell>
          <cell r="E45">
            <v>13981956.05947406</v>
          </cell>
        </row>
        <row r="46">
          <cell r="B46" t="str">
            <v>TARC</v>
          </cell>
          <cell r="C46">
            <v>75427833.503728509</v>
          </cell>
          <cell r="D46">
            <v>7.5056192072232335</v>
          </cell>
          <cell r="E46">
            <v>747795499.33710504</v>
          </cell>
        </row>
        <row r="47">
          <cell r="B47" t="str">
            <v>Polymer</v>
          </cell>
          <cell r="C47">
            <v>2041975.7801759043</v>
          </cell>
          <cell r="D47">
            <v>0.10608013710189394</v>
          </cell>
          <cell r="E47">
            <v>14466911.644385671</v>
          </cell>
        </row>
        <row r="48">
          <cell r="B48" t="str">
            <v>ITC</v>
          </cell>
          <cell r="C48">
            <v>39636231.197232053</v>
          </cell>
          <cell r="D48">
            <v>3.8120219298724982</v>
          </cell>
          <cell r="E48">
            <v>385188433.96731293</v>
          </cell>
        </row>
        <row r="49">
          <cell r="B49" t="str">
            <v>PBO</v>
          </cell>
          <cell r="C49">
            <v>23071749.147751216</v>
          </cell>
          <cell r="D49">
            <v>1.1661933118440464</v>
          </cell>
          <cell r="E49">
            <v>161862035.16105512</v>
          </cell>
        </row>
        <row r="50">
          <cell r="C50">
            <v>171831838.79171199</v>
          </cell>
          <cell r="D50">
            <v>14.326418945066504</v>
          </cell>
          <cell r="E50">
            <v>1539054990.1665065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6.5047027620610542E-2</v>
          </cell>
          <cell r="P26">
            <v>6.3929235832451805E-3</v>
          </cell>
          <cell r="Q26">
            <v>2.7266436724388207E-3</v>
          </cell>
          <cell r="S26">
            <v>5.3157365372624764E-3</v>
          </cell>
          <cell r="T26">
            <v>5.2231300247839287E-4</v>
          </cell>
          <cell r="U26">
            <v>2.4498134428211815E-3</v>
          </cell>
          <cell r="W26">
            <v>0.49290581147937418</v>
          </cell>
          <cell r="X26">
            <v>4.8407801497256396E-2</v>
          </cell>
          <cell r="Y26">
            <v>2.28657463048469E-3</v>
          </cell>
        </row>
        <row r="27">
          <cell r="N27" t="str">
            <v>Solid</v>
          </cell>
          <cell r="O27">
            <v>7.7107401812720328E-2</v>
          </cell>
          <cell r="P27">
            <v>7.5800997049840536E-3</v>
          </cell>
          <cell r="Q27">
            <v>3.2321908769930379E-3</v>
          </cell>
          <cell r="S27">
            <v>6.3012437997305992E-3</v>
          </cell>
          <cell r="T27">
            <v>6.1929896901371866E-4</v>
          </cell>
          <cell r="U27">
            <v>2.9039948949432693E-3</v>
          </cell>
          <cell r="W27">
            <v>0.58429460485130513</v>
          </cell>
          <cell r="X27">
            <v>5.739698285778002E-2</v>
          </cell>
          <cell r="Y27">
            <v>2.7105243822794283E-3</v>
          </cell>
        </row>
        <row r="28">
          <cell r="N28" t="str">
            <v>Solvent</v>
          </cell>
          <cell r="O28">
            <v>7.7711305474651402</v>
          </cell>
          <cell r="P28">
            <v>0.76360160806749422</v>
          </cell>
          <cell r="Q28">
            <v>0.32575053326845571</v>
          </cell>
          <cell r="S28">
            <v>0.40965925390451885</v>
          </cell>
          <cell r="T28">
            <v>4.0299644904374377E-2</v>
          </cell>
          <cell r="U28">
            <v>0.18879580283115741</v>
          </cell>
          <cell r="W28">
            <v>54.081231144465072</v>
          </cell>
          <cell r="X28">
            <v>5.312046262446998</v>
          </cell>
          <cell r="Y28">
            <v>0.25088113842513898</v>
          </cell>
        </row>
        <row r="29">
          <cell r="N29" t="str">
            <v>Water</v>
          </cell>
          <cell r="O29">
            <v>15.942794304054965</v>
          </cell>
          <cell r="P29">
            <v>1.5678221274253372</v>
          </cell>
          <cell r="Q29">
            <v>0.66829063218211238</v>
          </cell>
          <cell r="S29">
            <v>1.7485773735258312</v>
          </cell>
          <cell r="T29">
            <v>0.171703089170295</v>
          </cell>
          <cell r="U29">
            <v>0.80585038883107818</v>
          </cell>
          <cell r="W29">
            <v>160.40672205716942</v>
          </cell>
          <cell r="X29">
            <v>15.751216729464954</v>
          </cell>
          <cell r="Y29">
            <v>0.74412176256209694</v>
          </cell>
        </row>
        <row r="30">
          <cell r="O30">
            <v>23.856079280953438</v>
          </cell>
          <cell r="P30">
            <v>2.3453967587810607</v>
          </cell>
          <cell r="S30">
            <v>2.1698536077673429</v>
          </cell>
          <cell r="T30">
            <v>0.2131443460461615</v>
          </cell>
          <cell r="W30">
            <v>215.56515361796517</v>
          </cell>
          <cell r="X30">
            <v>21.169067776266989</v>
          </cell>
        </row>
        <row r="32">
          <cell r="M32">
            <v>2030</v>
          </cell>
          <cell r="N32" t="str">
            <v>Gas</v>
          </cell>
          <cell r="O32">
            <v>0.45877704937651487</v>
          </cell>
          <cell r="P32">
            <v>5.1149154593400775E-2</v>
          </cell>
          <cell r="Q32">
            <v>2.6699187566317489E-3</v>
          </cell>
          <cell r="S32">
            <v>3.5667165626665921E-2</v>
          </cell>
          <cell r="T32">
            <v>3.9733552295453042E-3</v>
          </cell>
          <cell r="U32">
            <v>2.4896078889936695E-3</v>
          </cell>
          <cell r="W32">
            <v>3.4566724076641373</v>
          </cell>
          <cell r="X32">
            <v>0.38180060065283838</v>
          </cell>
          <cell r="Y32">
            <v>2.2459706961413827E-3</v>
          </cell>
        </row>
        <row r="33">
          <cell r="N33" t="str">
            <v>Solid</v>
          </cell>
          <cell r="O33">
            <v>0.59201998667365308</v>
          </cell>
          <cell r="P33">
            <v>6.6001954388998071E-2</v>
          </cell>
          <cell r="Q33">
            <v>3.4453451166944508E-3</v>
          </cell>
          <cell r="S33">
            <v>4.602447540191637E-2</v>
          </cell>
          <cell r="T33">
            <v>5.126980860721283E-3</v>
          </cell>
          <cell r="U33">
            <v>3.2125596479059782E-3</v>
          </cell>
          <cell r="V33"/>
          <cell r="W33">
            <v>4.4605795806571304</v>
          </cell>
          <cell r="X33">
            <v>0.49266423148661492</v>
          </cell>
          <cell r="Y33">
            <v>2.898258742642166E-3</v>
          </cell>
        </row>
        <row r="34">
          <cell r="N34" t="str">
            <v>Solvent</v>
          </cell>
          <cell r="O34">
            <v>60.689713385910096</v>
          </cell>
          <cell r="P34">
            <v>6.7136090562414621</v>
          </cell>
          <cell r="Q34">
            <v>0.35319248058257613</v>
          </cell>
          <cell r="S34">
            <v>2.9768691722857623</v>
          </cell>
          <cell r="T34">
            <v>0.33543964597595066</v>
          </cell>
          <cell r="U34">
            <v>0.20778878404298573</v>
          </cell>
          <cell r="V34"/>
          <cell r="W34">
            <v>421.02298308704161</v>
          </cell>
          <cell r="X34">
            <v>46.351787881446164</v>
          </cell>
          <cell r="Y34">
            <v>0.27355941521068861</v>
          </cell>
        </row>
        <row r="35">
          <cell r="N35" t="str">
            <v>Water</v>
          </cell>
          <cell r="O35">
            <v>110.09132836975174</v>
          </cell>
          <cell r="P35">
            <v>12.434547805050322</v>
          </cell>
          <cell r="Q35">
            <v>0.64069225554409759</v>
          </cell>
          <cell r="S35">
            <v>11.267858131752156</v>
          </cell>
          <cell r="T35">
            <v>1.2513754866838833</v>
          </cell>
          <cell r="U35">
            <v>0.78650904842011471</v>
          </cell>
          <cell r="W35">
            <v>1110.1147550911437</v>
          </cell>
          <cell r="X35">
            <v>122.90037404051435</v>
          </cell>
          <cell r="Y35">
            <v>0.72129635535052794</v>
          </cell>
        </row>
        <row r="36">
          <cell r="O36">
            <v>171.83183879171202</v>
          </cell>
          <cell r="P36">
            <v>19.265307970274183</v>
          </cell>
          <cell r="S36">
            <v>14.3264189450665</v>
          </cell>
          <cell r="T36">
            <v>1.5959154687501007</v>
          </cell>
          <cell r="W36">
            <v>1539.0549901665065</v>
          </cell>
          <cell r="X36">
            <v>170.12662675409996</v>
          </cell>
        </row>
        <row r="38">
          <cell r="M38">
            <v>2025</v>
          </cell>
          <cell r="O38">
            <v>23.856079280953438</v>
          </cell>
          <cell r="P38">
            <v>2.3453967587810607</v>
          </cell>
          <cell r="S38">
            <v>2.1698536077673429</v>
          </cell>
          <cell r="T38">
            <v>0.2131443460461615</v>
          </cell>
          <cell r="W38">
            <v>215.56515361796517</v>
          </cell>
          <cell r="X38">
            <v>21.169067776266989</v>
          </cell>
        </row>
        <row r="39">
          <cell r="M39">
            <v>2030</v>
          </cell>
          <cell r="O39">
            <v>171.83183879171202</v>
          </cell>
          <cell r="P39">
            <v>19.265307970274183</v>
          </cell>
          <cell r="S39">
            <v>14.3264189450665</v>
          </cell>
          <cell r="T39">
            <v>1.5959154687501007</v>
          </cell>
          <cell r="W39">
            <v>1539.0549901665065</v>
          </cell>
          <cell r="X39">
            <v>170.12662675409996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4184961.5705066938</v>
          </cell>
          <cell r="D36">
            <v>0.23504399757575303</v>
          </cell>
          <cell r="E36">
            <v>29794746.102495007</v>
          </cell>
        </row>
        <row r="37">
          <cell r="B37" t="str">
            <v>Sur</v>
          </cell>
          <cell r="C37">
            <v>178559.97804945856</v>
          </cell>
          <cell r="D37">
            <v>1.881730268919465E-2</v>
          </cell>
          <cell r="E37">
            <v>1731863.145809737</v>
          </cell>
        </row>
        <row r="38">
          <cell r="B38" t="str">
            <v>TARC</v>
          </cell>
          <cell r="C38">
            <v>9453353.867336046</v>
          </cell>
          <cell r="D38">
            <v>0.97324891575676786</v>
          </cell>
          <cell r="E38">
            <v>90489607.859138682</v>
          </cell>
        </row>
        <row r="39">
          <cell r="B39" t="str">
            <v>Polymer</v>
          </cell>
          <cell r="C39">
            <v>282696.82772798021</v>
          </cell>
          <cell r="D39">
            <v>1.5679873082014274E-2</v>
          </cell>
          <cell r="E39">
            <v>2002267.562173306</v>
          </cell>
        </row>
        <row r="40">
          <cell r="B40" t="str">
            <v>ITC</v>
          </cell>
          <cell r="C40">
            <v>5040214.6657364862</v>
          </cell>
          <cell r="D40">
            <v>0.50091452882176957</v>
          </cell>
          <cell r="E40">
            <v>47315731.693303511</v>
          </cell>
        </row>
        <row r="41">
          <cell r="B41" t="str">
            <v>PBO</v>
          </cell>
          <cell r="C41">
            <v>2536605.9131069495</v>
          </cell>
          <cell r="D41">
            <v>0.13729920955586261</v>
          </cell>
          <cell r="E41">
            <v>17818193.669246513</v>
          </cell>
        </row>
        <row r="42">
          <cell r="C42">
            <v>21676392.822463613</v>
          </cell>
          <cell r="D42">
            <v>1.8810038274813619</v>
          </cell>
          <cell r="E42">
            <v>189152410.03216675</v>
          </cell>
        </row>
        <row r="44">
          <cell r="A44">
            <v>2030</v>
          </cell>
          <cell r="B44" t="str">
            <v>PAG</v>
          </cell>
          <cell r="C44">
            <v>30041391.389522973</v>
          </cell>
          <cell r="D44">
            <v>1.5670946206468297</v>
          </cell>
          <cell r="E44">
            <v>212996517.85612315</v>
          </cell>
        </row>
        <row r="45">
          <cell r="B45" t="str">
            <v>Sur</v>
          </cell>
          <cell r="C45">
            <v>1213893.2535842103</v>
          </cell>
          <cell r="D45">
            <v>0.11942581275794356</v>
          </cell>
          <cell r="E45">
            <v>11770939.871204009</v>
          </cell>
        </row>
        <row r="46">
          <cell r="B46" t="str">
            <v>TARC</v>
          </cell>
          <cell r="C46">
            <v>66211328.53601519</v>
          </cell>
          <cell r="D46">
            <v>6.3542919288231854</v>
          </cell>
          <cell r="E46">
            <v>633103409.97334123</v>
          </cell>
        </row>
        <row r="47">
          <cell r="B47" t="str">
            <v>Polymer</v>
          </cell>
          <cell r="C47">
            <v>2030844.0690038134</v>
          </cell>
          <cell r="D47">
            <v>0.10467794643976416</v>
          </cell>
          <cell r="E47">
            <v>14327536.363709638</v>
          </cell>
        </row>
        <row r="48">
          <cell r="B48" t="str">
            <v>ITC</v>
          </cell>
          <cell r="C48">
            <v>35111320.465493709</v>
          </cell>
          <cell r="D48">
            <v>3.2467299283612077</v>
          </cell>
          <cell r="E48">
            <v>328878886.21879232</v>
          </cell>
        </row>
        <row r="49">
          <cell r="B49" t="str">
            <v>PBO</v>
          </cell>
          <cell r="C49">
            <v>23004476.301826946</v>
          </cell>
          <cell r="D49">
            <v>1.1576667164501453</v>
          </cell>
          <cell r="E49">
            <v>161015764.20111027</v>
          </cell>
        </row>
        <row r="50">
          <cell r="C50">
            <v>157613254.01544684</v>
          </cell>
          <cell r="D50">
            <v>12.549886953479074</v>
          </cell>
          <cell r="E50">
            <v>1362093054.4842806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6.4946084138085877E-2</v>
          </cell>
          <cell r="P26">
            <v>6.2352594179679579E-3</v>
          </cell>
          <cell r="Q26">
            <v>2.9961665979212708E-3</v>
          </cell>
          <cell r="S26">
            <v>5.3074665384064065E-3</v>
          </cell>
          <cell r="T26">
            <v>5.0940972197472594E-4</v>
          </cell>
          <cell r="U26">
            <v>2.8216138961891591E-3</v>
          </cell>
          <cell r="W26">
            <v>0.49214066855698752</v>
          </cell>
          <cell r="X26">
            <v>4.7213369177067019E-2</v>
          </cell>
          <cell r="Y26">
            <v>2.6018207670380484E-3</v>
          </cell>
        </row>
        <row r="27">
          <cell r="N27" t="str">
            <v>Solid</v>
          </cell>
          <cell r="O27">
            <v>7.6988335910213979E-2</v>
          </cell>
          <cell r="P27">
            <v>7.3937633512106441E-3</v>
          </cell>
          <cell r="Q27">
            <v>3.5517134488552747E-3</v>
          </cell>
          <cell r="S27">
            <v>6.2914890436052261E-3</v>
          </cell>
          <cell r="T27">
            <v>6.0404921693867216E-4</v>
          </cell>
          <cell r="U27">
            <v>3.3447507930004818E-3</v>
          </cell>
          <cell r="W27">
            <v>0.58339209509402756</v>
          </cell>
          <cell r="X27">
            <v>5.5985337582734065E-2</v>
          </cell>
          <cell r="Y27">
            <v>3.0842435208455316E-3</v>
          </cell>
        </row>
        <row r="28">
          <cell r="N28" t="str">
            <v>Solvent</v>
          </cell>
          <cell r="O28">
            <v>7.7591649019033371</v>
          </cell>
          <cell r="P28">
            <v>0.7448608875431606</v>
          </cell>
          <cell r="Q28">
            <v>0.35795461751654456</v>
          </cell>
          <cell r="S28">
            <v>0.40902614349689659</v>
          </cell>
          <cell r="T28">
            <v>3.9308737346147267E-2</v>
          </cell>
          <cell r="U28">
            <v>0.21745098947755834</v>
          </cell>
          <cell r="W28">
            <v>53.997945257436335</v>
          </cell>
          <cell r="X28">
            <v>5.1816406460971667</v>
          </cell>
          <cell r="Y28">
            <v>0.28547320781296731</v>
          </cell>
        </row>
        <row r="29">
          <cell r="N29" t="str">
            <v>Water</v>
          </cell>
          <cell r="O29">
            <v>13.775293500511982</v>
          </cell>
          <cell r="P29">
            <v>1.3230637504146525</v>
          </cell>
          <cell r="Q29">
            <v>0.63549750243667891</v>
          </cell>
          <cell r="S29">
            <v>1.4603787284024536</v>
          </cell>
          <cell r="T29">
            <v>0.1400682771964144</v>
          </cell>
          <cell r="U29">
            <v>0.77638264583325201</v>
          </cell>
          <cell r="W29">
            <v>134.07893201107939</v>
          </cell>
          <cell r="X29">
            <v>12.859878636265364</v>
          </cell>
          <cell r="Y29">
            <v>0.7088407278991492</v>
          </cell>
        </row>
        <row r="30">
          <cell r="O30">
            <v>21.676392822463619</v>
          </cell>
          <cell r="P30">
            <v>2.0815536607269918</v>
          </cell>
          <cell r="S30">
            <v>1.8810038274813619</v>
          </cell>
          <cell r="T30">
            <v>0.18049047348147507</v>
          </cell>
          <cell r="W30">
            <v>189.15241003216673</v>
          </cell>
          <cell r="X30">
            <v>18.144717989122331</v>
          </cell>
        </row>
        <row r="32">
          <cell r="M32">
            <v>2030</v>
          </cell>
          <cell r="N32" t="str">
            <v>Gas</v>
          </cell>
          <cell r="O32">
            <v>0.45881366389006073</v>
          </cell>
          <cell r="P32">
            <v>5.1420869640990373E-2</v>
          </cell>
          <cell r="Q32">
            <v>2.9110093992799286E-3</v>
          </cell>
          <cell r="S32">
            <v>3.5670038989867474E-2</v>
          </cell>
          <cell r="T32">
            <v>3.9943419018987764E-3</v>
          </cell>
          <cell r="U32">
            <v>2.8422597846571871E-3</v>
          </cell>
          <cell r="W32">
            <v>3.4569485718255835</v>
          </cell>
          <cell r="X32">
            <v>0.38382557587108351</v>
          </cell>
          <cell r="Y32">
            <v>2.5379679901050981E-3</v>
          </cell>
        </row>
        <row r="33">
          <cell r="N33" t="str">
            <v>Solid</v>
          </cell>
          <cell r="O33">
            <v>0.59206574672782575</v>
          </cell>
          <cell r="P33">
            <v>6.6359849879092769E-2</v>
          </cell>
          <cell r="Q33">
            <v>3.7564464386339014E-3</v>
          </cell>
          <cell r="S33">
            <v>4.6028072425550043E-2</v>
          </cell>
          <cell r="T33">
            <v>5.1546287911254634E-3</v>
          </cell>
          <cell r="U33">
            <v>3.667608528759708E-3</v>
          </cell>
          <cell r="V33"/>
          <cell r="W33">
            <v>4.4609247894500772</v>
          </cell>
          <cell r="X33">
            <v>0.49533160282642996</v>
          </cell>
          <cell r="Y33">
            <v>3.2750514179364087E-3</v>
          </cell>
        </row>
        <row r="34">
          <cell r="N34" t="str">
            <v>Solvent</v>
          </cell>
          <cell r="O34">
            <v>60.694399575525146</v>
          </cell>
          <cell r="P34">
            <v>6.7499898439258317</v>
          </cell>
          <cell r="Q34">
            <v>0.3850843633339161</v>
          </cell>
          <cell r="S34">
            <v>2.9771026539724303</v>
          </cell>
          <cell r="T34">
            <v>0.3372466043135009</v>
          </cell>
          <cell r="U34">
            <v>0.23722147179557815</v>
          </cell>
          <cell r="V34"/>
          <cell r="W34">
            <v>421.05551429108385</v>
          </cell>
          <cell r="X34">
            <v>46.602765537893639</v>
          </cell>
          <cell r="Y34">
            <v>0.30912389789000505</v>
          </cell>
        </row>
        <row r="35">
          <cell r="N35" t="str">
            <v>Water</v>
          </cell>
          <cell r="O35">
            <v>95.867975029303807</v>
          </cell>
          <cell r="P35">
            <v>10.865668818387549</v>
          </cell>
          <cell r="Q35">
            <v>0.60824818082817</v>
          </cell>
          <cell r="S35">
            <v>9.4910861880912272</v>
          </cell>
          <cell r="T35">
            <v>1.0597206050150922</v>
          </cell>
          <cell r="U35">
            <v>0.756268659891005</v>
          </cell>
          <cell r="W35">
            <v>933.11966683192111</v>
          </cell>
          <cell r="X35">
            <v>103.82258023523814</v>
          </cell>
          <cell r="Y35">
            <v>0.68506308270195349</v>
          </cell>
        </row>
        <row r="36">
          <cell r="O36">
            <v>157.61325401544684</v>
          </cell>
          <cell r="P36">
            <v>17.733439381833463</v>
          </cell>
          <cell r="S36">
            <v>12.549886953479074</v>
          </cell>
          <cell r="T36">
            <v>1.4061161800216173</v>
          </cell>
          <cell r="W36">
            <v>1362.0930544842806</v>
          </cell>
          <cell r="X36">
            <v>151.30450295182928</v>
          </cell>
        </row>
        <row r="38">
          <cell r="M38">
            <v>2025</v>
          </cell>
          <cell r="O38">
            <v>21.676392822463619</v>
          </cell>
          <cell r="P38">
            <v>2.0815536607269918</v>
          </cell>
          <cell r="S38">
            <v>1.8810038274813619</v>
          </cell>
          <cell r="T38">
            <v>0.18049047348147507</v>
          </cell>
          <cell r="W38">
            <v>189.15241003216673</v>
          </cell>
          <cell r="X38">
            <v>18.144717989122331</v>
          </cell>
        </row>
        <row r="39">
          <cell r="M39">
            <v>2030</v>
          </cell>
          <cell r="O39">
            <v>157.61325401544684</v>
          </cell>
          <cell r="P39">
            <v>17.733439381833463</v>
          </cell>
          <cell r="S39">
            <v>12.549886953479074</v>
          </cell>
          <cell r="T39">
            <v>1.4061161800216173</v>
          </cell>
          <cell r="W39">
            <v>1362.0930544842806</v>
          </cell>
          <cell r="X39">
            <v>151.30450295182928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4167207.4290073765</v>
          </cell>
          <cell r="D36">
            <v>0.23245329536709863</v>
          </cell>
          <cell r="E36">
            <v>29563812.407481752</v>
          </cell>
        </row>
        <row r="37">
          <cell r="B37" t="str">
            <v>Sur</v>
          </cell>
          <cell r="C37">
            <v>162222.69852422303</v>
          </cell>
          <cell r="D37">
            <v>1.6637285352594622E-2</v>
          </cell>
          <cell r="E37">
            <v>1532711.7625076296</v>
          </cell>
        </row>
        <row r="38">
          <cell r="B38" t="str">
            <v>TARC</v>
          </cell>
          <cell r="C38">
            <v>8628927.6713460907</v>
          </cell>
          <cell r="D38">
            <v>0.86320622639430777</v>
          </cell>
          <cell r="E38">
            <v>80437971.475377589</v>
          </cell>
        </row>
        <row r="39">
          <cell r="B39" t="str">
            <v>Polymer</v>
          </cell>
          <cell r="C39">
            <v>281849.67175183725</v>
          </cell>
          <cell r="D39">
            <v>1.5551646515797995E-2</v>
          </cell>
          <cell r="E39">
            <v>1990946.5447631539</v>
          </cell>
        </row>
        <row r="40">
          <cell r="B40" t="str">
            <v>ITC</v>
          </cell>
          <cell r="C40">
            <v>4631765.2079750132</v>
          </cell>
          <cell r="D40">
            <v>0.4463826833789219</v>
          </cell>
          <cell r="E40">
            <v>42334752.690423079</v>
          </cell>
        </row>
        <row r="41">
          <cell r="B41" t="str">
            <v>PBO</v>
          </cell>
          <cell r="C41">
            <v>2533236.5766482656</v>
          </cell>
          <cell r="D41">
            <v>0.13671697080678563</v>
          </cell>
          <cell r="E41">
            <v>17768459.443261433</v>
          </cell>
        </row>
        <row r="42">
          <cell r="C42">
            <v>20405209.255252808</v>
          </cell>
          <cell r="D42">
            <v>1.7109481078155069</v>
          </cell>
          <cell r="E42">
            <v>173628654.32381463</v>
          </cell>
        </row>
        <row r="44">
          <cell r="A44">
            <v>2030</v>
          </cell>
          <cell r="B44" t="str">
            <v>PAG</v>
          </cell>
          <cell r="C44">
            <v>29981494.57143531</v>
          </cell>
          <cell r="D44">
            <v>1.554195412555321</v>
          </cell>
          <cell r="E44">
            <v>211852362.01064795</v>
          </cell>
        </row>
        <row r="45">
          <cell r="B45" t="str">
            <v>Sur</v>
          </cell>
          <cell r="C45">
            <v>1109968.3347304619</v>
          </cell>
          <cell r="D45">
            <v>0.10636496778817774</v>
          </cell>
          <cell r="E45">
            <v>10469586.44746376</v>
          </cell>
        </row>
        <row r="46">
          <cell r="B46" t="str">
            <v>TARC</v>
          </cell>
          <cell r="C46">
            <v>60828198.416236743</v>
          </cell>
          <cell r="D46">
            <v>5.6771817476427815</v>
          </cell>
          <cell r="E46">
            <v>565650891.45904028</v>
          </cell>
        </row>
        <row r="47">
          <cell r="B47" t="str">
            <v>Polymer</v>
          </cell>
          <cell r="C47">
            <v>2029089.2256973051</v>
          </cell>
          <cell r="D47">
            <v>0.1040893887655156</v>
          </cell>
          <cell r="E47">
            <v>14278559.145531882</v>
          </cell>
        </row>
        <row r="48">
          <cell r="B48" t="str">
            <v>ITC</v>
          </cell>
          <cell r="C48">
            <v>32474895.961088825</v>
          </cell>
          <cell r="D48">
            <v>2.9145953132467453</v>
          </cell>
          <cell r="E48">
            <v>295807269.06415057</v>
          </cell>
        </row>
        <row r="49">
          <cell r="B49" t="str">
            <v>PBO</v>
          </cell>
          <cell r="C49">
            <v>23019689.93849811</v>
          </cell>
          <cell r="D49">
            <v>1.1553417037374754</v>
          </cell>
          <cell r="E49">
            <v>160896445.9690209</v>
          </cell>
        </row>
        <row r="50">
          <cell r="C50">
            <v>149443336.44768673</v>
          </cell>
          <cell r="D50">
            <v>11.511768533736015</v>
          </cell>
          <cell r="E50">
            <v>1258955114.0958552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6.4991821291500385E-2</v>
          </cell>
          <cell r="P26">
            <v>6.4867851551608383E-3</v>
          </cell>
          <cell r="Q26">
            <v>3.1850602695863007E-3</v>
          </cell>
          <cell r="S26">
            <v>5.3112250159305886E-3</v>
          </cell>
          <cell r="T26">
            <v>5.2998555868496262E-4</v>
          </cell>
          <cell r="U26">
            <v>3.1042583884743425E-3</v>
          </cell>
          <cell r="W26">
            <v>0.49248747557833034</v>
          </cell>
          <cell r="X26">
            <v>4.9118634375724585E-2</v>
          </cell>
          <cell r="Y26">
            <v>2.8364412400492907E-3</v>
          </cell>
        </row>
        <row r="27">
          <cell r="N27" t="str">
            <v>Solid</v>
          </cell>
          <cell r="O27">
            <v>7.7041955152503908E-2</v>
          </cell>
          <cell r="P27">
            <v>7.6912794953428723E-3</v>
          </cell>
          <cell r="Q27">
            <v>3.7756023076642256E-3</v>
          </cell>
          <cell r="S27">
            <v>6.2958954536165186E-3</v>
          </cell>
          <cell r="T27">
            <v>6.2838701979056459E-4</v>
          </cell>
          <cell r="U27">
            <v>3.6797699619627584E-3</v>
          </cell>
          <cell r="W27">
            <v>0.58379867128161556</v>
          </cell>
          <cell r="X27">
            <v>5.8238966021450345E-2</v>
          </cell>
          <cell r="Y27">
            <v>3.3623405857471002E-3</v>
          </cell>
        </row>
        <row r="28">
          <cell r="N28" t="str">
            <v>Solvent</v>
          </cell>
          <cell r="O28">
            <v>7.764534475857154</v>
          </cell>
          <cell r="P28">
            <v>0.77479605786491379</v>
          </cell>
          <cell r="Q28">
            <v>0.38051726785690132</v>
          </cell>
          <cell r="S28">
            <v>0.40931153484295646</v>
          </cell>
          <cell r="T28">
            <v>4.0890766796254197E-2</v>
          </cell>
          <cell r="U28">
            <v>0.23923082937071349</v>
          </cell>
          <cell r="W28">
            <v>54.035327418946693</v>
          </cell>
          <cell r="X28">
            <v>5.3899272956588034</v>
          </cell>
          <cell r="Y28">
            <v>0.31121203829738664</v>
          </cell>
        </row>
        <row r="29">
          <cell r="N29" t="str">
            <v>Water</v>
          </cell>
          <cell r="O29">
            <v>12.498641002951651</v>
          </cell>
          <cell r="P29">
            <v>1.2480132554408203</v>
          </cell>
          <cell r="Q29">
            <v>0.61252206956584831</v>
          </cell>
          <cell r="S29">
            <v>1.2900294525030027</v>
          </cell>
          <cell r="T29">
            <v>0.12865590363342294</v>
          </cell>
          <cell r="U29">
            <v>0.7539851422788495</v>
          </cell>
          <cell r="W29">
            <v>118.51704075800798</v>
          </cell>
          <cell r="X29">
            <v>11.8188179249622</v>
          </cell>
          <cell r="Y29">
            <v>0.68258917987681711</v>
          </cell>
        </row>
        <row r="30">
          <cell r="O30">
            <v>20.405209255252807</v>
          </cell>
          <cell r="P30">
            <v>2.0369873779562377</v>
          </cell>
          <cell r="S30">
            <v>1.7109481078155062</v>
          </cell>
          <cell r="T30">
            <v>0.17070504300815267</v>
          </cell>
          <cell r="W30">
            <v>173.6286543238146</v>
          </cell>
          <cell r="X30">
            <v>17.316102821018177</v>
          </cell>
        </row>
        <row r="32">
          <cell r="M32">
            <v>2030</v>
          </cell>
          <cell r="N32" t="str">
            <v>Gas</v>
          </cell>
          <cell r="O32">
            <v>0.45995226293170671</v>
          </cell>
          <cell r="P32">
            <v>5.1469389861982615E-2</v>
          </cell>
          <cell r="Q32">
            <v>3.0777703032126482E-3</v>
          </cell>
          <cell r="S32">
            <v>3.5758626411231682E-2</v>
          </cell>
          <cell r="T32">
            <v>3.9981388891250011E-3</v>
          </cell>
          <cell r="U32">
            <v>3.1062669742219547E-3</v>
          </cell>
          <cell r="W32">
            <v>3.4655281273439162</v>
          </cell>
          <cell r="X32">
            <v>0.38418849865385346</v>
          </cell>
          <cell r="Y32">
            <v>2.7527018942472442E-3</v>
          </cell>
        </row>
        <row r="33">
          <cell r="N33" t="str">
            <v>Solid</v>
          </cell>
          <cell r="O33">
            <v>0.59353088826068334</v>
          </cell>
          <cell r="P33">
            <v>6.6420811504035379E-2</v>
          </cell>
          <cell r="Q33">
            <v>3.9716115978744304E-3</v>
          </cell>
          <cell r="S33">
            <v>4.6142059939252647E-2</v>
          </cell>
          <cell r="T33">
            <v>5.1594012695232554E-3</v>
          </cell>
          <cell r="U33">
            <v>4.0082511912943892E-3</v>
          </cell>
          <cell r="V33"/>
          <cell r="W33">
            <v>4.4719648363248616</v>
          </cell>
          <cell r="X33">
            <v>0.49578763546331572</v>
          </cell>
          <cell r="Y33">
            <v>3.5521241275837667E-3</v>
          </cell>
        </row>
        <row r="34">
          <cell r="N34" t="str">
            <v>Solvent</v>
          </cell>
          <cell r="O34">
            <v>60.84459367876066</v>
          </cell>
          <cell r="P34">
            <v>6.7561954600445278</v>
          </cell>
          <cell r="Q34">
            <v>0.40714156365251891</v>
          </cell>
          <cell r="S34">
            <v>2.9844776971402229</v>
          </cell>
          <cell r="T34">
            <v>0.33755925701260847</v>
          </cell>
          <cell r="U34">
            <v>0.25925449147053375</v>
          </cell>
          <cell r="V34"/>
          <cell r="W34">
            <v>422.09750388692783</v>
          </cell>
          <cell r="X34">
            <v>46.645658430791187</v>
          </cell>
          <cell r="Y34">
            <v>0.33527605484971229</v>
          </cell>
        </row>
        <row r="35">
          <cell r="N35" t="str">
            <v>Water</v>
          </cell>
          <cell r="O35">
            <v>87.545259617733706</v>
          </cell>
          <cell r="P35">
            <v>9.8937045958901635</v>
          </cell>
          <cell r="Q35">
            <v>0.58580905444639397</v>
          </cell>
          <cell r="S35">
            <v>8.4453901502453075</v>
          </cell>
          <cell r="T35">
            <v>0.94167784620161077</v>
          </cell>
          <cell r="U35">
            <v>0.73363099036394985</v>
          </cell>
          <cell r="W35">
            <v>828.92011724525878</v>
          </cell>
          <cell r="X35">
            <v>92.068719105547061</v>
          </cell>
          <cell r="Y35">
            <v>0.65841911912845663</v>
          </cell>
        </row>
        <row r="36">
          <cell r="O36">
            <v>149.44333644768676</v>
          </cell>
          <cell r="P36">
            <v>16.76779025730071</v>
          </cell>
          <cell r="S36">
            <v>11.511768533736015</v>
          </cell>
          <cell r="T36">
            <v>1.2883946433728675</v>
          </cell>
          <cell r="W36">
            <v>1258.9551140958554</v>
          </cell>
          <cell r="X36">
            <v>139.5943536704554</v>
          </cell>
        </row>
        <row r="38">
          <cell r="M38">
            <v>2025</v>
          </cell>
          <cell r="O38">
            <v>20.405209255252807</v>
          </cell>
          <cell r="P38">
            <v>2.0369873779562377</v>
          </cell>
          <cell r="S38">
            <v>1.7109481078155062</v>
          </cell>
          <cell r="T38">
            <v>0.17070504300815267</v>
          </cell>
          <cell r="W38">
            <v>173.6286543238146</v>
          </cell>
          <cell r="X38">
            <v>17.316102821018177</v>
          </cell>
        </row>
        <row r="39">
          <cell r="M39">
            <v>2030</v>
          </cell>
          <cell r="O39">
            <v>149.44333644768676</v>
          </cell>
          <cell r="P39">
            <v>16.76779025730071</v>
          </cell>
          <cell r="S39">
            <v>11.511768533736015</v>
          </cell>
          <cell r="T39">
            <v>1.2883946433728675</v>
          </cell>
          <cell r="W39">
            <v>1258.9551140958554</v>
          </cell>
          <cell r="X39">
            <v>139.5943536704554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4158056.809298398</v>
          </cell>
          <cell r="D36">
            <v>0.23087281461262152</v>
          </cell>
          <cell r="E36">
            <v>29428772.137407832</v>
          </cell>
        </row>
        <row r="37">
          <cell r="B37" t="str">
            <v>Sur</v>
          </cell>
          <cell r="C37">
            <v>151416.07114959456</v>
          </cell>
          <cell r="D37">
            <v>1.519195145897209E-2</v>
          </cell>
          <cell r="E37">
            <v>1400691.639949189</v>
          </cell>
        </row>
        <row r="38">
          <cell r="B38" t="str">
            <v>TARC</v>
          </cell>
          <cell r="C38">
            <v>8083754.6402261704</v>
          </cell>
          <cell r="D38">
            <v>0.79025095342782936</v>
          </cell>
          <cell r="E38">
            <v>73775401.776840717</v>
          </cell>
        </row>
        <row r="39">
          <cell r="B39" t="str">
            <v>Polymer</v>
          </cell>
          <cell r="C39">
            <v>281466.97762888926</v>
          </cell>
          <cell r="D39">
            <v>1.5476029818181549E-2</v>
          </cell>
          <cell r="E39">
            <v>1984678.318430528</v>
          </cell>
        </row>
        <row r="40">
          <cell r="B40" t="str">
            <v>ITC</v>
          </cell>
          <cell r="C40">
            <v>4362012.1761726877</v>
          </cell>
          <cell r="D40">
            <v>0.4102528876812977</v>
          </cell>
          <cell r="E40">
            <v>39035856.990338802</v>
          </cell>
        </row>
        <row r="41">
          <cell r="B41" t="str">
            <v>PBO</v>
          </cell>
          <cell r="C41">
            <v>2532708.3306586663</v>
          </cell>
          <cell r="D41">
            <v>0.13642035135635383</v>
          </cell>
          <cell r="E41">
            <v>17747317.588798743</v>
          </cell>
        </row>
        <row r="42">
          <cell r="C42">
            <v>19569415.005134404</v>
          </cell>
          <cell r="D42">
            <v>1.598464988355256</v>
          </cell>
          <cell r="E42">
            <v>163372718.45176581</v>
          </cell>
        </row>
        <row r="44">
          <cell r="A44">
            <v>2030</v>
          </cell>
          <cell r="B44" t="str">
            <v>PAG</v>
          </cell>
          <cell r="C44">
            <v>29853091.334213495</v>
          </cell>
          <cell r="D44">
            <v>1.5409732539822965</v>
          </cell>
          <cell r="E44">
            <v>210463668.13888243</v>
          </cell>
        </row>
        <row r="45">
          <cell r="B45" t="str">
            <v>Sur</v>
          </cell>
          <cell r="C45">
            <v>1037316.9591292139</v>
          </cell>
          <cell r="D45">
            <v>9.7330777009369346E-2</v>
          </cell>
          <cell r="E45">
            <v>9569991.611408243</v>
          </cell>
        </row>
        <row r="46">
          <cell r="B46" t="str">
            <v>TARC</v>
          </cell>
          <cell r="C46">
            <v>57057152.790361397</v>
          </cell>
          <cell r="D46">
            <v>5.2085246521078599</v>
          </cell>
          <cell r="E46">
            <v>518973065.95492363</v>
          </cell>
        </row>
        <row r="47">
          <cell r="B47" t="str">
            <v>Polymer</v>
          </cell>
          <cell r="C47">
            <v>2021933.8096289458</v>
          </cell>
          <cell r="D47">
            <v>0.10338766062782132</v>
          </cell>
          <cell r="E47">
            <v>14203745.992089894</v>
          </cell>
        </row>
        <row r="48">
          <cell r="B48" t="str">
            <v>ITC</v>
          </cell>
          <cell r="C48">
            <v>30619023.939331651</v>
          </cell>
          <cell r="D48">
            <v>2.6842280345125591</v>
          </cell>
          <cell r="E48">
            <v>272857177.59925526</v>
          </cell>
        </row>
        <row r="49">
          <cell r="B49" t="str">
            <v>PBO</v>
          </cell>
          <cell r="C49">
            <v>22964433.751871437</v>
          </cell>
          <cell r="D49">
            <v>1.1504855199689508</v>
          </cell>
          <cell r="E49">
            <v>160359468.66171128</v>
          </cell>
        </row>
        <row r="50">
          <cell r="C50">
            <v>143552952.58453614</v>
          </cell>
          <cell r="D50">
            <v>10.784929898208857</v>
          </cell>
          <cell r="E50">
            <v>1186427117.9582705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6.506451195981218E-2</v>
          </cell>
          <cell r="P26">
            <v>6.4989236478086689E-3</v>
          </cell>
          <cell r="Q26">
            <v>3.3248061806007622E-3</v>
          </cell>
          <cell r="S26">
            <v>5.3171608877584028E-3</v>
          </cell>
          <cell r="T26">
            <v>5.3098222018495495E-4</v>
          </cell>
          <cell r="U26">
            <v>3.3264168602338343E-3</v>
          </cell>
          <cell r="W26">
            <v>0.49303825351431602</v>
          </cell>
          <cell r="X26">
            <v>4.9210680031073789E-2</v>
          </cell>
          <cell r="Y26">
            <v>3.017873842014086E-3</v>
          </cell>
        </row>
        <row r="27">
          <cell r="N27" t="str">
            <v>Solid</v>
          </cell>
          <cell r="O27">
            <v>7.7128252038666703E-2</v>
          </cell>
          <cell r="P27">
            <v>7.7055424303839482E-3</v>
          </cell>
          <cell r="Q27">
            <v>3.9412650821923209E-3</v>
          </cell>
          <cell r="S27">
            <v>6.3029422984573428E-3</v>
          </cell>
          <cell r="T27">
            <v>6.2955824837604966E-4</v>
          </cell>
          <cell r="U27">
            <v>3.9431218978044488E-3</v>
          </cell>
          <cell r="W27">
            <v>0.5844525425656657</v>
          </cell>
          <cell r="X27">
            <v>5.8347124828339481E-2</v>
          </cell>
          <cell r="Y27">
            <v>3.5774182379062244E-3</v>
          </cell>
        </row>
        <row r="28">
          <cell r="N28" t="str">
            <v>Solvent</v>
          </cell>
          <cell r="O28">
            <v>7.7732391768212645</v>
          </cell>
          <cell r="P28">
            <v>0.77622624790817996</v>
          </cell>
          <cell r="Q28">
            <v>0.39721367116910788</v>
          </cell>
          <cell r="S28">
            <v>0.40976989915579393</v>
          </cell>
          <cell r="T28">
            <v>4.0966672089751119E-2</v>
          </cell>
          <cell r="U28">
            <v>0.25635212665960705</v>
          </cell>
          <cell r="W28">
            <v>54.095902553482532</v>
          </cell>
          <cell r="X28">
            <v>5.3998844499702141</v>
          </cell>
          <cell r="Y28">
            <v>0.33111955941073368</v>
          </cell>
        </row>
        <row r="29">
          <cell r="N29" t="str">
            <v>Water</v>
          </cell>
          <cell r="O29">
            <v>11.653983064314666</v>
          </cell>
          <cell r="P29">
            <v>1.1644954318889005</v>
          </cell>
          <cell r="Q29">
            <v>0.59552025756809901</v>
          </cell>
          <cell r="S29">
            <v>1.1770749860132463</v>
          </cell>
          <cell r="T29">
            <v>0.11748606075820361</v>
          </cell>
          <cell r="U29">
            <v>0.73637833458235469</v>
          </cell>
          <cell r="W29">
            <v>108.19932510220328</v>
          </cell>
          <cell r="X29">
            <v>10.79822223295778</v>
          </cell>
          <cell r="Y29">
            <v>0.66228514850934594</v>
          </cell>
        </row>
        <row r="30">
          <cell r="O30">
            <v>19.56941500513441</v>
          </cell>
          <cell r="P30">
            <v>1.9549261458752731</v>
          </cell>
          <cell r="S30">
            <v>1.598464988355256</v>
          </cell>
          <cell r="T30">
            <v>0.15961327331651573</v>
          </cell>
          <cell r="W30">
            <v>163.37271845176579</v>
          </cell>
          <cell r="X30">
            <v>16.305664487787407</v>
          </cell>
        </row>
        <row r="32">
          <cell r="M32">
            <v>2030</v>
          </cell>
          <cell r="N32" t="str">
            <v>Gas</v>
          </cell>
          <cell r="O32">
            <v>0.45935377867786958</v>
          </cell>
          <cell r="P32">
            <v>5.155041217932485E-2</v>
          </cell>
          <cell r="Q32">
            <v>3.1998908445116316E-3</v>
          </cell>
          <cell r="S32">
            <v>3.5711686770796086E-2</v>
          </cell>
          <cell r="T32">
            <v>4.0048201739207564E-3</v>
          </cell>
          <cell r="U32">
            <v>3.3112581266501353E-3</v>
          </cell>
          <cell r="W32">
            <v>3.4610143665218862</v>
          </cell>
          <cell r="X32">
            <v>0.38480365692474233</v>
          </cell>
          <cell r="Y32">
            <v>2.9171740211720431E-3</v>
          </cell>
        </row>
        <row r="33">
          <cell r="N33" t="str">
            <v>Solid</v>
          </cell>
          <cell r="O33">
            <v>0.59278313179513042</v>
          </cell>
          <cell r="P33">
            <v>6.650210230990658E-2</v>
          </cell>
          <cell r="Q33">
            <v>4.1293691360757591E-3</v>
          </cell>
          <cell r="S33">
            <v>4.6083395326185203E-2</v>
          </cell>
          <cell r="T33">
            <v>5.166213401834048E-3</v>
          </cell>
          <cell r="U33">
            <v>4.2729434276470041E-3</v>
          </cell>
          <cell r="V33"/>
          <cell r="W33">
            <v>4.4663250773242211</v>
          </cell>
          <cell r="X33">
            <v>0.49640774285981154</v>
          </cell>
          <cell r="Y33">
            <v>3.764517018972346E-3</v>
          </cell>
        </row>
        <row r="34">
          <cell r="N34" t="str">
            <v>Solvent</v>
          </cell>
          <cell r="O34">
            <v>60.767962712612956</v>
          </cell>
          <cell r="P34">
            <v>6.7645377324280327</v>
          </cell>
          <cell r="Q34">
            <v>0.42331391739802515</v>
          </cell>
          <cell r="S34">
            <v>2.9806695578920825</v>
          </cell>
          <cell r="T34">
            <v>0.33801104683372674</v>
          </cell>
          <cell r="U34">
            <v>0.27637356812000308</v>
          </cell>
          <cell r="V34"/>
          <cell r="W34">
            <v>421.56559613822668</v>
          </cell>
          <cell r="X34">
            <v>46.703906772101568</v>
          </cell>
          <cell r="Y34">
            <v>0.35532363493486341</v>
          </cell>
        </row>
        <row r="35">
          <cell r="N35" t="str">
            <v>Water</v>
          </cell>
          <cell r="O35">
            <v>81.732852961450178</v>
          </cell>
          <cell r="P35">
            <v>9.2523399319357917</v>
          </cell>
          <cell r="Q35">
            <v>0.56935682262138743</v>
          </cell>
          <cell r="S35">
            <v>7.7224652582197919</v>
          </cell>
          <cell r="T35">
            <v>0.86371532450315647</v>
          </cell>
          <cell r="U35">
            <v>0.71604223032569991</v>
          </cell>
          <cell r="W35">
            <v>756.93418237619778</v>
          </cell>
          <cell r="X35">
            <v>84.292733741754105</v>
          </cell>
          <cell r="Y35">
            <v>0.6379946740249921</v>
          </cell>
        </row>
        <row r="36">
          <cell r="O36">
            <v>143.55295258453614</v>
          </cell>
          <cell r="P36">
            <v>16.134930178853054</v>
          </cell>
          <cell r="S36">
            <v>10.784929898208855</v>
          </cell>
          <cell r="T36">
            <v>1.210897404912638</v>
          </cell>
          <cell r="W36">
            <v>1186.4271179582706</v>
          </cell>
          <cell r="X36">
            <v>131.87785191364023</v>
          </cell>
        </row>
        <row r="38">
          <cell r="M38">
            <v>2025</v>
          </cell>
          <cell r="O38">
            <v>19.56941500513441</v>
          </cell>
          <cell r="P38">
            <v>1.9549261458752731</v>
          </cell>
          <cell r="S38">
            <v>1.598464988355256</v>
          </cell>
          <cell r="T38">
            <v>0.15961327331651573</v>
          </cell>
          <cell r="W38">
            <v>163.37271845176579</v>
          </cell>
          <cell r="X38">
            <v>16.305664487787407</v>
          </cell>
        </row>
        <row r="39">
          <cell r="M39">
            <v>2030</v>
          </cell>
          <cell r="O39">
            <v>143.55295258453614</v>
          </cell>
          <cell r="P39">
            <v>16.134930178853054</v>
          </cell>
          <cell r="S39">
            <v>10.784929898208855</v>
          </cell>
          <cell r="T39">
            <v>1.210897404912638</v>
          </cell>
          <cell r="W39">
            <v>1186.4271179582706</v>
          </cell>
          <cell r="X39">
            <v>131.87785191364023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4100113.8266692851</v>
          </cell>
          <cell r="D36">
            <v>0.23711406302372079</v>
          </cell>
          <cell r="E36">
            <v>29637899.380303647</v>
          </cell>
        </row>
        <row r="37">
          <cell r="B37" t="str">
            <v>Sur</v>
          </cell>
          <cell r="C37">
            <v>241809.39784250906</v>
          </cell>
          <cell r="D37">
            <v>2.7435517702539616E-2</v>
          </cell>
          <cell r="E37">
            <v>2518775.2548354804</v>
          </cell>
        </row>
        <row r="38">
          <cell r="B38" t="str">
            <v>TARC</v>
          </cell>
          <cell r="C38">
            <v>12630424.150880726</v>
          </cell>
          <cell r="D38">
            <v>1.407646651180452</v>
          </cell>
          <cell r="E38">
            <v>130113024.51446465</v>
          </cell>
        </row>
        <row r="39">
          <cell r="B39" t="str">
            <v>Polymer</v>
          </cell>
          <cell r="C39">
            <v>275453.86257621524</v>
          </cell>
          <cell r="D39">
            <v>1.5626859496084226E-2</v>
          </cell>
          <cell r="E39">
            <v>1973733.7066026274</v>
          </cell>
        </row>
        <row r="40">
          <cell r="B40" t="str">
            <v>ITC</v>
          </cell>
          <cell r="C40">
            <v>6598444.1229046686</v>
          </cell>
          <cell r="D40">
            <v>0.71523363383704042</v>
          </cell>
          <cell r="E40">
            <v>66833982.667025536</v>
          </cell>
        </row>
        <row r="41">
          <cell r="B41" t="str">
            <v>PBO</v>
          </cell>
          <cell r="C41">
            <v>2452437.9277177248</v>
          </cell>
          <cell r="D41">
            <v>0.13446324594994447</v>
          </cell>
          <cell r="E41">
            <v>17338473.87379675</v>
          </cell>
        </row>
        <row r="42">
          <cell r="C42">
            <v>26298683.288591132</v>
          </cell>
          <cell r="D42">
            <v>2.5375199711897816</v>
          </cell>
          <cell r="E42">
            <v>248415889.39702871</v>
          </cell>
        </row>
        <row r="44">
          <cell r="A44">
            <v>2030</v>
          </cell>
          <cell r="B44" t="str">
            <v>PAG</v>
          </cell>
          <cell r="C44">
            <v>26235602.272068448</v>
          </cell>
          <cell r="D44">
            <v>1.3987558810322667</v>
          </cell>
          <cell r="E44">
            <v>188294996.58969817</v>
          </cell>
        </row>
        <row r="45">
          <cell r="B45" t="str">
            <v>Sur</v>
          </cell>
          <cell r="C45">
            <v>1397214.88670521</v>
          </cell>
          <cell r="D45">
            <v>0.14504949553380161</v>
          </cell>
          <cell r="E45">
            <v>14437992.646467984</v>
          </cell>
        </row>
        <row r="46">
          <cell r="B46" t="str">
            <v>TARC</v>
          </cell>
          <cell r="C46">
            <v>75258135.895598501</v>
          </cell>
          <cell r="D46">
            <v>7.660372414441202</v>
          </cell>
          <cell r="E46">
            <v>768225835.98437524</v>
          </cell>
        </row>
        <row r="47">
          <cell r="B47" t="str">
            <v>Polymer</v>
          </cell>
          <cell r="C47">
            <v>1765947.4667036575</v>
          </cell>
          <cell r="D47">
            <v>9.256394287499442E-2</v>
          </cell>
          <cell r="E47">
            <v>12574809.351257818</v>
          </cell>
        </row>
        <row r="48">
          <cell r="B48" t="str">
            <v>ITC</v>
          </cell>
          <cell r="C48">
            <v>39186671.004893854</v>
          </cell>
          <cell r="D48">
            <v>3.8703270404292982</v>
          </cell>
          <cell r="E48">
            <v>392689901.0019809</v>
          </cell>
        </row>
        <row r="49">
          <cell r="B49" t="str">
            <v>PBO</v>
          </cell>
          <cell r="C49">
            <v>19884446.513501868</v>
          </cell>
          <cell r="D49">
            <v>1.0102256077136029</v>
          </cell>
          <cell r="E49">
            <v>139894182.34037125</v>
          </cell>
        </row>
        <row r="50">
          <cell r="C50">
            <v>163728018.03947157</v>
          </cell>
          <cell r="D50">
            <v>14.177294382025165</v>
          </cell>
          <cell r="E50">
            <v>1516117717.9141512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6.221858662847294E-2</v>
          </cell>
          <cell r="P26">
            <v>6.423550850641428E-3</v>
          </cell>
          <cell r="Q26">
            <v>2.3671037900002529E-3</v>
          </cell>
          <cell r="S26">
            <v>5.0847202615982318E-3</v>
          </cell>
          <cell r="T26">
            <v>5.2483460011368017E-4</v>
          </cell>
          <cell r="U26">
            <v>2.0048863173998148E-3</v>
          </cell>
          <cell r="W26">
            <v>0.47147416820992849</v>
          </cell>
          <cell r="X26">
            <v>4.8640230627914081E-2</v>
          </cell>
          <cell r="Y26">
            <v>1.8989343494042218E-3</v>
          </cell>
        </row>
        <row r="27">
          <cell r="N27" t="str">
            <v>Solid</v>
          </cell>
          <cell r="O27">
            <v>7.3750852720805726E-2</v>
          </cell>
          <cell r="P27">
            <v>7.6158763148139186E-3</v>
          </cell>
          <cell r="Q27">
            <v>2.8058484200809367E-3</v>
          </cell>
          <cell r="S27">
            <v>6.0270971545567037E-3</v>
          </cell>
          <cell r="T27">
            <v>6.2224483672956323E-4</v>
          </cell>
          <cell r="U27">
            <v>2.3764620268435289E-3</v>
          </cell>
          <cell r="W27">
            <v>0.55886142240943992</v>
          </cell>
          <cell r="X27">
            <v>5.7668498594174881E-2</v>
          </cell>
          <cell r="Y27">
            <v>2.250899886200467E-3</v>
          </cell>
        </row>
        <row r="28">
          <cell r="N28" t="str">
            <v>Solvent</v>
          </cell>
          <cell r="O28">
            <v>7.4326351263817045</v>
          </cell>
          <cell r="P28">
            <v>0.76717874912727435</v>
          </cell>
          <cell r="Q28">
            <v>0.28277432405215908</v>
          </cell>
          <cell r="S28">
            <v>0.39182965136237424</v>
          </cell>
          <cell r="T28">
            <v>4.0490064233819921E-2</v>
          </cell>
          <cell r="U28">
            <v>0.15449697650054042</v>
          </cell>
          <cell r="W28">
            <v>51.725643283402192</v>
          </cell>
          <cell r="X28">
            <v>5.3369613294248515</v>
          </cell>
          <cell r="Y28">
            <v>0.20833294249993178</v>
          </cell>
        </row>
        <row r="29">
          <cell r="N29" t="str">
            <v>Water</v>
          </cell>
          <cell r="O29">
            <v>18.716084298066704</v>
          </cell>
          <cell r="P29">
            <v>1.9407460647540469</v>
          </cell>
          <cell r="Q29">
            <v>0.71205272373775974</v>
          </cell>
          <cell r="S29">
            <v>2.1332224111728926</v>
          </cell>
          <cell r="T29">
            <v>0.22145622245259478</v>
          </cell>
          <cell r="U29">
            <v>0.8411216751552163</v>
          </cell>
          <cell r="W29">
            <v>195.5275746663367</v>
          </cell>
          <cell r="X29">
            <v>20.311327165994733</v>
          </cell>
          <cell r="Y29">
            <v>0.7875172232644635</v>
          </cell>
        </row>
        <row r="30">
          <cell r="O30">
            <v>26.284688863797687</v>
          </cell>
          <cell r="P30">
            <v>2.7219642410467766</v>
          </cell>
          <cell r="S30">
            <v>2.5361638799514217</v>
          </cell>
          <cell r="T30">
            <v>0.26309336612325795</v>
          </cell>
          <cell r="W30">
            <v>248.28355354035827</v>
          </cell>
          <cell r="X30">
            <v>25.754597224641675</v>
          </cell>
        </row>
        <row r="32">
          <cell r="M32">
            <v>2030</v>
          </cell>
          <cell r="N32" t="str">
            <v>Gas</v>
          </cell>
          <cell r="O32">
            <v>0.39383301894528827</v>
          </cell>
          <cell r="P32">
            <v>5.02388865402318E-2</v>
          </cell>
          <cell r="Q32">
            <v>2.4056494540603676E-3</v>
          </cell>
          <cell r="S32">
            <v>3.0618488466843341E-2</v>
          </cell>
          <cell r="T32">
            <v>3.9026729957892833E-3</v>
          </cell>
          <cell r="U32">
            <v>2.1598957677971737E-3</v>
          </cell>
          <cell r="W32">
            <v>2.9673528429530003</v>
          </cell>
          <cell r="X32">
            <v>0.3750067207484824</v>
          </cell>
          <cell r="Y32">
            <v>1.9573989009639579E-3</v>
          </cell>
        </row>
        <row r="33">
          <cell r="N33" t="str">
            <v>Solid</v>
          </cell>
          <cell r="O33">
            <v>0.50819423203241587</v>
          </cell>
          <cell r="P33">
            <v>6.482564126602984E-2</v>
          </cell>
          <cell r="Q33">
            <v>3.1042018267524825E-3</v>
          </cell>
          <cell r="S33">
            <v>3.9508165325434413E-2</v>
          </cell>
          <cell r="T33">
            <v>5.0356440075818654E-3</v>
          </cell>
          <cell r="U33">
            <v>2.7869931976636998E-3</v>
          </cell>
          <cell r="V33"/>
          <cell r="W33">
            <v>3.8289983171540891</v>
          </cell>
          <cell r="X33">
            <v>0.48388479723233779</v>
          </cell>
          <cell r="Y33">
            <v>2.5257788656948637E-3</v>
          </cell>
        </row>
        <row r="34">
          <cell r="N34" t="str">
            <v>Solvent</v>
          </cell>
          <cell r="O34">
            <v>52.096473871295494</v>
          </cell>
          <cell r="P34">
            <v>6.5939614579844497</v>
          </cell>
          <cell r="Q34">
            <v>0.31822078875606569</v>
          </cell>
          <cell r="S34">
            <v>2.5554045376500545</v>
          </cell>
          <cell r="T34">
            <v>0.32946423906856159</v>
          </cell>
          <cell r="U34">
            <v>0.18026387722754486</v>
          </cell>
          <cell r="V34"/>
          <cell r="W34">
            <v>361.40930442086113</v>
          </cell>
          <cell r="X34">
            <v>45.525772476925866</v>
          </cell>
          <cell r="Y34">
            <v>0.23840177178509772</v>
          </cell>
        </row>
        <row r="35">
          <cell r="N35" t="str">
            <v>Water</v>
          </cell>
          <cell r="O35">
            <v>110.7132226621537</v>
          </cell>
          <cell r="P35">
            <v>15.108036427736286</v>
          </cell>
          <cell r="Q35">
            <v>0.67626935996312132</v>
          </cell>
          <cell r="S35">
            <v>11.550379018368583</v>
          </cell>
          <cell r="T35">
            <v>1.6184732217677338</v>
          </cell>
          <cell r="U35">
            <v>0.8147892338069942</v>
          </cell>
          <cell r="W35">
            <v>1147.7617036995912</v>
          </cell>
          <cell r="X35">
            <v>160.55174924571483</v>
          </cell>
          <cell r="Y35">
            <v>0.75711505044824357</v>
          </cell>
        </row>
        <row r="36">
          <cell r="O36">
            <v>163.71172378442691</v>
          </cell>
          <cell r="P36">
            <v>21.817062413526997</v>
          </cell>
          <cell r="S36">
            <v>14.175910209810915</v>
          </cell>
          <cell r="T36">
            <v>1.9568757778396666</v>
          </cell>
          <cell r="W36">
            <v>1515.9673592805593</v>
          </cell>
          <cell r="X36">
            <v>206.9364132406215</v>
          </cell>
        </row>
        <row r="38">
          <cell r="M38">
            <v>2025</v>
          </cell>
          <cell r="O38">
            <v>26.284688863797687</v>
          </cell>
          <cell r="P38">
            <v>2.7219642410467766</v>
          </cell>
          <cell r="S38">
            <v>2.5361638799514217</v>
          </cell>
          <cell r="T38">
            <v>0.26309336612325795</v>
          </cell>
          <cell r="W38">
            <v>248.28355354035827</v>
          </cell>
          <cell r="X38">
            <v>25.754597224641675</v>
          </cell>
        </row>
        <row r="39">
          <cell r="M39">
            <v>2030</v>
          </cell>
          <cell r="O39">
            <v>163.71172378442691</v>
          </cell>
          <cell r="P39">
            <v>21.817062413526997</v>
          </cell>
          <cell r="S39">
            <v>14.175910209810915</v>
          </cell>
          <cell r="T39">
            <v>1.9568757778396666</v>
          </cell>
          <cell r="W39">
            <v>1515.9673592805593</v>
          </cell>
          <cell r="X39">
            <v>206.9364132406215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22">
          <cell r="B22">
            <v>157.11319360939689</v>
          </cell>
          <cell r="C22">
            <v>3.6992516282697792</v>
          </cell>
          <cell r="D22">
            <v>206.8861125061255</v>
          </cell>
          <cell r="E22">
            <v>10.67775251653417</v>
          </cell>
          <cell r="F22">
            <v>113.2485339996591</v>
          </cell>
          <cell r="G22">
            <v>99.777306434836319</v>
          </cell>
        </row>
        <row r="23">
          <cell r="B23">
            <v>167.4028550132133</v>
          </cell>
          <cell r="C23">
            <v>3.9415231131015682</v>
          </cell>
          <cell r="D23">
            <v>218.2999470433092</v>
          </cell>
          <cell r="E23">
            <v>11.37706016489143</v>
          </cell>
          <cell r="F23">
            <v>121.54760322901561</v>
          </cell>
          <cell r="G23">
            <v>108.64436659213951</v>
          </cell>
        </row>
        <row r="24">
          <cell r="B24">
            <v>221.41985735009891</v>
          </cell>
          <cell r="C24">
            <v>5.2133608197792167</v>
          </cell>
          <cell r="D24">
            <v>286.00044150147852</v>
          </cell>
          <cell r="E24">
            <v>15.04817249726665</v>
          </cell>
          <cell r="F24">
            <v>161.89999460129599</v>
          </cell>
          <cell r="G24">
            <v>146.69378239681231</v>
          </cell>
        </row>
        <row r="25">
          <cell r="B25">
            <v>214.21831787814591</v>
          </cell>
          <cell r="C25">
            <v>5.0437995881241431</v>
          </cell>
          <cell r="D25">
            <v>274.12619058540162</v>
          </cell>
          <cell r="E25">
            <v>14.558740295851781</v>
          </cell>
          <cell r="F25">
            <v>157.69689904489559</v>
          </cell>
          <cell r="G25">
            <v>144.73207841153521</v>
          </cell>
        </row>
        <row r="42">
          <cell r="B42">
            <v>1246.3872638960161</v>
          </cell>
          <cell r="C42">
            <v>29.346358567981461</v>
          </cell>
          <cell r="D42">
            <v>1641.0001305376641</v>
          </cell>
          <cell r="E42">
            <v>84.707174731160478</v>
          </cell>
          <cell r="F42">
            <v>926.06849561675074</v>
          </cell>
          <cell r="G42">
            <v>997.03222578557893</v>
          </cell>
        </row>
        <row r="43">
          <cell r="B43">
            <v>1065.9785910747321</v>
          </cell>
          <cell r="C43">
            <v>25.09861169608407</v>
          </cell>
          <cell r="D43">
            <v>1413.776386447144</v>
          </cell>
          <cell r="E43">
            <v>72.446211052888955</v>
          </cell>
          <cell r="F43">
            <v>791.58215813177742</v>
          </cell>
          <cell r="G43">
            <v>872.73504314022716</v>
          </cell>
        </row>
        <row r="44">
          <cell r="B44">
            <v>1300.5291215792231</v>
          </cell>
          <cell r="C44">
            <v>30.621136010861811</v>
          </cell>
          <cell r="D44">
            <v>1737.352352091408</v>
          </cell>
          <cell r="E44">
            <v>88.386772502967943</v>
          </cell>
          <cell r="F44">
            <v>965.21987564904191</v>
          </cell>
          <cell r="G44">
            <v>1089.049135972791</v>
          </cell>
        </row>
        <row r="45">
          <cell r="B45">
            <v>1384.7029250534781</v>
          </cell>
          <cell r="C45">
            <v>32.603019724166799</v>
          </cell>
          <cell r="D45">
            <v>1863.0299871543291</v>
          </cell>
          <cell r="E45">
            <v>94.107406278053531</v>
          </cell>
          <cell r="F45">
            <v>1027.1235542962811</v>
          </cell>
          <cell r="G45">
            <v>1185.243101828413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/>
      <sheetData sheetId="1">
        <row r="22">
          <cell r="B22">
            <v>2.3064437367058219</v>
          </cell>
          <cell r="C22">
            <v>0</v>
          </cell>
          <cell r="D22">
            <v>0</v>
          </cell>
          <cell r="E22">
            <v>0.15652886075127889</v>
          </cell>
          <cell r="F22">
            <v>0</v>
          </cell>
          <cell r="G22">
            <v>0</v>
          </cell>
          <cell r="H22">
            <v>0.21559725230149379</v>
          </cell>
          <cell r="I22">
            <v>0</v>
          </cell>
          <cell r="J22">
            <v>0</v>
          </cell>
          <cell r="K22">
            <v>1.4631699766523801E-2</v>
          </cell>
          <cell r="L22">
            <v>0</v>
          </cell>
          <cell r="M22">
            <v>0</v>
          </cell>
        </row>
        <row r="23">
          <cell r="B23">
            <v>2.463435194248377</v>
          </cell>
          <cell r="C23">
            <v>0</v>
          </cell>
          <cell r="D23">
            <v>0</v>
          </cell>
          <cell r="E23">
            <v>0.16718322600014299</v>
          </cell>
          <cell r="F23">
            <v>0</v>
          </cell>
          <cell r="G23">
            <v>0</v>
          </cell>
          <cell r="H23">
            <v>0.26826573396319409</v>
          </cell>
          <cell r="I23">
            <v>0</v>
          </cell>
          <cell r="J23">
            <v>0</v>
          </cell>
          <cell r="K23">
            <v>1.8206093236784762E-2</v>
          </cell>
          <cell r="L23">
            <v>0</v>
          </cell>
          <cell r="M23">
            <v>0</v>
          </cell>
        </row>
        <row r="24">
          <cell r="B24">
            <v>3.2464751392491999</v>
          </cell>
          <cell r="C24">
            <v>0</v>
          </cell>
          <cell r="D24">
            <v>0</v>
          </cell>
          <cell r="E24">
            <v>0.22032493007170259</v>
          </cell>
          <cell r="F24">
            <v>0</v>
          </cell>
          <cell r="G24">
            <v>0</v>
          </cell>
          <cell r="H24">
            <v>0.3188468596393742</v>
          </cell>
          <cell r="I24">
            <v>0</v>
          </cell>
          <cell r="J24">
            <v>0</v>
          </cell>
          <cell r="K24">
            <v>2.1638826431880059E-2</v>
          </cell>
          <cell r="L24">
            <v>0</v>
          </cell>
          <cell r="M24">
            <v>0</v>
          </cell>
        </row>
        <row r="25">
          <cell r="B25">
            <v>3.151991793022964</v>
          </cell>
          <cell r="C25">
            <v>0</v>
          </cell>
          <cell r="D25">
            <v>0</v>
          </cell>
          <cell r="E25">
            <v>0.2139127335331977</v>
          </cell>
          <cell r="F25">
            <v>0</v>
          </cell>
          <cell r="G25">
            <v>0</v>
          </cell>
          <cell r="H25">
            <v>0.34903026572151058</v>
          </cell>
          <cell r="I25">
            <v>0</v>
          </cell>
          <cell r="J25">
            <v>0</v>
          </cell>
          <cell r="K25">
            <v>2.368725019892929E-2</v>
          </cell>
          <cell r="L25">
            <v>0</v>
          </cell>
          <cell r="M25">
            <v>0</v>
          </cell>
        </row>
        <row r="42">
          <cell r="B42">
            <v>18.293276904541312</v>
          </cell>
          <cell r="C42">
            <v>0</v>
          </cell>
          <cell r="D42">
            <v>0</v>
          </cell>
          <cell r="E42">
            <v>1.241489548479175</v>
          </cell>
          <cell r="F42">
            <v>0</v>
          </cell>
          <cell r="G42">
            <v>0</v>
          </cell>
          <cell r="H42">
            <v>2.1467476500502758</v>
          </cell>
          <cell r="I42">
            <v>0</v>
          </cell>
          <cell r="J42">
            <v>0</v>
          </cell>
          <cell r="K42">
            <v>0.14569094343605651</v>
          </cell>
          <cell r="L42">
            <v>0</v>
          </cell>
          <cell r="M42">
            <v>0</v>
          </cell>
        </row>
        <row r="43">
          <cell r="B43">
            <v>15.720683802219821</v>
          </cell>
          <cell r="C43">
            <v>0</v>
          </cell>
          <cell r="D43">
            <v>0</v>
          </cell>
          <cell r="E43">
            <v>1.066898223716094</v>
          </cell>
          <cell r="F43">
            <v>0</v>
          </cell>
          <cell r="G43">
            <v>0</v>
          </cell>
          <cell r="H43">
            <v>2.239290630387023</v>
          </cell>
          <cell r="I43">
            <v>0</v>
          </cell>
          <cell r="J43">
            <v>0</v>
          </cell>
          <cell r="K43">
            <v>0.1519714553133279</v>
          </cell>
          <cell r="L43">
            <v>0</v>
          </cell>
          <cell r="M43">
            <v>0</v>
          </cell>
        </row>
        <row r="44">
          <cell r="B44">
            <v>19.112773004316299</v>
          </cell>
          <cell r="C44">
            <v>0</v>
          </cell>
          <cell r="D44">
            <v>0</v>
          </cell>
          <cell r="E44">
            <v>1.297105382000918</v>
          </cell>
          <cell r="F44">
            <v>0</v>
          </cell>
          <cell r="G44">
            <v>0</v>
          </cell>
          <cell r="H44">
            <v>2.3526185147673639</v>
          </cell>
          <cell r="I44">
            <v>0</v>
          </cell>
          <cell r="J44">
            <v>0</v>
          </cell>
          <cell r="K44">
            <v>0.15966255323655029</v>
          </cell>
          <cell r="L44">
            <v>0</v>
          </cell>
          <cell r="M44">
            <v>0</v>
          </cell>
        </row>
        <row r="45">
          <cell r="B45">
            <v>20.330658952706521</v>
          </cell>
          <cell r="C45">
            <v>0</v>
          </cell>
          <cell r="D45">
            <v>0</v>
          </cell>
          <cell r="E45">
            <v>1.379758297826553</v>
          </cell>
          <cell r="F45">
            <v>0</v>
          </cell>
          <cell r="G45">
            <v>0</v>
          </cell>
          <cell r="H45">
            <v>2.4835669224830492</v>
          </cell>
          <cell r="I45">
            <v>0</v>
          </cell>
          <cell r="J45">
            <v>0</v>
          </cell>
          <cell r="K45">
            <v>0.16854948368741199</v>
          </cell>
          <cell r="L45">
            <v>0</v>
          </cell>
          <cell r="M45">
            <v>0</v>
          </cell>
        </row>
      </sheetData>
      <sheetData sheetId="2">
        <row r="22">
          <cell r="B22">
            <v>148.89898681182481</v>
          </cell>
          <cell r="C22">
            <v>7.5820932758377937E-2</v>
          </cell>
          <cell r="D22">
            <v>20.922797235423751</v>
          </cell>
          <cell r="E22">
            <v>10.198581442763739</v>
          </cell>
          <cell r="F22">
            <v>23.737289444464871</v>
          </cell>
          <cell r="G22">
            <v>91.251193457418381</v>
          </cell>
          <cell r="H22">
            <v>13.918489281232491</v>
          </cell>
          <cell r="I22">
            <v>7.0874413754353693E-3</v>
          </cell>
          <cell r="J22">
            <v>1.9557804609018301</v>
          </cell>
          <cell r="K22">
            <v>0.95332311880856124</v>
          </cell>
          <cell r="L22">
            <v>2.2188680781007148</v>
          </cell>
          <cell r="M22">
            <v>8.529801211084445</v>
          </cell>
        </row>
        <row r="23">
          <cell r="B23">
            <v>159.0340135606605</v>
          </cell>
          <cell r="C23">
            <v>8.0981795152955394E-2</v>
          </cell>
          <cell r="D23">
            <v>22.130443145499111</v>
          </cell>
          <cell r="E23">
            <v>10.89276276619489</v>
          </cell>
          <cell r="F23">
            <v>25.538360256712089</v>
          </cell>
          <cell r="G23">
            <v>99.600624785427115</v>
          </cell>
          <cell r="H23">
            <v>17.318651804834769</v>
          </cell>
          <cell r="I23">
            <v>8.8188399536903803E-3</v>
          </cell>
          <cell r="J23">
            <v>2.4099840690834391</v>
          </cell>
          <cell r="K23">
            <v>1.1862114356338109</v>
          </cell>
          <cell r="L23">
            <v>2.7811029794813318</v>
          </cell>
          <cell r="M23">
            <v>10.84641267350559</v>
          </cell>
        </row>
        <row r="24">
          <cell r="B24">
            <v>209.58536783316259</v>
          </cell>
          <cell r="C24">
            <v>0.1067230773148293</v>
          </cell>
          <cell r="D24">
            <v>28.888195682506499</v>
          </cell>
          <cell r="E24">
            <v>14.355191320135679</v>
          </cell>
          <cell r="F24">
            <v>33.893051960878097</v>
          </cell>
          <cell r="G24">
            <v>133.99351833337289</v>
          </cell>
          <cell r="H24">
            <v>20.58405916991606</v>
          </cell>
          <cell r="I24">
            <v>1.048161978556012E-2</v>
          </cell>
          <cell r="J24">
            <v>2.8372034526483692</v>
          </cell>
          <cell r="K24">
            <v>1.409869928345175</v>
          </cell>
          <cell r="L24">
            <v>3.328746630667049</v>
          </cell>
          <cell r="M24">
            <v>13.159938302348239</v>
          </cell>
        </row>
        <row r="25">
          <cell r="B25">
            <v>203.48572867882939</v>
          </cell>
          <cell r="C25">
            <v>0.10361707679680331</v>
          </cell>
          <cell r="D25">
            <v>27.786714767671761</v>
          </cell>
          <cell r="E25">
            <v>13.937406968348551</v>
          </cell>
          <cell r="F25">
            <v>33.129887032795843</v>
          </cell>
          <cell r="G25">
            <v>132.66911780627049</v>
          </cell>
          <cell r="H25">
            <v>22.532634161204999</v>
          </cell>
          <cell r="I25">
            <v>1.147385469966259E-2</v>
          </cell>
          <cell r="J25">
            <v>3.0769129730464511</v>
          </cell>
          <cell r="K25">
            <v>1.5433342397652901</v>
          </cell>
          <cell r="L25">
            <v>3.6685797532773332</v>
          </cell>
          <cell r="M25">
            <v>14.690881347933651</v>
          </cell>
        </row>
        <row r="42">
          <cell r="B42">
            <v>1180.9741348578029</v>
          </cell>
          <cell r="C42">
            <v>0.60136447121429315</v>
          </cell>
          <cell r="D42">
            <v>165.9225143197344</v>
          </cell>
          <cell r="E42">
            <v>80.888803571014307</v>
          </cell>
          <cell r="F42">
            <v>194.06621876753869</v>
          </cell>
          <cell r="G42">
            <v>911.64188542923284</v>
          </cell>
          <cell r="H42">
            <v>138.5893550950824</v>
          </cell>
          <cell r="I42">
            <v>7.0571159674652106E-2</v>
          </cell>
          <cell r="J42">
            <v>19.471293719819979</v>
          </cell>
          <cell r="K42">
            <v>9.4924408506791469</v>
          </cell>
          <cell r="L42">
            <v>22.774006060660049</v>
          </cell>
          <cell r="M42">
            <v>106.98275029919689</v>
          </cell>
        </row>
        <row r="43">
          <cell r="B43">
            <v>1014.893124374599</v>
          </cell>
          <cell r="C43">
            <v>0.51679427098717912</v>
          </cell>
          <cell r="D43">
            <v>143.6355271314344</v>
          </cell>
          <cell r="E43">
            <v>69.513368802945536</v>
          </cell>
          <cell r="F43">
            <v>166.68145209466141</v>
          </cell>
          <cell r="G43">
            <v>801.82932218548524</v>
          </cell>
          <cell r="H43">
            <v>144.56372845151591</v>
          </cell>
          <cell r="I43">
            <v>7.361337352869303E-2</v>
          </cell>
          <cell r="J43">
            <v>20.45977733174081</v>
          </cell>
          <cell r="K43">
            <v>9.9016453358786833</v>
          </cell>
          <cell r="L43">
            <v>23.742492287910171</v>
          </cell>
          <cell r="M43">
            <v>114.2144267341602</v>
          </cell>
        </row>
        <row r="44">
          <cell r="B44">
            <v>1233.879019122189</v>
          </cell>
          <cell r="C44">
            <v>0.62830419564283568</v>
          </cell>
          <cell r="D44">
            <v>175.89347371454559</v>
          </cell>
          <cell r="E44">
            <v>84.512433136554634</v>
          </cell>
          <cell r="F44">
            <v>202.53412358301219</v>
          </cell>
          <cell r="G44">
            <v>997.07462640737322</v>
          </cell>
          <cell r="H44">
            <v>151.87992996695431</v>
          </cell>
          <cell r="I44">
            <v>7.7338860417665883E-2</v>
          </cell>
          <cell r="J44">
            <v>21.650978787543512</v>
          </cell>
          <cell r="K44">
            <v>10.402756045927809</v>
          </cell>
          <cell r="L44">
            <v>24.93021441242303</v>
          </cell>
          <cell r="M44">
            <v>122.7313392023749</v>
          </cell>
        </row>
        <row r="45">
          <cell r="B45">
            <v>1312.503084769965</v>
          </cell>
          <cell r="C45">
            <v>0.66834039818734448</v>
          </cell>
          <cell r="D45">
            <v>188.43991065748739</v>
          </cell>
          <cell r="E45">
            <v>89.897654043956877</v>
          </cell>
          <cell r="F45">
            <v>215.32073940841661</v>
          </cell>
          <cell r="G45">
            <v>1084.123731108288</v>
          </cell>
          <cell r="H45">
            <v>160.33367411132059</v>
          </cell>
          <cell r="I45">
            <v>8.1643595997475948E-2</v>
          </cell>
          <cell r="J45">
            <v>23.019575020823108</v>
          </cell>
          <cell r="K45">
            <v>10.981780792829319</v>
          </cell>
          <cell r="L45">
            <v>26.303302188252271</v>
          </cell>
          <cell r="M45">
            <v>132.4351485469688</v>
          </cell>
        </row>
      </sheetData>
      <sheetData sheetId="3">
        <row r="22">
          <cell r="B22">
            <v>4.534437006176752</v>
          </cell>
          <cell r="C22">
            <v>3.6071405456964478</v>
          </cell>
          <cell r="D22">
            <v>185.0284726782086</v>
          </cell>
          <cell r="E22">
            <v>0.22914534254310931</v>
          </cell>
          <cell r="F22">
            <v>89.202832350257651</v>
          </cell>
          <cell r="G22">
            <v>1.0718239487790731</v>
          </cell>
          <cell r="H22">
            <v>0.4238612647287871</v>
          </cell>
          <cell r="I22">
            <v>0.33718125352071238</v>
          </cell>
          <cell r="J22">
            <v>17.295730943751099</v>
          </cell>
          <cell r="K22">
            <v>2.1419601720065771E-2</v>
          </cell>
          <cell r="L22">
            <v>8.3383285038178698</v>
          </cell>
          <cell r="M22">
            <v>0.1001898700714671</v>
          </cell>
        </row>
        <row r="23">
          <cell r="B23">
            <v>4.843080075767217</v>
          </cell>
          <cell r="C23">
            <v>3.8526658289788989</v>
          </cell>
          <cell r="D23">
            <v>195.70815741457901</v>
          </cell>
          <cell r="E23">
            <v>0.2447424545569104</v>
          </cell>
          <cell r="F23">
            <v>95.971112195001865</v>
          </cell>
          <cell r="G23">
            <v>1.169895219049331</v>
          </cell>
          <cell r="H23">
            <v>0.52740678309770805</v>
          </cell>
          <cell r="I23">
            <v>0.41955161992450413</v>
          </cell>
          <cell r="J23">
            <v>21.312430955759439</v>
          </cell>
          <cell r="K23">
            <v>2.6652218965190062E-2</v>
          </cell>
          <cell r="L23">
            <v>10.45116222759477</v>
          </cell>
          <cell r="M23">
            <v>0.12740046920294881</v>
          </cell>
        </row>
        <row r="24">
          <cell r="B24">
            <v>6.3825259540341408</v>
          </cell>
          <cell r="C24">
            <v>5.0772936356586866</v>
          </cell>
          <cell r="D24">
            <v>255.469604060097</v>
          </cell>
          <cell r="E24">
            <v>0.32253752649671918</v>
          </cell>
          <cell r="F24">
            <v>127.36737439959791</v>
          </cell>
          <cell r="G24">
            <v>1.573869409148001</v>
          </cell>
          <cell r="H24">
            <v>0.62684858799849763</v>
          </cell>
          <cell r="I24">
            <v>0.49865748596834952</v>
          </cell>
          <cell r="J24">
            <v>25.09049892392343</v>
          </cell>
          <cell r="K24">
            <v>3.1677457250793489E-2</v>
          </cell>
          <cell r="L24">
            <v>12.509163201913839</v>
          </cell>
          <cell r="M24">
            <v>0.1545748225582815</v>
          </cell>
        </row>
        <row r="25">
          <cell r="B25">
            <v>6.1967729808410636</v>
          </cell>
          <cell r="C25">
            <v>4.9295273131415369</v>
          </cell>
          <cell r="D25">
            <v>245.7287778664076</v>
          </cell>
          <cell r="E25">
            <v>0.31315059960529967</v>
          </cell>
          <cell r="F25">
            <v>124.49946173018429</v>
          </cell>
          <cell r="G25">
            <v>1.558313182988762</v>
          </cell>
          <cell r="H25">
            <v>0.68618875369739163</v>
          </cell>
          <cell r="I25">
            <v>0.54586253422224573</v>
          </cell>
          <cell r="J25">
            <v>27.210343892386359</v>
          </cell>
          <cell r="K25">
            <v>3.4676180703587203E-2</v>
          </cell>
          <cell r="L25">
            <v>13.786228855690011</v>
          </cell>
          <cell r="M25">
            <v>0.1725570686890231</v>
          </cell>
        </row>
        <row r="42">
          <cell r="B42">
            <v>35.964333506207069</v>
          </cell>
          <cell r="C42">
            <v>28.609594843301259</v>
          </cell>
          <cell r="D42">
            <v>1467.3176374108691</v>
          </cell>
          <cell r="E42">
            <v>1.817438308082916</v>
          </cell>
          <cell r="F42">
            <v>729.28530521861512</v>
          </cell>
          <cell r="G42">
            <v>10.708020010380739</v>
          </cell>
          <cell r="H42">
            <v>4.2204766725478207</v>
          </cell>
          <cell r="I42">
            <v>3.3573853836706831</v>
          </cell>
          <cell r="J42">
            <v>172.19225983547699</v>
          </cell>
          <cell r="K42">
            <v>0.2132795254424745</v>
          </cell>
          <cell r="L42">
            <v>85.582890553939052</v>
          </cell>
          <cell r="M42">
            <v>1.2566046484689439</v>
          </cell>
        </row>
        <row r="43">
          <cell r="B43">
            <v>30.906650468309721</v>
          </cell>
          <cell r="C43">
            <v>24.586212551645371</v>
          </cell>
          <cell r="D43">
            <v>1270.2250998476709</v>
          </cell>
          <cell r="E43">
            <v>1.561851007914282</v>
          </cell>
          <cell r="F43">
            <v>626.37554561077513</v>
          </cell>
          <cell r="G43">
            <v>9.4181767688631481</v>
          </cell>
          <cell r="H43">
            <v>4.4024149128016976</v>
          </cell>
          <cell r="I43">
            <v>3.5021170895778209</v>
          </cell>
          <cell r="J43">
            <v>180.93380671963311</v>
          </cell>
          <cell r="K43">
            <v>0.2224736768504387</v>
          </cell>
          <cell r="L43">
            <v>89.222384219171801</v>
          </cell>
          <cell r="M43">
            <v>1.3415469237327939</v>
          </cell>
        </row>
        <row r="44">
          <cell r="B44">
            <v>37.575451688757902</v>
          </cell>
          <cell r="C44">
            <v>29.891237903348522</v>
          </cell>
          <cell r="D44">
            <v>1555.494728035959</v>
          </cell>
          <cell r="E44">
            <v>1.8988553014858791</v>
          </cell>
          <cell r="F44">
            <v>761.1070132270147</v>
          </cell>
          <cell r="G44">
            <v>11.711501217812179</v>
          </cell>
          <cell r="H44">
            <v>4.6252159916174707</v>
          </cell>
          <cell r="I44">
            <v>3.6793551466787431</v>
          </cell>
          <cell r="J44">
            <v>191.4680667203022</v>
          </cell>
          <cell r="K44">
            <v>0.2337328098926818</v>
          </cell>
          <cell r="L44">
            <v>93.685748825290176</v>
          </cell>
          <cell r="M44">
            <v>1.4415854044058991</v>
          </cell>
        </row>
        <row r="45">
          <cell r="B45">
            <v>39.969798893416232</v>
          </cell>
          <cell r="C45">
            <v>31.795938943551111</v>
          </cell>
          <cell r="D45">
            <v>1666.447773127637</v>
          </cell>
          <cell r="E45">
            <v>2.0198523535192838</v>
          </cell>
          <cell r="F45">
            <v>809.15809127740567</v>
          </cell>
          <cell r="G45">
            <v>12.73396801088218</v>
          </cell>
          <cell r="H45">
            <v>4.8826587795755181</v>
          </cell>
          <cell r="I45">
            <v>3.8841506521352378</v>
          </cell>
          <cell r="J45">
            <v>203.57109806489399</v>
          </cell>
          <cell r="K45">
            <v>0.24674254313002569</v>
          </cell>
          <cell r="L45">
            <v>98.845702701070437</v>
          </cell>
          <cell r="M45">
            <v>1.555565012297552</v>
          </cell>
        </row>
      </sheetData>
      <sheetData sheetId="4">
        <row r="22">
          <cell r="B22">
            <v>1.1139966347354651</v>
          </cell>
          <cell r="C22">
            <v>1.129247934699246E-2</v>
          </cell>
          <cell r="D22">
            <v>0.65534048812103141</v>
          </cell>
          <cell r="E22">
            <v>7.9071280173326458E-2</v>
          </cell>
          <cell r="F22">
            <v>0.15541400130409369</v>
          </cell>
          <cell r="G22">
            <v>0.88158679769707327</v>
          </cell>
          <cell r="H22">
            <v>0.1041320062136467</v>
          </cell>
          <cell r="I22">
            <v>1.0555763750648419E-3</v>
          </cell>
          <cell r="J22">
            <v>6.1258640873074567E-2</v>
          </cell>
          <cell r="K22">
            <v>7.3912710160790353E-3</v>
          </cell>
          <cell r="L22">
            <v>1.4527487108009621E-2</v>
          </cell>
          <cell r="M22">
            <v>8.2407252439734791E-2</v>
          </cell>
        </row>
        <row r="23">
          <cell r="B23">
            <v>1.18982244075942</v>
          </cell>
          <cell r="C23">
            <v>1.2061118427035909E-2</v>
          </cell>
          <cell r="D23">
            <v>0.69316617898258692</v>
          </cell>
          <cell r="E23">
            <v>8.4453382206257838E-2</v>
          </cell>
          <cell r="F23">
            <v>0.16720606468261159</v>
          </cell>
          <cell r="G23">
            <v>0.96225147887174389</v>
          </cell>
          <cell r="H23">
            <v>0.12957052456725701</v>
          </cell>
          <cell r="I23">
            <v>1.313444248421972E-3</v>
          </cell>
          <cell r="J23">
            <v>7.548513319830312E-2</v>
          </cell>
          <cell r="K23">
            <v>9.1968924598191063E-3</v>
          </cell>
          <cell r="L23">
            <v>1.8208580347438E-2</v>
          </cell>
          <cell r="M23">
            <v>0.1047882647123821</v>
          </cell>
        </row>
        <row r="24">
          <cell r="B24">
            <v>1.5680254073924711</v>
          </cell>
          <cell r="C24">
            <v>1.5894926408591602E-2</v>
          </cell>
          <cell r="D24">
            <v>0.90483141649230114</v>
          </cell>
          <cell r="E24">
            <v>0.1112981605516848</v>
          </cell>
          <cell r="F24">
            <v>0.22190633155361819</v>
          </cell>
          <cell r="G24">
            <v>1.2945246222429441</v>
          </cell>
          <cell r="H24">
            <v>0.15400086417956169</v>
          </cell>
          <cell r="I24">
            <v>1.5610923084876771E-3</v>
          </cell>
          <cell r="J24">
            <v>8.8866429982377051E-2</v>
          </cell>
          <cell r="K24">
            <v>1.0930953558372401E-2</v>
          </cell>
          <cell r="L24">
            <v>2.179414100374967E-2</v>
          </cell>
          <cell r="M24">
            <v>0.1271394644418766</v>
          </cell>
        </row>
        <row r="25">
          <cell r="B25">
            <v>1.522390593909051</v>
          </cell>
          <cell r="C25">
            <v>1.543233058675794E-2</v>
          </cell>
          <cell r="D25">
            <v>0.87033100852765</v>
          </cell>
          <cell r="E25">
            <v>0.1080590097229555</v>
          </cell>
          <cell r="F25">
            <v>0.2169096989176256</v>
          </cell>
          <cell r="G25">
            <v>1.281729457869544</v>
          </cell>
          <cell r="H25">
            <v>0.1685792439879405</v>
          </cell>
          <cell r="I25">
            <v>1.7088719765454921E-3</v>
          </cell>
          <cell r="J25">
            <v>9.6374573006339989E-2</v>
          </cell>
          <cell r="K25">
            <v>1.196572432729418E-2</v>
          </cell>
          <cell r="L25">
            <v>2.4019113888041829E-2</v>
          </cell>
          <cell r="M25">
            <v>0.1419300564974649</v>
          </cell>
        </row>
        <row r="42">
          <cell r="B42">
            <v>8.8355283008328787</v>
          </cell>
          <cell r="C42">
            <v>8.9564921244681961E-2</v>
          </cell>
          <cell r="D42">
            <v>5.1969982933480017</v>
          </cell>
          <cell r="E42">
            <v>0.62714420490185141</v>
          </cell>
          <cell r="F42">
            <v>1.270600320528666</v>
          </cell>
          <cell r="G42">
            <v>8.807462346200607</v>
          </cell>
          <cell r="H42">
            <v>1.0368645112487731</v>
          </cell>
          <cell r="I42">
            <v>1.051059824941627E-2</v>
          </cell>
          <cell r="J42">
            <v>0.60987672858056829</v>
          </cell>
          <cell r="K42">
            <v>7.3596455962544022E-2</v>
          </cell>
          <cell r="L42">
            <v>0.1491071428307576</v>
          </cell>
          <cell r="M42">
            <v>1.033570922983114</v>
          </cell>
        </row>
        <row r="43">
          <cell r="B43">
            <v>7.5929833330449492</v>
          </cell>
          <cell r="C43">
            <v>7.6969359508728796E-2</v>
          </cell>
          <cell r="D43">
            <v>4.4989288670478009</v>
          </cell>
          <cell r="E43">
            <v>0.53894858723802708</v>
          </cell>
          <cell r="F43">
            <v>1.0913053688717791</v>
          </cell>
          <cell r="G43">
            <v>7.7465523207099478</v>
          </cell>
          <cell r="H43">
            <v>1.081562141207338</v>
          </cell>
          <cell r="I43">
            <v>1.0963693929805351E-2</v>
          </cell>
          <cell r="J43">
            <v>0.64083785320682396</v>
          </cell>
          <cell r="K43">
            <v>7.6769085673742951E-2</v>
          </cell>
          <cell r="L43">
            <v>0.15544806562807151</v>
          </cell>
          <cell r="M43">
            <v>1.1034368636763241</v>
          </cell>
        </row>
        <row r="44">
          <cell r="B44">
            <v>9.2313393422207994</v>
          </cell>
          <cell r="C44">
            <v>9.3577220627656374E-2</v>
          </cell>
          <cell r="D44">
            <v>5.5093070789900764</v>
          </cell>
          <cell r="E44">
            <v>0.65523880121695843</v>
          </cell>
          <cell r="F44">
            <v>1.3260418221000181</v>
          </cell>
          <cell r="G44">
            <v>9.6328364994991933</v>
          </cell>
          <cell r="H44">
            <v>1.136298738425054</v>
          </cell>
          <cell r="I44">
            <v>1.151855367922683E-2</v>
          </cell>
          <cell r="J44">
            <v>0.67814847351788576</v>
          </cell>
          <cell r="K44">
            <v>8.0654279470009943E-2</v>
          </cell>
          <cell r="L44">
            <v>0.16322438095842129</v>
          </cell>
          <cell r="M44">
            <v>1.1857195966974921</v>
          </cell>
        </row>
        <row r="45">
          <cell r="B45">
            <v>9.819569970354852</v>
          </cell>
          <cell r="C45">
            <v>9.9540059304498121E-2</v>
          </cell>
          <cell r="D45">
            <v>5.9022845579500363</v>
          </cell>
          <cell r="E45">
            <v>0.6969913050876404</v>
          </cell>
          <cell r="F45">
            <v>1.4097590103330551</v>
          </cell>
          <cell r="G45">
            <v>10.4738265024572</v>
          </cell>
          <cell r="H45">
            <v>1.1995459285462351</v>
          </cell>
          <cell r="I45">
            <v>1.2159684510262369E-2</v>
          </cell>
          <cell r="J45">
            <v>0.72101542450279277</v>
          </cell>
          <cell r="K45">
            <v>8.5143553615290579E-2</v>
          </cell>
          <cell r="L45">
            <v>0.17221433180696361</v>
          </cell>
          <cell r="M45">
            <v>1.2794690577339169</v>
          </cell>
        </row>
      </sheetData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4154122.7129186727</v>
          </cell>
          <cell r="D36">
            <v>0.24023309359462655</v>
          </cell>
          <cell r="E36">
            <v>30028255.8737716</v>
          </cell>
        </row>
        <row r="37">
          <cell r="B37" t="str">
            <v>Sur</v>
          </cell>
          <cell r="C37">
            <v>244989.11490072677</v>
          </cell>
          <cell r="D37">
            <v>2.7795789837969202E-2</v>
          </cell>
          <cell r="E37">
            <v>2551892.0845658281</v>
          </cell>
        </row>
        <row r="38">
          <cell r="B38" t="str">
            <v>TARC</v>
          </cell>
          <cell r="C38">
            <v>12795942.260802973</v>
          </cell>
          <cell r="D38">
            <v>1.42606744058532</v>
          </cell>
          <cell r="E38">
            <v>131817866.33327244</v>
          </cell>
        </row>
        <row r="39">
          <cell r="B39" t="str">
            <v>Polymer</v>
          </cell>
          <cell r="C39">
            <v>279082.41249014571</v>
          </cell>
          <cell r="D39">
            <v>1.5832431310527091E-2</v>
          </cell>
          <cell r="E39">
            <v>1999730.7686826577</v>
          </cell>
        </row>
        <row r="40">
          <cell r="B40" t="str">
            <v>ITC</v>
          </cell>
          <cell r="C40">
            <v>6685447.046307167</v>
          </cell>
          <cell r="D40">
            <v>0.72465059726340142</v>
          </cell>
          <cell r="E40">
            <v>67715060.596696958</v>
          </cell>
        </row>
        <row r="41">
          <cell r="B41" t="str">
            <v>PBO</v>
          </cell>
          <cell r="C41">
            <v>2484987.3939443505</v>
          </cell>
          <cell r="D41">
            <v>0.13624554513998519</v>
          </cell>
          <cell r="E41">
            <v>17568575.068771325</v>
          </cell>
        </row>
        <row r="42">
          <cell r="C42">
            <v>26644570.941364031</v>
          </cell>
          <cell r="D42">
            <v>2.5708248977318293</v>
          </cell>
          <cell r="E42">
            <v>251681380.72576085</v>
          </cell>
        </row>
        <row r="44">
          <cell r="A44">
            <v>2030</v>
          </cell>
          <cell r="B44" t="str">
            <v>PAG</v>
          </cell>
          <cell r="C44">
            <v>28507371.923199233</v>
          </cell>
          <cell r="D44">
            <v>1.5198660206320622</v>
          </cell>
          <cell r="E44">
            <v>204599557.17602041</v>
          </cell>
        </row>
        <row r="45">
          <cell r="B45" t="str">
            <v>Sur</v>
          </cell>
          <cell r="C45">
            <v>1518189.0118807303</v>
          </cell>
          <cell r="D45">
            <v>0.15760700112101769</v>
          </cell>
          <cell r="E45">
            <v>15688057.262887618</v>
          </cell>
        </row>
        <row r="46">
          <cell r="B46" t="str">
            <v>TARC</v>
          </cell>
          <cell r="C46">
            <v>81775081.759220451</v>
          </cell>
          <cell r="D46">
            <v>8.3236557106784979</v>
          </cell>
          <cell r="E46">
            <v>834749407.05204189</v>
          </cell>
        </row>
        <row r="47">
          <cell r="B47" t="str">
            <v>Polymer</v>
          </cell>
          <cell r="C47">
            <v>1918863.0762598871</v>
          </cell>
          <cell r="D47">
            <v>0.10057855016052923</v>
          </cell>
          <cell r="E47">
            <v>13663671.463021182</v>
          </cell>
        </row>
        <row r="48">
          <cell r="B48" t="str">
            <v>ITC</v>
          </cell>
          <cell r="C48">
            <v>42579542.593069054</v>
          </cell>
          <cell r="D48">
            <v>4.2053949366391734</v>
          </cell>
          <cell r="E48">
            <v>426689511.61636484</v>
          </cell>
        </row>
        <row r="49">
          <cell r="B49" t="str">
            <v>PBO</v>
          </cell>
          <cell r="C49">
            <v>21606990.8749757</v>
          </cell>
          <cell r="D49">
            <v>1.0977332948228868</v>
          </cell>
          <cell r="E49">
            <v>152012846.78808933</v>
          </cell>
        </row>
        <row r="50">
          <cell r="C50">
            <v>177906039.23860505</v>
          </cell>
          <cell r="D50">
            <v>15.404835514054167</v>
          </cell>
          <cell r="E50">
            <v>1647403051.3584251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6.3071468627804536E-2</v>
          </cell>
          <cell r="P26">
            <v>6.3617545280706834E-3</v>
          </cell>
          <cell r="Q26">
            <v>2.3671414625742767E-3</v>
          </cell>
          <cell r="S26">
            <v>5.154367971278888E-3</v>
          </cell>
          <cell r="T26">
            <v>5.1975366191894226E-4</v>
          </cell>
          <cell r="U26">
            <v>2.0049471186569141E-3</v>
          </cell>
          <cell r="W26">
            <v>0.47793648476936174</v>
          </cell>
          <cell r="X26">
            <v>4.8171444528757684E-2</v>
          </cell>
          <cell r="Y26">
            <v>1.8989743436370245E-3</v>
          </cell>
        </row>
        <row r="27">
          <cell r="N27" t="str">
            <v>Solid</v>
          </cell>
          <cell r="O27">
            <v>7.4763339529054298E-2</v>
          </cell>
          <cell r="P27">
            <v>7.5434986202152247E-3</v>
          </cell>
          <cell r="Q27">
            <v>2.805950213782158E-3</v>
          </cell>
          <cell r="S27">
            <v>6.109777455637783E-3</v>
          </cell>
          <cell r="T27">
            <v>6.1629347774714161E-4</v>
          </cell>
          <cell r="U27">
            <v>2.3765824973253826E-3</v>
          </cell>
          <cell r="W27">
            <v>0.56653305938420007</v>
          </cell>
          <cell r="X27">
            <v>5.7119431293060317E-2</v>
          </cell>
          <cell r="Y27">
            <v>2.2509931316751263E-3</v>
          </cell>
        </row>
        <row r="28">
          <cell r="N28" t="str">
            <v>Solvent</v>
          </cell>
          <cell r="O28">
            <v>7.5347612406207283</v>
          </cell>
          <cell r="P28">
            <v>0.75993230999511585</v>
          </cell>
          <cell r="Q28">
            <v>0.28278786163238534</v>
          </cell>
          <cell r="S28">
            <v>0.39720755936811158</v>
          </cell>
          <cell r="T28">
            <v>4.0104913672274131E-2</v>
          </cell>
          <cell r="U28">
            <v>0.15450587852893335</v>
          </cell>
          <cell r="W28">
            <v>52.436330048922152</v>
          </cell>
          <cell r="X28">
            <v>5.2865003847412488</v>
          </cell>
          <cell r="Y28">
            <v>0.20834409719826777</v>
          </cell>
        </row>
        <row r="29">
          <cell r="N29" t="str">
            <v>Water</v>
          </cell>
          <cell r="O29">
            <v>18.971974892586452</v>
          </cell>
          <cell r="P29">
            <v>1.9218217090600391</v>
          </cell>
          <cell r="Q29">
            <v>0.71203904669125828</v>
          </cell>
          <cell r="S29">
            <v>2.1623531929368016</v>
          </cell>
          <cell r="T29">
            <v>0.21928056320471118</v>
          </cell>
          <cell r="U29">
            <v>0.84111259185508436</v>
          </cell>
          <cell r="W29">
            <v>198.2005811326851</v>
          </cell>
          <cell r="X29">
            <v>20.113644451590133</v>
          </cell>
          <cell r="Y29">
            <v>0.7875059353264201</v>
          </cell>
        </row>
        <row r="30">
          <cell r="O30">
            <v>26.644570941364037</v>
          </cell>
          <cell r="P30">
            <v>2.6956592722034411</v>
          </cell>
          <cell r="S30">
            <v>2.5708248977318298</v>
          </cell>
          <cell r="T30">
            <v>0.26052152401665141</v>
          </cell>
          <cell r="W30">
            <v>251.68138072576082</v>
          </cell>
          <cell r="X30">
            <v>25.505435712153201</v>
          </cell>
        </row>
        <row r="32">
          <cell r="M32">
            <v>2030</v>
          </cell>
          <cell r="N32" t="str">
            <v>Gas</v>
          </cell>
          <cell r="O32">
            <v>0.4279773530725392</v>
          </cell>
          <cell r="P32">
            <v>5.1082415725001488E-2</v>
          </cell>
          <cell r="Q32">
            <v>2.4056370143710638E-3</v>
          </cell>
          <cell r="S32">
            <v>3.3272879539869175E-2</v>
          </cell>
          <cell r="T32">
            <v>3.9683808773188223E-3</v>
          </cell>
          <cell r="U32">
            <v>2.1598983974553706E-3</v>
          </cell>
          <cell r="W32">
            <v>3.2246132040332531</v>
          </cell>
          <cell r="X32">
            <v>0.38130805511874089</v>
          </cell>
          <cell r="Y32">
            <v>1.9573917878653213E-3</v>
          </cell>
        </row>
        <row r="33">
          <cell r="N33" t="str">
            <v>Solid</v>
          </cell>
          <cell r="O33">
            <v>0.5522628036817756</v>
          </cell>
          <cell r="P33">
            <v>6.5903238524672739E-2</v>
          </cell>
          <cell r="Q33">
            <v>3.1042386534224872E-3</v>
          </cell>
          <cell r="S33">
            <v>4.2933960949441408E-2</v>
          </cell>
          <cell r="T33">
            <v>5.1195832740272926E-3</v>
          </cell>
          <cell r="U33">
            <v>2.7870444257760379E-3</v>
          </cell>
          <cell r="V33"/>
          <cell r="W33">
            <v>4.1610316301024275</v>
          </cell>
          <cell r="X33">
            <v>0.49193462284495737</v>
          </cell>
          <cell r="Y33">
            <v>2.5258127491455721E-3</v>
          </cell>
        </row>
        <row r="34">
          <cell r="N34" t="str">
            <v>Solvent</v>
          </cell>
          <cell r="O34">
            <v>56.614076325898395</v>
          </cell>
          <cell r="P34">
            <v>6.703607333763828</v>
          </cell>
          <cell r="Q34">
            <v>0.31822458961029643</v>
          </cell>
          <cell r="S34">
            <v>2.776981161501805</v>
          </cell>
          <cell r="T34">
            <v>0.3349589350953156</v>
          </cell>
          <cell r="U34">
            <v>0.18026684926095476</v>
          </cell>
          <cell r="V34"/>
          <cell r="W34">
            <v>392.74919759857255</v>
          </cell>
          <cell r="X34">
            <v>46.283088959007593</v>
          </cell>
          <cell r="Y34">
            <v>0.23840504439682636</v>
          </cell>
        </row>
        <row r="35">
          <cell r="N35" t="str">
            <v>Water</v>
          </cell>
          <cell r="O35">
            <v>120.31172275595236</v>
          </cell>
          <cell r="P35">
            <v>15.360891513292923</v>
          </cell>
          <cell r="Q35">
            <v>0.67626553472190998</v>
          </cell>
          <cell r="S35">
            <v>12.551647512063051</v>
          </cell>
          <cell r="T35">
            <v>1.6456574633774723</v>
          </cell>
          <cell r="U35">
            <v>0.8147862079158138</v>
          </cell>
          <cell r="W35">
            <v>1247.2682089257169</v>
          </cell>
          <cell r="X35">
            <v>163.23658474101066</v>
          </cell>
          <cell r="Y35">
            <v>0.7571117510661628</v>
          </cell>
        </row>
        <row r="36">
          <cell r="O36">
            <v>177.90603923860508</v>
          </cell>
          <cell r="P36">
            <v>22.181484501306425</v>
          </cell>
          <cell r="S36">
            <v>15.404835514054167</v>
          </cell>
          <cell r="T36">
            <v>1.989704362624134</v>
          </cell>
          <cell r="W36">
            <v>1647.403051358425</v>
          </cell>
          <cell r="X36">
            <v>210.39291637798195</v>
          </cell>
        </row>
        <row r="38">
          <cell r="M38">
            <v>2025</v>
          </cell>
          <cell r="O38">
            <v>26.644570941364037</v>
          </cell>
          <cell r="P38">
            <v>2.6956592722034411</v>
          </cell>
          <cell r="S38">
            <v>2.5708248977318298</v>
          </cell>
          <cell r="T38">
            <v>0.26052152401665141</v>
          </cell>
          <cell r="W38">
            <v>251.68138072576082</v>
          </cell>
          <cell r="X38">
            <v>25.505435712153201</v>
          </cell>
        </row>
        <row r="39">
          <cell r="M39">
            <v>2030</v>
          </cell>
          <cell r="O39">
            <v>177.90603923860508</v>
          </cell>
          <cell r="P39">
            <v>22.181484501306425</v>
          </cell>
          <cell r="S39">
            <v>15.404835514054167</v>
          </cell>
          <cell r="T39">
            <v>1.989704362624134</v>
          </cell>
          <cell r="W39">
            <v>1647.403051358425</v>
          </cell>
          <cell r="X39">
            <v>210.39291637798195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22">
          <cell r="B22">
            <v>158.39237195731189</v>
          </cell>
          <cell r="C22">
            <v>3.7293700573950681</v>
          </cell>
          <cell r="D22">
            <v>208.57053015127951</v>
          </cell>
          <cell r="E22">
            <v>10.764688244271349</v>
          </cell>
          <cell r="F22">
            <v>114.1705766957401</v>
          </cell>
          <cell r="G22">
            <v>100.5896695920772</v>
          </cell>
        </row>
        <row r="23">
          <cell r="B23">
            <v>168.94448939168919</v>
          </cell>
          <cell r="C23">
            <v>3.9778211053564498</v>
          </cell>
          <cell r="D23">
            <v>220.3102992750849</v>
          </cell>
          <cell r="E23">
            <v>11.48183297222975</v>
          </cell>
          <cell r="F23">
            <v>122.6669507081515</v>
          </cell>
          <cell r="G23">
            <v>109.6448865089173</v>
          </cell>
        </row>
        <row r="24">
          <cell r="B24">
            <v>224.37642929616459</v>
          </cell>
          <cell r="C24">
            <v>5.282973710551274</v>
          </cell>
          <cell r="D24">
            <v>289.81934416009892</v>
          </cell>
          <cell r="E24">
            <v>15.249107522595599</v>
          </cell>
          <cell r="F24">
            <v>164.06181056412319</v>
          </cell>
          <cell r="G24">
            <v>148.6525530639386</v>
          </cell>
        </row>
        <row r="25">
          <cell r="B25">
            <v>218.4590078107363</v>
          </cell>
          <cell r="C25">
            <v>5.143647212488033</v>
          </cell>
          <cell r="D25">
            <v>279.55282350918412</v>
          </cell>
          <cell r="E25">
            <v>14.84694675744362</v>
          </cell>
          <cell r="F25">
            <v>160.81868460835429</v>
          </cell>
          <cell r="G25">
            <v>147.5972109264483</v>
          </cell>
        </row>
        <row r="42">
          <cell r="B42">
            <v>1340.251574504839</v>
          </cell>
          <cell r="C42">
            <v>31.556406596916311</v>
          </cell>
          <cell r="D42">
            <v>1764.5823833604561</v>
          </cell>
          <cell r="E42">
            <v>91.086396334330487</v>
          </cell>
          <cell r="F42">
            <v>995.80988614243836</v>
          </cell>
          <cell r="G42">
            <v>1072.117831390701</v>
          </cell>
        </row>
        <row r="43">
          <cell r="B43">
            <v>1175.98852009747</v>
          </cell>
          <cell r="C43">
            <v>27.688810518437229</v>
          </cell>
          <cell r="D43">
            <v>1559.6793541327011</v>
          </cell>
          <cell r="E43">
            <v>79.922723810860305</v>
          </cell>
          <cell r="F43">
            <v>873.27413371258649</v>
          </cell>
          <cell r="G43">
            <v>962.80206789605643</v>
          </cell>
        </row>
        <row r="44">
          <cell r="B44">
            <v>1412.025734058147</v>
          </cell>
          <cell r="C44">
            <v>33.246338998490202</v>
          </cell>
          <cell r="D44">
            <v>1886.298576152323</v>
          </cell>
          <cell r="E44">
            <v>95.964323484724986</v>
          </cell>
          <cell r="F44">
            <v>1047.969846139142</v>
          </cell>
          <cell r="G44">
            <v>1182.415203267477</v>
          </cell>
        </row>
        <row r="45">
          <cell r="B45">
            <v>1502.0904723753099</v>
          </cell>
          <cell r="C45">
            <v>35.36692557823833</v>
          </cell>
          <cell r="D45">
            <v>2020.967488998363</v>
          </cell>
          <cell r="E45">
            <v>102.08531793543899</v>
          </cell>
          <cell r="F45">
            <v>1114.197476546186</v>
          </cell>
          <cell r="G45">
            <v>1285.7215352789569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 refreshError="1"/>
      <sheetData sheetId="1">
        <row r="22">
          <cell r="B22">
            <v>2.3285674284455271</v>
          </cell>
          <cell r="C22">
            <v>0</v>
          </cell>
          <cell r="D22">
            <v>0</v>
          </cell>
          <cell r="E22">
            <v>0.15803030481796759</v>
          </cell>
          <cell r="F22">
            <v>0</v>
          </cell>
          <cell r="G22">
            <v>0</v>
          </cell>
          <cell r="H22">
            <v>0.21259268435765349</v>
          </cell>
          <cell r="I22">
            <v>0</v>
          </cell>
          <cell r="J22">
            <v>0</v>
          </cell>
          <cell r="K22">
            <v>1.442779208396709E-2</v>
          </cell>
          <cell r="L22">
            <v>0</v>
          </cell>
          <cell r="M22">
            <v>0</v>
          </cell>
        </row>
        <row r="23">
          <cell r="B23">
            <v>2.4885299061644881</v>
          </cell>
          <cell r="C23">
            <v>0</v>
          </cell>
          <cell r="D23">
            <v>0</v>
          </cell>
          <cell r="E23">
            <v>0.16888630100023849</v>
          </cell>
          <cell r="F23">
            <v>0</v>
          </cell>
          <cell r="G23">
            <v>0</v>
          </cell>
          <cell r="H23">
            <v>0.25689686322147559</v>
          </cell>
          <cell r="I23">
            <v>0</v>
          </cell>
          <cell r="J23">
            <v>0</v>
          </cell>
          <cell r="K23">
            <v>1.7434534686749902E-2</v>
          </cell>
          <cell r="L23">
            <v>0</v>
          </cell>
          <cell r="M23">
            <v>0</v>
          </cell>
        </row>
        <row r="24">
          <cell r="B24">
            <v>3.2862596190828</v>
          </cell>
          <cell r="C24">
            <v>0</v>
          </cell>
          <cell r="D24">
            <v>0</v>
          </cell>
          <cell r="E24">
            <v>0.22302493926977221</v>
          </cell>
          <cell r="F24">
            <v>0</v>
          </cell>
          <cell r="G24">
            <v>0</v>
          </cell>
          <cell r="H24">
            <v>0.30792514458689307</v>
          </cell>
          <cell r="I24">
            <v>0</v>
          </cell>
          <cell r="J24">
            <v>0</v>
          </cell>
          <cell r="K24">
            <v>2.0897614501405381E-2</v>
          </cell>
          <cell r="L24">
            <v>0</v>
          </cell>
          <cell r="M24">
            <v>0</v>
          </cell>
        </row>
        <row r="25">
          <cell r="B25">
            <v>3.21932243029678</v>
          </cell>
          <cell r="C25">
            <v>0</v>
          </cell>
          <cell r="D25">
            <v>0</v>
          </cell>
          <cell r="E25">
            <v>0.21848218726770791</v>
          </cell>
          <cell r="F25">
            <v>0</v>
          </cell>
          <cell r="G25">
            <v>0</v>
          </cell>
          <cell r="H25">
            <v>0.37512975856007619</v>
          </cell>
          <cell r="I25">
            <v>0</v>
          </cell>
          <cell r="J25">
            <v>0</v>
          </cell>
          <cell r="K25">
            <v>2.545851555224838E-2</v>
          </cell>
          <cell r="L25">
            <v>0</v>
          </cell>
          <cell r="M25">
            <v>0</v>
          </cell>
        </row>
        <row r="42">
          <cell r="B42">
            <v>19.767392686801252</v>
          </cell>
          <cell r="C42">
            <v>0</v>
          </cell>
          <cell r="D42">
            <v>0</v>
          </cell>
          <cell r="E42">
            <v>1.341531730449842</v>
          </cell>
          <cell r="F42">
            <v>0</v>
          </cell>
          <cell r="G42">
            <v>0</v>
          </cell>
          <cell r="H42">
            <v>2.0950904713264049</v>
          </cell>
          <cell r="I42">
            <v>0</v>
          </cell>
          <cell r="J42">
            <v>0</v>
          </cell>
          <cell r="K42">
            <v>0.14218518294140811</v>
          </cell>
          <cell r="L42">
            <v>0</v>
          </cell>
          <cell r="M42">
            <v>0</v>
          </cell>
        </row>
        <row r="43">
          <cell r="B43">
            <v>17.100102974236268</v>
          </cell>
          <cell r="C43">
            <v>0</v>
          </cell>
          <cell r="D43">
            <v>0</v>
          </cell>
          <cell r="E43">
            <v>1.1605137357955659</v>
          </cell>
          <cell r="F43">
            <v>0</v>
          </cell>
          <cell r="G43">
            <v>0</v>
          </cell>
          <cell r="H43">
            <v>2.1935664424612962</v>
          </cell>
          <cell r="I43">
            <v>0</v>
          </cell>
          <cell r="J43">
            <v>0</v>
          </cell>
          <cell r="K43">
            <v>0.14886834252939601</v>
          </cell>
          <cell r="L43">
            <v>0</v>
          </cell>
          <cell r="M43">
            <v>0</v>
          </cell>
        </row>
        <row r="44">
          <cell r="B44">
            <v>20.81627252133249</v>
          </cell>
          <cell r="C44">
            <v>0</v>
          </cell>
          <cell r="D44">
            <v>0</v>
          </cell>
          <cell r="E44">
            <v>1.4127148956627309</v>
          </cell>
          <cell r="F44">
            <v>0</v>
          </cell>
          <cell r="G44">
            <v>0</v>
          </cell>
          <cell r="H44">
            <v>2.297160343209923</v>
          </cell>
          <cell r="I44">
            <v>0</v>
          </cell>
          <cell r="J44">
            <v>0</v>
          </cell>
          <cell r="K44">
            <v>0.1558988349740647</v>
          </cell>
          <cell r="L44">
            <v>0</v>
          </cell>
          <cell r="M44">
            <v>0</v>
          </cell>
        </row>
        <row r="45">
          <cell r="B45">
            <v>22.14742129629683</v>
          </cell>
          <cell r="C45">
            <v>0</v>
          </cell>
          <cell r="D45">
            <v>0</v>
          </cell>
          <cell r="E45">
            <v>1.5030544942055619</v>
          </cell>
          <cell r="F45">
            <v>0</v>
          </cell>
          <cell r="G45">
            <v>0</v>
          </cell>
          <cell r="H45">
            <v>2.576720586620076</v>
          </cell>
          <cell r="I45">
            <v>0</v>
          </cell>
          <cell r="J45">
            <v>0</v>
          </cell>
          <cell r="K45">
            <v>0.17487144016531059</v>
          </cell>
          <cell r="L45">
            <v>0</v>
          </cell>
          <cell r="M45">
            <v>0</v>
          </cell>
        </row>
      </sheetData>
      <sheetData sheetId="2">
        <row r="22">
          <cell r="B22">
            <v>150.3272441901228</v>
          </cell>
          <cell r="C22">
            <v>7.6548216462319074E-2</v>
          </cell>
          <cell r="D22">
            <v>21.12349127751212</v>
          </cell>
          <cell r="E22">
            <v>10.296407489170679</v>
          </cell>
          <cell r="F22">
            <v>23.964980441668889</v>
          </cell>
          <cell r="G22">
            <v>92.126486118064619</v>
          </cell>
          <cell r="H22">
            <v>13.72452091533423</v>
          </cell>
          <cell r="I22">
            <v>6.9886706400333178E-3</v>
          </cell>
          <cell r="J22">
            <v>1.928524662345561</v>
          </cell>
          <cell r="K22">
            <v>0.94003758732651543</v>
          </cell>
          <cell r="L22">
            <v>2.1879458848542588</v>
          </cell>
          <cell r="M22">
            <v>8.4109297179992026</v>
          </cell>
        </row>
        <row r="23">
          <cell r="B23">
            <v>160.65407353402031</v>
          </cell>
          <cell r="C23">
            <v>8.1806746758971982E-2</v>
          </cell>
          <cell r="D23">
            <v>22.355883253121512</v>
          </cell>
          <cell r="E23">
            <v>11.00372600331451</v>
          </cell>
          <cell r="F23">
            <v>25.79851639759551</v>
          </cell>
          <cell r="G23">
            <v>100.6152441232894</v>
          </cell>
          <cell r="H23">
            <v>16.584702258311591</v>
          </cell>
          <cell r="I23">
            <v>8.4451051123290814E-3</v>
          </cell>
          <cell r="J23">
            <v>2.307851020012142</v>
          </cell>
          <cell r="K23">
            <v>1.1359408167037051</v>
          </cell>
          <cell r="L23">
            <v>2.663242230640896</v>
          </cell>
          <cell r="M23">
            <v>10.386751046675011</v>
          </cell>
        </row>
        <row r="24">
          <cell r="B24">
            <v>212.1537672455494</v>
          </cell>
          <cell r="C24">
            <v>0.1080309333541007</v>
          </cell>
          <cell r="D24">
            <v>29.242210972710001</v>
          </cell>
          <cell r="E24">
            <v>14.531109445205781</v>
          </cell>
          <cell r="F24">
            <v>34.308400110609668</v>
          </cell>
          <cell r="G24">
            <v>135.63556461412779</v>
          </cell>
          <cell r="H24">
            <v>19.878977021289899</v>
          </cell>
          <cell r="I24">
            <v>1.012258452733047E-2</v>
          </cell>
          <cell r="J24">
            <v>2.7400184664428018</v>
          </cell>
          <cell r="K24">
            <v>1.3615765324627009</v>
          </cell>
          <cell r="L24">
            <v>3.2147244250754019</v>
          </cell>
          <cell r="M24">
            <v>12.70916046997743</v>
          </cell>
        </row>
        <row r="25">
          <cell r="B25">
            <v>207.83244805113219</v>
          </cell>
          <cell r="C25">
            <v>0.10583047209453909</v>
          </cell>
          <cell r="D25">
            <v>28.380275073632721</v>
          </cell>
          <cell r="E25">
            <v>14.2351280776486</v>
          </cell>
          <cell r="F25">
            <v>33.837584435963358</v>
          </cell>
          <cell r="G25">
            <v>135.5031024214031</v>
          </cell>
          <cell r="H25">
            <v>24.21756060364029</v>
          </cell>
          <cell r="I25">
            <v>1.2331836995110651E-2</v>
          </cell>
          <cell r="J25">
            <v>3.3069957939127401</v>
          </cell>
          <cell r="K25">
            <v>1.658740394744431</v>
          </cell>
          <cell r="L25">
            <v>3.9429057370152751</v>
          </cell>
          <cell r="M25">
            <v>15.78942376728517</v>
          </cell>
        </row>
        <row r="42">
          <cell r="B42">
            <v>1276.1398408009791</v>
          </cell>
        </row>
        <row r="45">
          <cell r="M45">
            <v>137.4025280188082</v>
          </cell>
        </row>
      </sheetData>
      <sheetData sheetId="3">
        <row r="22">
          <cell r="B22">
            <v>4.5779318831344016</v>
          </cell>
          <cell r="C22">
            <v>3.6417406810584132</v>
          </cell>
          <cell r="D22">
            <v>186.8032885245504</v>
          </cell>
          <cell r="E22">
            <v>0.23134333282630309</v>
          </cell>
          <cell r="F22">
            <v>90.058476879460159</v>
          </cell>
          <cell r="G22">
            <v>1.082105015802147</v>
          </cell>
          <cell r="H22">
            <v>0.41795432502967261</v>
          </cell>
          <cell r="I22">
            <v>0.33248228832158511</v>
          </cell>
          <cell r="J22">
            <v>17.054697265426618</v>
          </cell>
          <cell r="K22">
            <v>2.1121097689931201E-2</v>
          </cell>
          <cell r="L22">
            <v>8.2221253784981378</v>
          </cell>
          <cell r="M22">
            <v>9.8793621887871053E-2</v>
          </cell>
        </row>
        <row r="23">
          <cell r="B23">
            <v>4.8924159379696386</v>
          </cell>
          <cell r="C23">
            <v>3.891912462831093</v>
          </cell>
          <cell r="D23">
            <v>197.70181238931451</v>
          </cell>
          <cell r="E23">
            <v>0.24723561589725629</v>
          </cell>
          <cell r="F23">
            <v>96.94875813365914</v>
          </cell>
          <cell r="G23">
            <v>1.181812798031163</v>
          </cell>
          <cell r="H23">
            <v>0.50505573789800318</v>
          </cell>
          <cell r="I23">
            <v>0.4017713836418686</v>
          </cell>
          <cell r="J23">
            <v>20.40922848875681</v>
          </cell>
          <cell r="K23">
            <v>2.5522720881633869E-2</v>
          </cell>
          <cell r="L23">
            <v>10.0082509742233</v>
          </cell>
          <cell r="M23">
            <v>0.1220013470511748</v>
          </cell>
        </row>
        <row r="24">
          <cell r="B24">
            <v>6.4607417001015577</v>
          </cell>
          <cell r="C24">
            <v>5.139514191058919</v>
          </cell>
          <cell r="D24">
            <v>258.60029962216959</v>
          </cell>
          <cell r="E24">
            <v>0.32649011728152211</v>
          </cell>
          <cell r="F24">
            <v>128.92821947646209</v>
          </cell>
          <cell r="G24">
            <v>1.5931566585749131</v>
          </cell>
          <cell r="H24">
            <v>0.60537664480008235</v>
          </cell>
          <cell r="I24">
            <v>0.48157657453427521</v>
          </cell>
          <cell r="J24">
            <v>24.23105411056817</v>
          </cell>
          <cell r="K24">
            <v>3.059238411545943E-2</v>
          </cell>
          <cell r="L24">
            <v>12.080676886599941</v>
          </cell>
          <cell r="M24">
            <v>0.1492800482325165</v>
          </cell>
        </row>
        <row r="25">
          <cell r="B25">
            <v>6.3291440976582942</v>
          </cell>
          <cell r="C25">
            <v>5.0348284170933919</v>
          </cell>
          <cell r="D25">
            <v>250.97786361811691</v>
          </cell>
          <cell r="E25">
            <v>0.31983990301045889</v>
          </cell>
          <cell r="F25">
            <v>127.1589318839758</v>
          </cell>
          <cell r="G25">
            <v>1.5916007759054289</v>
          </cell>
          <cell r="H25">
            <v>0.73750000152287098</v>
          </cell>
          <cell r="I25">
            <v>0.58668058555462566</v>
          </cell>
          <cell r="J25">
            <v>29.245056194731202</v>
          </cell>
          <cell r="K25">
            <v>3.7269167097105871E-2</v>
          </cell>
          <cell r="L25">
            <v>14.81712392877516</v>
          </cell>
          <cell r="M25">
            <v>0.18546039662588029</v>
          </cell>
        </row>
        <row r="42">
          <cell r="B42">
            <v>38.862425078133072</v>
          </cell>
          <cell r="C42">
            <v>30.915024072992921</v>
          </cell>
          <cell r="D42">
            <v>1585.557584151017</v>
          </cell>
          <cell r="E42">
            <v>1.9638918115863671</v>
          </cell>
          <cell r="F42">
            <v>788.05285046504025</v>
          </cell>
          <cell r="G42">
            <v>11.57089774280815</v>
          </cell>
          <cell r="H42">
            <v>4.1189193619954487</v>
          </cell>
          <cell r="I42">
            <v>3.2765966347904278</v>
          </cell>
          <cell r="J42">
            <v>168.04879828750231</v>
          </cell>
          <cell r="K42">
            <v>0.20814738121319529</v>
          </cell>
          <cell r="L42">
            <v>83.523509856376961</v>
          </cell>
          <cell r="M42">
            <v>1.22636697665424</v>
          </cell>
        </row>
        <row r="43">
          <cell r="B43">
            <v>33.618569792886277</v>
          </cell>
          <cell r="C43">
            <v>26.74354192660693</v>
          </cell>
          <cell r="D43">
            <v>1381.6816291914499</v>
          </cell>
          <cell r="E43">
            <v>1.6988963967316539</v>
          </cell>
          <cell r="F43">
            <v>681.33717751992663</v>
          </cell>
          <cell r="G43">
            <v>10.244579345484871</v>
          </cell>
          <cell r="H43">
            <v>4.3125217814375141</v>
          </cell>
          <cell r="I43">
            <v>3.430607184713852</v>
          </cell>
          <cell r="J43">
            <v>177.23931022672559</v>
          </cell>
          <cell r="K43">
            <v>0.21793097566159</v>
          </cell>
          <cell r="L43">
            <v>87.400547871598775</v>
          </cell>
          <cell r="M43">
            <v>1.314153809672679</v>
          </cell>
        </row>
        <row r="44">
          <cell r="B44">
            <v>40.92450856234754</v>
          </cell>
          <cell r="C44">
            <v>32.555409623478852</v>
          </cell>
          <cell r="D44">
            <v>1694.134187487085</v>
          </cell>
          <cell r="E44">
            <v>2.0680980946815239</v>
          </cell>
          <cell r="F44">
            <v>828.94360758917492</v>
          </cell>
          <cell r="G44">
            <v>12.75533387692303</v>
          </cell>
          <cell r="H44">
            <v>4.5161859808684879</v>
          </cell>
          <cell r="I44">
            <v>3.592621871536835</v>
          </cell>
          <cell r="J44">
            <v>186.95459850380459</v>
          </cell>
          <cell r="K44">
            <v>0.22822303676615649</v>
          </cell>
          <cell r="L44">
            <v>91.477298837233349</v>
          </cell>
          <cell r="M44">
            <v>1.4076029758181721</v>
          </cell>
        </row>
        <row r="45">
          <cell r="B45">
            <v>43.54152894305976</v>
          </cell>
          <cell r="C45">
            <v>34.637246974250743</v>
          </cell>
          <cell r="D45">
            <v>1815.362747739179</v>
          </cell>
          <cell r="E45">
            <v>2.200347816259689</v>
          </cell>
          <cell r="F45">
            <v>881.46504176355813</v>
          </cell>
          <cell r="G45">
            <v>13.871884574259219</v>
          </cell>
          <cell r="H45">
            <v>5.0657976158721212</v>
          </cell>
          <cell r="I45">
            <v>4.0298374311107246</v>
          </cell>
          <cell r="J45">
            <v>211.20664576263161</v>
          </cell>
          <cell r="K45">
            <v>0.25599736601519679</v>
          </cell>
          <cell r="L45">
            <v>102.55320875111801</v>
          </cell>
          <cell r="M45">
            <v>1.6139111673325039</v>
          </cell>
        </row>
      </sheetData>
      <sheetData sheetId="4">
        <row r="22">
          <cell r="B22">
            <v>1.1246822273444379</v>
          </cell>
          <cell r="C22">
            <v>1.140079819651561E-2</v>
          </cell>
          <cell r="D22">
            <v>0.66162659461173012</v>
          </cell>
          <cell r="E22">
            <v>7.9829741609076452E-2</v>
          </cell>
          <cell r="F22">
            <v>0.1569047515019705</v>
          </cell>
          <cell r="G22">
            <v>0.89004308659051057</v>
          </cell>
          <cell r="H22">
            <v>0.1026808203360095</v>
          </cell>
          <cell r="I22">
            <v>1.040865840004962E-3</v>
          </cell>
          <cell r="J22">
            <v>6.0404939136685681E-2</v>
          </cell>
          <cell r="K22">
            <v>7.2882661042720353E-3</v>
          </cell>
          <cell r="L22">
            <v>1.4325031735302749E-2</v>
          </cell>
          <cell r="M22">
            <v>8.1258823197815994E-2</v>
          </cell>
        </row>
        <row r="23">
          <cell r="B23">
            <v>1.2019430159025759</v>
          </cell>
          <cell r="C23">
            <v>1.218398355984689E-2</v>
          </cell>
          <cell r="D23">
            <v>0.70022737775581734</v>
          </cell>
          <cell r="E23">
            <v>8.5313698443419447E-2</v>
          </cell>
          <cell r="F23">
            <v>0.1689093723375617</v>
          </cell>
          <cell r="G23">
            <v>0.97205381656242795</v>
          </cell>
          <cell r="H23">
            <v>0.12407943733826381</v>
          </cell>
          <cell r="I23">
            <v>1.2577816124745441E-3</v>
          </cell>
          <cell r="J23">
            <v>7.2286138270495265E-2</v>
          </cell>
          <cell r="K23">
            <v>8.8071360788736612E-3</v>
          </cell>
          <cell r="L23">
            <v>1.7436916395795862E-2</v>
          </cell>
          <cell r="M23">
            <v>0.10034742831049</v>
          </cell>
        </row>
        <row r="24">
          <cell r="B24">
            <v>1.5872410405093791</v>
          </cell>
          <cell r="C24">
            <v>1.6089713478270321E-2</v>
          </cell>
          <cell r="D24">
            <v>0.91591982644407754</v>
          </cell>
          <cell r="E24">
            <v>0.1126620827239055</v>
          </cell>
          <cell r="F24">
            <v>0.22462572030417691</v>
          </cell>
          <cell r="G24">
            <v>1.3103885936330451</v>
          </cell>
          <cell r="H24">
            <v>0.14872575010659461</v>
          </cell>
          <cell r="I24">
            <v>1.507618972155602E-3</v>
          </cell>
          <cell r="J24">
            <v>8.5822417483409602E-2</v>
          </cell>
          <cell r="K24">
            <v>1.0556526913081069E-2</v>
          </cell>
          <cell r="L24">
            <v>2.1047608959727768E-2</v>
          </cell>
          <cell r="M24">
            <v>0.1227844552561824</v>
          </cell>
        </row>
        <row r="25">
          <cell r="B25">
            <v>1.554910833680758</v>
          </cell>
          <cell r="C25">
            <v>1.5761985205569651E-2</v>
          </cell>
          <cell r="D25">
            <v>0.88892240891550744</v>
          </cell>
          <cell r="E25">
            <v>0.1103672904754401</v>
          </cell>
          <cell r="F25">
            <v>0.22154317172403429</v>
          </cell>
          <cell r="G25">
            <v>1.309108863298837</v>
          </cell>
          <cell r="H25">
            <v>0.1811851214813974</v>
          </cell>
          <cell r="I25">
            <v>1.836656573739884E-3</v>
          </cell>
          <cell r="J25">
            <v>0.1035811900966921</v>
          </cell>
          <cell r="K25">
            <v>1.286048723773372E-2</v>
          </cell>
          <cell r="L25">
            <v>2.5815195066313721E-2</v>
          </cell>
          <cell r="M25">
            <v>0.15254318337193609</v>
          </cell>
        </row>
        <row r="42">
          <cell r="B42">
            <v>9.54751619566591</v>
          </cell>
          <cell r="C42">
            <v>9.6782275720460859E-2</v>
          </cell>
          <cell r="D42">
            <v>5.6157847822083138</v>
          </cell>
          <cell r="E42">
            <v>0.67768097723754939</v>
          </cell>
          <cell r="F42">
            <v>1.3729883177808619</v>
          </cell>
          <cell r="G42">
            <v>9.5171886196257542</v>
          </cell>
          <cell r="H42">
            <v>1.0119144453345219</v>
          </cell>
          <cell r="I42">
            <v>1.025768177259973E-2</v>
          </cell>
          <cell r="J42">
            <v>0.59520126769578374</v>
          </cell>
          <cell r="K42">
            <v>7.1825504784835029E-2</v>
          </cell>
          <cell r="L42">
            <v>0.14551917834595479</v>
          </cell>
          <cell r="M42">
            <v>1.0087001106679889</v>
          </cell>
        </row>
        <row r="43">
          <cell r="B43">
            <v>8.2592334093250042</v>
          </cell>
          <cell r="C43">
            <v>8.3723074009950132E-2</v>
          </cell>
          <cell r="D43">
            <v>4.8936896046098459</v>
          </cell>
          <cell r="E43">
            <v>0.58623889746373981</v>
          </cell>
          <cell r="F43">
            <v>1.187062497969029</v>
          </cell>
          <cell r="G43">
            <v>8.4262773837321419</v>
          </cell>
          <cell r="H43">
            <v>1.059477669488109</v>
          </cell>
          <cell r="I43">
            <v>1.073982571243156E-2</v>
          </cell>
          <cell r="J43">
            <v>0.62775255287451148</v>
          </cell>
          <cell r="K43">
            <v>7.5201533855055736E-2</v>
          </cell>
          <cell r="L43">
            <v>0.152273963763393</v>
          </cell>
          <cell r="M43">
            <v>1.080905730899606</v>
          </cell>
        </row>
        <row r="44">
          <cell r="B44">
            <v>10.054118020507531</v>
          </cell>
          <cell r="C44">
            <v>0.1019176508785116</v>
          </cell>
          <cell r="D44">
            <v>6.0003452944302929</v>
          </cell>
          <cell r="E44">
            <v>0.71363948337601901</v>
          </cell>
          <cell r="F44">
            <v>1.4442304074497481</v>
          </cell>
          <cell r="G44">
            <v>10.49140015850811</v>
          </cell>
          <cell r="H44">
            <v>1.1095128188292831</v>
          </cell>
          <cell r="I44">
            <v>1.124702732592033E-2</v>
          </cell>
          <cell r="J44">
            <v>0.66216250972915369</v>
          </cell>
          <cell r="K44">
            <v>7.8753019729166721E-2</v>
          </cell>
          <cell r="L44">
            <v>0.15937669988954881</v>
          </cell>
          <cell r="M44">
            <v>1.1577686814088859</v>
          </cell>
        </row>
        <row r="45">
          <cell r="B45">
            <v>10.697053823381459</v>
          </cell>
          <cell r="C45">
            <v>0.10843503077806579</v>
          </cell>
          <cell r="D45">
            <v>6.4297169619356787</v>
          </cell>
          <cell r="E45">
            <v>0.75927495068116035</v>
          </cell>
          <cell r="F45">
            <v>1.5357360920138869</v>
          </cell>
          <cell r="G45">
            <v>11.409775190949141</v>
          </cell>
          <cell r="H45">
            <v>1.2445385146260231</v>
          </cell>
          <cell r="I45">
            <v>1.261577013317311E-2</v>
          </cell>
          <cell r="J45">
            <v>0.74805928149884149</v>
          </cell>
          <cell r="K45">
            <v>8.833711925876514E-2</v>
          </cell>
          <cell r="L45">
            <v>0.17867374946126591</v>
          </cell>
          <cell r="M45">
            <v>1.32745940170206</v>
          </cell>
        </row>
      </sheetData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0</v>
          </cell>
          <cell r="D36">
            <v>0</v>
          </cell>
          <cell r="E36">
            <v>0</v>
          </cell>
        </row>
        <row r="37">
          <cell r="B37" t="str">
            <v>Sur</v>
          </cell>
          <cell r="C37">
            <v>252537.13817652737</v>
          </cell>
          <cell r="D37">
            <v>2.8651450310146591E-2</v>
          </cell>
          <cell r="E37">
            <v>2630508.7579015647</v>
          </cell>
        </row>
        <row r="38">
          <cell r="B38" t="str">
            <v>TARC</v>
          </cell>
          <cell r="C38">
            <v>13189363.89541813</v>
          </cell>
          <cell r="D38">
            <v>1.469875516164183</v>
          </cell>
          <cell r="E38">
            <v>135870349.78967845</v>
          </cell>
        </row>
        <row r="39">
          <cell r="B39" t="str">
            <v>Polymer</v>
          </cell>
          <cell r="C39">
            <v>287690.11763402505</v>
          </cell>
          <cell r="D39">
            <v>1.6320343419989367E-2</v>
          </cell>
          <cell r="E39">
            <v>2061404.0238773595</v>
          </cell>
        </row>
        <row r="40">
          <cell r="B40" t="str">
            <v>ITC</v>
          </cell>
          <cell r="C40">
            <v>6891761.8788162526</v>
          </cell>
          <cell r="D40">
            <v>0.74699374563387511</v>
          </cell>
          <cell r="E40">
            <v>69804545.643538386</v>
          </cell>
        </row>
        <row r="41">
          <cell r="B41" t="str">
            <v>PBO</v>
          </cell>
          <cell r="C41">
            <v>2561982.171139529</v>
          </cell>
          <cell r="D41">
            <v>0.14046357832440137</v>
          </cell>
          <cell r="E41">
            <v>18112890.14905766</v>
          </cell>
        </row>
        <row r="42">
          <cell r="C42">
            <v>23183335.201184466</v>
          </cell>
          <cell r="D42">
            <v>2.4023046338525953</v>
          </cell>
          <cell r="E42">
            <v>228479698.36405343</v>
          </cell>
        </row>
        <row r="44">
          <cell r="A44">
            <v>2030</v>
          </cell>
          <cell r="B44" t="str">
            <v>PAG</v>
          </cell>
          <cell r="C44">
            <v>0</v>
          </cell>
          <cell r="D44">
            <v>0</v>
          </cell>
          <cell r="E44">
            <v>0</v>
          </cell>
        </row>
        <row r="45">
          <cell r="B45" t="str">
            <v>Sur</v>
          </cell>
          <cell r="C45">
            <v>1628177.6763636738</v>
          </cell>
          <cell r="D45">
            <v>0.16902066525637316</v>
          </cell>
          <cell r="E45">
            <v>16824575.343616102</v>
          </cell>
        </row>
        <row r="46">
          <cell r="B46" t="str">
            <v>TARC</v>
          </cell>
          <cell r="C46">
            <v>87702762.815795302</v>
          </cell>
          <cell r="D46">
            <v>8.926774491354994</v>
          </cell>
          <cell r="E46">
            <v>895256046.56760335</v>
          </cell>
        </row>
        <row r="47">
          <cell r="B47" t="str">
            <v>Polymer</v>
          </cell>
          <cell r="C47">
            <v>2057938.1388015118</v>
          </cell>
          <cell r="D47">
            <v>0.10786595605724883</v>
          </cell>
          <cell r="E47">
            <v>14653961.017842244</v>
          </cell>
        </row>
        <row r="48">
          <cell r="B48" t="str">
            <v>ITC</v>
          </cell>
          <cell r="C48">
            <v>45664312.828192145</v>
          </cell>
          <cell r="D48">
            <v>4.5099384060257428</v>
          </cell>
          <cell r="E48">
            <v>457600580.48965275</v>
          </cell>
        </row>
        <row r="49">
          <cell r="B49" t="str">
            <v>PBO</v>
          </cell>
          <cell r="C49">
            <v>23175673.861888923</v>
          </cell>
          <cell r="D49">
            <v>1.1774054164820893</v>
          </cell>
          <cell r="E49">
            <v>163048881.29372388</v>
          </cell>
        </row>
        <row r="50">
          <cell r="C50">
            <v>160228865.32104155</v>
          </cell>
          <cell r="D50">
            <v>14.891004935176449</v>
          </cell>
          <cell r="E50">
            <v>1547384044.7124383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6.5145351970042079E-2</v>
          </cell>
          <cell r="P26">
            <v>6.3471551523667947E-3</v>
          </cell>
          <cell r="Q26">
            <v>2.3623556115078305E-3</v>
          </cell>
          <cell r="S26">
            <v>5.3237614874603748E-3</v>
          </cell>
          <cell r="T26">
            <v>5.1857897282042383E-4</v>
          </cell>
          <cell r="U26">
            <v>1.9984193305150866E-3</v>
          </cell>
          <cell r="W26">
            <v>0.49365077104807992</v>
          </cell>
          <cell r="X26">
            <v>4.8061381492648776E-2</v>
          </cell>
          <cell r="Y26">
            <v>1.8933267713247431E-3</v>
          </cell>
        </row>
        <row r="27">
          <cell r="N27" t="str">
            <v>Solid</v>
          </cell>
          <cell r="O27">
            <v>7.7224237927790707E-2</v>
          </cell>
          <cell r="P27">
            <v>7.5256815054399401E-3</v>
          </cell>
          <cell r="Q27">
            <v>2.8003703456391717E-3</v>
          </cell>
          <cell r="S27">
            <v>6.310779370322611E-3</v>
          </cell>
          <cell r="T27">
            <v>6.1485927073294294E-4</v>
          </cell>
          <cell r="U27">
            <v>2.3689234602214892E-3</v>
          </cell>
          <cell r="W27">
            <v>0.58517981699560651</v>
          </cell>
          <cell r="X27">
            <v>5.6985093661227476E-2</v>
          </cell>
          <cell r="Y27">
            <v>2.2443733070737701E-3</v>
          </cell>
        </row>
        <row r="28">
          <cell r="N28" t="str">
            <v>Solvent</v>
          </cell>
          <cell r="O28">
            <v>7.7829222181246074</v>
          </cell>
          <cell r="P28">
            <v>0.75811215284057598</v>
          </cell>
          <cell r="Q28">
            <v>0.28223087940902813</v>
          </cell>
          <cell r="S28">
            <v>0.41027968650615027</v>
          </cell>
          <cell r="T28">
            <v>4.0010383805401242E-2</v>
          </cell>
          <cell r="U28">
            <v>0.15400969002138512</v>
          </cell>
          <cell r="W28">
            <v>54.163285299557842</v>
          </cell>
          <cell r="X28">
            <v>5.2738668658970429</v>
          </cell>
          <cell r="Y28">
            <v>0.20773551687730446</v>
          </cell>
        </row>
        <row r="29">
          <cell r="N29" t="str">
            <v>Water</v>
          </cell>
          <cell r="O29">
            <v>19.651145732835975</v>
          </cell>
          <cell r="P29">
            <v>1.9160737154218923</v>
          </cell>
          <cell r="Q29">
            <v>0.71260639463382491</v>
          </cell>
          <cell r="S29">
            <v>2.2420719572013406</v>
          </cell>
          <cell r="T29">
            <v>0.21825974753251465</v>
          </cell>
          <cell r="U29">
            <v>0.84162296718787832</v>
          </cell>
          <cell r="W29">
            <v>205.48982881662778</v>
          </cell>
          <cell r="X29">
            <v>20.004260903576725</v>
          </cell>
          <cell r="Y29">
            <v>0.78812678304429706</v>
          </cell>
        </row>
        <row r="30">
          <cell r="O30">
            <v>27.576437540858414</v>
          </cell>
          <cell r="P30">
            <v>2.6880587049202749</v>
          </cell>
          <cell r="S30">
            <v>2.6639861845652737</v>
          </cell>
          <cell r="T30">
            <v>0.25940356958146926</v>
          </cell>
          <cell r="W30">
            <v>260.73194470422931</v>
          </cell>
          <cell r="X30">
            <v>25.383174244627643</v>
          </cell>
        </row>
        <row r="32">
          <cell r="M32">
            <v>2030</v>
          </cell>
          <cell r="N32">
            <v>31</v>
          </cell>
          <cell r="O32">
            <v>0.45902379353836087</v>
          </cell>
          <cell r="P32">
            <v>4.9815915358520639E-2</v>
          </cell>
          <cell r="Q32">
            <v>2.3379715319634866E-3</v>
          </cell>
          <cell r="S32">
            <v>3.5686245393139013E-2</v>
          </cell>
          <cell r="T32">
            <v>3.8698019678769192E-3</v>
          </cell>
          <cell r="U32">
            <v>2.0529448465024702E-3</v>
          </cell>
          <cell r="W32">
            <v>3.4585303919721526</v>
          </cell>
          <cell r="X32">
            <v>0.37184909914164799</v>
          </cell>
          <cell r="Y32">
            <v>1.8759650930822141E-3</v>
          </cell>
        </row>
        <row r="33">
          <cell r="N33" t="str">
            <v>Solid</v>
          </cell>
          <cell r="O33">
            <v>0.59234463962024986</v>
          </cell>
          <cell r="P33">
            <v>6.428069485261273E-2</v>
          </cell>
          <cell r="Q33">
            <v>3.0170220455632639E-3</v>
          </cell>
          <cell r="S33">
            <v>4.6049584553948225E-2</v>
          </cell>
          <cell r="T33">
            <v>4.9932958551909112E-3</v>
          </cell>
          <cell r="U33">
            <v>2.649123107576438E-3</v>
          </cell>
          <cell r="W33">
            <v>4.4630242726215252</v>
          </cell>
          <cell r="X33">
            <v>0.47981664666423257</v>
          </cell>
          <cell r="Y33">
            <v>2.4208194799879711E-3</v>
          </cell>
        </row>
        <row r="34">
          <cell r="N34" t="str">
            <v>Solvent</v>
          </cell>
          <cell r="O34">
            <v>60.722997866059309</v>
          </cell>
          <cell r="P34">
            <v>6.5385274476947144</v>
          </cell>
          <cell r="Q34">
            <v>0.30928383744983756</v>
          </cell>
          <cell r="S34">
            <v>2.9784897437307025</v>
          </cell>
          <cell r="T34">
            <v>0.32669331749255942</v>
          </cell>
          <cell r="U34">
            <v>0.17134543302019684</v>
          </cell>
          <cell r="W34">
            <v>421.25381546441167</v>
          </cell>
          <cell r="X34">
            <v>45.143025011790961</v>
          </cell>
          <cell r="Y34">
            <v>0.22849515938135376</v>
          </cell>
        </row>
        <row r="35">
          <cell r="N35" t="str">
            <v>Water</v>
          </cell>
          <cell r="O35">
            <v>134.55984361858262</v>
          </cell>
          <cell r="P35">
            <v>14.826289846657023</v>
          </cell>
          <cell r="Q35">
            <v>0.68536116897263566</v>
          </cell>
          <cell r="S35">
            <v>14.322728212896852</v>
          </cell>
          <cell r="T35">
            <v>1.548168120981062</v>
          </cell>
          <cell r="U35">
            <v>0.82395249902572421</v>
          </cell>
          <cell r="W35">
            <v>1414.4252409515457</v>
          </cell>
          <cell r="X35">
            <v>152.46923673529582</v>
          </cell>
          <cell r="Y35">
            <v>0.76720805604557607</v>
          </cell>
        </row>
        <row r="36">
          <cell r="O36">
            <v>196.33420991780054</v>
          </cell>
          <cell r="P36">
            <v>21.478913904562869</v>
          </cell>
          <cell r="S36">
            <v>17.382953786574642</v>
          </cell>
          <cell r="T36">
            <v>1.8837245362966892</v>
          </cell>
          <cell r="W36">
            <v>1843.6006110805511</v>
          </cell>
          <cell r="X36">
            <v>198.46392749289265</v>
          </cell>
        </row>
        <row r="38">
          <cell r="M38">
            <v>2025</v>
          </cell>
          <cell r="O38">
            <v>27.576437540858414</v>
          </cell>
          <cell r="P38">
            <v>2.6880587049202749</v>
          </cell>
          <cell r="S38">
            <v>2.6639861845652737</v>
          </cell>
          <cell r="T38">
            <v>0.25940356958146926</v>
          </cell>
          <cell r="W38">
            <v>260.73194470422931</v>
          </cell>
          <cell r="X38">
            <v>25.383174244627643</v>
          </cell>
        </row>
        <row r="39">
          <cell r="M39">
            <v>2030</v>
          </cell>
          <cell r="O39">
            <v>196.33420991780054</v>
          </cell>
          <cell r="P39">
            <v>21.478913904562869</v>
          </cell>
          <cell r="S39">
            <v>17.382953786574642</v>
          </cell>
          <cell r="T39">
            <v>1.8837245362966892</v>
          </cell>
          <cell r="W39">
            <v>1843.6006110805511</v>
          </cell>
          <cell r="X39">
            <v>198.46392749289265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22">
          <cell r="B22">
            <v>161.50310149167251</v>
          </cell>
          <cell r="C22">
            <v>3.8026126096640982</v>
          </cell>
          <cell r="D22">
            <v>212.6667280939032</v>
          </cell>
          <cell r="E22">
            <v>10.976100152785889</v>
          </cell>
          <cell r="F22">
            <v>116.4128171552626</v>
          </cell>
          <cell r="G22">
            <v>102.5651893231409</v>
          </cell>
        </row>
        <row r="23">
          <cell r="B23">
            <v>173.9355138778532</v>
          </cell>
          <cell r="C23">
            <v>4.0953354593901272</v>
          </cell>
          <cell r="D23">
            <v>226.81879269913941</v>
          </cell>
          <cell r="E23">
            <v>11.82103379326146</v>
          </cell>
          <cell r="F23">
            <v>126.290825963461</v>
          </cell>
          <cell r="G23">
            <v>112.8840588271095</v>
          </cell>
        </row>
        <row r="24">
          <cell r="B24">
            <v>230.16721313519699</v>
          </cell>
          <cell r="C24">
            <v>5.4193185079128234</v>
          </cell>
          <cell r="D24">
            <v>297.29910119013022</v>
          </cell>
          <cell r="E24">
            <v>15.64266171934662</v>
          </cell>
          <cell r="F24">
            <v>168.29597403752049</v>
          </cell>
          <cell r="G24">
            <v>152.48902913503849</v>
          </cell>
        </row>
        <row r="25">
          <cell r="B25">
            <v>227.58910075202411</v>
          </cell>
          <cell r="C25">
            <v>5.3586164993022338</v>
          </cell>
          <cell r="D25">
            <v>291.23622025357258</v>
          </cell>
          <cell r="E25">
            <v>15.46744762462348</v>
          </cell>
          <cell r="F25">
            <v>167.53980612164989</v>
          </cell>
          <cell r="G25">
            <v>153.76576523390369</v>
          </cell>
        </row>
        <row r="42">
          <cell r="B42">
            <v>1428.220923263485</v>
          </cell>
          <cell r="C42">
            <v>33.627656942971228</v>
          </cell>
          <cell r="D42">
            <v>1880.40329791715</v>
          </cell>
          <cell r="E42">
            <v>97.064983577746659</v>
          </cell>
          <cell r="F42">
            <v>1061.1713069665379</v>
          </cell>
          <cell r="G42">
            <v>1142.487834466293</v>
          </cell>
        </row>
        <row r="43">
          <cell r="B43">
            <v>1272.9494010160511</v>
          </cell>
          <cell r="C43">
            <v>29.971767718761619</v>
          </cell>
          <cell r="D43">
            <v>1688.275749031774</v>
          </cell>
          <cell r="E43">
            <v>86.512395031010641</v>
          </cell>
          <cell r="F43">
            <v>945.27605196359548</v>
          </cell>
          <cell r="G43">
            <v>1042.185612087198</v>
          </cell>
        </row>
        <row r="44">
          <cell r="B44">
            <v>1509.56050014262</v>
          </cell>
          <cell r="C44">
            <v>35.542808403522521</v>
          </cell>
          <cell r="D44">
            <v>2016.593432650254</v>
          </cell>
          <cell r="E44">
            <v>102.59299718222</v>
          </cell>
          <cell r="F44">
            <v>1120.357686772189</v>
          </cell>
          <cell r="G44">
            <v>1264.0897701565459</v>
          </cell>
        </row>
        <row r="45">
          <cell r="B45">
            <v>1617.5950204045271</v>
          </cell>
          <cell r="C45">
            <v>38.086495956470984</v>
          </cell>
          <cell r="D45">
            <v>2176.3715346876779</v>
          </cell>
          <cell r="E45">
            <v>109.93525688745549</v>
          </cell>
          <cell r="F45">
            <v>1199.874656656551</v>
          </cell>
          <cell r="G45">
            <v>1384.588206464872</v>
          </cell>
        </row>
      </sheetData>
      <sheetData sheetId="1">
        <row r="22">
          <cell r="B22">
            <v>2.375518738004208</v>
          </cell>
          <cell r="C22">
            <v>0</v>
          </cell>
          <cell r="D22">
            <v>0</v>
          </cell>
          <cell r="E22">
            <v>0.1612166973056931</v>
          </cell>
          <cell r="F22">
            <v>0</v>
          </cell>
          <cell r="G22">
            <v>0</v>
          </cell>
          <cell r="H22">
            <v>0.2097904664680986</v>
          </cell>
          <cell r="I22">
            <v>0</v>
          </cell>
          <cell r="J22">
            <v>0</v>
          </cell>
          <cell r="K22">
            <v>1.423761706827156E-2</v>
          </cell>
          <cell r="L22">
            <v>0</v>
          </cell>
          <cell r="M22">
            <v>0</v>
          </cell>
        </row>
        <row r="23">
          <cell r="B23">
            <v>2.5601404029041528</v>
          </cell>
          <cell r="C23">
            <v>0</v>
          </cell>
          <cell r="D23">
            <v>0</v>
          </cell>
          <cell r="E23">
            <v>0.17374621121357081</v>
          </cell>
          <cell r="F23">
            <v>0</v>
          </cell>
          <cell r="G23">
            <v>0</v>
          </cell>
          <cell r="H23">
            <v>0.25592958552176809</v>
          </cell>
          <cell r="I23">
            <v>0</v>
          </cell>
          <cell r="J23">
            <v>0</v>
          </cell>
          <cell r="K23">
            <v>1.7368889523178041E-2</v>
          </cell>
          <cell r="L23">
            <v>0</v>
          </cell>
          <cell r="M23">
            <v>0</v>
          </cell>
        </row>
        <row r="24">
          <cell r="B24">
            <v>3.3734605401105888</v>
          </cell>
          <cell r="C24">
            <v>0</v>
          </cell>
          <cell r="D24">
            <v>0</v>
          </cell>
          <cell r="E24">
            <v>0.22894290752874949</v>
          </cell>
          <cell r="F24">
            <v>0</v>
          </cell>
          <cell r="G24">
            <v>0</v>
          </cell>
          <cell r="H24">
            <v>0.31216737176971132</v>
          </cell>
          <cell r="I24">
            <v>0</v>
          </cell>
          <cell r="J24">
            <v>0</v>
          </cell>
          <cell r="K24">
            <v>2.1185517031784489E-2</v>
          </cell>
          <cell r="L24">
            <v>0</v>
          </cell>
          <cell r="M24">
            <v>0</v>
          </cell>
        </row>
        <row r="25">
          <cell r="B25">
            <v>3.352111253956394</v>
          </cell>
          <cell r="C25">
            <v>0</v>
          </cell>
          <cell r="D25">
            <v>0</v>
          </cell>
          <cell r="E25">
            <v>0.22749401918762649</v>
          </cell>
          <cell r="F25">
            <v>0</v>
          </cell>
          <cell r="G25">
            <v>0</v>
          </cell>
          <cell r="H25">
            <v>0.35700662107430869</v>
          </cell>
          <cell r="I25">
            <v>0</v>
          </cell>
          <cell r="J25">
            <v>0</v>
          </cell>
          <cell r="K25">
            <v>2.4228572667130521E-2</v>
          </cell>
          <cell r="L25">
            <v>0</v>
          </cell>
          <cell r="M25">
            <v>0</v>
          </cell>
        </row>
        <row r="42">
          <cell r="B42">
            <v>20.98230268829483</v>
          </cell>
          <cell r="C42">
            <v>0</v>
          </cell>
          <cell r="D42">
            <v>0</v>
          </cell>
          <cell r="E42">
            <v>1.42398268098581</v>
          </cell>
          <cell r="F42">
            <v>0</v>
          </cell>
          <cell r="G42">
            <v>0</v>
          </cell>
          <cell r="H42">
            <v>2.1457125174636271</v>
          </cell>
          <cell r="I42">
            <v>0</v>
          </cell>
          <cell r="J42">
            <v>0</v>
          </cell>
          <cell r="K42">
            <v>0.14562069324007901</v>
          </cell>
          <cell r="L42">
            <v>0</v>
          </cell>
          <cell r="M42">
            <v>0</v>
          </cell>
        </row>
        <row r="43">
          <cell r="B43">
            <v>18.732561231340529</v>
          </cell>
          <cell r="C43">
            <v>0</v>
          </cell>
          <cell r="D43">
            <v>0</v>
          </cell>
          <cell r="E43">
            <v>1.2713019710089279</v>
          </cell>
          <cell r="F43">
            <v>0</v>
          </cell>
          <cell r="G43">
            <v>0</v>
          </cell>
          <cell r="H43">
            <v>2.247218070659998</v>
          </cell>
          <cell r="I43">
            <v>0</v>
          </cell>
          <cell r="J43">
            <v>0</v>
          </cell>
          <cell r="K43">
            <v>0.1525094581160214</v>
          </cell>
          <cell r="L43">
            <v>0</v>
          </cell>
          <cell r="M43">
            <v>0</v>
          </cell>
        </row>
        <row r="44">
          <cell r="B44">
            <v>22.188225625807689</v>
          </cell>
          <cell r="C44">
            <v>0</v>
          </cell>
          <cell r="D44">
            <v>0</v>
          </cell>
          <cell r="E44">
            <v>1.5058237164113359</v>
          </cell>
          <cell r="F44">
            <v>0</v>
          </cell>
          <cell r="G44">
            <v>0</v>
          </cell>
          <cell r="H44">
            <v>2.345591002747454</v>
          </cell>
          <cell r="I44">
            <v>0</v>
          </cell>
          <cell r="J44">
            <v>0</v>
          </cell>
          <cell r="K44">
            <v>0.15918562486717949</v>
          </cell>
          <cell r="L44">
            <v>0</v>
          </cell>
          <cell r="M44">
            <v>0</v>
          </cell>
        </row>
        <row r="45">
          <cell r="B45">
            <v>23.774940085131739</v>
          </cell>
          <cell r="C45">
            <v>0</v>
          </cell>
          <cell r="D45">
            <v>0</v>
          </cell>
          <cell r="E45">
            <v>1.613507508000505</v>
          </cell>
          <cell r="F45">
            <v>0</v>
          </cell>
          <cell r="G45">
            <v>0</v>
          </cell>
          <cell r="H45">
            <v>2.553442201107337</v>
          </cell>
          <cell r="I45">
            <v>0</v>
          </cell>
          <cell r="J45">
            <v>0</v>
          </cell>
          <cell r="K45">
            <v>0.17329163177612261</v>
          </cell>
          <cell r="L45">
            <v>0</v>
          </cell>
          <cell r="M45">
            <v>0</v>
          </cell>
        </row>
      </sheetData>
      <sheetData sheetId="2">
        <row r="22">
          <cell r="B22">
            <v>153.35831852829881</v>
          </cell>
          <cell r="C22">
            <v>7.8091671448154085E-2</v>
          </cell>
          <cell r="D22">
            <v>21.549407901533879</v>
          </cell>
          <cell r="E22">
            <v>10.504015741979179</v>
          </cell>
          <cell r="F22">
            <v>24.448190505306879</v>
          </cell>
          <cell r="G22">
            <v>93.984048461092954</v>
          </cell>
          <cell r="H22">
            <v>13.54361582845072</v>
          </cell>
          <cell r="I22">
            <v>6.8965518639292336E-3</v>
          </cell>
          <cell r="J22">
            <v>1.903104472908651</v>
          </cell>
          <cell r="K22">
            <v>0.92764680279872413</v>
          </cell>
          <cell r="L22">
            <v>2.1591062231394549</v>
          </cell>
          <cell r="M22">
            <v>8.3000639194192498</v>
          </cell>
        </row>
        <row r="23">
          <cell r="B23">
            <v>165.27709131673751</v>
          </cell>
          <cell r="C23">
            <v>8.41608361181371E-2</v>
          </cell>
          <cell r="D23">
            <v>22.999201181848939</v>
          </cell>
          <cell r="E23">
            <v>11.32037169968833</v>
          </cell>
          <cell r="F23">
            <v>26.54090031261369</v>
          </cell>
          <cell r="G23">
            <v>103.51057103634091</v>
          </cell>
          <cell r="H23">
            <v>16.522256915657</v>
          </cell>
          <cell r="I23">
            <v>8.4133072859780451E-3</v>
          </cell>
          <cell r="J23">
            <v>2.2991614128370621</v>
          </cell>
          <cell r="K23">
            <v>1.13166372975758</v>
          </cell>
          <cell r="L23">
            <v>2.6532144911569868</v>
          </cell>
          <cell r="M23">
            <v>10.347642462265391</v>
          </cell>
        </row>
        <row r="24">
          <cell r="B24">
            <v>217.78326888196929</v>
          </cell>
          <cell r="C24">
            <v>0.1108975348950339</v>
          </cell>
          <cell r="D24">
            <v>30.018153236949281</v>
          </cell>
          <cell r="E24">
            <v>14.916692531770069</v>
          </cell>
          <cell r="F24">
            <v>35.218773737593551</v>
          </cell>
          <cell r="G24">
            <v>139.23465523064371</v>
          </cell>
          <cell r="H24">
            <v>20.152845973432381</v>
          </cell>
          <cell r="I24">
            <v>1.026204148301308E-2</v>
          </cell>
          <cell r="J24">
            <v>2.7777671888972861</v>
          </cell>
          <cell r="K24">
            <v>1.3803347179471961</v>
          </cell>
          <cell r="L24">
            <v>3.2590130828257138</v>
          </cell>
          <cell r="M24">
            <v>12.884252199134091</v>
          </cell>
        </row>
        <row r="25">
          <cell r="B25">
            <v>216.40500544249099</v>
          </cell>
          <cell r="C25">
            <v>0.1101957086314336</v>
          </cell>
          <cell r="D25">
            <v>29.550888898050591</v>
          </cell>
          <cell r="E25">
            <v>14.822290734698971</v>
          </cell>
          <cell r="F25">
            <v>35.233298326081609</v>
          </cell>
          <cell r="G25">
            <v>141.09225913445329</v>
          </cell>
          <cell r="H25">
            <v>23.047570299286999</v>
          </cell>
          <cell r="I25">
            <v>1.17360656061056E-2</v>
          </cell>
          <cell r="J25">
            <v>3.1472293715740078</v>
          </cell>
          <cell r="K25">
            <v>1.578603909858401</v>
          </cell>
          <cell r="L25">
            <v>3.7524174562677319</v>
          </cell>
          <cell r="M25">
            <v>15.026610657352361</v>
          </cell>
        </row>
        <row r="42">
          <cell r="B42">
            <v>1354.57178579536</v>
          </cell>
          <cell r="C42">
            <v>0.68976222394973064</v>
          </cell>
          <cell r="D42">
            <v>190.3123446076155</v>
          </cell>
          <cell r="E42">
            <v>92.779077771446595</v>
          </cell>
          <cell r="F42">
            <v>222.5930414218173</v>
          </cell>
          <cell r="G42">
            <v>1045.648960720391</v>
          </cell>
          <cell r="H42">
            <v>138.5225291886382</v>
          </cell>
          <cell r="I42">
            <v>7.0537131219069488E-2</v>
          </cell>
          <cell r="J42">
            <v>19.461904926203211</v>
          </cell>
          <cell r="K42">
            <v>9.4878637245082427</v>
          </cell>
          <cell r="L42">
            <v>22.76302474396855</v>
          </cell>
          <cell r="M42">
            <v>106.9311646687007</v>
          </cell>
        </row>
        <row r="43">
          <cell r="B43">
            <v>1209.333374730759</v>
          </cell>
          <cell r="C43">
            <v>0.61580529492656966</v>
          </cell>
          <cell r="D43">
            <v>171.1542157349121</v>
          </cell>
          <cell r="E43">
            <v>82.831221203880659</v>
          </cell>
          <cell r="F43">
            <v>198.6154385378012</v>
          </cell>
          <cell r="G43">
            <v>955.4493343860114</v>
          </cell>
          <cell r="H43">
            <v>145.0755067385264</v>
          </cell>
          <cell r="I43">
            <v>7.3873976424101942E-2</v>
          </cell>
          <cell r="J43">
            <v>20.5322081545178</v>
          </cell>
          <cell r="K43">
            <v>9.9366987143634553</v>
          </cell>
          <cell r="L43">
            <v>23.82654443683175</v>
          </cell>
          <cell r="M43">
            <v>114.6187637299751</v>
          </cell>
        </row>
        <row r="44">
          <cell r="B44">
            <v>1432.4235455028229</v>
          </cell>
          <cell r="C44">
            <v>0.72940516017306956</v>
          </cell>
          <cell r="D44">
            <v>204.19664273750519</v>
          </cell>
          <cell r="E44">
            <v>98.111400904326231</v>
          </cell>
          <cell r="F44">
            <v>235.12406232053431</v>
          </cell>
          <cell r="G44">
            <v>1157.5147557865371</v>
          </cell>
          <cell r="H44">
            <v>151.42624908893421</v>
          </cell>
          <cell r="I44">
            <v>7.7107841334980026E-2</v>
          </cell>
          <cell r="J44">
            <v>21.586305100450929</v>
          </cell>
          <cell r="K44">
            <v>10.37168195010902</v>
          </cell>
          <cell r="L44">
            <v>24.85574531327136</v>
          </cell>
          <cell r="M44">
            <v>122.3647281449296</v>
          </cell>
        </row>
        <row r="45">
          <cell r="B45">
            <v>1534.858376924491</v>
          </cell>
          <cell r="C45">
            <v>0.78156605549973479</v>
          </cell>
          <cell r="D45">
            <v>220.36411096910959</v>
          </cell>
          <cell r="E45">
            <v>105.1274994903422</v>
          </cell>
          <cell r="F45">
            <v>251.79890580181481</v>
          </cell>
          <cell r="G45">
            <v>1267.788555792861</v>
          </cell>
          <cell r="H45">
            <v>164.84466998985471</v>
          </cell>
          <cell r="I45">
            <v>8.3940642622862965E-2</v>
          </cell>
          <cell r="J45">
            <v>23.667231906502899</v>
          </cell>
          <cell r="K45">
            <v>11.29075374046489</v>
          </cell>
          <cell r="L45">
            <v>27.04334690076012</v>
          </cell>
          <cell r="M45">
            <v>136.16121802413701</v>
          </cell>
        </row>
      </sheetData>
      <sheetData sheetId="3">
        <row r="22">
          <cell r="B22">
            <v>4.6702375189334422</v>
          </cell>
          <cell r="C22">
            <v>3.71516973102282</v>
          </cell>
          <cell r="D22">
            <v>190.56983568094981</v>
          </cell>
          <cell r="E22">
            <v>0.2360079486330765</v>
          </cell>
          <cell r="F22">
            <v>91.874341592973522</v>
          </cell>
          <cell r="G22">
            <v>1.1039236872098479</v>
          </cell>
          <cell r="H22">
            <v>0.41244520278422098</v>
          </cell>
          <cell r="I22">
            <v>0.32809978654778232</v>
          </cell>
          <cell r="J22">
            <v>16.829896595909119</v>
          </cell>
          <cell r="K22">
            <v>2.0842697151490321E-2</v>
          </cell>
          <cell r="L22">
            <v>8.1137482398613709</v>
          </cell>
          <cell r="M22">
            <v>9.7491407489174342E-2</v>
          </cell>
        </row>
        <row r="23">
          <cell r="B23">
            <v>5.0332012002673494</v>
          </cell>
          <cell r="C23">
            <v>4.003907011918181</v>
          </cell>
          <cell r="D23">
            <v>203.39092424465551</v>
          </cell>
          <cell r="E23">
            <v>0.25435012363223769</v>
          </cell>
          <cell r="F23">
            <v>99.738577420559082</v>
          </cell>
          <cell r="G23">
            <v>1.2158209091294709</v>
          </cell>
          <cell r="H23">
            <v>0.50315408310061893</v>
          </cell>
          <cell r="I23">
            <v>0.40025861896695553</v>
          </cell>
          <cell r="J23">
            <v>20.332382896569129</v>
          </cell>
          <cell r="K23">
            <v>2.5426621776198779E-2</v>
          </cell>
          <cell r="L23">
            <v>9.9705675324753322</v>
          </cell>
          <cell r="M23">
            <v>0.12154198300578679</v>
          </cell>
        </row>
        <row r="24">
          <cell r="B24">
            <v>6.6321775244351029</v>
          </cell>
          <cell r="C24">
            <v>5.2758912345807616</v>
          </cell>
          <cell r="D24">
            <v>265.46226030664201</v>
          </cell>
          <cell r="E24">
            <v>0.33515353473280851</v>
          </cell>
          <cell r="F24">
            <v>132.34933064477519</v>
          </cell>
          <cell r="G24">
            <v>1.6354310811928261</v>
          </cell>
          <cell r="H24">
            <v>0.61371680572412612</v>
          </cell>
          <cell r="I24">
            <v>0.48821116502164358</v>
          </cell>
          <cell r="J24">
            <v>24.564880815607459</v>
          </cell>
          <cell r="K24">
            <v>3.101384967539585E-2</v>
          </cell>
          <cell r="L24">
            <v>12.24711011485719</v>
          </cell>
          <cell r="M24">
            <v>0.15133665156484261</v>
          </cell>
        </row>
        <row r="25">
          <cell r="B25">
            <v>6.5902051183224346</v>
          </cell>
          <cell r="C25">
            <v>5.2425022234018206</v>
          </cell>
          <cell r="D25">
            <v>261.33005914870893</v>
          </cell>
          <cell r="E25">
            <v>0.33303248169735022</v>
          </cell>
          <cell r="F25">
            <v>132.40391288487839</v>
          </cell>
          <cell r="G25">
            <v>1.6572502407677381</v>
          </cell>
          <cell r="H25">
            <v>0.70187015979915113</v>
          </cell>
          <cell r="I25">
            <v>0.55833707862238546</v>
          </cell>
          <cell r="J25">
            <v>27.832179284537389</v>
          </cell>
          <cell r="K25">
            <v>3.5468632151881778E-2</v>
          </cell>
          <cell r="L25">
            <v>14.10128422803907</v>
          </cell>
          <cell r="M25">
            <v>0.17650049891177369</v>
          </cell>
        </row>
        <row r="42">
          <cell r="B42">
            <v>41.250921611681669</v>
          </cell>
          <cell r="C42">
            <v>32.815070909608458</v>
          </cell>
          <cell r="D42">
            <v>1683.006438304416</v>
          </cell>
          <cell r="E42">
            <v>2.0845932030926289</v>
          </cell>
          <cell r="F42">
            <v>836.48681972466682</v>
          </cell>
          <cell r="G42">
            <v>12.28204865768746</v>
          </cell>
          <cell r="H42">
            <v>4.2184416159659053</v>
          </cell>
          <cell r="I42">
            <v>3.3557664979965822</v>
          </cell>
          <cell r="J42">
            <v>172.10923106434021</v>
          </cell>
          <cell r="K42">
            <v>0.21317668494939401</v>
          </cell>
          <cell r="L42">
            <v>85.541623645427492</v>
          </cell>
          <cell r="M42">
            <v>1.255998730758898</v>
          </cell>
        </row>
        <row r="43">
          <cell r="B43">
            <v>36.827960516036832</v>
          </cell>
          <cell r="C43">
            <v>29.29660935012361</v>
          </cell>
          <cell r="D43">
            <v>1513.5836175982531</v>
          </cell>
          <cell r="E43">
            <v>1.861081235909976</v>
          </cell>
          <cell r="F43">
            <v>746.38090871793668</v>
          </cell>
          <cell r="G43">
            <v>11.222576271485449</v>
          </cell>
          <cell r="H43">
            <v>4.418000152522036</v>
          </cell>
          <cell r="I43">
            <v>3.5145151337083389</v>
          </cell>
          <cell r="J43">
            <v>181.57434079174871</v>
          </cell>
          <cell r="K43">
            <v>0.22326126858221679</v>
          </cell>
          <cell r="L43">
            <v>89.538245462152886</v>
          </cell>
          <cell r="M43">
            <v>1.346296210389456</v>
          </cell>
        </row>
        <row r="44">
          <cell r="B44">
            <v>43.621749699717149</v>
          </cell>
          <cell r="C44">
            <v>34.701062513765599</v>
          </cell>
          <cell r="D44">
            <v>1805.7907127145761</v>
          </cell>
          <cell r="E44">
            <v>2.2044017291794811</v>
          </cell>
          <cell r="F44">
            <v>883.57739251399107</v>
          </cell>
          <cell r="G44">
            <v>13.596008877364561</v>
          </cell>
          <cell r="H44">
            <v>4.6113999985987348</v>
          </cell>
          <cell r="I44">
            <v>3.668364536702454</v>
          </cell>
          <cell r="J44">
            <v>190.8961320305682</v>
          </cell>
          <cell r="K44">
            <v>0.23303462609422149</v>
          </cell>
          <cell r="L44">
            <v>93.405899915731993</v>
          </cell>
          <cell r="M44">
            <v>1.4372792414246931</v>
          </cell>
        </row>
        <row r="45">
          <cell r="B45">
            <v>46.741208738796402</v>
          </cell>
          <cell r="C45">
            <v>37.182589363774618</v>
          </cell>
          <cell r="D45">
            <v>1948.7659526075711</v>
          </cell>
          <cell r="E45">
            <v>2.3620419189285751</v>
          </cell>
          <cell r="F45">
            <v>946.24011864400791</v>
          </cell>
          <cell r="G45">
            <v>14.89126974236143</v>
          </cell>
          <cell r="H45">
            <v>5.0200326266668061</v>
          </cell>
          <cell r="I45">
            <v>3.993431423504715</v>
          </cell>
          <cell r="J45">
            <v>209.29858101224909</v>
          </cell>
          <cell r="K45">
            <v>0.25368465682690111</v>
          </cell>
          <cell r="L45">
            <v>101.6267314523092</v>
          </cell>
          <cell r="M45">
            <v>1.5993309111217371</v>
          </cell>
        </row>
      </sheetData>
      <sheetData sheetId="4">
        <row r="22">
          <cell r="B22">
            <v>1.1473593904646171</v>
          </cell>
          <cell r="C22">
            <v>1.1630674471001671E-2</v>
          </cell>
          <cell r="D22">
            <v>0.67496708657103244</v>
          </cell>
          <cell r="E22">
            <v>8.1439362556484179E-2</v>
          </cell>
          <cell r="F22">
            <v>0.16006844926266389</v>
          </cell>
          <cell r="G22">
            <v>0.90798917995615192</v>
          </cell>
          <cell r="H22">
            <v>0.1013273681580612</v>
          </cell>
          <cell r="I22">
            <v>1.0271460222873331E-3</v>
          </cell>
          <cell r="J22">
            <v>5.9608732053747983E-2</v>
          </cell>
          <cell r="K22">
            <v>7.1921983128382097E-3</v>
          </cell>
          <cell r="L22">
            <v>1.413621122006067E-2</v>
          </cell>
          <cell r="M22">
            <v>8.0187737761658537E-2</v>
          </cell>
        </row>
        <row r="23">
          <cell r="B23">
            <v>1.2365303986815981</v>
          </cell>
          <cell r="C23">
            <v>1.2534592613339571E-2</v>
          </cell>
          <cell r="D23">
            <v>0.7203772783969925</v>
          </cell>
          <cell r="E23">
            <v>8.7768704633659489E-2</v>
          </cell>
          <cell r="F23">
            <v>0.17376994645689009</v>
          </cell>
          <cell r="G23">
            <v>1.000025855993937</v>
          </cell>
          <cell r="H23">
            <v>0.12361224878942539</v>
          </cell>
          <cell r="I23">
            <v>1.25304576599673E-3</v>
          </cell>
          <cell r="J23">
            <v>7.201396379288498E-2</v>
          </cell>
          <cell r="K23">
            <v>8.7739751199559183E-3</v>
          </cell>
          <cell r="L23">
            <v>1.7371262264523821E-2</v>
          </cell>
          <cell r="M23">
            <v>9.996959641168611E-2</v>
          </cell>
        </row>
        <row r="24">
          <cell r="B24">
            <v>1.629358492162257</v>
          </cell>
          <cell r="C24">
            <v>1.6516654133302919E-2</v>
          </cell>
          <cell r="D24">
            <v>0.94022376518030792</v>
          </cell>
          <cell r="E24">
            <v>0.1156515718444199</v>
          </cell>
          <cell r="F24">
            <v>0.23058616529863599</v>
          </cell>
          <cell r="G24">
            <v>1.345159763751675</v>
          </cell>
          <cell r="H24">
            <v>0.15077471697720751</v>
          </cell>
          <cell r="I24">
            <v>1.528389157044502E-3</v>
          </cell>
          <cell r="J24">
            <v>8.7004776893621877E-2</v>
          </cell>
          <cell r="K24">
            <v>1.070196221193237E-2</v>
          </cell>
          <cell r="L24">
            <v>2.1337577935733518E-2</v>
          </cell>
          <cell r="M24">
            <v>0.1244760337546324</v>
          </cell>
        </row>
        <row r="25">
          <cell r="B25">
            <v>1.619046932183021</v>
          </cell>
          <cell r="C25">
            <v>1.641212681744756E-2</v>
          </cell>
          <cell r="D25">
            <v>0.92558818674928578</v>
          </cell>
          <cell r="E25">
            <v>0.1149196591772547</v>
          </cell>
          <cell r="F25">
            <v>0.23068126143079989</v>
          </cell>
          <cell r="G25">
            <v>1.363106258640131</v>
          </cell>
          <cell r="H25">
            <v>0.17243176936242119</v>
          </cell>
          <cell r="I25">
            <v>1.7479246647391321E-3</v>
          </cell>
          <cell r="J25">
            <v>9.8577011925737604E-2</v>
          </cell>
          <cell r="K25">
            <v>1.223917588339583E-2</v>
          </cell>
          <cell r="L25">
            <v>2.4568020405458899E-2</v>
          </cell>
          <cell r="M25">
            <v>0.14517357053349339</v>
          </cell>
        </row>
        <row r="42">
          <cell r="B42">
            <v>10.13430946169342</v>
          </cell>
          <cell r="C42">
            <v>0.10273054399251309</v>
          </cell>
          <cell r="D42">
            <v>5.960932632824739</v>
          </cell>
          <cell r="E42">
            <v>0.71933145740520299</v>
          </cell>
          <cell r="F42">
            <v>1.4573725997969511</v>
          </cell>
          <cell r="G42">
            <v>10.10211794355245</v>
          </cell>
          <cell r="H42">
            <v>1.03636454925114</v>
          </cell>
          <cell r="I42">
            <v>1.0505530181563539E-2</v>
          </cell>
          <cell r="J42">
            <v>0.60958265429774439</v>
          </cell>
          <cell r="K42">
            <v>7.3560968750143021E-2</v>
          </cell>
          <cell r="L42">
            <v>0.14903524538978791</v>
          </cell>
          <cell r="M42">
            <v>1.03307254910905</v>
          </cell>
        </row>
        <row r="43">
          <cell r="B43">
            <v>9.0476996423481495</v>
          </cell>
          <cell r="C43">
            <v>9.1715682223106124E-2</v>
          </cell>
          <cell r="D43">
            <v>5.3608648031912107</v>
          </cell>
          <cell r="E43">
            <v>0.64220408844780885</v>
          </cell>
          <cell r="F43">
            <v>1.30038520599178</v>
          </cell>
          <cell r="G43">
            <v>9.230690439749937</v>
          </cell>
          <cell r="H43">
            <v>1.085391040931019</v>
          </cell>
          <cell r="I43">
            <v>1.100250712699391E-2</v>
          </cell>
          <cell r="J43">
            <v>0.64310651978231037</v>
          </cell>
          <cell r="K43">
            <v>7.7040860285412863E-2</v>
          </cell>
          <cell r="L43">
            <v>0.15599837617690951</v>
          </cell>
          <cell r="M43">
            <v>1.107343203350635</v>
          </cell>
        </row>
        <row r="44">
          <cell r="B44">
            <v>10.71676203695473</v>
          </cell>
          <cell r="C44">
            <v>0.1086348110896061</v>
          </cell>
          <cell r="D44">
            <v>6.3958143845942734</v>
          </cell>
          <cell r="E44">
            <v>0.76067383612531414</v>
          </cell>
          <cell r="F44">
            <v>1.539416343791022</v>
          </cell>
          <cell r="G44">
            <v>11.18286444458557</v>
          </cell>
          <cell r="H44">
            <v>1.1329044979256411</v>
          </cell>
          <cell r="I44">
            <v>1.148414658180554E-2</v>
          </cell>
          <cell r="J44">
            <v>0.67612277469803184</v>
          </cell>
          <cell r="K44">
            <v>8.0413356891668022E-2</v>
          </cell>
          <cell r="L44">
            <v>0.16273681304550741</v>
          </cell>
          <cell r="M44">
            <v>1.182177731041955</v>
          </cell>
        </row>
        <row r="45">
          <cell r="B45">
            <v>11.48313432683234</v>
          </cell>
          <cell r="C45">
            <v>0.11640345507442861</v>
          </cell>
          <cell r="D45">
            <v>6.9022092228830294</v>
          </cell>
          <cell r="E45">
            <v>0.81507080301056456</v>
          </cell>
          <cell r="F45">
            <v>1.6485907359476439</v>
          </cell>
          <cell r="G45">
            <v>12.24823052402022</v>
          </cell>
          <cell r="H45">
            <v>1.233295212779735</v>
          </cell>
          <cell r="I45">
            <v>1.2501797837447679E-2</v>
          </cell>
          <cell r="J45">
            <v>0.74130122925540698</v>
          </cell>
          <cell r="K45">
            <v>8.7539071721958836E-2</v>
          </cell>
          <cell r="L45">
            <v>0.1770595905794054</v>
          </cell>
          <cell r="M45">
            <v>1.3154669831737229</v>
          </cell>
        </row>
      </sheetData>
      <sheetData sheetId="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/>
      <sheetData sheetId="1">
        <row r="22">
          <cell r="B22">
            <v>1.1901604336767519</v>
          </cell>
          <cell r="C22">
            <v>0</v>
          </cell>
          <cell r="D22">
            <v>0</v>
          </cell>
          <cell r="E22">
            <v>0.16154259809584179</v>
          </cell>
          <cell r="F22">
            <v>0</v>
          </cell>
          <cell r="G22">
            <v>0</v>
          </cell>
          <cell r="H22">
            <v>0.10534128852767009</v>
          </cell>
          <cell r="I22">
            <v>0</v>
          </cell>
          <cell r="J22">
            <v>0</v>
          </cell>
          <cell r="K22">
            <v>1.4298160948732539E-2</v>
          </cell>
          <cell r="L22">
            <v>0</v>
          </cell>
          <cell r="M22">
            <v>0</v>
          </cell>
        </row>
        <row r="23">
          <cell r="B23">
            <v>1.2759367348251269</v>
          </cell>
          <cell r="C23">
            <v>0</v>
          </cell>
          <cell r="D23">
            <v>0</v>
          </cell>
          <cell r="E23">
            <v>0.17318516841701509</v>
          </cell>
          <cell r="F23">
            <v>0</v>
          </cell>
          <cell r="G23">
            <v>0</v>
          </cell>
          <cell r="H23">
            <v>0.12861893333979771</v>
          </cell>
          <cell r="I23">
            <v>0</v>
          </cell>
          <cell r="J23">
            <v>0</v>
          </cell>
          <cell r="K23">
            <v>1.7457677190493761E-2</v>
          </cell>
          <cell r="L23">
            <v>0</v>
          </cell>
          <cell r="M23">
            <v>0</v>
          </cell>
        </row>
        <row r="24">
          <cell r="B24">
            <v>1.6921425433508139</v>
          </cell>
          <cell r="C24">
            <v>0</v>
          </cell>
          <cell r="D24">
            <v>0</v>
          </cell>
          <cell r="E24">
            <v>0.22967752503494729</v>
          </cell>
          <cell r="F24">
            <v>0</v>
          </cell>
          <cell r="G24">
            <v>0</v>
          </cell>
          <cell r="H24">
            <v>0.14900295238008279</v>
          </cell>
          <cell r="I24">
            <v>0</v>
          </cell>
          <cell r="J24">
            <v>0</v>
          </cell>
          <cell r="K24">
            <v>2.022443644599185E-2</v>
          </cell>
          <cell r="L24">
            <v>0</v>
          </cell>
          <cell r="M24">
            <v>0</v>
          </cell>
        </row>
        <row r="25">
          <cell r="B25">
            <v>1.676301150196664</v>
          </cell>
          <cell r="C25">
            <v>0</v>
          </cell>
          <cell r="D25">
            <v>0</v>
          </cell>
          <cell r="E25">
            <v>0.22752734449191461</v>
          </cell>
          <cell r="F25">
            <v>0</v>
          </cell>
          <cell r="G25">
            <v>0</v>
          </cell>
          <cell r="H25">
            <v>0.18539988229362581</v>
          </cell>
          <cell r="I25">
            <v>0</v>
          </cell>
          <cell r="J25">
            <v>0</v>
          </cell>
          <cell r="K25">
            <v>2.516465665040751E-2</v>
          </cell>
          <cell r="L25">
            <v>0</v>
          </cell>
          <cell r="M25">
            <v>0</v>
          </cell>
        </row>
        <row r="42">
          <cell r="B42">
            <v>10.544092818704231</v>
          </cell>
          <cell r="C42">
            <v>0</v>
          </cell>
          <cell r="D42">
            <v>0</v>
          </cell>
          <cell r="E42">
            <v>1.4311685217388179</v>
          </cell>
          <cell r="F42">
            <v>0</v>
          </cell>
          <cell r="G42">
            <v>0</v>
          </cell>
          <cell r="H42">
            <v>1.080749739005703</v>
          </cell>
          <cell r="I42">
            <v>0</v>
          </cell>
          <cell r="J42">
            <v>0</v>
          </cell>
          <cell r="K42">
            <v>0.1466920893942287</v>
          </cell>
          <cell r="L42">
            <v>0</v>
          </cell>
          <cell r="M42">
            <v>0</v>
          </cell>
        </row>
        <row r="43">
          <cell r="B43">
            <v>9.255758743958598</v>
          </cell>
          <cell r="C43">
            <v>0</v>
          </cell>
          <cell r="D43">
            <v>0</v>
          </cell>
          <cell r="E43">
            <v>1.2563006402660111</v>
          </cell>
          <cell r="F43">
            <v>0</v>
          </cell>
          <cell r="G43">
            <v>0</v>
          </cell>
          <cell r="H43">
            <v>1.0703152402208289</v>
          </cell>
          <cell r="I43">
            <v>0</v>
          </cell>
          <cell r="J43">
            <v>0</v>
          </cell>
          <cell r="K43">
            <v>0.14527579626614259</v>
          </cell>
          <cell r="L43">
            <v>0</v>
          </cell>
          <cell r="M43">
            <v>0</v>
          </cell>
        </row>
        <row r="44">
          <cell r="B44">
            <v>11.162928200003631</v>
          </cell>
          <cell r="C44">
            <v>0</v>
          </cell>
          <cell r="D44">
            <v>0</v>
          </cell>
          <cell r="E44">
            <v>1.5151641516220149</v>
          </cell>
          <cell r="F44">
            <v>0</v>
          </cell>
          <cell r="G44">
            <v>0</v>
          </cell>
          <cell r="H44">
            <v>1.2452185122026611</v>
          </cell>
          <cell r="I44">
            <v>0</v>
          </cell>
          <cell r="J44">
            <v>0</v>
          </cell>
          <cell r="K44">
            <v>0.16901572928015049</v>
          </cell>
          <cell r="L44">
            <v>0</v>
          </cell>
          <cell r="M44">
            <v>0</v>
          </cell>
        </row>
        <row r="45">
          <cell r="B45">
            <v>11.8968794055603</v>
          </cell>
          <cell r="C45">
            <v>0</v>
          </cell>
          <cell r="D45">
            <v>0</v>
          </cell>
          <cell r="E45">
            <v>1.614784657619613</v>
          </cell>
          <cell r="F45">
            <v>0</v>
          </cell>
          <cell r="G45">
            <v>0</v>
          </cell>
          <cell r="H45">
            <v>1.2855456834043211</v>
          </cell>
          <cell r="I45">
            <v>0</v>
          </cell>
          <cell r="J45">
            <v>0</v>
          </cell>
          <cell r="K45">
            <v>0.174489408143467</v>
          </cell>
          <cell r="L45">
            <v>0</v>
          </cell>
          <cell r="M45">
            <v>0</v>
          </cell>
        </row>
      </sheetData>
      <sheetData sheetId="2">
        <row r="22">
          <cell r="B22">
            <v>76.834166772737291</v>
          </cell>
          <cell r="C22">
            <v>7.8249534360956011E-2</v>
          </cell>
          <cell r="D22">
            <v>21.592970194892551</v>
          </cell>
          <cell r="E22">
            <v>10.52524969036825</v>
          </cell>
          <cell r="F22">
            <v>24.49761270993298</v>
          </cell>
          <cell r="G22">
            <v>94.174037935922371</v>
          </cell>
          <cell r="H22">
            <v>6.8006042729767993</v>
          </cell>
          <cell r="I22">
            <v>6.9258786824298642E-3</v>
          </cell>
          <cell r="J22">
            <v>1.911197212667</v>
          </cell>
          <cell r="K22">
            <v>0.93159151748442948</v>
          </cell>
          <cell r="L22">
            <v>2.1682875818211418</v>
          </cell>
          <cell r="M22">
            <v>8.3353590165795524</v>
          </cell>
        </row>
        <row r="23">
          <cell r="B23">
            <v>82.371698050955445</v>
          </cell>
          <cell r="C23">
            <v>8.3889072892185973E-2</v>
          </cell>
          <cell r="D23">
            <v>22.924934606137828</v>
          </cell>
          <cell r="E23">
            <v>11.283817158716859</v>
          </cell>
          <cell r="F23">
            <v>26.455197258541379</v>
          </cell>
          <cell r="G23">
            <v>103.17632570321</v>
          </cell>
          <cell r="H23">
            <v>8.3033583496236751</v>
          </cell>
          <cell r="I23">
            <v>8.4563150975791E-3</v>
          </cell>
          <cell r="J23">
            <v>2.3109144485366508</v>
          </cell>
          <cell r="K23">
            <v>1.1374486581847481</v>
          </cell>
          <cell r="L23">
            <v>2.6667774034688971</v>
          </cell>
          <cell r="M23">
            <v>10.400538361868859</v>
          </cell>
        </row>
        <row r="24">
          <cell r="B24">
            <v>109.241039023124</v>
          </cell>
          <cell r="C24">
            <v>0.111253375883547</v>
          </cell>
          <cell r="D24">
            <v>30.114473586461848</v>
          </cell>
          <cell r="E24">
            <v>14.964556270318219</v>
          </cell>
          <cell r="F24">
            <v>35.331781508892199</v>
          </cell>
          <cell r="G24">
            <v>139.68142257672989</v>
          </cell>
          <cell r="H24">
            <v>9.6193062454897031</v>
          </cell>
          <cell r="I24">
            <v>9.7965041621572487E-3</v>
          </cell>
          <cell r="J24">
            <v>2.651753832079244</v>
          </cell>
          <cell r="K24">
            <v>1.317715859161531</v>
          </cell>
          <cell r="L24">
            <v>3.1111680149876801</v>
          </cell>
          <cell r="M24">
            <v>12.299758337952129</v>
          </cell>
        </row>
        <row r="25">
          <cell r="B25">
            <v>108.21835316575741</v>
          </cell>
          <cell r="C25">
            <v>0.1102118510580983</v>
          </cell>
          <cell r="D25">
            <v>29.55521776949973</v>
          </cell>
          <cell r="E25">
            <v>14.82446203287526</v>
          </cell>
          <cell r="F25">
            <v>35.238459606329691</v>
          </cell>
          <cell r="G25">
            <v>141.1129275567931</v>
          </cell>
          <cell r="H25">
            <v>11.969012809295981</v>
          </cell>
          <cell r="I25">
            <v>1.218949483577984E-2</v>
          </cell>
          <cell r="J25">
            <v>3.2688242771800691</v>
          </cell>
          <cell r="K25">
            <v>1.639594124026551</v>
          </cell>
          <cell r="L25">
            <v>3.897394130198943</v>
          </cell>
          <cell r="M25">
            <v>15.60717187127684</v>
          </cell>
        </row>
        <row r="42">
          <cell r="B42">
            <v>680.70367924832044</v>
          </cell>
          <cell r="C42">
            <v>0.69324296958303588</v>
          </cell>
          <cell r="D42">
            <v>191.272717384576</v>
          </cell>
          <cell r="E42">
            <v>93.247268632879695</v>
          </cell>
          <cell r="F42">
            <v>223.71631220996881</v>
          </cell>
          <cell r="G42">
            <v>1050.9256168311831</v>
          </cell>
          <cell r="H42">
            <v>69.770850497715102</v>
          </cell>
          <cell r="I42">
            <v>7.1056104240220172E-2</v>
          </cell>
          <cell r="J42">
            <v>19.6050948096354</v>
          </cell>
          <cell r="K42">
            <v>9.5576701543456242</v>
          </cell>
          <cell r="L42">
            <v>22.930502432920999</v>
          </cell>
          <cell r="M42">
            <v>107.71790476748539</v>
          </cell>
        </row>
        <row r="43">
          <cell r="B43">
            <v>597.53163591950408</v>
          </cell>
          <cell r="C43">
            <v>0.60853880819635442</v>
          </cell>
          <cell r="D43">
            <v>169.13460036670321</v>
          </cell>
          <cell r="E43">
            <v>81.853814912177228</v>
          </cell>
          <cell r="F43">
            <v>196.27178144287001</v>
          </cell>
          <cell r="G43">
            <v>944.17505667695582</v>
          </cell>
          <cell r="H43">
            <v>69.097221970718849</v>
          </cell>
          <cell r="I43">
            <v>7.0370066754766286E-2</v>
          </cell>
          <cell r="J43">
            <v>19.558346909085301</v>
          </cell>
          <cell r="K43">
            <v>9.4653920866187793</v>
          </cell>
          <cell r="L43">
            <v>22.696429835178431</v>
          </cell>
          <cell r="M43">
            <v>109.1822918631415</v>
          </cell>
        </row>
        <row r="44">
          <cell r="B44">
            <v>720.6543443403707</v>
          </cell>
          <cell r="C44">
            <v>0.73392956868561976</v>
          </cell>
          <cell r="D44">
            <v>205.46324884215159</v>
          </cell>
          <cell r="E44">
            <v>98.71997359021789</v>
          </cell>
          <cell r="F44">
            <v>236.58250732086319</v>
          </cell>
          <cell r="G44">
            <v>1164.694674301564</v>
          </cell>
          <cell r="H44">
            <v>80.388596468049315</v>
          </cell>
          <cell r="I44">
            <v>8.1869440455592149E-2</v>
          </cell>
          <cell r="J44">
            <v>22.919312607911049</v>
          </cell>
          <cell r="K44">
            <v>11.012158856191251</v>
          </cell>
          <cell r="L44">
            <v>26.390648806570699</v>
          </cell>
          <cell r="M44">
            <v>129.9210514946862</v>
          </cell>
        </row>
        <row r="45">
          <cell r="B45">
            <v>768.03663645419874</v>
          </cell>
          <cell r="C45">
            <v>0.78218469333385621</v>
          </cell>
          <cell r="D45">
            <v>220.53853714251969</v>
          </cell>
          <cell r="E45">
            <v>105.210711712948</v>
          </cell>
          <cell r="F45">
            <v>251.99821375361651</v>
          </cell>
          <cell r="G45">
            <v>1268.7920563425091</v>
          </cell>
          <cell r="H45">
            <v>82.992030853789146</v>
          </cell>
          <cell r="I45">
            <v>8.4520832889195346E-2</v>
          </cell>
          <cell r="J45">
            <v>23.830817711354062</v>
          </cell>
          <cell r="K45">
            <v>11.368794427491871</v>
          </cell>
          <cell r="L45">
            <v>27.230268112590331</v>
          </cell>
          <cell r="M45">
            <v>137.102352269493</v>
          </cell>
        </row>
      </sheetData>
      <sheetData sheetId="3">
        <row r="22">
          <cell r="B22">
            <v>2.3398392199495341</v>
          </cell>
          <cell r="C22">
            <v>3.7226799751297359</v>
          </cell>
          <cell r="D22">
            <v>190.955074065465</v>
          </cell>
          <cell r="E22">
            <v>0.23648504051143851</v>
          </cell>
          <cell r="F22">
            <v>92.06006627918741</v>
          </cell>
          <cell r="G22">
            <v>1.1061552774107271</v>
          </cell>
          <cell r="H22">
            <v>0.20709954003058961</v>
          </cell>
          <cell r="I22">
            <v>0.32949499433857821</v>
          </cell>
          <cell r="J22">
            <v>16.901463856272109</v>
          </cell>
          <cell r="K22">
            <v>2.093132839917547E-2</v>
          </cell>
          <cell r="L22">
            <v>8.1482510503505914</v>
          </cell>
          <cell r="M22">
            <v>9.7905978838627963E-2</v>
          </cell>
        </row>
        <row r="23">
          <cell r="B23">
            <v>2.508474260982732</v>
          </cell>
          <cell r="C23">
            <v>3.990978020998464</v>
          </cell>
          <cell r="D23">
            <v>202.73415589192291</v>
          </cell>
          <cell r="E23">
            <v>0.25352880324965088</v>
          </cell>
          <cell r="F23">
            <v>99.416512208260812</v>
          </cell>
          <cell r="G23">
            <v>1.211894909487784</v>
          </cell>
          <cell r="H23">
            <v>0.25286307302858191</v>
          </cell>
          <cell r="I23">
            <v>0.40230469272738012</v>
          </cell>
          <cell r="J23">
            <v>20.436319584400991</v>
          </cell>
          <cell r="K23">
            <v>2.5556599598454788E-2</v>
          </cell>
          <cell r="L23">
            <v>10.021535870539839</v>
          </cell>
          <cell r="M23">
            <v>0.1221632909562813</v>
          </cell>
        </row>
        <row r="24">
          <cell r="B24">
            <v>3.326729217880172</v>
          </cell>
          <cell r="C24">
            <v>5.2928201803321482</v>
          </cell>
          <cell r="D24">
            <v>266.31405879981708</v>
          </cell>
          <cell r="E24">
            <v>0.33622895417487142</v>
          </cell>
          <cell r="F24">
            <v>132.77400479727331</v>
          </cell>
          <cell r="G24">
            <v>1.640678748899123</v>
          </cell>
          <cell r="H24">
            <v>0.29293777712819008</v>
          </cell>
          <cell r="I24">
            <v>0.46606347460816189</v>
          </cell>
          <cell r="J24">
            <v>23.450495454666299</v>
          </cell>
          <cell r="K24">
            <v>2.9606906962173631E-2</v>
          </cell>
          <cell r="L24">
            <v>11.691520192468481</v>
          </cell>
          <cell r="M24">
            <v>0.14447126718363429</v>
          </cell>
        </row>
        <row r="25">
          <cell r="B25">
            <v>3.29558525446827</v>
          </cell>
          <cell r="C25">
            <v>5.2432701907639938</v>
          </cell>
          <cell r="D25">
            <v>261.36834105067652</v>
          </cell>
          <cell r="E25">
            <v>0.33308126719434922</v>
          </cell>
          <cell r="F25">
            <v>132.42330856262669</v>
          </cell>
          <cell r="G25">
            <v>1.657493009209529</v>
          </cell>
          <cell r="H25">
            <v>0.36449364614189023</v>
          </cell>
          <cell r="I25">
            <v>0.57990873303837709</v>
          </cell>
          <cell r="J25">
            <v>28.907490554659951</v>
          </cell>
          <cell r="K25">
            <v>3.6838981900596562E-2</v>
          </cell>
          <cell r="L25">
            <v>14.64609495588733</v>
          </cell>
          <cell r="M25">
            <v>0.18331969096000561</v>
          </cell>
        </row>
        <row r="42">
          <cell r="B42">
            <v>20.729543024527359</v>
          </cell>
          <cell r="C42">
            <v>32.980665531652512</v>
          </cell>
          <cell r="D42">
            <v>1691.4993900891741</v>
          </cell>
          <cell r="E42">
            <v>2.0951126813083731</v>
          </cell>
          <cell r="F42">
            <v>840.70798137135955</v>
          </cell>
          <cell r="G42">
            <v>12.344027533521629</v>
          </cell>
          <cell r="H42">
            <v>2.1247392828071301</v>
          </cell>
          <cell r="I42">
            <v>3.3804563634283471</v>
          </cell>
          <cell r="J42">
            <v>173.37551516279581</v>
          </cell>
          <cell r="K42">
            <v>0.21474512055649969</v>
          </cell>
          <cell r="L42">
            <v>86.170991385370428</v>
          </cell>
          <cell r="M42">
            <v>1.2652396715881891</v>
          </cell>
        </row>
        <row r="43">
          <cell r="B43">
            <v>18.196695761932212</v>
          </cell>
          <cell r="C43">
            <v>28.950910109086141</v>
          </cell>
          <cell r="D43">
            <v>1495.7233696222099</v>
          </cell>
          <cell r="E43">
            <v>1.8391205249255009</v>
          </cell>
          <cell r="F43">
            <v>737.57363308460265</v>
          </cell>
          <cell r="G43">
            <v>11.09015015851203</v>
          </cell>
          <cell r="H43">
            <v>2.104225200162039</v>
          </cell>
          <cell r="I43">
            <v>3.3478184949714338</v>
          </cell>
          <cell r="J43">
            <v>172.9621052089368</v>
          </cell>
          <cell r="K43">
            <v>0.2126717842246624</v>
          </cell>
          <cell r="L43">
            <v>85.291365312517001</v>
          </cell>
          <cell r="M43">
            <v>1.2824401606989391</v>
          </cell>
        </row>
        <row r="44">
          <cell r="B44">
            <v>21.946164964632999</v>
          </cell>
          <cell r="C44">
            <v>34.91630884214991</v>
          </cell>
          <cell r="D44">
            <v>1816.9918054934531</v>
          </cell>
          <cell r="E44">
            <v>2.218075355982744</v>
          </cell>
          <cell r="F44">
            <v>889.05811200223661</v>
          </cell>
          <cell r="G44">
            <v>13.68034321123034</v>
          </cell>
          <cell r="H44">
            <v>2.4480826532419662</v>
          </cell>
          <cell r="I44">
            <v>3.8948950821000849</v>
          </cell>
          <cell r="J44">
            <v>202.68443836450069</v>
          </cell>
          <cell r="K44">
            <v>0.2474250882245502</v>
          </cell>
          <cell r="L44">
            <v>99.173944296154389</v>
          </cell>
          <cell r="M44">
            <v>1.5260347746305909</v>
          </cell>
        </row>
        <row r="45">
          <cell r="B45">
            <v>23.389103049026701</v>
          </cell>
          <cell r="C45">
            <v>37.212020729670257</v>
          </cell>
          <cell r="D45">
            <v>1950.308471425587</v>
          </cell>
          <cell r="E45">
            <v>2.36391156063902</v>
          </cell>
          <cell r="F45">
            <v>946.98910196210079</v>
          </cell>
          <cell r="G45">
            <v>14.90305672158847</v>
          </cell>
          <cell r="H45">
            <v>2.5273653231554341</v>
          </cell>
          <cell r="I45">
            <v>4.0210336668136337</v>
          </cell>
          <cell r="J45">
            <v>210.74523421463249</v>
          </cell>
          <cell r="K45">
            <v>0.25543810264301348</v>
          </cell>
          <cell r="L45">
            <v>102.3291663937799</v>
          </cell>
          <cell r="M45">
            <v>1.6103853443293361</v>
          </cell>
        </row>
      </sheetData>
      <sheetData sheetId="4">
        <row r="22">
          <cell r="B22">
            <v>0.57483939313639065</v>
          </cell>
          <cell r="C22">
            <v>1.165418596865302E-2</v>
          </cell>
          <cell r="D22">
            <v>0.67633153771358845</v>
          </cell>
          <cell r="E22">
            <v>8.1603992852538665E-2</v>
          </cell>
          <cell r="F22">
            <v>0.16039202886058651</v>
          </cell>
          <cell r="G22">
            <v>0.9098246870477843</v>
          </cell>
          <cell r="H22">
            <v>5.0879125751459732E-2</v>
          </cell>
          <cell r="I22">
            <v>1.031513846319341E-3</v>
          </cell>
          <cell r="J22">
            <v>5.9862211546179017E-2</v>
          </cell>
          <cell r="K22">
            <v>7.2227823349267466E-3</v>
          </cell>
          <cell r="L22">
            <v>1.4196323883449109E-2</v>
          </cell>
          <cell r="M22">
            <v>8.0528727183287047E-2</v>
          </cell>
        </row>
        <row r="23">
          <cell r="B23">
            <v>0.61626876307880274</v>
          </cell>
          <cell r="C23">
            <v>1.249411723926174E-2</v>
          </cell>
          <cell r="D23">
            <v>0.71805111266351229</v>
          </cell>
          <cell r="E23">
            <v>8.7485291262203502E-2</v>
          </cell>
          <cell r="F23">
            <v>0.17320882701700971</v>
          </cell>
          <cell r="G23">
            <v>0.99679667879947609</v>
          </cell>
          <cell r="H23">
            <v>6.21220698443921E-2</v>
          </cell>
          <cell r="I23">
            <v>1.259451184745823E-3</v>
          </cell>
          <cell r="J23">
            <v>7.2382090485774417E-2</v>
          </cell>
          <cell r="K23">
            <v>8.8188266220020073E-3</v>
          </cell>
          <cell r="L23">
            <v>1.7460062061006979E-2</v>
          </cell>
          <cell r="M23">
            <v>0.10048062892507981</v>
          </cell>
        </row>
        <row r="24">
          <cell r="B24">
            <v>0.81729333726467901</v>
          </cell>
          <cell r="C24">
            <v>1.6569651727336779E-2</v>
          </cell>
          <cell r="D24">
            <v>0.94324069566791424</v>
          </cell>
          <cell r="E24">
            <v>0.1160226672856951</v>
          </cell>
          <cell r="F24">
            <v>0.23132605558632319</v>
          </cell>
          <cell r="G24">
            <v>1.3494760272330451</v>
          </cell>
          <cell r="H24">
            <v>7.196741237405363E-2</v>
          </cell>
          <cell r="I24">
            <v>1.4590538113851219E-3</v>
          </cell>
          <cell r="J24">
            <v>8.3057806809378604E-2</v>
          </cell>
          <cell r="K24">
            <v>1.021646789539794E-2</v>
          </cell>
          <cell r="L24">
            <v>2.0369599109863749E-2</v>
          </cell>
          <cell r="M24">
            <v>0.1188291808003918</v>
          </cell>
        </row>
        <row r="25">
          <cell r="B25">
            <v>0.80964205213580354</v>
          </cell>
          <cell r="C25">
            <v>1.6414531008652929E-2</v>
          </cell>
          <cell r="D25">
            <v>0.92572377496421543</v>
          </cell>
          <cell r="E25">
            <v>0.11493649360931769</v>
          </cell>
          <cell r="F25">
            <v>0.23071505363007699</v>
          </cell>
          <cell r="G25">
            <v>1.3633059383108681</v>
          </cell>
          <cell r="H25">
            <v>8.9546881924132196E-2</v>
          </cell>
          <cell r="I25">
            <v>1.815456677669338E-3</v>
          </cell>
          <cell r="J25">
            <v>0.10238558799213431</v>
          </cell>
          <cell r="K25">
            <v>1.271204305020586E-2</v>
          </cell>
          <cell r="L25">
            <v>2.5517219135335879E-2</v>
          </cell>
          <cell r="M25">
            <v>0.15078242979394399</v>
          </cell>
        </row>
        <row r="42">
          <cell r="B42">
            <v>5.0927251029115652</v>
          </cell>
          <cell r="C42">
            <v>0.10324895291662239</v>
          </cell>
          <cell r="D42">
            <v>5.9910132744019498</v>
          </cell>
          <cell r="E42">
            <v>0.72296141819795967</v>
          </cell>
          <cell r="F42">
            <v>1.464726936025738</v>
          </cell>
          <cell r="G42">
            <v>10.15309623969312</v>
          </cell>
          <cell r="H42">
            <v>0.52199477190071375</v>
          </cell>
          <cell r="I42">
            <v>1.0582824035777471E-2</v>
          </cell>
          <cell r="J42">
            <v>0.6140676247845569</v>
          </cell>
          <cell r="K42">
            <v>7.4102189487806266E-2</v>
          </cell>
          <cell r="L42">
            <v>0.15013176392153341</v>
          </cell>
          <cell r="M42">
            <v>1.0406733229513241</v>
          </cell>
        </row>
        <row r="43">
          <cell r="B43">
            <v>4.4704685089868068</v>
          </cell>
          <cell r="C43">
            <v>9.0633439518605988E-2</v>
          </cell>
          <cell r="D43">
            <v>5.2976067356237486</v>
          </cell>
          <cell r="E43">
            <v>0.6346260966292222</v>
          </cell>
          <cell r="F43">
            <v>1.285040693819903</v>
          </cell>
          <cell r="G43">
            <v>9.1217685286462569</v>
          </cell>
          <cell r="H43">
            <v>0.5169549799706048</v>
          </cell>
          <cell r="I43">
            <v>1.0480648240071571E-2</v>
          </cell>
          <cell r="J43">
            <v>0.61260339456617752</v>
          </cell>
          <cell r="K43">
            <v>7.338674244372155E-2</v>
          </cell>
          <cell r="L43">
            <v>0.14859923178066181</v>
          </cell>
          <cell r="M43">
            <v>1.054820911397395</v>
          </cell>
        </row>
        <row r="44">
          <cell r="B44">
            <v>5.3916183823146806</v>
          </cell>
          <cell r="C44">
            <v>0.1093086591659434</v>
          </cell>
          <cell r="D44">
            <v>6.4354868171823343</v>
          </cell>
          <cell r="E44">
            <v>0.76539220030390465</v>
          </cell>
          <cell r="F44">
            <v>1.548965149846294</v>
          </cell>
          <cell r="G44">
            <v>11.25223034689941</v>
          </cell>
          <cell r="H44">
            <v>0.60143207051965253</v>
          </cell>
          <cell r="I44">
            <v>1.219332091891798E-2</v>
          </cell>
          <cell r="J44">
            <v>0.71787502133974257</v>
          </cell>
          <cell r="K44">
            <v>8.5379079739457492E-2</v>
          </cell>
          <cell r="L44">
            <v>0.17278621207513861</v>
          </cell>
          <cell r="M44">
            <v>1.255180117661524</v>
          </cell>
        </row>
        <row r="45">
          <cell r="B45">
            <v>5.746111821733205</v>
          </cell>
          <cell r="C45">
            <v>0.1164955926241914</v>
          </cell>
          <cell r="D45">
            <v>6.9076725714180016</v>
          </cell>
          <cell r="E45">
            <v>0.81571596106557753</v>
          </cell>
          <cell r="F45">
            <v>1.649895655212066</v>
          </cell>
          <cell r="G45">
            <v>12.25792544199917</v>
          </cell>
          <cell r="H45">
            <v>0.62090981987555638</v>
          </cell>
          <cell r="I45">
            <v>1.2588209153709951E-2</v>
          </cell>
          <cell r="J45">
            <v>0.74642503751080247</v>
          </cell>
          <cell r="K45">
            <v>8.8144134010617339E-2</v>
          </cell>
          <cell r="L45">
            <v>0.17828341074333379</v>
          </cell>
          <cell r="M45">
            <v>1.3245593741236961</v>
          </cell>
        </row>
      </sheetData>
      <sheetData sheetId="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2140801.0323854275</v>
          </cell>
          <cell r="D36">
            <v>0.12379898866099599</v>
          </cell>
          <cell r="E36">
            <v>15474831.608139802</v>
          </cell>
        </row>
        <row r="37">
          <cell r="B37" t="str">
            <v>Sur</v>
          </cell>
          <cell r="C37">
            <v>252498.01520511933</v>
          </cell>
          <cell r="D37">
            <v>2.8646903929004035E-2</v>
          </cell>
          <cell r="E37">
            <v>2630100.3140285881</v>
          </cell>
        </row>
        <row r="38">
          <cell r="B38" t="str">
            <v>TARC</v>
          </cell>
          <cell r="C38">
            <v>13187196.231573878</v>
          </cell>
          <cell r="D38">
            <v>1.4696282727954535</v>
          </cell>
          <cell r="E38">
            <v>135847964.59892809</v>
          </cell>
        </row>
        <row r="39">
          <cell r="B39" t="str">
            <v>Polymer</v>
          </cell>
          <cell r="C39">
            <v>287646.94195845688</v>
          </cell>
          <cell r="D39">
            <v>1.6317833213624303E-2</v>
          </cell>
          <cell r="E39">
            <v>2061094.024084687</v>
          </cell>
        </row>
        <row r="40">
          <cell r="B40" t="str">
            <v>ITC</v>
          </cell>
          <cell r="C40">
            <v>6890745.7327885581</v>
          </cell>
          <cell r="D40">
            <v>0.74688065097997536</v>
          </cell>
          <cell r="E40">
            <v>69794220.340805531</v>
          </cell>
        </row>
        <row r="41">
          <cell r="B41" t="str">
            <v>PBO</v>
          </cell>
          <cell r="C41">
            <v>2561650.8855140111</v>
          </cell>
          <cell r="D41">
            <v>0.14044491265882555</v>
          </cell>
          <cell r="E41">
            <v>18110543.687934432</v>
          </cell>
        </row>
        <row r="42">
          <cell r="C42">
            <v>25320538.839425448</v>
          </cell>
          <cell r="D42">
            <v>2.5257175622378787</v>
          </cell>
          <cell r="E42">
            <v>243918754.57392111</v>
          </cell>
        </row>
        <row r="44">
          <cell r="A44">
            <v>2030</v>
          </cell>
          <cell r="B44" t="str">
            <v>PAG</v>
          </cell>
          <cell r="C44">
            <v>15305881.415846851</v>
          </cell>
          <cell r="D44">
            <v>0.81601938835882182</v>
          </cell>
          <cell r="E44">
            <v>109851336.37242991</v>
          </cell>
        </row>
        <row r="45">
          <cell r="B45" t="str">
            <v>Sur</v>
          </cell>
          <cell r="C45">
            <v>1630231.9710123867</v>
          </cell>
          <cell r="D45">
            <v>0.16923562520537042</v>
          </cell>
          <cell r="E45">
            <v>16845817.803205181</v>
          </cell>
        </row>
        <row r="46">
          <cell r="B46" t="str">
            <v>TARC</v>
          </cell>
          <cell r="C46">
            <v>87812176.835432857</v>
          </cell>
          <cell r="D46">
            <v>8.9380024248796097</v>
          </cell>
          <cell r="E46">
            <v>896373812.94071996</v>
          </cell>
        </row>
        <row r="47">
          <cell r="B47" t="str">
            <v>Polymer</v>
          </cell>
          <cell r="C47">
            <v>2060512.6246756902</v>
          </cell>
          <cell r="D47">
            <v>0.10800176509444262</v>
          </cell>
          <cell r="E47">
            <v>14672302.150816472</v>
          </cell>
        </row>
        <row r="48">
          <cell r="B48" t="str">
            <v>ITC</v>
          </cell>
          <cell r="C48">
            <v>45721928.890121721</v>
          </cell>
          <cell r="D48">
            <v>4.5156760094163495</v>
          </cell>
          <cell r="E48">
            <v>458178478.20341641</v>
          </cell>
        </row>
        <row r="49">
          <cell r="B49" t="str">
            <v>PBO</v>
          </cell>
          <cell r="C49">
            <v>23203668.253892079</v>
          </cell>
          <cell r="D49">
            <v>1.1788366510969084</v>
          </cell>
          <cell r="E49">
            <v>163245908.95813599</v>
          </cell>
        </row>
        <row r="50">
          <cell r="C50">
            <v>175734399.99098158</v>
          </cell>
          <cell r="D50">
            <v>15.725771864051502</v>
          </cell>
          <cell r="E50">
            <v>1659167656.4287241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3.4569027978270918E-2</v>
          </cell>
          <cell r="P26">
            <v>3.3712313887480868E-3</v>
          </cell>
          <cell r="Q26">
            <v>1.3652564109119616E-3</v>
          </cell>
          <cell r="S26">
            <v>2.8250217875448831E-3</v>
          </cell>
          <cell r="T26">
            <v>2.7542328478870028E-4</v>
          </cell>
          <cell r="U26">
            <v>1.1185026504079139E-3</v>
          </cell>
          <cell r="W26">
            <v>0.26195306957273895</v>
          </cell>
          <cell r="X26">
            <v>2.5526945525871855E-2</v>
          </cell>
          <cell r="Y26">
            <v>1.0739357456556395E-3</v>
          </cell>
        </row>
        <row r="27">
          <cell r="N27" t="str">
            <v>Solid</v>
          </cell>
          <cell r="O27">
            <v>6.2358878631968553E-2</v>
          </cell>
          <cell r="P27">
            <v>6.0837743432494264E-3</v>
          </cell>
          <cell r="Q27">
            <v>2.4627784988079477E-3</v>
          </cell>
          <cell r="S27">
            <v>5.0959573364129781E-3</v>
          </cell>
          <cell r="T27">
            <v>4.9702445961824872E-4</v>
          </cell>
          <cell r="U27">
            <v>2.017627549731955E-3</v>
          </cell>
          <cell r="W27">
            <v>0.47253478558993878</v>
          </cell>
          <cell r="X27">
            <v>4.6066078273842265E-2</v>
          </cell>
          <cell r="Y27">
            <v>1.9372630301239672E-3</v>
          </cell>
        </row>
        <row r="28">
          <cell r="N28" t="str">
            <v>Solvent</v>
          </cell>
          <cell r="O28">
            <v>5.8280010042890424</v>
          </cell>
          <cell r="P28">
            <v>0.56838824688024958</v>
          </cell>
          <cell r="Q28">
            <v>0.23016891706958972</v>
          </cell>
          <cell r="S28">
            <v>0.30722203851304719</v>
          </cell>
          <cell r="T28">
            <v>2.9995438867006008E-2</v>
          </cell>
          <cell r="U28">
            <v>0.12163752713539241</v>
          </cell>
          <cell r="W28">
            <v>40.558484513446885</v>
          </cell>
          <cell r="X28">
            <v>3.9540000759555949</v>
          </cell>
          <cell r="Y28">
            <v>0.16627866350127404</v>
          </cell>
        </row>
        <row r="29">
          <cell r="N29" t="str">
            <v>Water</v>
          </cell>
          <cell r="O29">
            <v>19.39560992852617</v>
          </cell>
          <cell r="P29">
            <v>1.8996321539516892</v>
          </cell>
          <cell r="Q29">
            <v>0.7660030480206903</v>
          </cell>
          <cell r="S29">
            <v>2.210574544600874</v>
          </cell>
          <cell r="T29">
            <v>0.21674365339175658</v>
          </cell>
          <cell r="U29">
            <v>0.87522634266446764</v>
          </cell>
          <cell r="W29">
            <v>202.62578220531159</v>
          </cell>
          <cell r="X29">
            <v>19.881527318975365</v>
          </cell>
          <cell r="Y29">
            <v>0.83071013772294633</v>
          </cell>
        </row>
        <row r="30">
          <cell r="O30">
            <v>25.320538839425453</v>
          </cell>
          <cell r="P30">
            <v>2.4774754065639364</v>
          </cell>
          <cell r="S30">
            <v>2.5257175622378791</v>
          </cell>
          <cell r="T30">
            <v>0.24751154000316955</v>
          </cell>
          <cell r="W30">
            <v>243.91875457392115</v>
          </cell>
          <cell r="X30">
            <v>23.907120418730674</v>
          </cell>
        </row>
        <row r="32">
          <cell r="M32">
            <v>2030</v>
          </cell>
          <cell r="N32">
            <v>31</v>
          </cell>
          <cell r="O32">
            <v>0.24438818974824802</v>
          </cell>
          <cell r="P32">
            <v>2.7124817287391054E-2</v>
          </cell>
          <cell r="Q32">
            <v>1.3906679042964248E-3</v>
          </cell>
          <cell r="S32">
            <v>1.8999674172517668E-2</v>
          </cell>
          <cell r="T32">
            <v>2.1069872055909564E-3</v>
          </cell>
          <cell r="U32">
            <v>1.2081870662228147E-3</v>
          </cell>
          <cell r="W32">
            <v>1.8413512640855392</v>
          </cell>
          <cell r="X32">
            <v>0.20246889902396278</v>
          </cell>
          <cell r="Y32">
            <v>1.109804218368719E-3</v>
          </cell>
        </row>
        <row r="33">
          <cell r="N33" t="str">
            <v>Solid</v>
          </cell>
          <cell r="O33">
            <v>0.48911624436185019</v>
          </cell>
          <cell r="P33">
            <v>5.4297398066112917E-2</v>
          </cell>
          <cell r="Q33">
            <v>2.7832697774991741E-3</v>
          </cell>
          <cell r="S33">
            <v>3.8024238352831308E-2</v>
          </cell>
          <cell r="T33">
            <v>4.2175197791325201E-3</v>
          </cell>
          <cell r="U33">
            <v>2.4179568851404507E-3</v>
          </cell>
          <cell r="V33"/>
          <cell r="W33">
            <v>3.6852466283043399</v>
          </cell>
          <cell r="X33">
            <v>0.40528990909383805</v>
          </cell>
          <cell r="Y33">
            <v>2.2211417960235863E-3</v>
          </cell>
        </row>
        <row r="34">
          <cell r="N34" t="str">
            <v>Solvent</v>
          </cell>
          <cell r="O34">
            <v>46.822655660603218</v>
          </cell>
          <cell r="P34">
            <v>5.1575571451331053</v>
          </cell>
          <cell r="Q34">
            <v>0.26643989829541675</v>
          </cell>
          <cell r="S34">
            <v>2.2966442607361803</v>
          </cell>
          <cell r="T34">
            <v>0.25767527678818319</v>
          </cell>
          <cell r="U34">
            <v>0.14604334086686194</v>
          </cell>
          <cell r="V34"/>
          <cell r="W34">
            <v>324.82276913111031</v>
          </cell>
          <cell r="X34">
            <v>35.608238682815895</v>
          </cell>
          <cell r="Y34">
            <v>0.19577453060426409</v>
          </cell>
        </row>
        <row r="35">
          <cell r="N35" t="str">
            <v>Water</v>
          </cell>
          <cell r="O35">
            <v>128.17823989626828</v>
          </cell>
          <cell r="P35">
            <v>15.219977332504348</v>
          </cell>
          <cell r="Q35">
            <v>0.72938616402278778</v>
          </cell>
          <cell r="S35">
            <v>13.372103690789972</v>
          </cell>
          <cell r="T35">
            <v>1.6303330692040736</v>
          </cell>
          <cell r="U35">
            <v>0.85033051518177472</v>
          </cell>
          <cell r="W35">
            <v>1328.8182894052236</v>
          </cell>
          <cell r="X35">
            <v>161.7443824820792</v>
          </cell>
          <cell r="Y35">
            <v>0.80089452338134359</v>
          </cell>
        </row>
        <row r="36">
          <cell r="O36">
            <v>175.73439999098159</v>
          </cell>
          <cell r="P36">
            <v>20.458956692990956</v>
          </cell>
          <cell r="S36">
            <v>15.725771864051502</v>
          </cell>
          <cell r="T36">
            <v>1.8943328529769803</v>
          </cell>
          <cell r="W36">
            <v>1659.1676564287238</v>
          </cell>
          <cell r="X36">
            <v>197.96037997301289</v>
          </cell>
        </row>
        <row r="38">
          <cell r="M38">
            <v>2025</v>
          </cell>
          <cell r="O38">
            <v>25.320538839425453</v>
          </cell>
          <cell r="P38">
            <v>2.4774754065639364</v>
          </cell>
          <cell r="S38">
            <v>2.5257175622378791</v>
          </cell>
          <cell r="T38">
            <v>0.24751154000316955</v>
          </cell>
          <cell r="W38">
            <v>243.91875457392115</v>
          </cell>
          <cell r="X38">
            <v>23.907120418730674</v>
          </cell>
        </row>
        <row r="39">
          <cell r="M39">
            <v>2030</v>
          </cell>
          <cell r="O39">
            <v>175.73439999098159</v>
          </cell>
          <cell r="P39">
            <v>20.458956692990956</v>
          </cell>
          <cell r="S39">
            <v>15.725771864051502</v>
          </cell>
          <cell r="T39">
            <v>1.8943328529769803</v>
          </cell>
          <cell r="W39">
            <v>1659.1676564287238</v>
          </cell>
          <cell r="X39">
            <v>197.96037997301289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/>
      <sheetData sheetId="1">
        <row r="22">
          <cell r="B22">
            <v>0</v>
          </cell>
          <cell r="C22">
            <v>0</v>
          </cell>
          <cell r="D22">
            <v>0</v>
          </cell>
          <cell r="E22">
            <v>0.16161385669837899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1.4257055631103219E-2</v>
          </cell>
          <cell r="L22">
            <v>0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0.17390046136813131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1.7265360584482779E-2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0.22898468024543531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2.0914477757023049E-2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0.22755151603896251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2.3695018417327681E-2</v>
          </cell>
          <cell r="L25">
            <v>0</v>
          </cell>
          <cell r="M25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1.4235433894423031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0.1431663126406596</v>
          </cell>
          <cell r="L42">
            <v>0</v>
          </cell>
          <cell r="M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1.260350877537737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0.15599909854377561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1.5085410971174711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0.16234049868952469</v>
          </cell>
          <cell r="L44">
            <v>0</v>
          </cell>
          <cell r="M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1.6177281996823829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0.17245821929077129</v>
          </cell>
          <cell r="L45">
            <v>0</v>
          </cell>
          <cell r="M45">
            <v>0</v>
          </cell>
        </row>
      </sheetData>
      <sheetData sheetId="2">
        <row r="22">
          <cell r="B22">
            <v>0</v>
          </cell>
          <cell r="C22">
            <v>7.8284051278063191E-2</v>
          </cell>
          <cell r="D22">
            <v>21.60249514310345</v>
          </cell>
          <cell r="E22">
            <v>10.529892518904701</v>
          </cell>
          <cell r="F22">
            <v>24.508418934840741</v>
          </cell>
          <cell r="G22">
            <v>94.21557936473252</v>
          </cell>
          <cell r="H22">
            <v>0</v>
          </cell>
          <cell r="I22">
            <v>6.9059676991835416E-3</v>
          </cell>
          <cell r="J22">
            <v>1.905702773993339</v>
          </cell>
          <cell r="K22">
            <v>0.92891331534610666</v>
          </cell>
          <cell r="L22">
            <v>2.1620540424112811</v>
          </cell>
          <cell r="M22">
            <v>8.3113959641870494</v>
          </cell>
        </row>
        <row r="23">
          <cell r="B23">
            <v>0</v>
          </cell>
          <cell r="C23">
            <v>8.4235553269598917E-2</v>
          </cell>
          <cell r="D23">
            <v>23.019619643421649</v>
          </cell>
          <cell r="E23">
            <v>11.330421812851441</v>
          </cell>
          <cell r="F23">
            <v>26.564463059374031</v>
          </cell>
          <cell r="G23">
            <v>103.6024666896013</v>
          </cell>
          <cell r="H23">
            <v>0</v>
          </cell>
          <cell r="I23">
            <v>8.3631589576653991E-3</v>
          </cell>
          <cell r="J23">
            <v>2.2854570398175631</v>
          </cell>
          <cell r="K23">
            <v>1.1249183391126929</v>
          </cell>
          <cell r="L23">
            <v>2.6373997506674591</v>
          </cell>
          <cell r="M23">
            <v>10.285964342850409</v>
          </cell>
        </row>
        <row r="24">
          <cell r="B24">
            <v>0</v>
          </cell>
          <cell r="C24">
            <v>0.11091776915935909</v>
          </cell>
          <cell r="D24">
            <v>30.023630322149831</v>
          </cell>
          <cell r="E24">
            <v>14.919414218053101</v>
          </cell>
          <cell r="F24">
            <v>35.225199723326163</v>
          </cell>
          <cell r="G24">
            <v>139.2600598604206</v>
          </cell>
          <cell r="H24">
            <v>0</v>
          </cell>
          <cell r="I24">
            <v>1.0130752910874169E-2</v>
          </cell>
          <cell r="J24">
            <v>2.7422295145886859</v>
          </cell>
          <cell r="K24">
            <v>1.36267525179779</v>
          </cell>
          <cell r="L24">
            <v>3.2173185355044538</v>
          </cell>
          <cell r="M24">
            <v>12.719416081768751</v>
          </cell>
        </row>
        <row r="25">
          <cell r="B25">
            <v>0</v>
          </cell>
          <cell r="C25">
            <v>0.1102235595010946</v>
          </cell>
          <cell r="D25">
            <v>29.558357591389811</v>
          </cell>
          <cell r="E25">
            <v>14.82603692130148</v>
          </cell>
          <cell r="F25">
            <v>35.242203191902547</v>
          </cell>
          <cell r="G25">
            <v>141.127918800044</v>
          </cell>
          <cell r="H25">
            <v>0</v>
          </cell>
          <cell r="I25">
            <v>1.147761754289808E-2</v>
          </cell>
          <cell r="J25">
            <v>3.0779220446679658</v>
          </cell>
          <cell r="K25">
            <v>1.543840375232072</v>
          </cell>
          <cell r="L25">
            <v>3.669782861637148</v>
          </cell>
          <cell r="M25">
            <v>14.695699212979919</v>
          </cell>
        </row>
        <row r="42">
          <cell r="B42">
            <v>0</v>
          </cell>
          <cell r="C42">
            <v>0.68954943574938432</v>
          </cell>
          <cell r="D42">
            <v>190.25363420001901</v>
          </cell>
          <cell r="E42">
            <v>92.750455889436665</v>
          </cell>
          <cell r="F42">
            <v>222.5243725805135</v>
          </cell>
          <cell r="G42">
            <v>1045.326383239601</v>
          </cell>
          <cell r="H42">
            <v>0</v>
          </cell>
          <cell r="I42">
            <v>6.9348255087863575E-2</v>
          </cell>
          <cell r="J42">
            <v>19.13388202770027</v>
          </cell>
          <cell r="K42">
            <v>9.3279494421543152</v>
          </cell>
          <cell r="L42">
            <v>22.379362744615261</v>
          </cell>
          <cell r="M42">
            <v>105.12888114568869</v>
          </cell>
        </row>
        <row r="43">
          <cell r="B43">
            <v>0</v>
          </cell>
          <cell r="C43">
            <v>0.61050070050401617</v>
          </cell>
          <cell r="D43">
            <v>169.67988008748611</v>
          </cell>
          <cell r="E43">
            <v>82.117706660190692</v>
          </cell>
          <cell r="F43">
            <v>196.90454979393891</v>
          </cell>
          <cell r="G43">
            <v>947.21901994738539</v>
          </cell>
          <cell r="H43">
            <v>0</v>
          </cell>
          <cell r="I43">
            <v>7.5564321520550953E-2</v>
          </cell>
          <cell r="J43">
            <v>21.00201523751565</v>
          </cell>
          <cell r="K43">
            <v>10.164064977285181</v>
          </cell>
          <cell r="L43">
            <v>24.371730773125719</v>
          </cell>
          <cell r="M43">
            <v>117.24140941131409</v>
          </cell>
        </row>
        <row r="44">
          <cell r="B44">
            <v>0</v>
          </cell>
          <cell r="C44">
            <v>0.73072143078802143</v>
          </cell>
          <cell r="D44">
            <v>204.56513209730551</v>
          </cell>
          <cell r="E44">
            <v>98.288450863736259</v>
          </cell>
          <cell r="F44">
            <v>235.54836271076911</v>
          </cell>
          <cell r="G44">
            <v>1159.6035847976359</v>
          </cell>
          <cell r="H44">
            <v>0</v>
          </cell>
          <cell r="I44">
            <v>7.8636029011023331E-2</v>
          </cell>
          <cell r="J44">
            <v>22.01412054508917</v>
          </cell>
          <cell r="K44">
            <v>10.577236615647379</v>
          </cell>
          <cell r="L44">
            <v>25.34835725790612</v>
          </cell>
          <cell r="M44">
            <v>124.7898546469295</v>
          </cell>
        </row>
        <row r="45">
          <cell r="B45">
            <v>0</v>
          </cell>
          <cell r="C45">
            <v>0.7836105141297246</v>
          </cell>
          <cell r="D45">
            <v>220.9405501647995</v>
          </cell>
          <cell r="E45">
            <v>105.40249713394491</v>
          </cell>
          <cell r="F45">
            <v>252.45757366791011</v>
          </cell>
          <cell r="G45">
            <v>1271.1048989677649</v>
          </cell>
          <cell r="H45">
            <v>0</v>
          </cell>
          <cell r="I45">
            <v>8.3536946386216698E-2</v>
          </cell>
          <cell r="J45">
            <v>23.55340894596856</v>
          </cell>
          <cell r="K45">
            <v>11.236453050697669</v>
          </cell>
          <cell r="L45">
            <v>26.913287170109669</v>
          </cell>
          <cell r="M45">
            <v>135.50637706061849</v>
          </cell>
        </row>
      </sheetData>
      <sheetData sheetId="3">
        <row r="22">
          <cell r="B22">
            <v>0</v>
          </cell>
          <cell r="C22">
            <v>3.7243220991010482</v>
          </cell>
          <cell r="D22">
            <v>191.0393069048875</v>
          </cell>
          <cell r="E22">
            <v>0.2365893572285549</v>
          </cell>
          <cell r="F22">
            <v>92.100675206800744</v>
          </cell>
          <cell r="G22">
            <v>1.106643217311327</v>
          </cell>
          <cell r="H22">
            <v>0</v>
          </cell>
          <cell r="I22">
            <v>0.32854773990158298</v>
          </cell>
          <cell r="J22">
            <v>16.852874387829019</v>
          </cell>
          <cell r="K22">
            <v>2.087115360429543E-2</v>
          </cell>
          <cell r="L22">
            <v>8.124825908561446</v>
          </cell>
          <cell r="M22">
            <v>9.7624512126062532E-2</v>
          </cell>
        </row>
        <row r="23">
          <cell r="B23">
            <v>0</v>
          </cell>
          <cell r="C23">
            <v>4.0074616406558121</v>
          </cell>
          <cell r="D23">
            <v>203.57149267997161</v>
          </cell>
          <cell r="E23">
            <v>0.25457593313685201</v>
          </cell>
          <cell r="F23">
            <v>99.827124335483475</v>
          </cell>
          <cell r="G23">
            <v>1.2169003028143239</v>
          </cell>
          <cell r="H23">
            <v>0</v>
          </cell>
          <cell r="I23">
            <v>0.39787283892212411</v>
          </cell>
          <cell r="J23">
            <v>20.211189770225719</v>
          </cell>
          <cell r="K23">
            <v>2.5275063948418091E-2</v>
          </cell>
          <cell r="L23">
            <v>9.9111370044931562</v>
          </cell>
          <cell r="M23">
            <v>0.12081752031111</v>
          </cell>
        </row>
        <row r="24">
          <cell r="B24">
            <v>0</v>
          </cell>
          <cell r="C24">
            <v>5.2768538689431281</v>
          </cell>
          <cell r="D24">
            <v>265.51069631154058</v>
          </cell>
          <cell r="E24">
            <v>0.33521468654486403</v>
          </cell>
          <cell r="F24">
            <v>132.37347898443011</v>
          </cell>
          <cell r="G24">
            <v>1.6357294804747751</v>
          </cell>
          <cell r="H24">
            <v>0</v>
          </cell>
          <cell r="I24">
            <v>0.48196518103648162</v>
          </cell>
          <cell r="J24">
            <v>24.250607273410001</v>
          </cell>
          <cell r="K24">
            <v>3.061707053089972E-2</v>
          </cell>
          <cell r="L24">
            <v>12.09042534580132</v>
          </cell>
          <cell r="M24">
            <v>0.14940050923593831</v>
          </cell>
        </row>
        <row r="25">
          <cell r="B25">
            <v>0</v>
          </cell>
          <cell r="C25">
            <v>5.2438272137116479</v>
          </cell>
          <cell r="D25">
            <v>261.39610772270731</v>
          </cell>
          <cell r="E25">
            <v>0.33311665234569771</v>
          </cell>
          <cell r="F25">
            <v>132.43737665734429</v>
          </cell>
          <cell r="G25">
            <v>1.657669094287757</v>
          </cell>
          <cell r="H25">
            <v>0</v>
          </cell>
          <cell r="I25">
            <v>0.54604154948766181</v>
          </cell>
          <cell r="J25">
            <v>27.219267507085249</v>
          </cell>
          <cell r="K25">
            <v>3.4687552734644647E-2</v>
          </cell>
          <cell r="L25">
            <v>13.79075004053594</v>
          </cell>
          <cell r="M25">
            <v>0.17261365866821049</v>
          </cell>
        </row>
        <row r="42">
          <cell r="B42">
            <v>0</v>
          </cell>
          <cell r="C42">
            <v>32.804947624162203</v>
          </cell>
          <cell r="D42">
            <v>1682.487239225743</v>
          </cell>
          <cell r="E42">
            <v>2.0839501165031651</v>
          </cell>
          <cell r="F42">
            <v>836.22876771949393</v>
          </cell>
          <cell r="G42">
            <v>12.278259707032159</v>
          </cell>
          <cell r="H42">
            <v>0</v>
          </cell>
          <cell r="I42">
            <v>3.2992063484353822</v>
          </cell>
          <cell r="J42">
            <v>169.20839638002181</v>
          </cell>
          <cell r="K42">
            <v>0.20958367417498619</v>
          </cell>
          <cell r="L42">
            <v>84.099852583590589</v>
          </cell>
          <cell r="M42">
            <v>1.2348293567566211</v>
          </cell>
        </row>
        <row r="43">
          <cell r="B43">
            <v>0</v>
          </cell>
          <cell r="C43">
            <v>29.04424609206341</v>
          </cell>
          <cell r="D43">
            <v>1500.5454912909149</v>
          </cell>
          <cell r="E43">
            <v>1.84504973825112</v>
          </cell>
          <cell r="F43">
            <v>739.95152586250401</v>
          </cell>
          <cell r="G43">
            <v>11.1259041317899</v>
          </cell>
          <cell r="H43">
            <v>0</v>
          </cell>
          <cell r="I43">
            <v>3.5949324025521689</v>
          </cell>
          <cell r="J43">
            <v>185.72902842946681</v>
          </cell>
          <cell r="K43">
            <v>0.22836981436305301</v>
          </cell>
          <cell r="L43">
            <v>91.587012043942281</v>
          </cell>
          <cell r="M43">
            <v>1.377101445301073</v>
          </cell>
        </row>
        <row r="44">
          <cell r="B44">
            <v>0</v>
          </cell>
          <cell r="C44">
            <v>34.763683388127987</v>
          </cell>
          <cell r="D44">
            <v>1809.049408130626</v>
          </cell>
          <cell r="E44">
            <v>2.2083797504193901</v>
          </cell>
          <cell r="F44">
            <v>885.17187939358223</v>
          </cell>
          <cell r="G44">
            <v>13.620543975199141</v>
          </cell>
          <cell r="H44">
            <v>0</v>
          </cell>
          <cell r="I44">
            <v>3.7410672525244291</v>
          </cell>
          <cell r="J44">
            <v>194.6794711997469</v>
          </cell>
          <cell r="K44">
            <v>0.23765310117435581</v>
          </cell>
          <cell r="L44">
            <v>95.257096144930557</v>
          </cell>
          <cell r="M44">
            <v>1.465764443263454</v>
          </cell>
        </row>
        <row r="45">
          <cell r="B45">
            <v>0</v>
          </cell>
          <cell r="C45">
            <v>37.279853395618382</v>
          </cell>
          <cell r="D45">
            <v>1953.863629690145</v>
          </cell>
          <cell r="E45">
            <v>2.36822066345256</v>
          </cell>
          <cell r="F45">
            <v>948.71533972479995</v>
          </cell>
          <cell r="G45">
            <v>14.930223052477761</v>
          </cell>
          <cell r="H45">
            <v>0</v>
          </cell>
          <cell r="I45">
            <v>3.9742257897783091</v>
          </cell>
          <cell r="J45">
            <v>208.29200008970761</v>
          </cell>
          <cell r="K45">
            <v>0.25246460968339712</v>
          </cell>
          <cell r="L45">
            <v>101.13797740244701</v>
          </cell>
          <cell r="M45">
            <v>1.5916392393665819</v>
          </cell>
        </row>
      </sheetData>
      <sheetData sheetId="4">
        <row r="22">
          <cell r="B22">
            <v>0</v>
          </cell>
          <cell r="C22">
            <v>1.165932678609452E-2</v>
          </cell>
          <cell r="D22">
            <v>0.67662987660869989</v>
          </cell>
          <cell r="E22">
            <v>8.1639989466191498E-2</v>
          </cell>
          <cell r="F22">
            <v>0.1604627799316318</v>
          </cell>
          <cell r="G22">
            <v>0.91022602289676235</v>
          </cell>
          <cell r="H22">
            <v>0</v>
          </cell>
          <cell r="I22">
            <v>1.028548380729464E-3</v>
          </cell>
          <cell r="J22">
            <v>5.9690115622205137E-2</v>
          </cell>
          <cell r="K22">
            <v>7.2020177930315231E-3</v>
          </cell>
          <cell r="L22">
            <v>1.4155511333884849E-2</v>
          </cell>
          <cell r="M22">
            <v>8.0297217766025442E-2</v>
          </cell>
        </row>
        <row r="23">
          <cell r="B23">
            <v>0</v>
          </cell>
          <cell r="C23">
            <v>1.25457206997275E-2</v>
          </cell>
          <cell r="D23">
            <v>0.72101682216464347</v>
          </cell>
          <cell r="E23">
            <v>8.7846624814829216E-2</v>
          </cell>
          <cell r="F23">
            <v>0.17392421768336311</v>
          </cell>
          <cell r="G23">
            <v>1.000913668981479</v>
          </cell>
          <cell r="H23">
            <v>0</v>
          </cell>
          <cell r="I23">
            <v>1.2455768660352719E-3</v>
          </cell>
          <cell r="J23">
            <v>7.1584717626469618E-2</v>
          </cell>
          <cell r="K23">
            <v>8.721676996285118E-3</v>
          </cell>
          <cell r="L23">
            <v>1.7267719182875271E-2</v>
          </cell>
          <cell r="M23">
            <v>9.9373718004809056E-2</v>
          </cell>
        </row>
        <row r="24">
          <cell r="B24">
            <v>0</v>
          </cell>
          <cell r="C24">
            <v>1.6519667747138599E-2</v>
          </cell>
          <cell r="D24">
            <v>0.94039531756158956</v>
          </cell>
          <cell r="E24">
            <v>0.1156726735260446</v>
          </cell>
          <cell r="F24">
            <v>0.23062823784265429</v>
          </cell>
          <cell r="G24">
            <v>1.345405200390507</v>
          </cell>
          <cell r="H24">
            <v>0</v>
          </cell>
          <cell r="I24">
            <v>1.5088355399174289E-3</v>
          </cell>
          <cell r="J24">
            <v>8.5891671577634138E-2</v>
          </cell>
          <cell r="K24">
            <v>1.0565045464887931E-2</v>
          </cell>
          <cell r="L24">
            <v>2.106459325283954E-2</v>
          </cell>
          <cell r="M24">
            <v>0.1228835357351874</v>
          </cell>
        </row>
        <row r="25">
          <cell r="B25">
            <v>0</v>
          </cell>
          <cell r="C25">
            <v>1.641627481931196E-2</v>
          </cell>
          <cell r="D25">
            <v>0.92582211996019792</v>
          </cell>
          <cell r="E25">
            <v>0.114948703978445</v>
          </cell>
          <cell r="F25">
            <v>0.23073956382592159</v>
          </cell>
          <cell r="G25">
            <v>1.3634507701933929</v>
          </cell>
          <cell r="H25">
            <v>0</v>
          </cell>
          <cell r="I25">
            <v>1.7094324000060969E-3</v>
          </cell>
          <cell r="J25">
            <v>9.6406178985289748E-2</v>
          </cell>
          <cell r="K25">
            <v>1.1969648478856249E-2</v>
          </cell>
          <cell r="L25">
            <v>2.402699094092265E-2</v>
          </cell>
          <cell r="M25">
            <v>0.14197660236779211</v>
          </cell>
        </row>
        <row r="42">
          <cell r="B42">
            <v>0</v>
          </cell>
          <cell r="C42">
            <v>0.102698852132887</v>
          </cell>
          <cell r="D42">
            <v>5.9590937148856531</v>
          </cell>
          <cell r="E42">
            <v>0.71910954724405007</v>
          </cell>
          <cell r="F42">
            <v>1.4569230076302919</v>
          </cell>
          <cell r="G42">
            <v>10.09900149063251</v>
          </cell>
          <cell r="H42">
            <v>0</v>
          </cell>
          <cell r="I42">
            <v>1.032846352372436E-2</v>
          </cell>
          <cell r="J42">
            <v>0.59930837385612901</v>
          </cell>
          <cell r="K42">
            <v>7.2321127004044528E-2</v>
          </cell>
          <cell r="L42">
            <v>0.14652331383132899</v>
          </cell>
          <cell r="M42">
            <v>1.015660509886398</v>
          </cell>
        </row>
        <row r="43">
          <cell r="B43">
            <v>0</v>
          </cell>
          <cell r="C43">
            <v>9.092563624527901E-2</v>
          </cell>
          <cell r="D43">
            <v>5.3146858992919483</v>
          </cell>
          <cell r="E43">
            <v>0.63667209277679493</v>
          </cell>
          <cell r="F43">
            <v>1.2891835872858259</v>
          </cell>
          <cell r="G43">
            <v>9.1511765586150666</v>
          </cell>
          <cell r="H43">
            <v>0</v>
          </cell>
          <cell r="I43">
            <v>1.125426065199695E-2</v>
          </cell>
          <cell r="J43">
            <v>0.65782174163482943</v>
          </cell>
          <cell r="K43">
            <v>7.8803668336546465E-2</v>
          </cell>
          <cell r="L43">
            <v>0.15956784817488109</v>
          </cell>
          <cell r="M43">
            <v>1.132680842455428</v>
          </cell>
        </row>
        <row r="44">
          <cell r="B44">
            <v>0</v>
          </cell>
          <cell r="C44">
            <v>0.10883085139396061</v>
          </cell>
          <cell r="D44">
            <v>6.4073561490247988</v>
          </cell>
          <cell r="E44">
            <v>0.76204653359542363</v>
          </cell>
          <cell r="F44">
            <v>1.5421943451106559</v>
          </cell>
          <cell r="G44">
            <v>11.203044828085879</v>
          </cell>
          <cell r="H44">
            <v>0</v>
          </cell>
          <cell r="I44">
            <v>1.1711749001641771E-2</v>
          </cell>
          <cell r="J44">
            <v>0.68952274121112622</v>
          </cell>
          <cell r="K44">
            <v>8.2007056039038267E-2</v>
          </cell>
          <cell r="L44">
            <v>0.16596206728462309</v>
          </cell>
          <cell r="M44">
            <v>1.205607117835741</v>
          </cell>
        </row>
        <row r="45">
          <cell r="B45">
            <v>0</v>
          </cell>
          <cell r="C45">
            <v>0.1167079489129377</v>
          </cell>
          <cell r="D45">
            <v>6.9202643586100994</v>
          </cell>
          <cell r="E45">
            <v>0.81720290499419335</v>
          </cell>
          <cell r="F45">
            <v>1.652903200049318</v>
          </cell>
          <cell r="G45">
            <v>12.280270043163521</v>
          </cell>
          <cell r="H45">
            <v>0</v>
          </cell>
          <cell r="I45">
            <v>1.2441672866032269E-2</v>
          </cell>
          <cell r="J45">
            <v>0.7377360848018889</v>
          </cell>
          <cell r="K45">
            <v>8.7118069538637044E-2</v>
          </cell>
          <cell r="L45">
            <v>0.1762080568271541</v>
          </cell>
          <cell r="M45">
            <v>1.309140499911907</v>
          </cell>
        </row>
      </sheetData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5">
          <cell r="A35" t="str">
            <v>yearly</v>
          </cell>
          <cell r="C35" t="str">
            <v>CC</v>
          </cell>
          <cell r="D35" t="str">
            <v>HTC</v>
          </cell>
          <cell r="E35" t="str">
            <v>CED</v>
          </cell>
        </row>
        <row r="36">
          <cell r="A36">
            <v>2025</v>
          </cell>
          <cell r="B36" t="str">
            <v>PAG</v>
          </cell>
          <cell r="C36">
            <v>4291644.2965727914</v>
          </cell>
          <cell r="D36">
            <v>0.24826855991677937</v>
          </cell>
          <cell r="E36">
            <v>31028328.168223538</v>
          </cell>
        </row>
        <row r="37">
          <cell r="B37" t="str">
            <v>Sur</v>
          </cell>
          <cell r="C37">
            <v>253761.85839454836</v>
          </cell>
          <cell r="D37">
            <v>2.8821129273856824E-2</v>
          </cell>
          <cell r="E37">
            <v>2645782.886405101</v>
          </cell>
        </row>
        <row r="38">
          <cell r="B38" t="str">
            <v>TARC</v>
          </cell>
          <cell r="C38">
            <v>13251754.179208692</v>
          </cell>
          <cell r="D38">
            <v>1.4784421619241437</v>
          </cell>
          <cell r="E38">
            <v>136643428.18918371</v>
          </cell>
        </row>
        <row r="39">
          <cell r="B39" t="str">
            <v>Polymer</v>
          </cell>
          <cell r="C39">
            <v>288306.4193637406</v>
          </cell>
          <cell r="D39">
            <v>1.6359842666604708E-2</v>
          </cell>
          <cell r="E39">
            <v>2066129.337351589</v>
          </cell>
        </row>
        <row r="40">
          <cell r="B40" t="str">
            <v>ITC</v>
          </cell>
          <cell r="C40">
            <v>6923658.6006540796</v>
          </cell>
          <cell r="D40">
            <v>0.75131606033422338</v>
          </cell>
          <cell r="E40">
            <v>70196161.828846052</v>
          </cell>
        </row>
        <row r="41">
          <cell r="B41" t="str">
            <v>PBO</v>
          </cell>
          <cell r="C41">
            <v>2567312.1866645659</v>
          </cell>
          <cell r="D41">
            <v>0.14077843044966593</v>
          </cell>
          <cell r="E41">
            <v>18152114.294219285</v>
          </cell>
        </row>
        <row r="42">
          <cell r="C42">
            <v>27576437.540858421</v>
          </cell>
          <cell r="D42">
            <v>2.6639861845652737</v>
          </cell>
          <cell r="E42">
            <v>260731944.70422927</v>
          </cell>
        </row>
        <row r="44">
          <cell r="A44">
            <v>2030</v>
          </cell>
          <cell r="B44" t="str">
            <v>PAG</v>
          </cell>
          <cell r="C44">
            <v>30662086.994517568</v>
          </cell>
          <cell r="D44">
            <v>1.6436130940968861</v>
          </cell>
          <cell r="E44">
            <v>220645611.45280784</v>
          </cell>
        </row>
        <row r="45">
          <cell r="B45" t="str">
            <v>Sur</v>
          </cell>
          <cell r="C45">
            <v>1697236.7367817487</v>
          </cell>
          <cell r="D45">
            <v>0.17978427801017913</v>
          </cell>
          <cell r="E45">
            <v>17783402.334377538</v>
          </cell>
        </row>
        <row r="46">
          <cell r="B46" t="str">
            <v>TARC</v>
          </cell>
          <cell r="C46">
            <v>91286000.846661165</v>
          </cell>
          <cell r="D46">
            <v>9.4852978805945831</v>
          </cell>
          <cell r="E46">
            <v>945008731.76302552</v>
          </cell>
        </row>
        <row r="47">
          <cell r="B47" t="str">
            <v>Polymer</v>
          </cell>
          <cell r="C47">
            <v>2062446.0921097463</v>
          </cell>
          <cell r="D47">
            <v>0.10855634066693953</v>
          </cell>
          <cell r="E47">
            <v>14715715.363308847</v>
          </cell>
        </row>
        <row r="48">
          <cell r="B48" t="str">
            <v>ITC</v>
          </cell>
          <cell r="C48">
            <v>47423398.400352627</v>
          </cell>
          <cell r="D48">
            <v>4.7840823459680912</v>
          </cell>
          <cell r="E48">
            <v>482022047.71503621</v>
          </cell>
        </row>
        <row r="49">
          <cell r="B49" t="str">
            <v>PBO</v>
          </cell>
          <cell r="C49">
            <v>23203040.847377677</v>
          </cell>
          <cell r="D49">
            <v>1.1816198472379611</v>
          </cell>
          <cell r="E49">
            <v>163425102.45199502</v>
          </cell>
        </row>
        <row r="50">
          <cell r="C50">
            <v>196334209.91780055</v>
          </cell>
          <cell r="D50">
            <v>17.382953786574639</v>
          </cell>
          <cell r="E50">
            <v>1843600611.0805511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at-gas"/>
      <sheetName val="Treat-solid"/>
      <sheetName val="Treat-solvent"/>
      <sheetName val="Treat-water"/>
      <sheetName val="data summary"/>
    </sheetNames>
    <sheetDataSet>
      <sheetData sheetId="0"/>
      <sheetData sheetId="1"/>
      <sheetData sheetId="2"/>
      <sheetData sheetId="3"/>
      <sheetData sheetId="4">
        <row r="25">
          <cell r="O25" t="str">
            <v>CC</v>
          </cell>
          <cell r="P25" t="str">
            <v>CC</v>
          </cell>
          <cell r="S25" t="str">
            <v>HTC</v>
          </cell>
          <cell r="T25" t="str">
            <v>HTC</v>
          </cell>
          <cell r="W25" t="str">
            <v>CED</v>
          </cell>
          <cell r="X25" t="str">
            <v>CED</v>
          </cell>
        </row>
        <row r="26">
          <cell r="M26">
            <v>2025</v>
          </cell>
          <cell r="N26" t="str">
            <v>Gas</v>
          </cell>
          <cell r="O26">
            <v>4.1319818493023262E-3</v>
          </cell>
          <cell r="P26">
            <v>3.976156693402399E-4</v>
          </cell>
          <cell r="Q26">
            <v>1.782306908581134E-4</v>
          </cell>
          <cell r="S26">
            <v>3.3767123203247082E-4</v>
          </cell>
          <cell r="T26">
            <v>3.2485972728216231E-5</v>
          </cell>
          <cell r="U26">
            <v>1.4056137064138476E-4</v>
          </cell>
          <cell r="W26">
            <v>3.131084935440244E-2</v>
          </cell>
          <cell r="X26">
            <v>3.0107843024258802E-3</v>
          </cell>
          <cell r="Y26">
            <v>1.3703996275639586E-4</v>
          </cell>
        </row>
        <row r="27">
          <cell r="N27" t="str">
            <v>Solid</v>
          </cell>
          <cell r="O27">
            <v>4.7664512326386889E-2</v>
          </cell>
          <cell r="P27">
            <v>4.5884728961891165E-3</v>
          </cell>
          <cell r="Q27">
            <v>2.0559816744551776E-3</v>
          </cell>
          <cell r="S27">
            <v>3.8951255119629696E-3</v>
          </cell>
          <cell r="T27">
            <v>3.7487888147746289E-4</v>
          </cell>
          <cell r="U27">
            <v>1.6214119795940802E-3</v>
          </cell>
          <cell r="W27">
            <v>0.36118566309589006</v>
          </cell>
          <cell r="X27">
            <v>3.4744139120489237E-2</v>
          </cell>
          <cell r="Y27">
            <v>1.5808216908636955E-3</v>
          </cell>
        </row>
        <row r="28">
          <cell r="N28" t="str">
            <v>Solvent</v>
          </cell>
          <cell r="O28">
            <v>3.8901474624481751</v>
          </cell>
          <cell r="P28">
            <v>0.37438427694786408</v>
          </cell>
          <cell r="Q28">
            <v>0.16779930189895298</v>
          </cell>
          <cell r="S28">
            <v>0.2050655239123802</v>
          </cell>
          <cell r="T28">
            <v>1.9758057708768345E-2</v>
          </cell>
          <cell r="U28">
            <v>8.5361998233968742E-2</v>
          </cell>
          <cell r="W28">
            <v>27.072470298919228</v>
          </cell>
          <cell r="X28">
            <v>2.6044229968506154</v>
          </cell>
          <cell r="Y28">
            <v>0.11848960976735307</v>
          </cell>
        </row>
        <row r="29">
          <cell r="N29" t="str">
            <v>Water</v>
          </cell>
          <cell r="O29">
            <v>19.241391244560599</v>
          </cell>
          <cell r="P29">
            <v>1.8597110517801247</v>
          </cell>
          <cell r="Q29">
            <v>0.82996648573573384</v>
          </cell>
          <cell r="S29">
            <v>2.1930063131962201</v>
          </cell>
          <cell r="T29">
            <v>0.21220069562914329</v>
          </cell>
          <cell r="U29">
            <v>0.91287602841579574</v>
          </cell>
          <cell r="W29">
            <v>201.01473155268391</v>
          </cell>
          <cell r="X29">
            <v>19.463437729764848</v>
          </cell>
          <cell r="Y29">
            <v>0.87979252857902679</v>
          </cell>
        </row>
        <row r="30">
          <cell r="O30">
            <v>23.183335201184462</v>
          </cell>
          <cell r="P30">
            <v>2.2390814172935181</v>
          </cell>
          <cell r="S30">
            <v>2.4023046338525957</v>
          </cell>
          <cell r="T30">
            <v>0.2323661181921173</v>
          </cell>
          <cell r="W30">
            <v>228.47969836405343</v>
          </cell>
          <cell r="X30">
            <v>22.105615650038381</v>
          </cell>
        </row>
        <row r="32">
          <cell r="M32">
            <v>2030</v>
          </cell>
          <cell r="N32">
            <v>31</v>
          </cell>
          <cell r="O32">
            <v>2.9170405288286287E-2</v>
          </cell>
          <cell r="P32">
            <v>3.2340397962124963E-3</v>
          </cell>
          <cell r="Q32">
            <v>1.8205462061931968E-4</v>
          </cell>
          <cell r="S32">
            <v>2.2678075786410723E-3</v>
          </cell>
          <cell r="T32">
            <v>2.5121872684158827E-4</v>
          </cell>
          <cell r="U32">
            <v>1.5229379001036514E-4</v>
          </cell>
          <cell r="W32">
            <v>0.21978530245281094</v>
          </cell>
          <cell r="X32">
            <v>2.4140156673492348E-2</v>
          </cell>
          <cell r="Y32">
            <v>1.4203668649928164E-4</v>
          </cell>
        </row>
        <row r="33">
          <cell r="N33" t="str">
            <v>Solid</v>
          </cell>
          <cell r="O33">
            <v>0.38471423197143328</v>
          </cell>
          <cell r="P33">
            <v>4.2654710595038461E-2</v>
          </cell>
          <cell r="Q33">
            <v>2.4010294974042478E-3</v>
          </cell>
          <cell r="S33">
            <v>2.9907477031267338E-2</v>
          </cell>
          <cell r="T33">
            <v>3.313235735785334E-3</v>
          </cell>
          <cell r="U33">
            <v>2.0084257013855433E-3</v>
          </cell>
          <cell r="V33"/>
          <cell r="W33">
            <v>2.8986244416052327</v>
          </cell>
          <cell r="X33">
            <v>0.31838733641431105</v>
          </cell>
          <cell r="Y33">
            <v>1.8732417795763855E-3</v>
          </cell>
        </row>
        <row r="34">
          <cell r="N34" t="str">
            <v>Solvent</v>
          </cell>
          <cell r="O34">
            <v>32.810257848039392</v>
          </cell>
          <cell r="P34">
            <v>3.6096041543624366</v>
          </cell>
          <cell r="Q34">
            <v>0.20477120512773603</v>
          </cell>
          <cell r="S34">
            <v>1.6092883703460767</v>
          </cell>
          <cell r="T34">
            <v>0.18034058521447716</v>
          </cell>
          <cell r="U34">
            <v>0.10807117299011278</v>
          </cell>
          <cell r="V34"/>
          <cell r="W34">
            <v>227.61427512129532</v>
          </cell>
          <cell r="X34">
            <v>24.921072135612334</v>
          </cell>
          <cell r="Y34">
            <v>0.14709617557391488</v>
          </cell>
        </row>
        <row r="35">
          <cell r="N35" t="str">
            <v>Water</v>
          </cell>
          <cell r="O35">
            <v>127.00472283574246</v>
          </cell>
          <cell r="P35">
            <v>15.063395489199827</v>
          </cell>
          <cell r="Q35">
            <v>0.79264571075424051</v>
          </cell>
          <cell r="S35">
            <v>13.249541280220461</v>
          </cell>
          <cell r="T35">
            <v>1.613616125888105</v>
          </cell>
          <cell r="U35">
            <v>0.88976810751849134</v>
          </cell>
          <cell r="W35">
            <v>1316.6513598470847</v>
          </cell>
          <cell r="X35">
            <v>160.07908213449602</v>
          </cell>
          <cell r="Y35">
            <v>0.85088854596000951</v>
          </cell>
        </row>
        <row r="36">
          <cell r="O36">
            <v>160.22886532104155</v>
          </cell>
          <cell r="P36">
            <v>18.718888393953513</v>
          </cell>
          <cell r="S36">
            <v>14.891004935176445</v>
          </cell>
          <cell r="T36">
            <v>1.797521165565209</v>
          </cell>
          <cell r="W36">
            <v>1547.384044712438</v>
          </cell>
          <cell r="X36">
            <v>185.34268176319617</v>
          </cell>
        </row>
        <row r="38">
          <cell r="M38">
            <v>2025</v>
          </cell>
          <cell r="O38">
            <v>23.183335201184462</v>
          </cell>
          <cell r="P38">
            <v>2.2390814172935181</v>
          </cell>
          <cell r="S38">
            <v>2.4023046338525957</v>
          </cell>
          <cell r="T38">
            <v>0.2323661181921173</v>
          </cell>
          <cell r="W38">
            <v>228.47969836405343</v>
          </cell>
          <cell r="X38">
            <v>22.105615650038381</v>
          </cell>
        </row>
        <row r="39">
          <cell r="M39">
            <v>2030</v>
          </cell>
          <cell r="O39">
            <v>160.22886532104155</v>
          </cell>
          <cell r="P39">
            <v>18.718888393953513</v>
          </cell>
          <cell r="S39">
            <v>14.891004935176445</v>
          </cell>
          <cell r="T39">
            <v>1.797521165565209</v>
          </cell>
          <cell r="W39">
            <v>1547.384044712438</v>
          </cell>
          <cell r="X39">
            <v>185.34268176319617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C3D0-1AD0-CA41-B0C9-5DC9B13BCCED}">
  <dimension ref="A1:AF110"/>
  <sheetViews>
    <sheetView tabSelected="1" workbookViewId="0">
      <selection activeCell="P25" sqref="P25"/>
    </sheetView>
  </sheetViews>
  <sheetFormatPr baseColWidth="10" defaultRowHeight="16" x14ac:dyDescent="0.2"/>
  <sheetData>
    <row r="1" spans="1:32" x14ac:dyDescent="0.2">
      <c r="A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40</v>
      </c>
      <c r="J1" t="s">
        <v>0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S1" t="str" cm="1">
        <f t="array" ref="S1">INDEX($M$1:$Q$14, COLUMN(A1), ROW(A1))</f>
        <v>share cc</v>
      </c>
      <c r="T1" t="str" cm="1">
        <f t="array" ref="T1">INDEX($M$1:$Q$14, COLUMN(B1), ROW(B1))</f>
        <v>2025 Basic</v>
      </c>
      <c r="U1" cm="1">
        <f t="array" ref="U1">INDEX($M$1:$Q$14, COLUMN(C1), ROW(C1))</f>
        <v>1</v>
      </c>
      <c r="V1" cm="1">
        <f t="array" ref="V1">INDEX($M$1:$Q$14, COLUMN(D1), ROW(D1))</f>
        <v>2</v>
      </c>
      <c r="W1" cm="1">
        <f t="array" ref="W1">INDEX($M$1:$Q$14, COLUMN(E1), ROW(E1))</f>
        <v>3</v>
      </c>
      <c r="X1" cm="1">
        <f t="array" ref="X1">INDEX($M$1:$Q$14, COLUMN(F1), ROW(F1))</f>
        <v>4</v>
      </c>
      <c r="Y1" cm="1">
        <f t="array" ref="Y1">INDEX($M$1:$Q$14, COLUMN(G1), ROW(G1))</f>
        <v>5</v>
      </c>
      <c r="Z1" cm="1">
        <f t="array" ref="Z1">INDEX($M$1:$Q$14, COLUMN(H1), ROW(H1))</f>
        <v>0</v>
      </c>
      <c r="AA1" t="str" cm="1">
        <f t="array" ref="AA1">INDEX($M$1:$Q$14, COLUMN(I1), ROW(I1))</f>
        <v>2030 Basic</v>
      </c>
      <c r="AB1" cm="1">
        <f t="array" ref="AB1">INDEX($M$1:$Q$14, COLUMN(J1), ROW(J1))</f>
        <v>1</v>
      </c>
      <c r="AC1" cm="1">
        <f t="array" ref="AC1">INDEX($M$1:$Q$14, COLUMN(K1), ROW(K1))</f>
        <v>2</v>
      </c>
      <c r="AD1" cm="1">
        <f t="array" ref="AD1">INDEX($M$1:$Q$14, COLUMN(L1), ROW(L1))</f>
        <v>3</v>
      </c>
      <c r="AE1" cm="1">
        <f t="array" ref="AE1">INDEX($M$1:$Q$14, COLUMN(M1), ROW(M1))</f>
        <v>4</v>
      </c>
      <c r="AF1" cm="1">
        <f t="array" ref="AF1">INDEX($M$1:$Q$14, COLUMN(N1), ROW(N1))</f>
        <v>5</v>
      </c>
    </row>
    <row r="2" spans="1:32" x14ac:dyDescent="0.2">
      <c r="B2" t="s">
        <v>10</v>
      </c>
      <c r="C2">
        <f>baseline!C5</f>
        <v>4291644.2965727914</v>
      </c>
      <c r="D2">
        <f>baseline!C6</f>
        <v>253761.85839454836</v>
      </c>
      <c r="E2">
        <f>baseline!C7</f>
        <v>13251754.179208692</v>
      </c>
      <c r="F2">
        <f>baseline!C8</f>
        <v>288306.4193637406</v>
      </c>
      <c r="G2">
        <f>baseline!C9</f>
        <v>6923658.6006540796</v>
      </c>
      <c r="H2">
        <f>baseline!C10</f>
        <v>2567312.1866645659</v>
      </c>
      <c r="I2">
        <f>baseline!C11</f>
        <v>27576437.540858421</v>
      </c>
      <c r="J2">
        <v>0</v>
      </c>
      <c r="M2" t="s">
        <v>10</v>
      </c>
      <c r="N2">
        <f>baseline!M5</f>
        <v>1.782306908581134E-4</v>
      </c>
      <c r="O2">
        <f>baseline!M6</f>
        <v>2.0559816744551776E-3</v>
      </c>
      <c r="P2">
        <f>baseline!M7</f>
        <v>0.16779930189895298</v>
      </c>
      <c r="Q2">
        <f>baseline!M8</f>
        <v>0.82996648573573384</v>
      </c>
      <c r="S2" t="str" cm="1">
        <f t="array" ref="S2">INDEX($M$1:$Q$14, COLUMN(A2), ROW(A2))</f>
        <v>Gas</v>
      </c>
      <c r="T2" cm="1">
        <f t="array" ref="T2">INDEX($M$1:$Q$14, COLUMN(B2), ROW(B2))</f>
        <v>1.782306908581134E-4</v>
      </c>
      <c r="U2" cm="1">
        <f t="array" ref="U2">INDEX($M$1:$Q$14, COLUMN(C2), ROW(C2))</f>
        <v>2.5452770268119757E-3</v>
      </c>
      <c r="V2" cm="1">
        <f t="array" ref="V2">INDEX($M$1:$Q$14, COLUMN(D2), ROW(D2))</f>
        <v>2.861405135180046E-3</v>
      </c>
      <c r="W2" cm="1">
        <f t="array" ref="W2">INDEX($M$1:$Q$14, COLUMN(E2), ROW(E2))</f>
        <v>3.2549332250935313E-3</v>
      </c>
      <c r="X2" cm="1">
        <f t="array" ref="X2">INDEX($M$1:$Q$14, COLUMN(F2), ROW(F2))</f>
        <v>2.3671226262872648E-3</v>
      </c>
      <c r="Y2" cm="1">
        <f t="array" ref="Y2">INDEX($M$1:$Q$14, COLUMN(G2), ROW(G2))</f>
        <v>1.863806011209896E-3</v>
      </c>
      <c r="Z2" cm="1">
        <f t="array" ref="Z2">INDEX($M$1:$Q$14, COLUMN(H2), ROW(H2))</f>
        <v>0</v>
      </c>
      <c r="AA2" cm="1">
        <f t="array" ref="AA2">INDEX($M$1:$Q$14, COLUMN(I2), ROW(I2))</f>
        <v>1.8205462061931968E-4</v>
      </c>
      <c r="AB2" cm="1">
        <f t="array" ref="AB2">INDEX($M$1:$Q$14, COLUMN(J2), ROW(J2))</f>
        <v>2.526253335909532E-3</v>
      </c>
      <c r="AC2" cm="1">
        <f t="array" ref="AC2">INDEX($M$1:$Q$14, COLUMN(K2), ROW(K2))</f>
        <v>2.7904640779558387E-3</v>
      </c>
      <c r="AD2" cm="1">
        <f t="array" ref="AD2">INDEX($M$1:$Q$14, COLUMN(L2), ROW(L2))</f>
        <v>3.1388305738621397E-3</v>
      </c>
      <c r="AE2" cm="1">
        <f t="array" ref="AE2">INDEX($M$1:$Q$14, COLUMN(M2), ROW(M2))</f>
        <v>2.4056432342157157E-3</v>
      </c>
      <c r="AF2" cm="1">
        <f t="array" ref="AF2">INDEX($M$1:$Q$14, COLUMN(N2), ROW(N2))</f>
        <v>1.8643197181299558E-3</v>
      </c>
    </row>
    <row r="3" spans="1:32" x14ac:dyDescent="0.2">
      <c r="B3">
        <v>1</v>
      </c>
      <c r="C3">
        <f>'1-incineration improvement'!B69</f>
        <v>4250836.4954702239</v>
      </c>
      <c r="D3">
        <f>'1-incineration improvement'!C69</f>
        <v>227953.69237462486</v>
      </c>
      <c r="E3">
        <f>'1-incineration improvement'!D69</f>
        <v>11947981.800408801</v>
      </c>
      <c r="F3">
        <f>'1-incineration improvement'!E69</f>
        <v>286093.81037352758</v>
      </c>
      <c r="G3">
        <f>'1-incineration improvement'!F69</f>
        <v>6276589.0024072994</v>
      </c>
      <c r="H3">
        <f>'1-incineration improvement'!G69</f>
        <v>2554061.199971403</v>
      </c>
      <c r="I3">
        <f>'1-incineration improvement'!H69</f>
        <v>25543516.001005881</v>
      </c>
      <c r="J3">
        <f>'1-incineration improvement'!I69</f>
        <v>251385.99674829096</v>
      </c>
      <c r="M3">
        <v>1</v>
      </c>
      <c r="N3">
        <f>'1-incineration improvement'!B73</f>
        <v>2.5452770268119757E-3</v>
      </c>
      <c r="O3">
        <f>'1-incineration improvement'!C73</f>
        <v>3.0171898101467439E-3</v>
      </c>
      <c r="P3">
        <f>'1-incineration improvement'!D73</f>
        <v>0.30408161499154018</v>
      </c>
      <c r="Q3">
        <f>'1-incineration improvement'!E73</f>
        <v>0.69035591817150121</v>
      </c>
      <c r="S3" t="str" cm="1">
        <f t="array" ref="S3">INDEX($M$1:$Q$14, COLUMN(A3), ROW(A3))</f>
        <v>Solid</v>
      </c>
      <c r="T3" cm="1">
        <f t="array" ref="T3">INDEX($M$1:$Q$14, COLUMN(B3), ROW(B3))</f>
        <v>2.0559816744551776E-3</v>
      </c>
      <c r="U3" cm="1">
        <f t="array" ref="U3">INDEX($M$1:$Q$14, COLUMN(C3), ROW(C3))</f>
        <v>3.0171898101467439E-3</v>
      </c>
      <c r="V3" cm="1">
        <f t="array" ref="V3">INDEX($M$1:$Q$14, COLUMN(D3), ROW(D3))</f>
        <v>3.3919521629241561E-3</v>
      </c>
      <c r="W3" cm="1">
        <f t="array" ref="W3">INDEX($M$1:$Q$14, COLUMN(E3), ROW(E3))</f>
        <v>3.8584336949282734E-3</v>
      </c>
      <c r="X3" cm="1">
        <f t="array" ref="X3">INDEX($M$1:$Q$14, COLUMN(F3), ROW(F3))</f>
        <v>2.8058993169315476E-3</v>
      </c>
      <c r="Y3" cm="1">
        <f t="array" ref="Y3">INDEX($M$1:$Q$14, COLUMN(G3), ROW(G3))</f>
        <v>2.6315744222235597E-3</v>
      </c>
      <c r="Z3" cm="1">
        <f t="array" ref="Z3">INDEX($M$1:$Q$14, COLUMN(H3), ROW(H3))</f>
        <v>0</v>
      </c>
      <c r="AA3" cm="1">
        <f t="array" ref="AA3">INDEX($M$1:$Q$14, COLUMN(I3), ROW(I3))</f>
        <v>2.4010294974042478E-3</v>
      </c>
      <c r="AB3" cm="1">
        <f t="array" ref="AB3">INDEX($M$1:$Q$14, COLUMN(J3), ROW(J3))</f>
        <v>3.2599702444021158E-3</v>
      </c>
      <c r="AC3" cm="1">
        <f t="array" ref="AC3">INDEX($M$1:$Q$14, COLUMN(K3), ROW(K3))</f>
        <v>3.6008957776641759E-3</v>
      </c>
      <c r="AD3" cm="1">
        <f t="array" ref="AD3">INDEX($M$1:$Q$14, COLUMN(L3), ROW(L3))</f>
        <v>4.0504903669750947E-3</v>
      </c>
      <c r="AE3" cm="1">
        <f t="array" ref="AE3">INDEX($M$1:$Q$14, COLUMN(M3), ROW(M3))</f>
        <v>3.104220240087485E-3</v>
      </c>
      <c r="AF3" cm="1">
        <f t="array" ref="AF3">INDEX($M$1:$Q$14, COLUMN(N3), ROW(N3))</f>
        <v>2.9001459115312192E-3</v>
      </c>
    </row>
    <row r="4" spans="1:32" x14ac:dyDescent="0.2">
      <c r="B4">
        <v>2</v>
      </c>
      <c r="C4">
        <f>'2-better separation'!B69</f>
        <v>4205472.3598437877</v>
      </c>
      <c r="D4">
        <f>'2-better separation'!C69</f>
        <v>192430.3083479596</v>
      </c>
      <c r="E4">
        <f>'2-better separation'!D69</f>
        <v>10154092.583937433</v>
      </c>
      <c r="F4">
        <f>'2-better separation'!E69</f>
        <v>283788.61579383793</v>
      </c>
      <c r="G4">
        <f>'2-better separation'!F69</f>
        <v>5387694.7560937461</v>
      </c>
      <c r="H4">
        <f>'2-better separation'!G69</f>
        <v>2542757.4276917623</v>
      </c>
      <c r="I4">
        <f>'2-better separation'!H69</f>
        <v>22766236.051708527</v>
      </c>
      <c r="J4">
        <f>'2-better separation'!I69</f>
        <v>1089843.2292449102</v>
      </c>
      <c r="M4">
        <v>2</v>
      </c>
      <c r="N4">
        <f>'2-better separation'!B73</f>
        <v>2.861405135180046E-3</v>
      </c>
      <c r="O4">
        <f>'2-better separation'!C73</f>
        <v>3.3919521629241561E-3</v>
      </c>
      <c r="P4">
        <f>'2-better separation'!D73</f>
        <v>0.34185257539250014</v>
      </c>
      <c r="Q4">
        <f>'2-better separation'!E73</f>
        <v>0.65189406730939559</v>
      </c>
      <c r="S4" t="str" cm="1">
        <f t="array" ref="S4">INDEX($M$1:$Q$14, COLUMN(A4), ROW(A4))</f>
        <v>Solvent</v>
      </c>
      <c r="T4" cm="1">
        <f t="array" ref="T4">INDEX($M$1:$Q$14, COLUMN(B4), ROW(B4))</f>
        <v>0.16779930189895298</v>
      </c>
      <c r="U4" cm="1">
        <f t="array" ref="U4">INDEX($M$1:$Q$14, COLUMN(C4), ROW(C4))</f>
        <v>0.30408161499154018</v>
      </c>
      <c r="V4" cm="1">
        <f t="array" ref="V4">INDEX($M$1:$Q$14, COLUMN(D4), ROW(D4))</f>
        <v>0.34185257539250014</v>
      </c>
      <c r="W4" cm="1">
        <f t="array" ref="W4">INDEX($M$1:$Q$14, COLUMN(E4), ROW(E4))</f>
        <v>0.3888654695130046</v>
      </c>
      <c r="X4" cm="1">
        <f t="array" ref="X4">INDEX($M$1:$Q$14, COLUMN(F4), ROW(F4))</f>
        <v>0.28278109284227221</v>
      </c>
      <c r="Y4" cm="1">
        <f t="array" ref="Y4">INDEX($M$1:$Q$14, COLUMN(G4), ROW(G4))</f>
        <v>0.25619989823930894</v>
      </c>
      <c r="Z4" cm="1">
        <f t="array" ref="Z4">INDEX($M$1:$Q$14, COLUMN(H4), ROW(H4))</f>
        <v>0</v>
      </c>
      <c r="AA4" cm="1">
        <f t="array" ref="AA4">INDEX($M$1:$Q$14, COLUMN(I4), ROW(I4))</f>
        <v>0.20477120512773603</v>
      </c>
      <c r="AB4" cm="1">
        <f t="array" ref="AB4">INDEX($M$1:$Q$14, COLUMN(J4), ROW(J4))</f>
        <v>0.33418915985179942</v>
      </c>
      <c r="AC4" cm="1">
        <f t="array" ref="AC4">INDEX($M$1:$Q$14, COLUMN(K4), ROW(K4))</f>
        <v>0.36913842195824609</v>
      </c>
      <c r="AD4" cm="1">
        <f t="array" ref="AD4">INDEX($M$1:$Q$14, COLUMN(L4), ROW(L4))</f>
        <v>0.415227740525272</v>
      </c>
      <c r="AE4" cm="1">
        <f t="array" ref="AE4">INDEX($M$1:$Q$14, COLUMN(M4), ROW(M4))</f>
        <v>0.31822268918318108</v>
      </c>
      <c r="AF4" cm="1">
        <f t="array" ref="AF4">INDEX($M$1:$Q$14, COLUMN(N4), ROW(N4))</f>
        <v>0.28786186787262713</v>
      </c>
    </row>
    <row r="5" spans="1:32" x14ac:dyDescent="0.2">
      <c r="B5">
        <v>3</v>
      </c>
      <c r="C5">
        <f>'3-Source management'!B69</f>
        <v>4162632.1191528873</v>
      </c>
      <c r="D5">
        <f>'3-Source management'!C69</f>
        <v>156819.38483690878</v>
      </c>
      <c r="E5">
        <f>'3-Source management'!D69</f>
        <v>8356341.1557861306</v>
      </c>
      <c r="F5">
        <f>'3-Source management'!E69</f>
        <v>281658.32469036325</v>
      </c>
      <c r="G5">
        <f>'3-Source management'!F69</f>
        <v>4496888.69207385</v>
      </c>
      <c r="H5">
        <f>'3-Source management'!G69</f>
        <v>2532972.453653466</v>
      </c>
      <c r="I5">
        <f>'3-Source management'!H69</f>
        <v>19987312.130193606</v>
      </c>
      <c r="J5">
        <f>'3-Source management'!I69</f>
        <v>417897.12505920231</v>
      </c>
      <c r="M5">
        <v>3</v>
      </c>
      <c r="N5">
        <f>'3-Source management'!B73</f>
        <v>3.2549332250935313E-3</v>
      </c>
      <c r="O5">
        <f>'3-Source management'!C73</f>
        <v>3.8584336949282734E-3</v>
      </c>
      <c r="P5">
        <f>'3-Source management'!D73</f>
        <v>0.3888654695130046</v>
      </c>
      <c r="Q5">
        <f>'3-Source management'!E73</f>
        <v>0.60402116356697366</v>
      </c>
      <c r="S5" t="str" cm="1">
        <f t="array" ref="S5">INDEX($M$1:$Q$14, COLUMN(A5), ROW(A5))</f>
        <v>Water</v>
      </c>
      <c r="T5" cm="1">
        <f t="array" ref="T5">INDEX($M$1:$Q$14, COLUMN(B5), ROW(B5))</f>
        <v>0.82996648573573384</v>
      </c>
      <c r="U5" cm="1">
        <f t="array" ref="U5">INDEX($M$1:$Q$14, COLUMN(C5), ROW(C5))</f>
        <v>0.69035591817150121</v>
      </c>
      <c r="V5" cm="1">
        <f t="array" ref="V5">INDEX($M$1:$Q$14, COLUMN(D5), ROW(D5))</f>
        <v>0.65189406730939559</v>
      </c>
      <c r="W5" cm="1">
        <f t="array" ref="W5">INDEX($M$1:$Q$14, COLUMN(E5), ROW(E5))</f>
        <v>0.60402116356697366</v>
      </c>
      <c r="X5" cm="1">
        <f t="array" ref="X5">INDEX($M$1:$Q$14, COLUMN(F5), ROW(F5))</f>
        <v>0.71204588521450907</v>
      </c>
      <c r="Y5" cm="1">
        <f t="array" ref="Y5">INDEX($M$1:$Q$14, COLUMN(G5), ROW(G5))</f>
        <v>0.73930472132725766</v>
      </c>
      <c r="Z5" cm="1">
        <f t="array" ref="Z5">INDEX($M$1:$Q$14, COLUMN(H5), ROW(H5))</f>
        <v>0</v>
      </c>
      <c r="AA5" cm="1">
        <f t="array" ref="AA5">INDEX($M$1:$Q$14, COLUMN(I5), ROW(I5))</f>
        <v>0.79264571075424051</v>
      </c>
      <c r="AB5" cm="1">
        <f t="array" ref="AB5">INDEX($M$1:$Q$14, COLUMN(J5), ROW(J5))</f>
        <v>0.66002461656788891</v>
      </c>
      <c r="AC5" cm="1">
        <f t="array" ref="AC5">INDEX($M$1:$Q$14, COLUMN(K5), ROW(K5))</f>
        <v>0.6244702181861338</v>
      </c>
      <c r="AD5" cm="1">
        <f t="array" ref="AD5">INDEX($M$1:$Q$14, COLUMN(L5), ROW(L5))</f>
        <v>0.57758293853389064</v>
      </c>
      <c r="AE5" cm="1">
        <f t="array" ref="AE5">INDEX($M$1:$Q$14, COLUMN(M5), ROW(M5))</f>
        <v>0.67626744734251565</v>
      </c>
      <c r="AF5" cm="1">
        <f t="array" ref="AF5">INDEX($M$1:$Q$14, COLUMN(N5), ROW(N5))</f>
        <v>0.70737366649771172</v>
      </c>
    </row>
    <row r="6" spans="1:32" x14ac:dyDescent="0.2">
      <c r="B6">
        <v>4</v>
      </c>
      <c r="C6">
        <f>'4-Cascade'!B70</f>
        <v>4127118.2697939789</v>
      </c>
      <c r="D6">
        <f>'4-Cascade'!C70</f>
        <v>243399.2563716179</v>
      </c>
      <c r="E6">
        <f>'4-Cascade'!D70</f>
        <v>12713183.20584185</v>
      </c>
      <c r="F6">
        <f>'4-Cascade'!E70</f>
        <v>277268.13753318047</v>
      </c>
      <c r="G6">
        <f>'4-Cascade'!F70</f>
        <v>6641945.5846059173</v>
      </c>
      <c r="H6">
        <f>'4-Cascade'!G70</f>
        <v>2468712.6608310379</v>
      </c>
      <c r="I6">
        <f>'4-Cascade'!H70</f>
        <v>26471627.114977583</v>
      </c>
      <c r="J6">
        <f>'4-Cascade'!I70</f>
        <v>172943.82638645172</v>
      </c>
      <c r="M6">
        <v>4</v>
      </c>
      <c r="N6">
        <f>'4-Cascade'!B77</f>
        <v>2.3671226262872648E-3</v>
      </c>
      <c r="O6">
        <f>'4-Cascade'!C77</f>
        <v>2.8058993169315476E-3</v>
      </c>
      <c r="P6">
        <f>'4-Cascade'!D77</f>
        <v>0.28278109284227221</v>
      </c>
      <c r="Q6">
        <f>'4-Cascade'!E77</f>
        <v>0.71204588521450907</v>
      </c>
    </row>
    <row r="7" spans="1:32" x14ac:dyDescent="0.2">
      <c r="B7">
        <v>5</v>
      </c>
      <c r="C7">
        <f>'5-alternativess'!B75</f>
        <v>1070400.5161927138</v>
      </c>
      <c r="D7">
        <f>'5-alternativess'!C75</f>
        <v>252517.57669082336</v>
      </c>
      <c r="E7">
        <f>'5-alternativess'!D75</f>
        <v>13188280.063496005</v>
      </c>
      <c r="F7">
        <f>'5-alternativess'!E75</f>
        <v>287668.52979624097</v>
      </c>
      <c r="G7">
        <f>'5-alternativess'!F75</f>
        <v>6891253.8058024049</v>
      </c>
      <c r="H7">
        <f>'5-alternativess'!G75</f>
        <v>2561816.5283267703</v>
      </c>
      <c r="I7">
        <f>'5-alternativess'!H75</f>
        <v>24251937.020304956</v>
      </c>
      <c r="J7">
        <f>'5-alternativess'!I75</f>
        <v>1068601.8191204891</v>
      </c>
      <c r="M7">
        <v>5</v>
      </c>
      <c r="N7">
        <f>'5-alternativess'!B82</f>
        <v>1.863806011209896E-3</v>
      </c>
      <c r="O7">
        <f>'5-alternativess'!C82</f>
        <v>2.6315744222235597E-3</v>
      </c>
      <c r="P7">
        <f>'5-alternativess'!D82</f>
        <v>0.25619989823930894</v>
      </c>
      <c r="Q7">
        <f>'5-alternativess'!E82</f>
        <v>0.73930472132725766</v>
      </c>
    </row>
    <row r="9" spans="1:32" x14ac:dyDescent="0.2">
      <c r="B9" t="s">
        <v>17</v>
      </c>
      <c r="C9">
        <f>baseline!C13</f>
        <v>30662086.994517568</v>
      </c>
      <c r="D9">
        <f>baseline!C14</f>
        <v>1697236.7367817487</v>
      </c>
      <c r="E9">
        <f>baseline!C15</f>
        <v>91286000.846661165</v>
      </c>
      <c r="F9">
        <f>baseline!C16</f>
        <v>2062446.0921097463</v>
      </c>
      <c r="G9">
        <f>baseline!C17</f>
        <v>47423398.400352627</v>
      </c>
      <c r="H9">
        <f>baseline!C18</f>
        <v>23203040.847377677</v>
      </c>
      <c r="I9">
        <f>SUM(C9:H9)</f>
        <v>196334209.91780055</v>
      </c>
      <c r="M9" t="s">
        <v>17</v>
      </c>
      <c r="N9">
        <f>baseline!M11</f>
        <v>1.8205462061931968E-4</v>
      </c>
      <c r="O9">
        <f>baseline!M12</f>
        <v>2.4010294974042478E-3</v>
      </c>
      <c r="P9">
        <f>baseline!M13</f>
        <v>0.20477120512773603</v>
      </c>
      <c r="Q9">
        <f>baseline!M14</f>
        <v>0.79264571075424051</v>
      </c>
    </row>
    <row r="10" spans="1:32" x14ac:dyDescent="0.2">
      <c r="B10">
        <v>1</v>
      </c>
      <c r="C10">
        <f>'1-incineration improvement'!J69</f>
        <v>30455740.843337491</v>
      </c>
      <c r="D10">
        <f>'1-incineration improvement'!K69</f>
        <v>1515866.1393883647</v>
      </c>
      <c r="E10">
        <f>'1-incineration improvement'!L69</f>
        <v>81879330.675989836</v>
      </c>
      <c r="F10">
        <f>'1-incineration improvement'!M69</f>
        <v>2052407.7723735822</v>
      </c>
      <c r="G10">
        <f>'1-incineration improvement'!N69</f>
        <v>42807326.080786705</v>
      </c>
      <c r="H10">
        <f>'1-incineration improvement'!O69</f>
        <v>23149460.358357657</v>
      </c>
      <c r="I10">
        <f>'1-incineration improvement'!P69</f>
        <v>181860131.87023365</v>
      </c>
      <c r="J10">
        <f>'1-incineration improvement'!Q69</f>
        <v>1804661.2582681477</v>
      </c>
      <c r="M10">
        <v>1</v>
      </c>
      <c r="N10">
        <f>'1-incineration improvement'!J73</f>
        <v>2.526253335909532E-3</v>
      </c>
      <c r="O10">
        <f>'1-incineration improvement'!K73</f>
        <v>3.2599702444021158E-3</v>
      </c>
      <c r="P10">
        <f>'1-incineration improvement'!L73</f>
        <v>0.33418915985179942</v>
      </c>
      <c r="Q10">
        <f>'1-incineration improvement'!M73</f>
        <v>0.66002461656788891</v>
      </c>
    </row>
    <row r="11" spans="1:32" x14ac:dyDescent="0.2">
      <c r="B11">
        <v>2</v>
      </c>
      <c r="C11">
        <f>'2-better separation'!J69</f>
        <v>30151934.621016268</v>
      </c>
      <c r="D11">
        <f>'2-better separation'!K69</f>
        <v>1302732.2819494796</v>
      </c>
      <c r="E11">
        <f>'2-better separation'!L69</f>
        <v>70819581.019871846</v>
      </c>
      <c r="F11">
        <f>'2-better separation'!M69</f>
        <v>2036409.9245898589</v>
      </c>
      <c r="G11">
        <f>'2-better separation'!N69</f>
        <v>37373775.831362881</v>
      </c>
      <c r="H11">
        <f>'2-better separation'!O69</f>
        <v>23038112.724789083</v>
      </c>
      <c r="I11">
        <f>'2-better separation'!P69</f>
        <v>164722546.40357941</v>
      </c>
      <c r="J11">
        <f>'2-better separation'!Q69</f>
        <v>7109292.3881325722</v>
      </c>
      <c r="M11">
        <v>2</v>
      </c>
      <c r="N11">
        <f>'2-better separation'!J73</f>
        <v>2.7904640779558387E-3</v>
      </c>
      <c r="O11">
        <f>'2-better separation'!K73</f>
        <v>3.6008957776641759E-3</v>
      </c>
      <c r="P11">
        <f>'2-better separation'!L73</f>
        <v>0.36913842195824609</v>
      </c>
      <c r="Q11">
        <f>'2-better separation'!M73</f>
        <v>0.6244702181861338</v>
      </c>
    </row>
    <row r="12" spans="1:32" x14ac:dyDescent="0.2">
      <c r="B12">
        <v>3</v>
      </c>
      <c r="C12">
        <f>'3-Source management'!J69</f>
        <v>29917292.952824403</v>
      </c>
      <c r="D12">
        <f>'3-Source management'!K69</f>
        <v>1073642.646929838</v>
      </c>
      <c r="E12">
        <f>'3-Source management'!L69</f>
        <v>58942675.603299066</v>
      </c>
      <c r="F12">
        <f>'3-Source management'!M69</f>
        <v>2025511.5176631254</v>
      </c>
      <c r="G12">
        <f>'3-Source management'!N69</f>
        <v>31546959.950210236</v>
      </c>
      <c r="H12">
        <f>'3-Source management'!O69</f>
        <v>22992061.845184773</v>
      </c>
      <c r="I12">
        <f>'3-Source management'!P69</f>
        <v>146498144.51611143</v>
      </c>
      <c r="J12">
        <f>'3-Source management'!Q69</f>
        <v>2945191.9315752983</v>
      </c>
      <c r="M12">
        <v>3</v>
      </c>
      <c r="N12">
        <f>'3-Source management'!J73</f>
        <v>3.1388305738621397E-3</v>
      </c>
      <c r="O12">
        <f>'3-Source management'!K73</f>
        <v>4.0504903669750947E-3</v>
      </c>
      <c r="P12">
        <f>'3-Source management'!L73</f>
        <v>0.415227740525272</v>
      </c>
      <c r="Q12">
        <f>'3-Source management'!M73</f>
        <v>0.57758293853389064</v>
      </c>
    </row>
    <row r="13" spans="1:32" x14ac:dyDescent="0.2">
      <c r="B13">
        <v>4</v>
      </c>
      <c r="C13">
        <f>'4-Cascade'!J70</f>
        <v>27371487.097633839</v>
      </c>
      <c r="D13">
        <f>'4-Cascade'!K70</f>
        <v>1457701.9492929701</v>
      </c>
      <c r="E13">
        <f>'4-Cascade'!L70</f>
        <v>78516608.827409476</v>
      </c>
      <c r="F13">
        <f>'4-Cascade'!M70</f>
        <v>1842405.2714817724</v>
      </c>
      <c r="G13">
        <f>'4-Cascade'!N70</f>
        <v>40883106.798981458</v>
      </c>
      <c r="H13">
        <f>'4-Cascade'!O70</f>
        <v>20745718.694238782</v>
      </c>
      <c r="I13">
        <f>'4-Cascade'!P70</f>
        <v>170817028.63903832</v>
      </c>
      <c r="J13">
        <f>'4-Cascade'!Q70</f>
        <v>7089010.5995667577</v>
      </c>
      <c r="M13">
        <v>4</v>
      </c>
      <c r="N13">
        <f>'4-Cascade'!J77</f>
        <v>2.4056432342157157E-3</v>
      </c>
      <c r="O13">
        <f>'4-Cascade'!K77</f>
        <v>3.104220240087485E-3</v>
      </c>
      <c r="P13">
        <f>'4-Cascade'!L77</f>
        <v>0.31822268918318108</v>
      </c>
      <c r="Q13">
        <f>'4-Cascade'!M77</f>
        <v>0.67626744734251565</v>
      </c>
    </row>
    <row r="14" spans="1:32" x14ac:dyDescent="0.2">
      <c r="B14">
        <v>5</v>
      </c>
      <c r="C14">
        <f>'5-alternativess'!J75</f>
        <v>7652940.7079234254</v>
      </c>
      <c r="D14">
        <f>'5-alternativess'!K75</f>
        <v>1629204.8236880302</v>
      </c>
      <c r="E14">
        <f>'5-alternativess'!L75</f>
        <v>87757469.82561408</v>
      </c>
      <c r="F14">
        <f>'5-alternativess'!M75</f>
        <v>2059225.381738601</v>
      </c>
      <c r="G14">
        <f>'5-alternativess'!N75</f>
        <v>45693120.859156936</v>
      </c>
      <c r="H14">
        <f>'5-alternativess'!O75</f>
        <v>23189671.057890501</v>
      </c>
      <c r="I14">
        <f>'5-alternativess'!P75</f>
        <v>167981632.65601158</v>
      </c>
      <c r="J14">
        <f>'5-alternativess'!Q75</f>
        <v>7752767.3349700272</v>
      </c>
      <c r="M14">
        <v>5</v>
      </c>
      <c r="N14">
        <f>'5-alternativess'!J82</f>
        <v>1.8643197181299558E-3</v>
      </c>
      <c r="O14">
        <f>'5-alternativess'!K82</f>
        <v>2.9001459115312192E-3</v>
      </c>
      <c r="P14">
        <f>'5-alternativess'!L82</f>
        <v>0.28786186787262713</v>
      </c>
      <c r="Q14">
        <f>'5-alternativess'!M82</f>
        <v>0.70737366649771172</v>
      </c>
    </row>
    <row r="17" spans="1:32" x14ac:dyDescent="0.2">
      <c r="B17" t="s">
        <v>10</v>
      </c>
      <c r="C17">
        <f>C2/$I$2</f>
        <v>0.15562721944102131</v>
      </c>
      <c r="D17">
        <f t="shared" ref="D17:J17" si="0">D2/$I$2</f>
        <v>9.2021261998967048E-3</v>
      </c>
      <c r="E17">
        <f t="shared" si="0"/>
        <v>0.48054626924069976</v>
      </c>
      <c r="F17">
        <f t="shared" si="0"/>
        <v>1.0454810159454916E-2</v>
      </c>
      <c r="G17">
        <f t="shared" si="0"/>
        <v>0.25107153853341979</v>
      </c>
      <c r="H17">
        <f t="shared" si="0"/>
        <v>9.3098036425507361E-2</v>
      </c>
      <c r="I17">
        <f t="shared" si="0"/>
        <v>1</v>
      </c>
      <c r="J17">
        <f t="shared" si="0"/>
        <v>0</v>
      </c>
    </row>
    <row r="18" spans="1:32" x14ac:dyDescent="0.2">
      <c r="B18" t="s">
        <v>18</v>
      </c>
      <c r="C18">
        <f>C3/$I$2</f>
        <v>0.15414741259352316</v>
      </c>
      <c r="D18">
        <f t="shared" ref="D18:J18" si="1">D3/$I$2</f>
        <v>8.2662487508358903E-3</v>
      </c>
      <c r="E18">
        <f t="shared" si="1"/>
        <v>0.43326777734455957</v>
      </c>
      <c r="F18">
        <f t="shared" si="1"/>
        <v>1.0374574669031808E-2</v>
      </c>
      <c r="G18">
        <f t="shared" si="1"/>
        <v>0.22760695586975796</v>
      </c>
      <c r="H18">
        <f t="shared" si="1"/>
        <v>9.2617517987491946E-2</v>
      </c>
      <c r="I18">
        <f t="shared" si="1"/>
        <v>0.9262804872152004</v>
      </c>
      <c r="J18">
        <f t="shared" si="1"/>
        <v>9.1159707041863838E-3</v>
      </c>
    </row>
    <row r="19" spans="1:32" x14ac:dyDescent="0.2">
      <c r="B19" t="s">
        <v>19</v>
      </c>
      <c r="C19">
        <f>C4/$I$2</f>
        <v>0.15250238010666828</v>
      </c>
      <c r="D19">
        <f t="shared" ref="D19:J19" si="2">D4/$I$2</f>
        <v>6.9780698853086692E-3</v>
      </c>
      <c r="E19">
        <f t="shared" si="2"/>
        <v>0.36821625595738022</v>
      </c>
      <c r="F19">
        <f t="shared" si="2"/>
        <v>1.0290981761997527E-2</v>
      </c>
      <c r="G19">
        <f t="shared" si="2"/>
        <v>0.19537312417933275</v>
      </c>
      <c r="H19">
        <f t="shared" si="2"/>
        <v>9.2207611078273063E-2</v>
      </c>
      <c r="I19">
        <f t="shared" si="2"/>
        <v>0.82556842296896049</v>
      </c>
      <c r="J19">
        <f t="shared" si="2"/>
        <v>3.9520812926983485E-2</v>
      </c>
    </row>
    <row r="20" spans="1:32" x14ac:dyDescent="0.2">
      <c r="B20" t="s">
        <v>20</v>
      </c>
      <c r="C20">
        <f t="shared" ref="C20:J20" si="3">C5/$I$2</f>
        <v>0.15094887122331718</v>
      </c>
      <c r="D20">
        <f t="shared" si="3"/>
        <v>5.6867165892823725E-3</v>
      </c>
      <c r="E20">
        <f t="shared" si="3"/>
        <v>0.30302467979792608</v>
      </c>
      <c r="F20">
        <f t="shared" si="3"/>
        <v>1.0213731352102545E-2</v>
      </c>
      <c r="G20">
        <f t="shared" si="3"/>
        <v>0.16306996454531406</v>
      </c>
      <c r="H20">
        <f t="shared" si="3"/>
        <v>9.1852780109849444E-2</v>
      </c>
      <c r="I20">
        <f t="shared" si="3"/>
        <v>0.72479674361779167</v>
      </c>
      <c r="J20">
        <f t="shared" si="3"/>
        <v>1.5154137456661259E-2</v>
      </c>
    </row>
    <row r="21" spans="1:32" x14ac:dyDescent="0.2">
      <c r="B21" t="s">
        <v>21</v>
      </c>
      <c r="C21">
        <f t="shared" ref="C21:J21" si="4">C6/$I$2</f>
        <v>0.14966103811194123</v>
      </c>
      <c r="D21">
        <f t="shared" si="4"/>
        <v>8.8263487990784609E-3</v>
      </c>
      <c r="E21">
        <f t="shared" si="4"/>
        <v>0.46101615507824234</v>
      </c>
      <c r="F21">
        <f t="shared" si="4"/>
        <v>1.0054530688467943E-2</v>
      </c>
      <c r="G21">
        <f t="shared" si="4"/>
        <v>0.24085582391724561</v>
      </c>
      <c r="H21">
        <f t="shared" si="4"/>
        <v>8.9522537389874535E-2</v>
      </c>
      <c r="I21">
        <f t="shared" si="4"/>
        <v>0.95993643398485018</v>
      </c>
      <c r="J21">
        <f t="shared" si="4"/>
        <v>6.2714346670127638E-3</v>
      </c>
    </row>
    <row r="22" spans="1:32" x14ac:dyDescent="0.2">
      <c r="B22" t="s">
        <v>22</v>
      </c>
      <c r="C22">
        <f t="shared" ref="C22:J22" si="5">C7/$I$2</f>
        <v>3.8815764893734471E-2</v>
      </c>
      <c r="D22">
        <f t="shared" si="5"/>
        <v>9.1570050089567444E-3</v>
      </c>
      <c r="E22">
        <f t="shared" si="5"/>
        <v>0.47824451740569057</v>
      </c>
      <c r="F22">
        <f t="shared" si="5"/>
        <v>1.0431678470796638E-2</v>
      </c>
      <c r="G22">
        <f t="shared" si="5"/>
        <v>0.24989644857469462</v>
      </c>
      <c r="H22">
        <f t="shared" si="5"/>
        <v>9.2898748235013096E-2</v>
      </c>
      <c r="I22">
        <f t="shared" si="5"/>
        <v>0.87944416258888614</v>
      </c>
      <c r="J22">
        <f t="shared" si="5"/>
        <v>3.8750539025833308E-2</v>
      </c>
    </row>
    <row r="24" spans="1:32" x14ac:dyDescent="0.2">
      <c r="B24" t="s">
        <v>17</v>
      </c>
      <c r="C24">
        <f>C9/$I$9</f>
        <v>0.15617292069148264</v>
      </c>
      <c r="D24">
        <f t="shared" ref="D24:J24" si="6">D9/$I$9</f>
        <v>8.6446306911685568E-3</v>
      </c>
      <c r="E24">
        <f t="shared" si="6"/>
        <v>0.46495208799770543</v>
      </c>
      <c r="F24">
        <f t="shared" si="6"/>
        <v>1.0504771903853296E-2</v>
      </c>
      <c r="G24">
        <f t="shared" si="6"/>
        <v>0.24154424448091563</v>
      </c>
      <c r="H24">
        <f t="shared" si="6"/>
        <v>0.11818134423487439</v>
      </c>
      <c r="I24">
        <f t="shared" si="6"/>
        <v>1</v>
      </c>
      <c r="J24">
        <f t="shared" si="6"/>
        <v>0</v>
      </c>
    </row>
    <row r="25" spans="1:32" x14ac:dyDescent="0.2">
      <c r="B25" t="s">
        <v>23</v>
      </c>
      <c r="C25">
        <f t="shared" ref="C25:J25" si="7">C10/$I$9</f>
        <v>0.15512192631171323</v>
      </c>
      <c r="D25">
        <f t="shared" si="7"/>
        <v>7.7208456948130132E-3</v>
      </c>
      <c r="E25">
        <f t="shared" si="7"/>
        <v>0.41704056929391137</v>
      </c>
      <c r="F25">
        <f t="shared" si="7"/>
        <v>1.045364316912914E-2</v>
      </c>
      <c r="G25">
        <f t="shared" si="7"/>
        <v>0.21803294544903251</v>
      </c>
      <c r="H25">
        <f t="shared" si="7"/>
        <v>0.11790843973676145</v>
      </c>
      <c r="I25">
        <f t="shared" si="7"/>
        <v>0.92627836965536081</v>
      </c>
      <c r="J25">
        <f t="shared" si="7"/>
        <v>9.19178200795321E-3</v>
      </c>
    </row>
    <row r="26" spans="1:32" x14ac:dyDescent="0.2">
      <c r="B26" t="s">
        <v>24</v>
      </c>
      <c r="C26">
        <f t="shared" ref="C26:J26" si="8">C11/$I$9</f>
        <v>0.1535745331067877</v>
      </c>
      <c r="D26">
        <f t="shared" si="8"/>
        <v>6.6352791115460519E-3</v>
      </c>
      <c r="E26">
        <f t="shared" si="8"/>
        <v>0.36070932849411191</v>
      </c>
      <c r="F26">
        <f t="shared" si="8"/>
        <v>1.0372160437258717E-2</v>
      </c>
      <c r="G26">
        <f t="shared" si="8"/>
        <v>0.19035794040687151</v>
      </c>
      <c r="H26">
        <f t="shared" si="8"/>
        <v>0.1173413066140357</v>
      </c>
      <c r="I26">
        <f t="shared" si="8"/>
        <v>0.83899054817061158</v>
      </c>
      <c r="J26">
        <f t="shared" si="8"/>
        <v>3.6210156096123172E-2</v>
      </c>
    </row>
    <row r="27" spans="1:32" x14ac:dyDescent="0.2">
      <c r="B27" t="s">
        <v>25</v>
      </c>
      <c r="C27">
        <f t="shared" ref="C27:J27" si="9">C12/$I$9</f>
        <v>0.15237941958943327</v>
      </c>
      <c r="D27">
        <f t="shared" si="9"/>
        <v>5.4684440749237801E-3</v>
      </c>
      <c r="E27">
        <f t="shared" si="9"/>
        <v>0.30021602260745417</v>
      </c>
      <c r="F27">
        <f t="shared" si="9"/>
        <v>1.0316650972396245E-2</v>
      </c>
      <c r="G27">
        <f t="shared" si="9"/>
        <v>0.16067989355201029</v>
      </c>
      <c r="H27">
        <f t="shared" si="9"/>
        <v>0.11710675309621733</v>
      </c>
      <c r="I27">
        <f t="shared" si="9"/>
        <v>0.74616718389243508</v>
      </c>
      <c r="J27">
        <f t="shared" si="9"/>
        <v>1.5000910604465543E-2</v>
      </c>
    </row>
    <row r="28" spans="1:32" x14ac:dyDescent="0.2">
      <c r="B28" t="s">
        <v>26</v>
      </c>
      <c r="C28">
        <f t="shared" ref="C28:J28" si="10">C13/$I$9</f>
        <v>0.13941272440036553</v>
      </c>
      <c r="D28">
        <f t="shared" si="10"/>
        <v>7.4245947759347076E-3</v>
      </c>
      <c r="E28">
        <f t="shared" si="10"/>
        <v>0.3999130302369725</v>
      </c>
      <c r="F28">
        <f t="shared" si="10"/>
        <v>9.3840256991032499E-3</v>
      </c>
      <c r="G28">
        <f t="shared" si="10"/>
        <v>0.20823221188043609</v>
      </c>
      <c r="H28">
        <f t="shared" si="10"/>
        <v>0.10566532802879545</v>
      </c>
      <c r="I28">
        <f t="shared" si="10"/>
        <v>0.8700319150216077</v>
      </c>
      <c r="J28">
        <f t="shared" si="10"/>
        <v>3.6106853729335919E-2</v>
      </c>
    </row>
    <row r="29" spans="1:32" x14ac:dyDescent="0.2">
      <c r="B29" t="s">
        <v>27</v>
      </c>
      <c r="C29">
        <f t="shared" ref="C29:J29" si="11">C14/$I$9</f>
        <v>3.8979150455376525E-2</v>
      </c>
      <c r="D29">
        <f t="shared" si="11"/>
        <v>8.2981199474616834E-3</v>
      </c>
      <c r="E29">
        <f t="shared" si="11"/>
        <v>0.44698002381936186</v>
      </c>
      <c r="F29">
        <f t="shared" si="11"/>
        <v>1.0488367679788148E-2</v>
      </c>
      <c r="G29">
        <f t="shared" si="11"/>
        <v>0.23273132521473117</v>
      </c>
      <c r="H29">
        <f t="shared" si="11"/>
        <v>0.11811324713914781</v>
      </c>
      <c r="I29">
        <f t="shared" si="11"/>
        <v>0.85559023425586722</v>
      </c>
      <c r="J29">
        <f t="shared" si="11"/>
        <v>3.9487602991938528E-2</v>
      </c>
    </row>
    <row r="32" spans="1:32" x14ac:dyDescent="0.2">
      <c r="A32" t="s">
        <v>33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J32" t="s">
        <v>0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S32" t="str" cm="1">
        <f t="array" ref="S32">INDEX($M$32:$Q$45, COLUMN(A1), ROW(A1))</f>
        <v>share cc</v>
      </c>
      <c r="T32" t="str" cm="1">
        <f t="array" ref="T32">INDEX($M$32:$Q$45, COLUMN(B1), ROW(B1))</f>
        <v>2025 Basic</v>
      </c>
      <c r="U32" cm="1">
        <f t="array" ref="U32">INDEX($M$32:$Q$45, COLUMN(C1), ROW(C1))</f>
        <v>1</v>
      </c>
      <c r="V32" cm="1">
        <f t="array" ref="V32">INDEX($M$32:$Q$45, COLUMN(D1), ROW(D1))</f>
        <v>2</v>
      </c>
      <c r="W32" cm="1">
        <f t="array" ref="W32">INDEX($M$32:$Q$45, COLUMN(E1), ROW(E1))</f>
        <v>3</v>
      </c>
      <c r="X32" cm="1">
        <f t="array" ref="X32">INDEX($M$32:$Q$45, COLUMN(F1), ROW(F1))</f>
        <v>4</v>
      </c>
      <c r="Y32" cm="1">
        <f t="array" ref="Y32">INDEX($M$32:$Q$45, COLUMN(G1), ROW(G1))</f>
        <v>5</v>
      </c>
      <c r="Z32" cm="1">
        <f t="array" ref="Z32">INDEX($M$32:$Q$45, COLUMN(H1), ROW(H1))</f>
        <v>0</v>
      </c>
      <c r="AA32" t="str" cm="1">
        <f t="array" ref="AA32">INDEX($M$32:$Q$45, COLUMN(I1), ROW(I1))</f>
        <v>2030 Basic</v>
      </c>
      <c r="AB32" cm="1">
        <f t="array" ref="AB32">INDEX($M$32:$Q$45, COLUMN(J1), ROW(J1))</f>
        <v>1</v>
      </c>
      <c r="AC32" cm="1">
        <f t="array" ref="AC32">INDEX($M$32:$Q$45, COLUMN(K1), ROW(K1))</f>
        <v>2</v>
      </c>
      <c r="AD32" cm="1">
        <f t="array" ref="AD32">INDEX($M$32:$Q$45, COLUMN(L1), ROW(L1))</f>
        <v>3</v>
      </c>
      <c r="AE32" cm="1">
        <f t="array" ref="AE32">INDEX($M$32:$Q$45, COLUMN(M1), ROW(M1))</f>
        <v>4</v>
      </c>
      <c r="AF32" cm="1">
        <f t="array" ref="AF32">INDEX($M$32:$Q$45, COLUMN(N1), ROW(N1))</f>
        <v>5</v>
      </c>
    </row>
    <row r="33" spans="2:32" x14ac:dyDescent="0.2">
      <c r="B33" t="s">
        <v>10</v>
      </c>
      <c r="C33">
        <f>baseline!D5</f>
        <v>0.24826855991677937</v>
      </c>
      <c r="D33">
        <f>baseline!D6</f>
        <v>2.8821129273856824E-2</v>
      </c>
      <c r="E33">
        <f>baseline!D7</f>
        <v>1.4784421619241437</v>
      </c>
      <c r="F33">
        <f>baseline!D8</f>
        <v>1.6359842666604708E-2</v>
      </c>
      <c r="G33">
        <f>baseline!D9</f>
        <v>0.75131606033422338</v>
      </c>
      <c r="H33">
        <f>baseline!D10</f>
        <v>0.14077843044966593</v>
      </c>
      <c r="I33">
        <f>SUM(C33:H33)</f>
        <v>2.6639861845652737</v>
      </c>
      <c r="M33" t="s">
        <v>10</v>
      </c>
      <c r="N33">
        <f>baseline!Q5</f>
        <v>1.4056137064138476E-4</v>
      </c>
      <c r="O33">
        <f>baseline!Q6</f>
        <v>1.6214119795940802E-3</v>
      </c>
      <c r="P33">
        <f>baseline!Q7</f>
        <v>8.5361998233968742E-2</v>
      </c>
      <c r="Q33">
        <f>baseline!Q8</f>
        <v>0.91287602841579574</v>
      </c>
      <c r="S33" t="str" cm="1">
        <f t="array" ref="S33">INDEX($M$32:$Q$45, COLUMN(A2), ROW(A2))</f>
        <v>Gas</v>
      </c>
      <c r="T33" cm="1">
        <f t="array" ref="T33">INDEX($M$32:$Q$45, COLUMN(B2), ROW(B2))</f>
        <v>1.4056137064138476E-4</v>
      </c>
      <c r="U33" cm="1">
        <f t="array" ref="U33">INDEX($M$32:$Q$45, COLUMN(C2), ROW(C2))</f>
        <v>2.093984398103205E-3</v>
      </c>
      <c r="V33" cm="1">
        <f t="array" ref="V33">INDEX($M$32:$Q$45, COLUMN(D2), ROW(D2))</f>
        <v>2.6357136695051705E-3</v>
      </c>
      <c r="W33" cm="1">
        <f t="array" ref="W33">INDEX($M$32:$Q$45, COLUMN(E2), ROW(E2))</f>
        <v>3.2153376243540884E-3</v>
      </c>
      <c r="X33" cm="1">
        <f t="array" ref="X33">INDEX($M$32:$Q$45, COLUMN(F2), ROW(F2))</f>
        <v>2.0049167180283644E-3</v>
      </c>
      <c r="Y33" cm="1">
        <f t="array" ref="Y33">INDEX($M$32:$Q$45, COLUMN(G2), ROW(G2))</f>
        <v>1.5584609904615004E-3</v>
      </c>
      <c r="Z33" cm="1">
        <f t="array" ref="Z33">INDEX($M$32:$Q$45, COLUMN(H2), ROW(H2))</f>
        <v>0</v>
      </c>
      <c r="AA33" cm="1">
        <f t="array" ref="AA33">INDEX($M$32:$Q$45, COLUMN(I2), ROW(I2))</f>
        <v>1.5229379001036514E-4</v>
      </c>
      <c r="AB33" cm="1">
        <f t="array" ref="AB33">INDEX($M$32:$Q$45, COLUMN(J2), ROW(J2))</f>
        <v>2.1518586847750899E-3</v>
      </c>
      <c r="AC33" cm="1">
        <f t="array" ref="AC33">INDEX($M$32:$Q$45, COLUMN(K2), ROW(K2))</f>
        <v>2.6659338368254281E-3</v>
      </c>
      <c r="AD33" cm="1">
        <f t="array" ref="AD33">INDEX($M$32:$Q$45, COLUMN(L2), ROW(L2))</f>
        <v>3.2087625504360453E-3</v>
      </c>
      <c r="AE33" cm="1">
        <f t="array" ref="AE33">INDEX($M$32:$Q$45, COLUMN(M2), ROW(M2))</f>
        <v>2.1598970826262722E-3</v>
      </c>
      <c r="AF33" cm="1">
        <f t="array" ref="AF33">INDEX($M$32:$Q$45, COLUMN(N2), ROW(N2))</f>
        <v>1.6305659563626423E-3</v>
      </c>
    </row>
    <row r="34" spans="2:32" x14ac:dyDescent="0.2">
      <c r="B34">
        <v>1</v>
      </c>
      <c r="C34">
        <f>'1-incineration improvement'!B70</f>
        <v>0.24579662189948284</v>
      </c>
      <c r="D34">
        <f>'1-incineration improvement'!C70</f>
        <v>2.7209108425789386E-2</v>
      </c>
      <c r="E34">
        <f>'1-incineration improvement'!D70</f>
        <v>1.3970180798197278</v>
      </c>
      <c r="F34">
        <f>'1-incineration improvement'!E70</f>
        <v>1.6226911636349338E-2</v>
      </c>
      <c r="G34">
        <f>'1-incineration improvement'!F70</f>
        <v>0.71091019080308582</v>
      </c>
      <c r="H34">
        <f>'1-incineration improvement'!G70</f>
        <v>0.1400016087846771</v>
      </c>
      <c r="I34">
        <f>'1-incineration improvement'!H70</f>
        <v>2.5371625213691118</v>
      </c>
      <c r="J34">
        <f>'1-incineration improvement'!I70</f>
        <v>1.4263075412573212E-2</v>
      </c>
      <c r="M34">
        <v>1</v>
      </c>
      <c r="N34">
        <f>'1-incineration improvement'!B74</f>
        <v>2.093984398103205E-3</v>
      </c>
      <c r="O34">
        <f>'1-incineration improvement'!C74</f>
        <v>2.4821912888191733E-3</v>
      </c>
      <c r="P34">
        <f>'1-incineration improvement'!D74</f>
        <v>0.16137319050134186</v>
      </c>
      <c r="Q34">
        <f>'1-incineration improvement'!E74</f>
        <v>0.83405063381173572</v>
      </c>
      <c r="S34" t="str" cm="1">
        <f t="array" ref="S34">INDEX($M$32:$Q$45, COLUMN(A3), ROW(A3))</f>
        <v>Solid</v>
      </c>
      <c r="T34" cm="1">
        <f t="array" ref="T34">INDEX($M$32:$Q$45, COLUMN(B3), ROW(B3))</f>
        <v>1.6214119795940802E-3</v>
      </c>
      <c r="U34" cm="1">
        <f t="array" ref="U34">INDEX($M$32:$Q$45, COLUMN(C3), ROW(C3))</f>
        <v>2.4821912888191733E-3</v>
      </c>
      <c r="V34" cm="1">
        <f t="array" ref="V34">INDEX($M$32:$Q$45, COLUMN(D3), ROW(D3))</f>
        <v>3.1243728439718753E-3</v>
      </c>
      <c r="W34" cm="1">
        <f t="array" ref="W34">INDEX($M$32:$Q$45, COLUMN(E3), ROW(E3))</f>
        <v>3.8114459298836034E-3</v>
      </c>
      <c r="X34" cm="1">
        <f t="array" ref="X34">INDEX($M$32:$Q$45, COLUMN(F3), ROW(F3))</f>
        <v>2.3765222620844555E-3</v>
      </c>
      <c r="Y34" cm="1">
        <f t="array" ref="Y34">INDEX($M$32:$Q$45, COLUMN(G3), ROW(G3))</f>
        <v>2.1932755049767221E-3</v>
      </c>
      <c r="Z34" cm="1">
        <f t="array" ref="Z34">INDEX($M$32:$Q$45, COLUMN(H3), ROW(H3))</f>
        <v>0</v>
      </c>
      <c r="AA34" cm="1">
        <f t="array" ref="AA34">INDEX($M$32:$Q$45, COLUMN(I3), ROW(I3))</f>
        <v>2.0084257013855433E-3</v>
      </c>
      <c r="AB34" cm="1">
        <f t="array" ref="AB34">INDEX($M$32:$Q$45, COLUMN(J3), ROW(J3))</f>
        <v>2.7767454595128888E-3</v>
      </c>
      <c r="AC34" cm="1">
        <f t="array" ref="AC34">INDEX($M$32:$Q$45, COLUMN(K3), ROW(K3))</f>
        <v>3.4400840883328431E-3</v>
      </c>
      <c r="AD34" cm="1">
        <f t="array" ref="AD34">INDEX($M$32:$Q$45, COLUMN(L3), ROW(L3))</f>
        <v>4.1405973094706967E-3</v>
      </c>
      <c r="AE34" cm="1">
        <f t="array" ref="AE34">INDEX($M$32:$Q$45, COLUMN(M3), ROW(M3))</f>
        <v>2.7870188117198689E-3</v>
      </c>
      <c r="AF34" cm="1">
        <f t="array" ref="AF34">INDEX($M$32:$Q$45, COLUMN(N3), ROW(N3))</f>
        <v>2.5335399963584441E-3</v>
      </c>
    </row>
    <row r="35" spans="2:32" x14ac:dyDescent="0.2">
      <c r="B35">
        <v>2</v>
      </c>
      <c r="C35">
        <f>'2-better separation'!B70</f>
        <v>0.23752688461234839</v>
      </c>
      <c r="D35">
        <f>'2-better separation'!C70</f>
        <v>2.0661408290601334E-2</v>
      </c>
      <c r="E35">
        <f>'2-better separation'!D70</f>
        <v>1.0663879753848717</v>
      </c>
      <c r="F35">
        <f>'2-better separation'!E70</f>
        <v>1.5808306971422624E-2</v>
      </c>
      <c r="G35">
        <f>'2-better separation'!F70</f>
        <v>0.54707740623224244</v>
      </c>
      <c r="H35">
        <f>'2-better separation'!G70</f>
        <v>0.1379667361328662</v>
      </c>
      <c r="I35">
        <f>'2-better separation'!H70</f>
        <v>2.0254287176243526</v>
      </c>
      <c r="J35">
        <f>'2-better separation'!I70</f>
        <v>0.14442489014299031</v>
      </c>
      <c r="M35">
        <v>2</v>
      </c>
      <c r="N35">
        <f>'2-better separation'!B74</f>
        <v>2.6357136695051705E-3</v>
      </c>
      <c r="O35">
        <f>'2-better separation'!C74</f>
        <v>3.1243728439718753E-3</v>
      </c>
      <c r="P35">
        <f>'2-better separation'!D74</f>
        <v>0.20312339615435787</v>
      </c>
      <c r="Q35">
        <f>'2-better separation'!E74</f>
        <v>0.79111651733216504</v>
      </c>
      <c r="S35" t="str" cm="1">
        <f t="array" ref="S35">INDEX($M$32:$Q$45, COLUMN(A4), ROW(A4))</f>
        <v>Solvent</v>
      </c>
      <c r="T35" cm="1">
        <f t="array" ref="T35">INDEX($M$32:$Q$45, COLUMN(B4), ROW(B4))</f>
        <v>8.5361998233968742E-2</v>
      </c>
      <c r="U35" cm="1">
        <f t="array" ref="U35">INDEX($M$32:$Q$45, COLUMN(C4), ROW(C4))</f>
        <v>0.16137319050134186</v>
      </c>
      <c r="V35" cm="1">
        <f t="array" ref="V35">INDEX($M$32:$Q$45, COLUMN(D4), ROW(D4))</f>
        <v>0.20312339615435787</v>
      </c>
      <c r="W35" cm="1">
        <f t="array" ref="W35">INDEX($M$32:$Q$45, COLUMN(E4), ROW(E4))</f>
        <v>0.24779147801516027</v>
      </c>
      <c r="X35" cm="1">
        <f t="array" ref="X35">INDEX($M$32:$Q$45, COLUMN(F4), ROW(F4))</f>
        <v>0.15450142751473689</v>
      </c>
      <c r="Y35" cm="1">
        <f t="array" ref="Y35">INDEX($M$32:$Q$45, COLUMN(G4), ROW(G4))</f>
        <v>0.13782360857838877</v>
      </c>
      <c r="Z35" cm="1">
        <f t="array" ref="Z35">INDEX($M$32:$Q$45, COLUMN(H4), ROW(H4))</f>
        <v>0</v>
      </c>
      <c r="AA35" cm="1">
        <f t="array" ref="AA35">INDEX($M$32:$Q$45, COLUMN(I4), ROW(I4))</f>
        <v>0.10807117299011278</v>
      </c>
      <c r="AB35" cm="1">
        <f t="array" ref="AB35">INDEX($M$32:$Q$45, COLUMN(J4), ROW(J4))</f>
        <v>0.17960017023274671</v>
      </c>
      <c r="AC35" cm="1">
        <f t="array" ref="AC35">INDEX($M$32:$Q$45, COLUMN(K4), ROW(K4))</f>
        <v>0.22250512791928195</v>
      </c>
      <c r="AD35" cm="1">
        <f t="array" ref="AD35">INDEX($M$32:$Q$45, COLUMN(L4), ROW(L4))</f>
        <v>0.26781402979526842</v>
      </c>
      <c r="AE35" cm="1">
        <f t="array" ref="AE35">INDEX($M$32:$Q$45, COLUMN(M4), ROW(M4))</f>
        <v>0.1802653632442498</v>
      </c>
      <c r="AF35" cm="1">
        <f t="array" ref="AF35">INDEX($M$32:$Q$45, COLUMN(N4), ROW(N4))</f>
        <v>0.15869438694352939</v>
      </c>
    </row>
    <row r="36" spans="2:32" x14ac:dyDescent="0.2">
      <c r="B36">
        <v>3</v>
      </c>
      <c r="C36">
        <f>'3-Source management'!B70</f>
        <v>0.23166305498986006</v>
      </c>
      <c r="D36">
        <f>'3-Source management'!C70</f>
        <v>1.5914618405783357E-2</v>
      </c>
      <c r="E36">
        <f>'3-Source management'!D70</f>
        <v>0.82672858991106857</v>
      </c>
      <c r="F36">
        <f>'3-Source management'!E70</f>
        <v>1.5513838166989771E-2</v>
      </c>
      <c r="G36">
        <f>'3-Source management'!F70</f>
        <v>0.4283177855301098</v>
      </c>
      <c r="H36">
        <f>'3-Source management'!G70</f>
        <v>0.13656866108156973</v>
      </c>
      <c r="I36">
        <f>'3-Source management'!H70</f>
        <v>1.6547065480853815</v>
      </c>
      <c r="J36">
        <f>'3-Source management'!I70</f>
        <v>5.6241559730125346E-2</v>
      </c>
      <c r="M36">
        <v>3</v>
      </c>
      <c r="N36">
        <f>'3-Source management'!B74</f>
        <v>3.2153376243540884E-3</v>
      </c>
      <c r="O36">
        <f>'3-Source management'!C74</f>
        <v>3.8114459298836034E-3</v>
      </c>
      <c r="P36">
        <f>'3-Source management'!D74</f>
        <v>0.24779147801516027</v>
      </c>
      <c r="Q36">
        <f>'3-Source management'!E74</f>
        <v>0.74518173843060209</v>
      </c>
      <c r="S36" t="str" cm="1">
        <f t="array" ref="S36">INDEX($M$32:$Q$45, COLUMN(A5), ROW(A5))</f>
        <v>Water</v>
      </c>
      <c r="T36" cm="1">
        <f t="array" ref="T36">INDEX($M$32:$Q$45, COLUMN(B5), ROW(B5))</f>
        <v>0.91287602841579574</v>
      </c>
      <c r="U36" cm="1">
        <f t="array" ref="U36">INDEX($M$32:$Q$45, COLUMN(C5), ROW(C5))</f>
        <v>0.83405063381173572</v>
      </c>
      <c r="V36" cm="1">
        <f t="array" ref="V36">INDEX($M$32:$Q$45, COLUMN(D5), ROW(D5))</f>
        <v>0.79111651733216504</v>
      </c>
      <c r="W36" cm="1">
        <f t="array" ref="W36">INDEX($M$32:$Q$45, COLUMN(E5), ROW(E5))</f>
        <v>0.74518173843060209</v>
      </c>
      <c r="X36" cm="1">
        <f t="array" ref="X36">INDEX($M$32:$Q$45, COLUMN(F5), ROW(F5))</f>
        <v>0.84111713350515038</v>
      </c>
      <c r="Y36" cm="1">
        <f t="array" ref="Y36">INDEX($M$32:$Q$45, COLUMN(G5), ROW(G5))</f>
        <v>0.85842465492617293</v>
      </c>
      <c r="Z36" cm="1">
        <f t="array" ref="Z36">INDEX($M$32:$Q$45, COLUMN(H5), ROW(H5))</f>
        <v>0</v>
      </c>
      <c r="AA36" cm="1">
        <f t="array" ref="AA36">INDEX($M$32:$Q$45, COLUMN(I5), ROW(I5))</f>
        <v>0.88976810751849134</v>
      </c>
      <c r="AB36" cm="1">
        <f t="array" ref="AB36">INDEX($M$32:$Q$45, COLUMN(J5), ROW(J5))</f>
        <v>0.81547122562296526</v>
      </c>
      <c r="AC36" cm="1">
        <f t="array" ref="AC36">INDEX($M$32:$Q$45, COLUMN(K5), ROW(K5))</f>
        <v>0.7713888541555598</v>
      </c>
      <c r="AD36" cm="1">
        <f t="array" ref="AD36">INDEX($M$32:$Q$45, COLUMN(L5), ROW(L5))</f>
        <v>0.72483661034482494</v>
      </c>
      <c r="AE36" cm="1">
        <f t="array" ref="AE36">INDEX($M$32:$Q$45, COLUMN(M5), ROW(M5))</f>
        <v>0.81478772086140405</v>
      </c>
      <c r="AF36" cm="1">
        <f t="array" ref="AF36">INDEX($M$32:$Q$45, COLUMN(N5), ROW(N5))</f>
        <v>0.83714150710374946</v>
      </c>
    </row>
    <row r="37" spans="2:32" x14ac:dyDescent="0.2">
      <c r="B37">
        <v>4</v>
      </c>
      <c r="C37">
        <f>'4-Cascade'!B71</f>
        <v>0.23867357830917368</v>
      </c>
      <c r="D37">
        <f>'4-Cascade'!C71</f>
        <v>2.7615653770254409E-2</v>
      </c>
      <c r="E37">
        <f>'4-Cascade'!D71</f>
        <v>1.416857045882886</v>
      </c>
      <c r="F37">
        <f>'4-Cascade'!E71</f>
        <v>1.572964540330566E-2</v>
      </c>
      <c r="G37">
        <f>'4-Cascade'!F71</f>
        <v>0.71994211555022092</v>
      </c>
      <c r="H37">
        <f>'4-Cascade'!G71</f>
        <v>0.13535439554496481</v>
      </c>
      <c r="I37">
        <f>'4-Cascade'!H71</f>
        <v>2.5541724344608054</v>
      </c>
      <c r="J37">
        <f>'4-Cascade'!I71</f>
        <v>1.6652463271023876E-2</v>
      </c>
      <c r="M37">
        <v>4</v>
      </c>
      <c r="N37">
        <f>'4-Cascade'!B78</f>
        <v>2.0049167180283644E-3</v>
      </c>
      <c r="O37">
        <f>'4-Cascade'!C78</f>
        <v>2.3765222620844555E-3</v>
      </c>
      <c r="P37">
        <f>'4-Cascade'!D78</f>
        <v>0.15450142751473689</v>
      </c>
      <c r="Q37">
        <f>'4-Cascade'!E78</f>
        <v>0.84111713350515038</v>
      </c>
    </row>
    <row r="38" spans="2:32" x14ac:dyDescent="0.2">
      <c r="B38">
        <v>5</v>
      </c>
      <c r="C38">
        <f>'5-alternativess'!B76</f>
        <v>6.1899494330497996E-2</v>
      </c>
      <c r="D38">
        <f>'5-alternativess'!C76</f>
        <v>2.8649177119575313E-2</v>
      </c>
      <c r="E38">
        <f>'5-alternativess'!D76</f>
        <v>1.4697518944798182</v>
      </c>
      <c r="F38">
        <f>'5-alternativess'!E76</f>
        <v>1.6319088316806833E-2</v>
      </c>
      <c r="G38">
        <f>'5-alternativess'!F76</f>
        <v>0.74693719830692529</v>
      </c>
      <c r="H38">
        <f>'5-alternativess'!G76</f>
        <v>0.14045424549161345</v>
      </c>
      <c r="I38">
        <f>'5-alternativess'!H76</f>
        <v>2.464011098045237</v>
      </c>
      <c r="J38">
        <f>'5-alternativess'!I76</f>
        <v>6.1706464192641697E-2</v>
      </c>
      <c r="M38">
        <v>5</v>
      </c>
      <c r="N38">
        <f>'5-alternativess'!B83</f>
        <v>1.5584609904615004E-3</v>
      </c>
      <c r="O38">
        <f>'5-alternativess'!C83</f>
        <v>2.1932755049767221E-3</v>
      </c>
      <c r="P38">
        <f>'5-alternativess'!D83</f>
        <v>0.13782360857838877</v>
      </c>
      <c r="Q38">
        <f>'5-alternativess'!E83</f>
        <v>0.85842465492617293</v>
      </c>
    </row>
    <row r="40" spans="2:32" x14ac:dyDescent="0.2">
      <c r="B40" t="s">
        <v>17</v>
      </c>
      <c r="C40">
        <f>baseline!D13</f>
        <v>1.6436130940968861</v>
      </c>
      <c r="D40">
        <f>baseline!D14</f>
        <v>0.17978427801017913</v>
      </c>
      <c r="E40">
        <f>baseline!D15</f>
        <v>9.4852978805945831</v>
      </c>
      <c r="F40">
        <f>baseline!D16</f>
        <v>0.10855634066693953</v>
      </c>
      <c r="G40">
        <f>baseline!D17</f>
        <v>4.7840823459680912</v>
      </c>
      <c r="H40">
        <f>baseline!D18</f>
        <v>1.1816198472379611</v>
      </c>
      <c r="I40">
        <f>SUM(C40:H40)</f>
        <v>17.382953786574639</v>
      </c>
      <c r="M40" t="s">
        <v>17</v>
      </c>
      <c r="N40">
        <f>baseline!Q11</f>
        <v>1.5229379001036514E-4</v>
      </c>
      <c r="O40">
        <f>baseline!Q12</f>
        <v>2.0084257013855433E-3</v>
      </c>
      <c r="P40">
        <f>baseline!Q13</f>
        <v>0.10807117299011278</v>
      </c>
      <c r="Q40">
        <f>baseline!Q14</f>
        <v>0.88976810751849134</v>
      </c>
    </row>
    <row r="41" spans="2:32" x14ac:dyDescent="0.2">
      <c r="B41">
        <v>1</v>
      </c>
      <c r="C41">
        <f>'1-incineration improvement'!J70</f>
        <v>1.6323172581770848</v>
      </c>
      <c r="D41">
        <f>'1-incineration improvement'!K70</f>
        <v>0.1699400681092787</v>
      </c>
      <c r="E41">
        <f>'1-incineration improvement'!L70</f>
        <v>8.9747320406909594</v>
      </c>
      <c r="F41">
        <f>'1-incineration improvement'!M70</f>
        <v>0.1080049194919942</v>
      </c>
      <c r="G41">
        <f>'1-incineration improvement'!N70</f>
        <v>4.5335197938805081</v>
      </c>
      <c r="H41">
        <f>'1-incineration improvement'!O70</f>
        <v>1.1786311164966845</v>
      </c>
      <c r="I41">
        <f>'1-incineration improvement'!P70</f>
        <v>16.597145196846512</v>
      </c>
      <c r="J41">
        <f>'1-incineration improvement'!Q70</f>
        <v>8.822271741673049E-2</v>
      </c>
      <c r="M41">
        <v>1</v>
      </c>
      <c r="N41">
        <f>'1-incineration improvement'!J74</f>
        <v>2.1518586847750899E-3</v>
      </c>
      <c r="O41">
        <f>'1-incineration improvement'!K74</f>
        <v>2.7767454595128888E-3</v>
      </c>
      <c r="P41">
        <f>'1-incineration improvement'!L74</f>
        <v>0.17960017023274671</v>
      </c>
      <c r="Q41">
        <f>'1-incineration improvement'!M74</f>
        <v>0.81547122562296526</v>
      </c>
    </row>
    <row r="42" spans="2:32" x14ac:dyDescent="0.2">
      <c r="B42">
        <v>2</v>
      </c>
      <c r="C42">
        <f>'2-better separation'!J70</f>
        <v>1.580988551259312</v>
      </c>
      <c r="D42">
        <f>'2-better separation'!K70</f>
        <v>0.13052384495549002</v>
      </c>
      <c r="E42">
        <f>'2-better separation'!L70</f>
        <v>6.9299555680232094</v>
      </c>
      <c r="F42">
        <f>'2-better separation'!M70</f>
        <v>0.10537904177082905</v>
      </c>
      <c r="G42">
        <f>'2-better separation'!N70</f>
        <v>3.5293759291168527</v>
      </c>
      <c r="H42">
        <f>'2-better separation'!O70</f>
        <v>1.1619300141470958</v>
      </c>
      <c r="I42">
        <f>'2-better separation'!P70</f>
        <v>13.438152949272789</v>
      </c>
      <c r="J42">
        <f>'2-better separation'!Q70</f>
        <v>0.88826599579371468</v>
      </c>
      <c r="M42">
        <v>2</v>
      </c>
      <c r="N42">
        <f>'2-better separation'!J74</f>
        <v>2.6659338368254281E-3</v>
      </c>
      <c r="O42">
        <f>'2-better separation'!K74</f>
        <v>3.4400840883328431E-3</v>
      </c>
      <c r="P42">
        <f>'2-better separation'!L74</f>
        <v>0.22250512791928195</v>
      </c>
      <c r="Q42">
        <f>'2-better separation'!M74</f>
        <v>0.7713888541555598</v>
      </c>
    </row>
    <row r="43" spans="2:32" x14ac:dyDescent="0.2">
      <c r="B43">
        <v>3</v>
      </c>
      <c r="C43">
        <f>'3-Source management'!J70</f>
        <v>1.5475843332688086</v>
      </c>
      <c r="D43">
        <f>'3-Source management'!K70</f>
        <v>0.10184787239877355</v>
      </c>
      <c r="E43">
        <f>'3-Source management'!L70</f>
        <v>5.4428531998753211</v>
      </c>
      <c r="F43">
        <f>'3-Source management'!M70</f>
        <v>0.10373852469666846</v>
      </c>
      <c r="G43">
        <f>'3-Source management'!N70</f>
        <v>2.7994116738796522</v>
      </c>
      <c r="H43">
        <f>'3-Source management'!O70</f>
        <v>1.1529136118532131</v>
      </c>
      <c r="I43">
        <f>'3-Source management'!P70</f>
        <v>11.148349215972436</v>
      </c>
      <c r="J43">
        <f>'3-Source management'!Q70</f>
        <v>0.36341931776357939</v>
      </c>
      <c r="M43">
        <v>3</v>
      </c>
      <c r="N43">
        <f>'3-Source management'!J74</f>
        <v>3.2087625504360453E-3</v>
      </c>
      <c r="O43">
        <f>'3-Source management'!K74</f>
        <v>4.1405973094706967E-3</v>
      </c>
      <c r="P43">
        <f>'3-Source management'!L74</f>
        <v>0.26781402979526842</v>
      </c>
      <c r="Q43">
        <f>'3-Source management'!M74</f>
        <v>0.72483661034482494</v>
      </c>
    </row>
    <row r="44" spans="2:32" x14ac:dyDescent="0.2">
      <c r="B44">
        <v>4</v>
      </c>
      <c r="C44">
        <f>'4-Cascade'!J71</f>
        <v>1.4593109508321644</v>
      </c>
      <c r="D44">
        <f>'4-Cascade'!K71</f>
        <v>0.15132824832740965</v>
      </c>
      <c r="E44">
        <f>'4-Cascade'!L71</f>
        <v>7.9920140625598499</v>
      </c>
      <c r="F44">
        <f>'4-Cascade'!M71</f>
        <v>9.6571246517761833E-2</v>
      </c>
      <c r="G44">
        <f>'4-Cascade'!N71</f>
        <v>4.037860988534236</v>
      </c>
      <c r="H44">
        <f>'4-Cascade'!O71</f>
        <v>1.053979451268245</v>
      </c>
      <c r="I44">
        <f>'4-Cascade'!P71</f>
        <v>14.791064948039665</v>
      </c>
      <c r="J44">
        <f>'4-Cascade'!Q71</f>
        <v>0.61377056601449986</v>
      </c>
      <c r="M44">
        <v>4</v>
      </c>
      <c r="N44">
        <f>'4-Cascade'!J78</f>
        <v>2.1598970826262722E-3</v>
      </c>
      <c r="O44">
        <f>'4-Cascade'!K78</f>
        <v>2.7870188117198689E-3</v>
      </c>
      <c r="P44">
        <f>'4-Cascade'!L78</f>
        <v>0.1802653632442498</v>
      </c>
      <c r="Q44">
        <f>'4-Cascade'!M78</f>
        <v>0.81478772086140405</v>
      </c>
    </row>
    <row r="45" spans="2:32" x14ac:dyDescent="0.2">
      <c r="B45">
        <v>5</v>
      </c>
      <c r="C45">
        <f>'5-alternativess'!J76</f>
        <v>0.40800969417941091</v>
      </c>
      <c r="D45">
        <f>'5-alternativess'!K76</f>
        <v>0.16912814523087177</v>
      </c>
      <c r="E45">
        <f>'5-alternativess'!L76</f>
        <v>8.9323884581173019</v>
      </c>
      <c r="F45">
        <f>'5-alternativess'!M76</f>
        <v>0.10793386057584572</v>
      </c>
      <c r="G45">
        <f>'5-alternativess'!N76</f>
        <v>4.5128072077210462</v>
      </c>
      <c r="H45">
        <f>'5-alternativess'!O76</f>
        <v>1.1781210337894987</v>
      </c>
      <c r="I45">
        <f>'5-alternativess'!P76</f>
        <v>15.308388399613975</v>
      </c>
      <c r="J45">
        <f>'5-alternativess'!Q76</f>
        <v>0.41738346443752583</v>
      </c>
      <c r="M45">
        <v>5</v>
      </c>
      <c r="N45">
        <f>'5-alternativess'!J83</f>
        <v>1.6305659563626423E-3</v>
      </c>
      <c r="O45">
        <f>'5-alternativess'!K83</f>
        <v>2.5335399963584441E-3</v>
      </c>
      <c r="P45">
        <f>'5-alternativess'!L83</f>
        <v>0.15869438694352939</v>
      </c>
      <c r="Q45">
        <f>'5-alternativess'!M83</f>
        <v>0.83714150710374946</v>
      </c>
    </row>
    <row r="48" spans="2:32" x14ac:dyDescent="0.2">
      <c r="B48" t="s">
        <v>10</v>
      </c>
      <c r="C48">
        <f>C33/$I$33</f>
        <v>9.3194387176333437E-2</v>
      </c>
      <c r="D48">
        <f t="shared" ref="D48:J48" si="12">D33/$I$33</f>
        <v>1.0818798325923015E-2</v>
      </c>
      <c r="E48">
        <f t="shared" si="12"/>
        <v>0.55497365958202416</v>
      </c>
      <c r="F48">
        <f t="shared" si="12"/>
        <v>6.1411139297159727E-3</v>
      </c>
      <c r="G48">
        <f t="shared" si="12"/>
        <v>0.28202701075825132</v>
      </c>
      <c r="H48">
        <f t="shared" si="12"/>
        <v>5.2845030227752117E-2</v>
      </c>
      <c r="I48">
        <f t="shared" si="12"/>
        <v>1</v>
      </c>
      <c r="J48">
        <f t="shared" si="12"/>
        <v>0</v>
      </c>
    </row>
    <row r="49" spans="1:32" x14ac:dyDescent="0.2">
      <c r="B49" t="s">
        <v>18</v>
      </c>
      <c r="C49">
        <f t="shared" ref="C49:J49" si="13">C34/$I$33</f>
        <v>9.2266477703071684E-2</v>
      </c>
      <c r="D49">
        <f t="shared" si="13"/>
        <v>1.021368225685057E-2</v>
      </c>
      <c r="E49">
        <f t="shared" si="13"/>
        <v>0.52440890568946485</v>
      </c>
      <c r="F49">
        <f t="shared" si="13"/>
        <v>6.0912146355583856E-3</v>
      </c>
      <c r="G49">
        <f t="shared" si="13"/>
        <v>0.2668595636576459</v>
      </c>
      <c r="H49">
        <f t="shared" si="13"/>
        <v>5.2553428991420785E-2</v>
      </c>
      <c r="I49">
        <f t="shared" si="13"/>
        <v>0.95239327293401188</v>
      </c>
      <c r="J49">
        <f t="shared" si="13"/>
        <v>5.3540350528885165E-3</v>
      </c>
    </row>
    <row r="50" spans="1:32" x14ac:dyDescent="0.2">
      <c r="B50" t="s">
        <v>19</v>
      </c>
      <c r="C50">
        <f t="shared" ref="C50:J50" si="14">C35/$I$33</f>
        <v>8.9162205865984834E-2</v>
      </c>
      <c r="D50">
        <f t="shared" si="14"/>
        <v>7.7558241143705457E-3</v>
      </c>
      <c r="E50">
        <f t="shared" si="14"/>
        <v>0.40029786249018845</v>
      </c>
      <c r="F50">
        <f t="shared" si="14"/>
        <v>5.9340799374311788E-3</v>
      </c>
      <c r="G50">
        <f t="shared" si="14"/>
        <v>0.20536045171777723</v>
      </c>
      <c r="H50">
        <f t="shared" si="14"/>
        <v>5.1789583944625635E-2</v>
      </c>
      <c r="I50">
        <f t="shared" si="14"/>
        <v>0.76030000807037779</v>
      </c>
      <c r="J50">
        <f t="shared" si="14"/>
        <v>5.4213828502477197E-2</v>
      </c>
    </row>
    <row r="51" spans="1:32" x14ac:dyDescent="0.2">
      <c r="B51" t="s">
        <v>20</v>
      </c>
      <c r="C51">
        <f t="shared" ref="C51:J51" si="15">C36/$I$33</f>
        <v>8.6961057205206305E-2</v>
      </c>
      <c r="D51">
        <f t="shared" si="15"/>
        <v>5.9739868389671871E-3</v>
      </c>
      <c r="E51">
        <f t="shared" si="15"/>
        <v>0.31033516416151363</v>
      </c>
      <c r="F51">
        <f t="shared" si="15"/>
        <v>5.8235430261893116E-3</v>
      </c>
      <c r="G51">
        <f t="shared" si="15"/>
        <v>0.16078078332827594</v>
      </c>
      <c r="H51">
        <f t="shared" si="15"/>
        <v>5.1264778275813723E-2</v>
      </c>
      <c r="I51">
        <f t="shared" si="15"/>
        <v>0.62113931283596624</v>
      </c>
      <c r="J51">
        <f t="shared" si="15"/>
        <v>2.1111806080669749E-2</v>
      </c>
    </row>
    <row r="52" spans="1:32" x14ac:dyDescent="0.2">
      <c r="B52" t="s">
        <v>21</v>
      </c>
      <c r="C52">
        <f t="shared" ref="C52:J52" si="16">C37/$I$33</f>
        <v>8.9592648675136416E-2</v>
      </c>
      <c r="D52">
        <f t="shared" si="16"/>
        <v>1.0366290159556856E-2</v>
      </c>
      <c r="E52">
        <f t="shared" si="16"/>
        <v>0.5318560036429385</v>
      </c>
      <c r="F52">
        <f t="shared" si="16"/>
        <v>5.9045521686414163E-3</v>
      </c>
      <c r="G52">
        <f t="shared" si="16"/>
        <v>0.27024994338238495</v>
      </c>
      <c r="H52">
        <f t="shared" si="16"/>
        <v>5.0808970530398158E-2</v>
      </c>
      <c r="I52">
        <f t="shared" si="16"/>
        <v>0.95877840855905627</v>
      </c>
      <c r="J52">
        <f t="shared" si="16"/>
        <v>6.2509570685860489E-3</v>
      </c>
    </row>
    <row r="53" spans="1:32" x14ac:dyDescent="0.2">
      <c r="B53" t="s">
        <v>22</v>
      </c>
      <c r="C53">
        <f t="shared" ref="C53:J53" si="17">C38/$I$33</f>
        <v>2.3235666419418443E-2</v>
      </c>
      <c r="D53">
        <f t="shared" si="17"/>
        <v>1.0754251386724241E-2</v>
      </c>
      <c r="E53">
        <f t="shared" si="17"/>
        <v>0.55171153026068032</v>
      </c>
      <c r="F53">
        <f t="shared" si="17"/>
        <v>6.1258156710260444E-3</v>
      </c>
      <c r="G53">
        <f t="shared" si="17"/>
        <v>0.28038328525671963</v>
      </c>
      <c r="H53">
        <f t="shared" si="17"/>
        <v>5.2723338546342223E-2</v>
      </c>
      <c r="I53">
        <f t="shared" si="17"/>
        <v>0.92493388754091088</v>
      </c>
      <c r="J53">
        <f t="shared" si="17"/>
        <v>2.3163207283190681E-2</v>
      </c>
    </row>
    <row r="55" spans="1:32" x14ac:dyDescent="0.2">
      <c r="B55" t="s">
        <v>17</v>
      </c>
      <c r="C55">
        <f>C40/$I$40</f>
        <v>9.4553153294711992E-2</v>
      </c>
      <c r="D55">
        <f t="shared" ref="D55:J55" si="18">D40/$I$40</f>
        <v>1.0342562041960426E-2</v>
      </c>
      <c r="E55">
        <f t="shared" si="18"/>
        <v>0.54566663393653814</v>
      </c>
      <c r="F55">
        <f t="shared" si="18"/>
        <v>6.2449881648296594E-3</v>
      </c>
      <c r="G55">
        <f t="shared" si="18"/>
        <v>0.27521688228055796</v>
      </c>
      <c r="H55">
        <f t="shared" si="18"/>
        <v>6.7975780281401915E-2</v>
      </c>
      <c r="I55">
        <f t="shared" si="18"/>
        <v>1</v>
      </c>
      <c r="J55">
        <f t="shared" si="18"/>
        <v>0</v>
      </c>
    </row>
    <row r="56" spans="1:32" x14ac:dyDescent="0.2">
      <c r="B56" t="s">
        <v>23</v>
      </c>
      <c r="C56">
        <f t="shared" ref="C56:J56" si="19">C41/$I$40</f>
        <v>9.3903330712284988E-2</v>
      </c>
      <c r="D56">
        <f t="shared" si="19"/>
        <v>9.776248052878583E-3</v>
      </c>
      <c r="E56">
        <f t="shared" si="19"/>
        <v>0.51629499513612043</v>
      </c>
      <c r="F56">
        <f t="shared" si="19"/>
        <v>6.2132662157457696E-3</v>
      </c>
      <c r="G56">
        <f t="shared" si="19"/>
        <v>0.2608026144199887</v>
      </c>
      <c r="H56">
        <f t="shared" si="19"/>
        <v>6.7803845708142865E-2</v>
      </c>
      <c r="I56">
        <f>I41/$I$40</f>
        <v>0.95479430024516143</v>
      </c>
      <c r="J56">
        <f t="shared" si="19"/>
        <v>5.0752431663752947E-3</v>
      </c>
    </row>
    <row r="57" spans="1:32" x14ac:dyDescent="0.2">
      <c r="B57" t="s">
        <v>24</v>
      </c>
      <c r="C57">
        <f t="shared" ref="C57:J57" si="20">C42/$I$40</f>
        <v>9.0950512247254284E-2</v>
      </c>
      <c r="D57">
        <f t="shared" si="20"/>
        <v>7.5087264545509744E-3</v>
      </c>
      <c r="E57">
        <f t="shared" si="20"/>
        <v>0.39866386651590918</v>
      </c>
      <c r="F57">
        <f t="shared" si="20"/>
        <v>6.0622057139803447E-3</v>
      </c>
      <c r="G57">
        <f t="shared" si="20"/>
        <v>0.20303660542678842</v>
      </c>
      <c r="H57">
        <f t="shared" si="20"/>
        <v>6.6843071000078719E-2</v>
      </c>
      <c r="I57">
        <f t="shared" si="20"/>
        <v>0.77306498735856188</v>
      </c>
      <c r="J57">
        <f t="shared" si="20"/>
        <v>5.1099830713451491E-2</v>
      </c>
    </row>
    <row r="58" spans="1:32" x14ac:dyDescent="0.2">
      <c r="B58" t="s">
        <v>25</v>
      </c>
      <c r="C58">
        <f t="shared" ref="C58:J58" si="21">C43/$I$40</f>
        <v>8.9028847011263013E-2</v>
      </c>
      <c r="D58">
        <f t="shared" si="21"/>
        <v>5.8590659360455545E-3</v>
      </c>
      <c r="E58">
        <f t="shared" si="21"/>
        <v>0.31311440315045852</v>
      </c>
      <c r="F58">
        <f t="shared" si="21"/>
        <v>5.9678306673511807E-3</v>
      </c>
      <c r="G58">
        <f t="shared" si="21"/>
        <v>0.16104349745448437</v>
      </c>
      <c r="H58">
        <f t="shared" si="21"/>
        <v>6.6324378814355572E-2</v>
      </c>
      <c r="I58">
        <f t="shared" si="21"/>
        <v>0.64133802303395815</v>
      </c>
      <c r="J58">
        <f t="shared" si="21"/>
        <v>2.0906649251076E-2</v>
      </c>
    </row>
    <row r="59" spans="1:32" x14ac:dyDescent="0.2">
      <c r="B59" t="s">
        <v>26</v>
      </c>
      <c r="C59">
        <f t="shared" ref="C59:J59" si="22">C44/$I$40</f>
        <v>8.3950689206757995E-2</v>
      </c>
      <c r="D59">
        <f t="shared" si="22"/>
        <v>8.7055543140363671E-3</v>
      </c>
      <c r="E59">
        <f t="shared" si="22"/>
        <v>0.45976156645669247</v>
      </c>
      <c r="F59">
        <f t="shared" si="22"/>
        <v>5.5555141953116515E-3</v>
      </c>
      <c r="G59">
        <f t="shared" si="22"/>
        <v>0.23228854187329162</v>
      </c>
      <c r="H59">
        <f t="shared" si="22"/>
        <v>6.0632931791043704E-2</v>
      </c>
      <c r="I59">
        <f t="shared" si="22"/>
        <v>0.85089479783713373</v>
      </c>
      <c r="J59">
        <f t="shared" si="22"/>
        <v>3.5308761304337861E-2</v>
      </c>
    </row>
    <row r="60" spans="1:32" x14ac:dyDescent="0.2">
      <c r="B60" t="s">
        <v>27</v>
      </c>
      <c r="C60">
        <f t="shared" ref="C60:J60" si="23">C45/$I$40</f>
        <v>2.3471827584016742E-2</v>
      </c>
      <c r="D60">
        <f t="shared" si="23"/>
        <v>9.7295400601878357E-3</v>
      </c>
      <c r="E60">
        <f t="shared" si="23"/>
        <v>0.51385906951073212</v>
      </c>
      <c r="F60">
        <f t="shared" si="23"/>
        <v>6.2091783652560928E-3</v>
      </c>
      <c r="G60">
        <f t="shared" si="23"/>
        <v>0.2596110685864228</v>
      </c>
      <c r="H60">
        <f t="shared" si="23"/>
        <v>6.7774501862818956E-2</v>
      </c>
      <c r="I60">
        <f t="shared" si="23"/>
        <v>0.88065518596943448</v>
      </c>
      <c r="J60">
        <f t="shared" si="23"/>
        <v>2.4011078299010565E-2</v>
      </c>
    </row>
    <row r="63" spans="1:32" x14ac:dyDescent="0.2">
      <c r="A63" t="s">
        <v>34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J63" t="s">
        <v>0</v>
      </c>
      <c r="M63" t="s">
        <v>28</v>
      </c>
      <c r="N63" t="s">
        <v>29</v>
      </c>
      <c r="O63" t="s">
        <v>30</v>
      </c>
      <c r="P63" t="s">
        <v>31</v>
      </c>
      <c r="Q63" t="s">
        <v>32</v>
      </c>
      <c r="S63" t="str" cm="1">
        <f t="array" ref="S63">INDEX($M$63:$Q$76, COLUMN(A1), ROW(A1))</f>
        <v>share cc</v>
      </c>
      <c r="T63" t="str" cm="1">
        <f t="array" ref="T63">INDEX($M$63:$Q$76, COLUMN(B1), ROW(B1))</f>
        <v>2025 Basic</v>
      </c>
      <c r="U63" cm="1">
        <f t="array" ref="U63">INDEX($M$63:$Q$76, COLUMN(C1), ROW(C1))</f>
        <v>1</v>
      </c>
      <c r="V63" cm="1">
        <f t="array" ref="V63">INDEX($M$63:$Q$76, COLUMN(D1), ROW(D1))</f>
        <v>2</v>
      </c>
      <c r="W63" cm="1">
        <f t="array" ref="W63">INDEX($M$63:$Q$76, COLUMN(E1), ROW(E1))</f>
        <v>3</v>
      </c>
      <c r="X63" cm="1">
        <f t="array" ref="X63">INDEX($M$63:$Q$76, COLUMN(F1), ROW(F1))</f>
        <v>4</v>
      </c>
      <c r="Y63" cm="1">
        <f t="array" ref="Y63">INDEX($M$63:$Q$76, COLUMN(G1), ROW(G1))</f>
        <v>5</v>
      </c>
      <c r="Z63" cm="1">
        <f t="array" ref="Z63">INDEX($M$63:$Q$76, COLUMN(H1), ROW(H1))</f>
        <v>0</v>
      </c>
      <c r="AA63" t="str" cm="1">
        <f t="array" ref="AA63">INDEX($M$63:$Q$76, COLUMN(I1), ROW(I1))</f>
        <v>2030 Basic</v>
      </c>
      <c r="AB63" cm="1">
        <f t="array" ref="AB63">INDEX($M$63:$Q$76, COLUMN(J1), ROW(J1))</f>
        <v>1</v>
      </c>
      <c r="AC63" cm="1">
        <f t="array" ref="AC63">INDEX($M$63:$Q$76, COLUMN(K1), ROW(K1))</f>
        <v>2</v>
      </c>
      <c r="AD63" cm="1">
        <f t="array" ref="AD63">INDEX($M$63:$Q$76, COLUMN(L1), ROW(L1))</f>
        <v>3</v>
      </c>
      <c r="AE63" cm="1">
        <f t="array" ref="AE63">INDEX($M$63:$Q$76, COLUMN(M1), ROW(M1))</f>
        <v>4</v>
      </c>
      <c r="AF63" cm="1">
        <f t="array" ref="AF63">INDEX($M$63:$Q$76, COLUMN(N1), ROW(N1))</f>
        <v>5</v>
      </c>
    </row>
    <row r="64" spans="1:32" x14ac:dyDescent="0.2">
      <c r="B64" t="s">
        <v>10</v>
      </c>
      <c r="C64">
        <f>baseline!E5</f>
        <v>31028328.168223538</v>
      </c>
      <c r="D64">
        <f>baseline!E6</f>
        <v>2645782.886405101</v>
      </c>
      <c r="E64">
        <f>baseline!E7</f>
        <v>136643428.18918371</v>
      </c>
      <c r="F64">
        <f>baseline!E8</f>
        <v>2066129.337351589</v>
      </c>
      <c r="G64">
        <f>baseline!E9</f>
        <v>70196161.828846052</v>
      </c>
      <c r="H64">
        <f>baseline!E10</f>
        <v>18152114.294219285</v>
      </c>
      <c r="I64">
        <f>SUM(C64:H64)</f>
        <v>260731944.70422927</v>
      </c>
      <c r="M64" t="s">
        <v>10</v>
      </c>
      <c r="N64">
        <f>baseline!U5</f>
        <v>1.3703996275639586E-4</v>
      </c>
      <c r="O64">
        <f>baseline!U6</f>
        <v>1.5808216908636955E-3</v>
      </c>
      <c r="P64">
        <f>baseline!U7</f>
        <v>0.11848960976735307</v>
      </c>
      <c r="Q64">
        <f>baseline!U8</f>
        <v>0.87979252857902679</v>
      </c>
      <c r="S64" t="str" cm="1">
        <f t="array" ref="S64">INDEX($M$63:$Q$76, COLUMN(A2), ROW(A2))</f>
        <v>Gas</v>
      </c>
      <c r="T64" cm="1">
        <f t="array" ref="T64">INDEX($M$63:$Q$76, COLUMN(B2), ROW(B2))</f>
        <v>1.3703996275639586E-4</v>
      </c>
      <c r="U64" cm="1">
        <f t="array" ref="U64">INDEX($M$63:$Q$76, COLUMN(C2), ROW(C2))</f>
        <v>2.116344681191065E-3</v>
      </c>
      <c r="V64" cm="1">
        <f t="array" ref="V64">INDEX($M$63:$Q$76, COLUMN(D2), ROW(D2))</f>
        <v>2.4441976987613695E-3</v>
      </c>
      <c r="W64" cm="1">
        <f t="array" ref="W64">INDEX($M$63:$Q$76, COLUMN(E2), ROW(E2))</f>
        <v>2.9271575410316883E-3</v>
      </c>
      <c r="X64" cm="1">
        <f t="array" ref="X64">INDEX($M$63:$Q$76, COLUMN(F2), ROW(F2))</f>
        <v>1.8989543465206232E-3</v>
      </c>
      <c r="Y64" cm="1">
        <f t="array" ref="Y64">INDEX($M$63:$Q$76, COLUMN(G2), ROW(G2))</f>
        <v>1.4836312584901913E-3</v>
      </c>
      <c r="Z64" cm="1">
        <f t="array" ref="Z64">INDEX($M$63:$Q$76, COLUMN(H2), ROW(H2))</f>
        <v>0</v>
      </c>
      <c r="AA64" cm="1">
        <f t="array" ref="AA64">INDEX($M$63:$Q$76, COLUMN(I2), ROW(I2))</f>
        <v>1.4203668649928164E-4</v>
      </c>
      <c r="AB64" cm="1">
        <f t="array" ref="AB64">INDEX($M$63:$Q$76, COLUMN(J2), ROW(J2))</f>
        <v>2.1092890408977915E-3</v>
      </c>
      <c r="AC64" cm="1">
        <f t="array" ref="AC64">INDEX($M$63:$Q$76, COLUMN(K2), ROW(K2))</f>
        <v>2.3919693431232406E-3</v>
      </c>
      <c r="AD64" cm="1">
        <f t="array" ref="AD64">INDEX($M$63:$Q$76, COLUMN(L2), ROW(L2))</f>
        <v>2.8349379577096434E-3</v>
      </c>
      <c r="AE64" cm="1">
        <f t="array" ref="AE64">INDEX($M$63:$Q$76, COLUMN(M2), ROW(M2))</f>
        <v>1.9573953444146398E-3</v>
      </c>
      <c r="AF64" cm="1">
        <f t="array" ref="AF64">INDEX($M$63:$Q$76, COLUMN(N2), ROW(N2))</f>
        <v>1.4928846557254664E-3</v>
      </c>
    </row>
    <row r="65" spans="2:32" x14ac:dyDescent="0.2">
      <c r="B65">
        <v>1</v>
      </c>
      <c r="C65">
        <f>'1-incineration improvement'!B71</f>
        <v>30522890.57654088</v>
      </c>
      <c r="D65">
        <f>'1-incineration improvement'!C71</f>
        <v>2290106.0088336095</v>
      </c>
      <c r="E65">
        <f>'1-incineration improvement'!D71</f>
        <v>118681215.40644404</v>
      </c>
      <c r="F65">
        <f>'1-incineration improvement'!E71</f>
        <v>2039538.5336281143</v>
      </c>
      <c r="G65">
        <f>'1-incineration improvement'!F71</f>
        <v>61286984.965591058</v>
      </c>
      <c r="H65">
        <f>'1-incineration improvement'!G71</f>
        <v>18005680.388549771</v>
      </c>
      <c r="I65">
        <f>'1-incineration improvement'!H71</f>
        <v>232826415.87958747</v>
      </c>
      <c r="J65">
        <f>'1-incineration improvement'!I71</f>
        <v>3627647.5283314884</v>
      </c>
      <c r="M65">
        <v>1</v>
      </c>
      <c r="N65">
        <f>'1-incineration improvement'!B75</f>
        <v>2.116344681191065E-3</v>
      </c>
      <c r="O65">
        <f>'1-incineration improvement'!C75</f>
        <v>2.5087263769014052E-3</v>
      </c>
      <c r="P65">
        <f>'1-incineration improvement'!D75</f>
        <v>0.23220274769994678</v>
      </c>
      <c r="Q65">
        <f>'1-incineration improvement'!E75</f>
        <v>0.76317218124196073</v>
      </c>
      <c r="S65" t="str" cm="1">
        <f t="array" ref="S65">INDEX($M$63:$Q$76, COLUMN(A3), ROW(A3))</f>
        <v>Solid</v>
      </c>
      <c r="T65" cm="1">
        <f t="array" ref="T65">INDEX($M$63:$Q$76, COLUMN(B3), ROW(B3))</f>
        <v>1.5808216908636955E-3</v>
      </c>
      <c r="U65" cm="1">
        <f t="array" ref="U65">INDEX($M$63:$Q$76, COLUMN(C3), ROW(C3))</f>
        <v>2.5087263769014052E-3</v>
      </c>
      <c r="V65" cm="1">
        <f t="array" ref="V65">INDEX($M$63:$Q$76, COLUMN(D3), ROW(D3))</f>
        <v>2.8973839515624798E-3</v>
      </c>
      <c r="W65" cm="1">
        <f t="array" ref="W65">INDEX($M$63:$Q$76, COLUMN(E3), ROW(E3))</f>
        <v>3.4698794118266625E-3</v>
      </c>
      <c r="X65" cm="1">
        <f t="array" ref="X65">INDEX($M$63:$Q$76, COLUMN(F3), ROW(F3))</f>
        <v>2.2509465089377966E-3</v>
      </c>
      <c r="Y65" cm="1">
        <f t="array" ref="Y65">INDEX($M$63:$Q$76, COLUMN(G3), ROW(G3))</f>
        <v>2.0908181685988687E-3</v>
      </c>
      <c r="Z65" cm="1">
        <f t="array" ref="Z65">INDEX($M$63:$Q$76, COLUMN(H3), ROW(H3))</f>
        <v>0</v>
      </c>
      <c r="AA65" cm="1">
        <f t="array" ref="AA65">INDEX($M$63:$Q$76, COLUMN(I3), ROW(I3))</f>
        <v>1.8732417795763855E-3</v>
      </c>
      <c r="AB65" cm="1">
        <f t="array" ref="AB65">INDEX($M$63:$Q$76, COLUMN(J3), ROW(J3))</f>
        <v>2.7218940797295158E-3</v>
      </c>
      <c r="AC65" cm="1">
        <f t="array" ref="AC65">INDEX($M$63:$Q$76, COLUMN(K3), ROW(K3))</f>
        <v>3.0866550802892872E-3</v>
      </c>
      <c r="AD65" cm="1">
        <f t="array" ref="AD65">INDEX($M$63:$Q$76, COLUMN(L3), ROW(L3))</f>
        <v>3.6583205732780566E-3</v>
      </c>
      <c r="AE65" cm="1">
        <f t="array" ref="AE65">INDEX($M$63:$Q$76, COLUMN(M3), ROW(M3))</f>
        <v>2.5257958074202179E-3</v>
      </c>
      <c r="AF65" cm="1">
        <f t="array" ref="AF65">INDEX($M$63:$Q$76, COLUMN(N3), ROW(N3))</f>
        <v>2.3209806380057787E-3</v>
      </c>
    </row>
    <row r="66" spans="2:32" x14ac:dyDescent="0.2">
      <c r="B66">
        <v>2</v>
      </c>
      <c r="C66">
        <f>'2-better separation'!B71</f>
        <v>30027970.857459418</v>
      </c>
      <c r="D66">
        <f>'2-better separation'!C71</f>
        <v>1900333.7652676124</v>
      </c>
      <c r="E66">
        <f>'2-better separation'!D71</f>
        <v>98998811.533065736</v>
      </c>
      <c r="F66">
        <f>'2-better separation'!E71</f>
        <v>2014439.0624570558</v>
      </c>
      <c r="G66">
        <f>'2-better separation'!F71</f>
        <v>51534074.507452667</v>
      </c>
      <c r="H66">
        <f>'2-better separation'!G71</f>
        <v>17883152.099363461</v>
      </c>
      <c r="I66">
        <f>'2-better separation'!H71</f>
        <v>202358781.82506597</v>
      </c>
      <c r="J66">
        <f>'2-better separation'!I71</f>
        <v>13206371.792899191</v>
      </c>
      <c r="M66">
        <v>2</v>
      </c>
      <c r="N66">
        <f>'2-better separation'!B75</f>
        <v>2.4441976987613695E-3</v>
      </c>
      <c r="O66">
        <f>'2-better separation'!C75</f>
        <v>2.8973839515624798E-3</v>
      </c>
      <c r="P66">
        <f>'2-better separation'!D75</f>
        <v>0.26817717311905315</v>
      </c>
      <c r="Q66">
        <f>'2-better separation'!E75</f>
        <v>0.72648124523062307</v>
      </c>
      <c r="S66" t="str" cm="1">
        <f t="array" ref="S66">INDEX($M$63:$Q$76, COLUMN(A4), ROW(A4))</f>
        <v>Solvent</v>
      </c>
      <c r="T66" cm="1">
        <f t="array" ref="T66">INDEX($M$63:$Q$76, COLUMN(B4), ROW(B4))</f>
        <v>0.11848960976735307</v>
      </c>
      <c r="U66" cm="1">
        <f t="array" ref="U66">INDEX($M$63:$Q$76, COLUMN(C4), ROW(C4))</f>
        <v>0.23220274769994678</v>
      </c>
      <c r="V66" cm="1">
        <f t="array" ref="V66">INDEX($M$63:$Q$76, COLUMN(D4), ROW(D4))</f>
        <v>0.26817717311905315</v>
      </c>
      <c r="W66" cm="1">
        <f t="array" ref="W66">INDEX($M$63:$Q$76, COLUMN(E4), ROW(E4))</f>
        <v>0.32116579885406016</v>
      </c>
      <c r="X66" cm="1">
        <f t="array" ref="X66">INDEX($M$63:$Q$76, COLUMN(F4), ROW(F4))</f>
        <v>0.20833851984909979</v>
      </c>
      <c r="Y66" cm="1">
        <f t="array" ref="Y66">INDEX($M$63:$Q$76, COLUMN(G4), ROW(G4))</f>
        <v>0.18700709018928924</v>
      </c>
      <c r="Z66" cm="1">
        <f t="array" ref="Z66">INDEX($M$63:$Q$76, COLUMN(H4), ROW(H4))</f>
        <v>0</v>
      </c>
      <c r="AA66" cm="1">
        <f t="array" ref="AA66">INDEX($M$63:$Q$76, COLUMN(I4), ROW(I4))</f>
        <v>0.14709617557391488</v>
      </c>
      <c r="AB66" cm="1">
        <f t="array" ref="AB66">INDEX($M$63:$Q$76, COLUMN(J4), ROW(J4))</f>
        <v>0.25691281338281063</v>
      </c>
      <c r="AC66" cm="1">
        <f t="array" ref="AC66">INDEX($M$63:$Q$76, COLUMN(K4), ROW(K4))</f>
        <v>0.29134165655034683</v>
      </c>
      <c r="AD66" cm="1">
        <f t="array" ref="AD66">INDEX($M$63:$Q$76, COLUMN(L4), ROW(L4))</f>
        <v>0.34529984489228782</v>
      </c>
      <c r="AE66" cm="1">
        <f t="array" ref="AE66">INDEX($M$63:$Q$76, COLUMN(M4), ROW(M4))</f>
        <v>0.23840340809096205</v>
      </c>
      <c r="AF66" cm="1">
        <f t="array" ref="AF66">INDEX($M$63:$Q$76, COLUMN(N4), ROW(N4))</f>
        <v>0.21213484499280894</v>
      </c>
    </row>
    <row r="67" spans="2:32" x14ac:dyDescent="0.2">
      <c r="B67">
        <v>3</v>
      </c>
      <c r="C67">
        <f>'3-Source management'!B71</f>
        <v>29496292.272444792</v>
      </c>
      <c r="D67">
        <f>'3-Source management'!C71</f>
        <v>1466701.7012284093</v>
      </c>
      <c r="E67">
        <f>'3-Source management'!D71</f>
        <v>77106686.626109153</v>
      </c>
      <c r="F67">
        <f>'3-Source management'!E71</f>
        <v>1987812.431596841</v>
      </c>
      <c r="G67">
        <f>'3-Source management'!F71</f>
        <v>40685304.840380937</v>
      </c>
      <c r="H67">
        <f>'3-Source management'!G71</f>
        <v>17757888.516030088</v>
      </c>
      <c r="I67">
        <f>'3-Source management'!H71</f>
        <v>168500686.3877902</v>
      </c>
      <c r="J67">
        <f>'3-Source management'!I71</f>
        <v>5127967.9360244274</v>
      </c>
      <c r="M67">
        <v>3</v>
      </c>
      <c r="N67">
        <f>'3-Source management'!B75</f>
        <v>2.9271575410316883E-3</v>
      </c>
      <c r="O67">
        <f>'3-Source management'!C75</f>
        <v>3.4698794118266625E-3</v>
      </c>
      <c r="P67">
        <f>'3-Source management'!D75</f>
        <v>0.32116579885406016</v>
      </c>
      <c r="Q67">
        <f>'3-Source management'!E75</f>
        <v>0.67243716419308153</v>
      </c>
      <c r="S67" t="str" cm="1">
        <f t="array" ref="S67">INDEX($M$63:$Q$76, COLUMN(A5), ROW(A5))</f>
        <v>Water</v>
      </c>
      <c r="T67" cm="1">
        <f t="array" ref="T67">INDEX($M$63:$Q$76, COLUMN(B5), ROW(B5))</f>
        <v>0.87979252857902679</v>
      </c>
      <c r="U67" cm="1">
        <f t="array" ref="U67">INDEX($M$63:$Q$76, COLUMN(C5), ROW(C5))</f>
        <v>0.76317218124196073</v>
      </c>
      <c r="V67" cm="1">
        <f t="array" ref="V67">INDEX($M$63:$Q$76, COLUMN(D5), ROW(D5))</f>
        <v>0.72648124523062307</v>
      </c>
      <c r="W67" cm="1">
        <f t="array" ref="W67">INDEX($M$63:$Q$76, COLUMN(E5), ROW(E5))</f>
        <v>0.67243716419308153</v>
      </c>
      <c r="X67" cm="1">
        <f t="array" ref="X67">INDEX($M$63:$Q$76, COLUMN(F5), ROW(F5))</f>
        <v>0.7875115792954418</v>
      </c>
      <c r="Y67" cm="1">
        <f t="array" ref="Y67">INDEX($M$63:$Q$76, COLUMN(G5), ROW(G5))</f>
        <v>0.80941846038362164</v>
      </c>
      <c r="Z67" cm="1">
        <f t="array" ref="Z67">INDEX($M$63:$Q$76, COLUMN(H5), ROW(H5))</f>
        <v>0</v>
      </c>
      <c r="AA67" cm="1">
        <f t="array" ref="AA67">INDEX($M$63:$Q$76, COLUMN(I5), ROW(I5))</f>
        <v>0.85088854596000951</v>
      </c>
      <c r="AB67" cm="1">
        <f t="array" ref="AB67">INDEX($M$63:$Q$76, COLUMN(J5), ROW(J5))</f>
        <v>0.73825600349656217</v>
      </c>
      <c r="AC67" cm="1">
        <f t="array" ref="AC67">INDEX($M$63:$Q$76, COLUMN(K5), ROW(K5))</f>
        <v>0.70317971902624077</v>
      </c>
      <c r="AD67" cm="1">
        <f t="array" ref="AD67">INDEX($M$63:$Q$76, COLUMN(L5), ROW(L5))</f>
        <v>0.64820689657672437</v>
      </c>
      <c r="AE67" cm="1">
        <f t="array" ref="AE67">INDEX($M$63:$Q$76, COLUMN(M5), ROW(M5))</f>
        <v>0.75711340075720313</v>
      </c>
      <c r="AF67" cm="1">
        <f t="array" ref="AF67">INDEX($M$63:$Q$76, COLUMN(N5), ROW(N5))</f>
        <v>0.78405128971345983</v>
      </c>
    </row>
    <row r="68" spans="2:32" x14ac:dyDescent="0.2">
      <c r="B68">
        <v>4</v>
      </c>
      <c r="C68">
        <f>'4-Cascade'!B72</f>
        <v>29833077.627037622</v>
      </c>
      <c r="D68">
        <f>'4-Cascade'!C72</f>
        <v>2535333.6697006542</v>
      </c>
      <c r="E68">
        <f>'4-Cascade'!D72</f>
        <v>130965445.42386854</v>
      </c>
      <c r="F68">
        <f>'4-Cascade'!E72</f>
        <v>1986732.2376426426</v>
      </c>
      <c r="G68">
        <f>'4-Cascade'!F72</f>
        <v>67274521.63186124</v>
      </c>
      <c r="H68">
        <f>'4-Cascade'!G72</f>
        <v>17453524.471284039</v>
      </c>
      <c r="I68">
        <f>'4-Cascade'!H72</f>
        <v>250048635.06139478</v>
      </c>
      <c r="J68">
        <f>'4-Cascade'!I72</f>
        <v>1632745.6643660665</v>
      </c>
      <c r="M68">
        <v>4</v>
      </c>
      <c r="N68">
        <f>'4-Cascade'!B79</f>
        <v>1.8989543465206232E-3</v>
      </c>
      <c r="O68">
        <f>'4-Cascade'!C79</f>
        <v>2.2509465089377966E-3</v>
      </c>
      <c r="P68">
        <f>'4-Cascade'!D79</f>
        <v>0.20833851984909979</v>
      </c>
      <c r="Q68">
        <f>'4-Cascade'!E79</f>
        <v>0.7875115792954418</v>
      </c>
    </row>
    <row r="69" spans="2:32" x14ac:dyDescent="0.2">
      <c r="B69">
        <v>5</v>
      </c>
      <c r="C69">
        <f>'5-alternativess'!B77</f>
        <v>7737415.8040699009</v>
      </c>
      <c r="D69">
        <f>'5-alternativess'!C77</f>
        <v>2630304.5359650766</v>
      </c>
      <c r="E69">
        <f>'5-alternativess'!D77</f>
        <v>135859157.19430327</v>
      </c>
      <c r="F69">
        <f>'5-alternativess'!E77</f>
        <v>2061249.0239810231</v>
      </c>
      <c r="G69">
        <f>'5-alternativess'!F77</f>
        <v>69799382.992171958</v>
      </c>
      <c r="H69">
        <f>'5-alternativess'!G77</f>
        <v>18111716.918496046</v>
      </c>
      <c r="I69">
        <f>'5-alternativess'!H77</f>
        <v>236199226.46898729</v>
      </c>
      <c r="J69">
        <f>'5-alternativess'!I77</f>
        <v>7719528.1049338579</v>
      </c>
      <c r="M69">
        <v>5</v>
      </c>
      <c r="N69">
        <f>'5-alternativess'!B84</f>
        <v>1.4836312584901913E-3</v>
      </c>
      <c r="O69">
        <f>'5-alternativess'!C84</f>
        <v>2.0908181685988687E-3</v>
      </c>
      <c r="P69">
        <f>'5-alternativess'!D84</f>
        <v>0.18700709018928924</v>
      </c>
      <c r="Q69">
        <f>'5-alternativess'!E84</f>
        <v>0.80941846038362164</v>
      </c>
    </row>
    <row r="71" spans="2:32" x14ac:dyDescent="0.2">
      <c r="B71" t="s">
        <v>17</v>
      </c>
      <c r="C71">
        <f>baseline!E13</f>
        <v>220645611.45280784</v>
      </c>
      <c r="D71">
        <f>baseline!E14</f>
        <v>17783402.334377538</v>
      </c>
      <c r="E71">
        <f>baseline!E15</f>
        <v>945008731.76302552</v>
      </c>
      <c r="F71">
        <f>baseline!E16</f>
        <v>14715715.363308847</v>
      </c>
      <c r="G71">
        <f>baseline!E17</f>
        <v>482022047.71503621</v>
      </c>
      <c r="H71">
        <f>baseline!E18</f>
        <v>163425102.45199502</v>
      </c>
      <c r="I71">
        <f>SUM(C71:H71)</f>
        <v>1843600611.0805511</v>
      </c>
      <c r="M71" t="s">
        <v>17</v>
      </c>
      <c r="N71">
        <f>baseline!U11</f>
        <v>1.4203668649928164E-4</v>
      </c>
      <c r="O71">
        <f>baseline!U12</f>
        <v>1.8732417795763855E-3</v>
      </c>
      <c r="P71">
        <f>baseline!U13</f>
        <v>0.14709617557391488</v>
      </c>
      <c r="Q71">
        <f>baseline!U14</f>
        <v>0.85088854596000951</v>
      </c>
    </row>
    <row r="72" spans="2:32" x14ac:dyDescent="0.2">
      <c r="B72">
        <v>1</v>
      </c>
      <c r="C72">
        <f>'1-incineration improvement'!J71</f>
        <v>217615766.68142328</v>
      </c>
      <c r="D72">
        <f>'1-incineration improvement'!K71</f>
        <v>15253441.412891414</v>
      </c>
      <c r="E72">
        <f>'1-incineration improvement'!L71</f>
        <v>813777797.80035067</v>
      </c>
      <c r="F72">
        <f>'1-incineration improvement'!M71</f>
        <v>14565309.947677851</v>
      </c>
      <c r="G72">
        <f>'1-incineration improvement'!N71</f>
        <v>417609495.08205819</v>
      </c>
      <c r="H72">
        <f>'1-incineration improvement'!O71</f>
        <v>162560027.62166253</v>
      </c>
      <c r="I72">
        <f>'1-incineration improvement'!P71</f>
        <v>1641381838.5460639</v>
      </c>
      <c r="J72">
        <f>'1-incineration improvement'!Q71</f>
        <v>26519683.699955463</v>
      </c>
      <c r="M72">
        <v>1</v>
      </c>
      <c r="N72">
        <f>'1-incineration improvement'!J75</f>
        <v>2.1092890408977915E-3</v>
      </c>
      <c r="O72">
        <f>'1-incineration improvement'!K75</f>
        <v>2.7218940797295158E-3</v>
      </c>
      <c r="P72">
        <f>'1-incineration improvement'!L75</f>
        <v>0.25691281338281063</v>
      </c>
      <c r="Q72">
        <f>'1-incineration improvement'!M75</f>
        <v>0.73825600349656217</v>
      </c>
    </row>
    <row r="73" spans="2:32" x14ac:dyDescent="0.2">
      <c r="B73">
        <v>2</v>
      </c>
      <c r="C73">
        <f>'2-better separation'!J71</f>
        <v>214378335.92664841</v>
      </c>
      <c r="D73">
        <f>'2-better separation'!K71</f>
        <v>12876447.965339035</v>
      </c>
      <c r="E73">
        <f>'2-better separation'!L71</f>
        <v>690449454.65522313</v>
      </c>
      <c r="F73">
        <f>'2-better separation'!M71</f>
        <v>14397224.004047655</v>
      </c>
      <c r="G73">
        <f>'2-better separation'!N71</f>
        <v>357033660.09305263</v>
      </c>
      <c r="H73">
        <f>'2-better separation'!O71</f>
        <v>161438899.6810827</v>
      </c>
      <c r="I73">
        <f>'2-better separation'!P71</f>
        <v>1450574022.3253937</v>
      </c>
      <c r="J73">
        <f>'2-better separation'!Q71</f>
        <v>88480967.841112852</v>
      </c>
      <c r="M73">
        <v>2</v>
      </c>
      <c r="N73">
        <f>'2-better separation'!J75</f>
        <v>2.3919693431232406E-3</v>
      </c>
      <c r="O73">
        <f>'2-better separation'!K75</f>
        <v>3.0866550802892872E-3</v>
      </c>
      <c r="P73">
        <f>'2-better separation'!L75</f>
        <v>0.29134165655034683</v>
      </c>
      <c r="Q73">
        <f>'2-better separation'!M75</f>
        <v>0.70317971902624077</v>
      </c>
    </row>
    <row r="74" spans="2:32" x14ac:dyDescent="0.2">
      <c r="B74">
        <v>3</v>
      </c>
      <c r="C74">
        <f>'3-Source management'!J71</f>
        <v>211158015.07476521</v>
      </c>
      <c r="D74">
        <f>'3-Source management'!K71</f>
        <v>10019789.029436002</v>
      </c>
      <c r="E74">
        <f>'3-Source management'!L71</f>
        <v>542311978.7069819</v>
      </c>
      <c r="F74">
        <f>'3-Source management'!M71</f>
        <v>14241152.568810888</v>
      </c>
      <c r="G74">
        <f>'3-Source management'!N71</f>
        <v>284332223.33170295</v>
      </c>
      <c r="H74">
        <f>'3-Source management'!O71</f>
        <v>160627957.31536609</v>
      </c>
      <c r="I74">
        <f>'3-Source management'!P71</f>
        <v>1222691116.0270629</v>
      </c>
      <c r="J74">
        <f>'3-Source management'!Q71</f>
        <v>36263998.068792343</v>
      </c>
      <c r="M74">
        <v>3</v>
      </c>
      <c r="N74">
        <f>'3-Source management'!J75</f>
        <v>2.8349379577096434E-3</v>
      </c>
      <c r="O74">
        <f>'3-Source management'!K75</f>
        <v>3.6583205732780566E-3</v>
      </c>
      <c r="P74">
        <f>'3-Source management'!L75</f>
        <v>0.34529984489228782</v>
      </c>
      <c r="Q74">
        <f>'3-Source management'!M75</f>
        <v>0.64820689657672437</v>
      </c>
    </row>
    <row r="75" spans="2:32" x14ac:dyDescent="0.2">
      <c r="B75">
        <v>4</v>
      </c>
      <c r="C75">
        <f>'4-Cascade'!J72</f>
        <v>196447276.88285929</v>
      </c>
      <c r="D75">
        <f>'4-Cascade'!K72</f>
        <v>15063024.954677802</v>
      </c>
      <c r="E75">
        <f>'4-Cascade'!L72</f>
        <v>801487621.5182085</v>
      </c>
      <c r="F75">
        <f>'4-Cascade'!M72</f>
        <v>13119240.407139499</v>
      </c>
      <c r="G75">
        <f>'4-Cascade'!N72</f>
        <v>409689706.30917287</v>
      </c>
      <c r="H75">
        <f>'4-Cascade'!O72</f>
        <v>145953514.56423029</v>
      </c>
      <c r="I75">
        <f>'4-Cascade'!P72</f>
        <v>1581760384.6362882</v>
      </c>
      <c r="J75">
        <f>'4-Cascade'!Q72</f>
        <v>65642666.722136974</v>
      </c>
      <c r="M75">
        <v>4</v>
      </c>
      <c r="N75">
        <f>'4-Cascade'!J79</f>
        <v>1.9573953444146398E-3</v>
      </c>
      <c r="O75">
        <f>'4-Cascade'!K79</f>
        <v>2.5257958074202179E-3</v>
      </c>
      <c r="P75">
        <f>'4-Cascade'!L79</f>
        <v>0.23840340809096205</v>
      </c>
      <c r="Q75">
        <f>'4-Cascade'!M79</f>
        <v>0.75711340075720313</v>
      </c>
    </row>
    <row r="76" spans="2:32" x14ac:dyDescent="0.2">
      <c r="B76">
        <v>5</v>
      </c>
      <c r="C76">
        <f>'5-alternativess'!J77</f>
        <v>54925668.186214954</v>
      </c>
      <c r="D76">
        <f>'5-alternativess'!K77</f>
        <v>16835196.573410641</v>
      </c>
      <c r="E76">
        <f>'5-alternativess'!L77</f>
        <v>895814929.7541616</v>
      </c>
      <c r="F76">
        <f>'5-alternativess'!M77</f>
        <v>14663131.584329359</v>
      </c>
      <c r="G76">
        <f>'5-alternativess'!N77</f>
        <v>457889529.34653461</v>
      </c>
      <c r="H76">
        <f>'5-alternativess'!O77</f>
        <v>163147395.12592995</v>
      </c>
      <c r="I76">
        <f>'5-alternativess'!P77</f>
        <v>1603275850.5705812</v>
      </c>
      <c r="J76">
        <f>'5-alternativess'!Q77</f>
        <v>55891805.858142853</v>
      </c>
      <c r="M76">
        <v>5</v>
      </c>
      <c r="N76">
        <f>'5-alternativess'!J84</f>
        <v>1.4928846557254664E-3</v>
      </c>
      <c r="O76">
        <f>'5-alternativess'!K84</f>
        <v>2.3209806380057787E-3</v>
      </c>
      <c r="P76">
        <f>'5-alternativess'!L84</f>
        <v>0.21213484499280894</v>
      </c>
      <c r="Q76">
        <f>'5-alternativess'!M84</f>
        <v>0.78405128971345983</v>
      </c>
    </row>
    <row r="79" spans="2:32" x14ac:dyDescent="0.2">
      <c r="B79" t="s">
        <v>10</v>
      </c>
      <c r="C79">
        <f>C64/$I$64</f>
        <v>0.11900470501772097</v>
      </c>
      <c r="D79">
        <f t="shared" ref="D79:J79" si="24">D64/$I$64</f>
        <v>1.0147521008238713E-2</v>
      </c>
      <c r="E79">
        <f t="shared" si="24"/>
        <v>0.52407628203820644</v>
      </c>
      <c r="F79">
        <f t="shared" si="24"/>
        <v>7.9243429097089653E-3</v>
      </c>
      <c r="G79">
        <f t="shared" si="24"/>
        <v>0.26922731661621141</v>
      </c>
      <c r="H79">
        <f t="shared" si="24"/>
        <v>6.961983240991354E-2</v>
      </c>
      <c r="I79">
        <f t="shared" si="24"/>
        <v>1</v>
      </c>
      <c r="J79">
        <f t="shared" si="24"/>
        <v>0</v>
      </c>
    </row>
    <row r="80" spans="2:32" x14ac:dyDescent="0.2">
      <c r="B80" t="s">
        <v>18</v>
      </c>
      <c r="C80">
        <f t="shared" ref="C80:J80" si="25">C65/$I$64</f>
        <v>0.11706617158540211</v>
      </c>
      <c r="D80">
        <f t="shared" si="25"/>
        <v>8.783373327850081E-3</v>
      </c>
      <c r="E80">
        <f t="shared" si="25"/>
        <v>0.4551847896546562</v>
      </c>
      <c r="F80">
        <f t="shared" si="25"/>
        <v>7.8223576936141785E-3</v>
      </c>
      <c r="G80">
        <f t="shared" si="25"/>
        <v>0.23505744581897769</v>
      </c>
      <c r="H80">
        <f t="shared" si="25"/>
        <v>6.9058206154888946E-2</v>
      </c>
      <c r="I80">
        <f t="shared" si="25"/>
        <v>0.89297234423538918</v>
      </c>
      <c r="J80">
        <f t="shared" si="25"/>
        <v>1.3913322099624738E-2</v>
      </c>
    </row>
    <row r="81" spans="2:26" x14ac:dyDescent="0.2">
      <c r="B81" t="s">
        <v>19</v>
      </c>
      <c r="C81">
        <f t="shared" ref="C81:J81" si="26">C66/$I$64</f>
        <v>0.11516797794578926</v>
      </c>
      <c r="D81">
        <f t="shared" si="26"/>
        <v>7.2884577584972372E-3</v>
      </c>
      <c r="E81">
        <f t="shared" si="26"/>
        <v>0.3796957509190852</v>
      </c>
      <c r="F81">
        <f t="shared" si="26"/>
        <v>7.7260922697531664E-3</v>
      </c>
      <c r="G81">
        <f t="shared" si="26"/>
        <v>0.19765155576127127</v>
      </c>
      <c r="H81">
        <f t="shared" si="26"/>
        <v>6.8588266465199971E-2</v>
      </c>
      <c r="I81">
        <f t="shared" si="26"/>
        <v>0.77611810111959623</v>
      </c>
      <c r="J81">
        <f t="shared" si="26"/>
        <v>5.0651145980138021E-2</v>
      </c>
    </row>
    <row r="82" spans="2:26" x14ac:dyDescent="0.2">
      <c r="B82" t="s">
        <v>20</v>
      </c>
      <c r="C82">
        <f t="shared" ref="C82:J82" si="27">C67/$I$64</f>
        <v>0.11312880094498962</v>
      </c>
      <c r="D82">
        <f t="shared" si="27"/>
        <v>5.6253241346863559E-3</v>
      </c>
      <c r="E82">
        <f t="shared" si="27"/>
        <v>0.2957316439056899</v>
      </c>
      <c r="F82">
        <f t="shared" si="27"/>
        <v>7.6239696438109572E-3</v>
      </c>
      <c r="G82">
        <f t="shared" si="27"/>
        <v>0.15604265479066551</v>
      </c>
      <c r="H82">
        <f t="shared" si="27"/>
        <v>6.810783594689325E-2</v>
      </c>
      <c r="I82">
        <f t="shared" si="27"/>
        <v>0.64626022936673555</v>
      </c>
      <c r="J82">
        <f t="shared" si="27"/>
        <v>1.9667585963973552E-2</v>
      </c>
    </row>
    <row r="83" spans="2:26" x14ac:dyDescent="0.2">
      <c r="B83" t="s">
        <v>21</v>
      </c>
      <c r="C83">
        <f t="shared" ref="C83:J83" si="28">C68/$I$64</f>
        <v>0.11442049289694768</v>
      </c>
      <c r="D83">
        <f t="shared" si="28"/>
        <v>9.7239088696120524E-3</v>
      </c>
      <c r="E83">
        <f t="shared" si="28"/>
        <v>0.50229919303687143</v>
      </c>
      <c r="F83">
        <f t="shared" si="28"/>
        <v>7.6198267147370999E-3</v>
      </c>
      <c r="G83">
        <f t="shared" si="28"/>
        <v>0.2580217844352618</v>
      </c>
      <c r="H83">
        <f t="shared" si="28"/>
        <v>6.6940491281507822E-2</v>
      </c>
      <c r="I83">
        <f t="shared" si="28"/>
        <v>0.95902569723493802</v>
      </c>
      <c r="J83">
        <f t="shared" si="28"/>
        <v>6.2621619541795336E-3</v>
      </c>
    </row>
    <row r="84" spans="2:26" x14ac:dyDescent="0.2">
      <c r="B84" t="s">
        <v>22</v>
      </c>
      <c r="C84">
        <f t="shared" ref="C84:J84" si="29">C69/$I$64</f>
        <v>2.9675749217638516E-2</v>
      </c>
      <c r="D84">
        <f t="shared" si="29"/>
        <v>1.0088156013828141E-2</v>
      </c>
      <c r="E84">
        <f t="shared" si="29"/>
        <v>0.52106832305654005</v>
      </c>
      <c r="F84">
        <f t="shared" si="29"/>
        <v>7.9056251673314364E-3</v>
      </c>
      <c r="G84">
        <f t="shared" si="29"/>
        <v>0.26770552826333349</v>
      </c>
      <c r="H84">
        <f t="shared" si="29"/>
        <v>6.9464894065979249E-2</v>
      </c>
      <c r="I84">
        <f t="shared" si="29"/>
        <v>0.90590827578465094</v>
      </c>
      <c r="J84">
        <f t="shared" si="29"/>
        <v>2.9607143511665917E-2</v>
      </c>
    </row>
    <row r="86" spans="2:26" x14ac:dyDescent="0.2">
      <c r="B86" t="s">
        <v>17</v>
      </c>
      <c r="C86">
        <f>C71/$I$71</f>
        <v>0.11968189320759957</v>
      </c>
      <c r="D86">
        <f t="shared" ref="D86:J86" si="30">D71/$I$71</f>
        <v>9.6460167280778483E-3</v>
      </c>
      <c r="E86">
        <f t="shared" si="30"/>
        <v>0.51258864099049484</v>
      </c>
      <c r="F86">
        <f t="shared" si="30"/>
        <v>7.9820516845477887E-3</v>
      </c>
      <c r="G86">
        <f t="shared" si="30"/>
        <v>0.2614568713082161</v>
      </c>
      <c r="H86">
        <f t="shared" si="30"/>
        <v>8.8644526081063768E-2</v>
      </c>
      <c r="I86">
        <f t="shared" si="30"/>
        <v>1</v>
      </c>
      <c r="J86">
        <f t="shared" si="30"/>
        <v>0</v>
      </c>
    </row>
    <row r="87" spans="2:26" x14ac:dyDescent="0.2">
      <c r="B87" t="s">
        <v>23</v>
      </c>
      <c r="C87">
        <f t="shared" ref="C87:J87" si="31">C72/$I$71</f>
        <v>0.11803845441007783</v>
      </c>
      <c r="D87">
        <f t="shared" si="31"/>
        <v>8.2737233439900155E-3</v>
      </c>
      <c r="E87">
        <f t="shared" si="31"/>
        <v>0.44140677373901938</v>
      </c>
      <c r="F87">
        <f t="shared" si="31"/>
        <v>7.9004692557250733E-3</v>
      </c>
      <c r="G87">
        <f t="shared" si="31"/>
        <v>0.22651841867056741</v>
      </c>
      <c r="H87">
        <f t="shared" si="31"/>
        <v>8.8175294933529352E-2</v>
      </c>
      <c r="I87">
        <f t="shared" si="31"/>
        <v>0.89031313435290904</v>
      </c>
      <c r="J87">
        <f t="shared" si="31"/>
        <v>1.4384722775944424E-2</v>
      </c>
    </row>
    <row r="88" spans="2:26" x14ac:dyDescent="0.2">
      <c r="B88" t="s">
        <v>24</v>
      </c>
      <c r="C88">
        <f t="shared" ref="C88:J88" si="32">C73/$I$71</f>
        <v>0.11628241748140847</v>
      </c>
      <c r="D88">
        <f t="shared" si="32"/>
        <v>6.9844020922687974E-3</v>
      </c>
      <c r="E88">
        <f t="shared" si="32"/>
        <v>0.37451140475080685</v>
      </c>
      <c r="F88">
        <f t="shared" si="32"/>
        <v>7.8092966109450952E-3</v>
      </c>
      <c r="G88">
        <f t="shared" si="32"/>
        <v>0.19366106625653154</v>
      </c>
      <c r="H88">
        <f t="shared" si="32"/>
        <v>8.7567176269518529E-2</v>
      </c>
      <c r="I88">
        <f t="shared" si="32"/>
        <v>0.7868157634614793</v>
      </c>
      <c r="J88">
        <f t="shared" si="32"/>
        <v>4.7993566127781523E-2</v>
      </c>
    </row>
    <row r="89" spans="2:26" x14ac:dyDescent="0.2">
      <c r="B89" t="s">
        <v>25</v>
      </c>
      <c r="C89">
        <f t="shared" ref="C89:J89" si="33">C74/$I$71</f>
        <v>0.11453566125203417</v>
      </c>
      <c r="D89">
        <f t="shared" si="33"/>
        <v>5.434902206700459E-3</v>
      </c>
      <c r="E89">
        <f t="shared" si="33"/>
        <v>0.29415914458236586</v>
      </c>
      <c r="F89">
        <f t="shared" si="33"/>
        <v>7.7246408377267886E-3</v>
      </c>
      <c r="G89">
        <f t="shared" si="33"/>
        <v>0.15422658336235484</v>
      </c>
      <c r="H89">
        <f t="shared" si="33"/>
        <v>8.7127307481863203E-2</v>
      </c>
      <c r="I89">
        <f t="shared" si="33"/>
        <v>0.66320823972304521</v>
      </c>
      <c r="J89">
        <f t="shared" si="33"/>
        <v>1.9670202890385072E-2</v>
      </c>
    </row>
    <row r="90" spans="2:26" x14ac:dyDescent="0.2">
      <c r="B90" t="s">
        <v>26</v>
      </c>
      <c r="C90">
        <f t="shared" ref="C90:J90" si="34">C75/$I$71</f>
        <v>0.10655630926902315</v>
      </c>
      <c r="D90">
        <f t="shared" si="34"/>
        <v>8.1704382522683281E-3</v>
      </c>
      <c r="E90">
        <f t="shared" si="34"/>
        <v>0.434740375274908</v>
      </c>
      <c r="F90">
        <f t="shared" si="34"/>
        <v>7.1160967989971494E-3</v>
      </c>
      <c r="G90">
        <f t="shared" si="34"/>
        <v>0.22222259194688052</v>
      </c>
      <c r="H90">
        <f t="shared" si="34"/>
        <v>7.9167642756792972E-2</v>
      </c>
      <c r="I90">
        <f t="shared" si="34"/>
        <v>0.85797345429887006</v>
      </c>
      <c r="J90">
        <f t="shared" si="34"/>
        <v>3.5605687222930137E-2</v>
      </c>
    </row>
    <row r="91" spans="2:26" x14ac:dyDescent="0.2">
      <c r="B91" t="s">
        <v>27</v>
      </c>
      <c r="C91">
        <f t="shared" ref="C91:J91" si="35">C76/$I$71</f>
        <v>2.9792606845591419E-2</v>
      </c>
      <c r="D91">
        <f t="shared" si="35"/>
        <v>9.1316939646398677E-3</v>
      </c>
      <c r="E91">
        <f t="shared" si="35"/>
        <v>0.48590509482914324</v>
      </c>
      <c r="F91">
        <f t="shared" si="35"/>
        <v>7.9535293578228763E-3</v>
      </c>
      <c r="G91">
        <f t="shared" si="35"/>
        <v>0.24836698718501801</v>
      </c>
      <c r="H91">
        <f t="shared" si="35"/>
        <v>8.8493892953478565E-2</v>
      </c>
      <c r="I91">
        <f t="shared" si="35"/>
        <v>0.86964380513569395</v>
      </c>
      <c r="J91">
        <f t="shared" si="35"/>
        <v>3.0316656179336019E-2</v>
      </c>
    </row>
    <row r="94" spans="2:26" x14ac:dyDescent="0.2">
      <c r="C94" t="s">
        <v>11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J94" t="s">
        <v>0</v>
      </c>
      <c r="M94" t="s">
        <v>28</v>
      </c>
      <c r="N94" t="s">
        <v>29</v>
      </c>
      <c r="O94" t="s">
        <v>30</v>
      </c>
      <c r="P94" t="s">
        <v>31</v>
      </c>
      <c r="Q94" t="s">
        <v>32</v>
      </c>
      <c r="S94" t="str" cm="1">
        <f t="array" ref="S94">INDEX($M$94:$Q$101, COLUMN(A1), ROW(A1))</f>
        <v>share cc</v>
      </c>
      <c r="T94" t="str" cm="1">
        <f t="array" ref="T94">INDEX($M$94:$Q$101, COLUMN(B1), ROW(B1))</f>
        <v>2025 Basic</v>
      </c>
      <c r="U94" cm="1">
        <f t="array" ref="U94">INDEX($M$94:$Q$101, COLUMN(C1), ROW(C1))</f>
        <v>4</v>
      </c>
      <c r="V94" cm="1">
        <f t="array" ref="V94">INDEX($M$94:$Q$101, COLUMN(D1), ROW(D1))</f>
        <v>5</v>
      </c>
      <c r="W94" cm="1">
        <f t="array" ref="W94">INDEX($M$94:$Q$101, COLUMN(E1), ROW(E1))</f>
        <v>0</v>
      </c>
      <c r="X94" t="str" cm="1">
        <f t="array" ref="X94">INDEX($M$94:$Q$101, COLUMN(F1), ROW(F1))</f>
        <v>2030 Basic</v>
      </c>
      <c r="Y94" cm="1">
        <f t="array" ref="Y94">INDEX($M$94:$Q$101, COLUMN(G1), ROW(G1))</f>
        <v>4</v>
      </c>
      <c r="Z94" cm="1">
        <f t="array" ref="Z94">INDEX($M$94:$Q$101, COLUMN(H1), ROW(H1))</f>
        <v>5</v>
      </c>
    </row>
    <row r="95" spans="2:26" x14ac:dyDescent="0.2">
      <c r="B95" t="s">
        <v>10</v>
      </c>
      <c r="C95">
        <f>baseline!G5</f>
        <v>793.19492925674683</v>
      </c>
      <c r="D95">
        <f>baseline!G6</f>
        <v>18.675883076269283</v>
      </c>
      <c r="E95">
        <f>baseline!G7</f>
        <v>1028.0208422367455</v>
      </c>
      <c r="F95">
        <f>baseline!G8</f>
        <v>53.907243290017455</v>
      </c>
      <c r="G95">
        <f>baseline!G9</f>
        <v>578.539423277894</v>
      </c>
      <c r="H95">
        <f>baseline!G10</f>
        <v>521.70404251919263</v>
      </c>
      <c r="I95">
        <f>SUM(C95:H95)</f>
        <v>2994.0423636568657</v>
      </c>
      <c r="M95" t="s">
        <v>10</v>
      </c>
      <c r="N95" cm="1">
        <f t="array" ref="N95">INDEX(baseline!$X$5:'baseline'!$X$8, COLUMN(A1), ROW(A1))</f>
        <v>4.2063434671627941E-3</v>
      </c>
      <c r="O95" cm="1">
        <f t="array" ref="O95">INDEX(baseline!$X$5:'baseline'!$X$8, COLUMN(B1), ROW(B1))</f>
        <v>4.9864439752006686E-3</v>
      </c>
      <c r="P95" cm="1">
        <f t="array" ref="P95">INDEX(baseline!$X$5:'baseline'!$X$8, COLUMN(C1), ROW(C1))</f>
        <v>0.50945152303043884</v>
      </c>
      <c r="Q95" cm="1">
        <f t="array" ref="Q95">INDEX(baseline!$X$5:'baseline'!$X$8, COLUMN(D1), ROW(D1))</f>
        <v>0.48135568952719765</v>
      </c>
      <c r="S95" t="str" cm="1">
        <f t="array" ref="S95">INDEX($M$94:$Q$101, COLUMN(A2), ROW(A2))</f>
        <v>Gas</v>
      </c>
      <c r="T95" cm="1">
        <f t="array" ref="T95">INDEX($M$94:$Q$101, COLUMN(B2), ROW(B2))</f>
        <v>4.2063434671627941E-3</v>
      </c>
      <c r="U95" cm="1">
        <f t="array" ref="U95">INDEX($M$94:$Q$101, COLUMN(C2), ROW(C2))</f>
        <v>4.2063434671627941E-3</v>
      </c>
      <c r="V95" cm="1">
        <f t="array" ref="V95">INDEX($M$94:$Q$101, COLUMN(D2), ROW(D2))</f>
        <v>1.4739529008347288E-3</v>
      </c>
      <c r="W95" cm="1">
        <f t="array" ref="W95">INDEX($M$94:$Q$101, COLUMN(E2), ROW(E2))</f>
        <v>0</v>
      </c>
      <c r="X95" cm="1">
        <f t="array" ref="X95">INDEX($M$94:$Q$101, COLUMN(F2), ROW(F2))</f>
        <v>3.9831746803340095E-3</v>
      </c>
      <c r="Y95" cm="1">
        <f t="array" ref="Y95">INDEX($M$94:$Q$101, COLUMN(G2), ROW(G2))</f>
        <v>3.9832364171840801E-3</v>
      </c>
      <c r="Z95" cm="1">
        <f t="array" ref="Z95">INDEX($M$94:$Q$101, COLUMN(H2), ROW(H2))</f>
        <v>1.3824882951012603E-3</v>
      </c>
    </row>
    <row r="96" spans="2:26" x14ac:dyDescent="0.2">
      <c r="B96">
        <v>4</v>
      </c>
      <c r="C96">
        <f>'4-Cascade'!B74</f>
        <v>765.16326115337847</v>
      </c>
      <c r="D96">
        <f>'4-Cascade'!C74</f>
        <v>18.015873617532769</v>
      </c>
      <c r="E96">
        <f>'4-Cascade'!D74</f>
        <v>991.78284436598119</v>
      </c>
      <c r="F96">
        <f>'4-Cascade'!E74</f>
        <v>52.002150485542174</v>
      </c>
      <c r="G96">
        <f>'4-Cascade'!F74</f>
        <v>558.05552672561771</v>
      </c>
      <c r="H96">
        <f>'4-Cascade'!G74</f>
        <v>503.16592696335238</v>
      </c>
      <c r="I96">
        <f>'4-Cascade'!H74</f>
        <v>2888.185583311405</v>
      </c>
      <c r="J96">
        <f>'4-Cascade'!I74</f>
        <v>18.918442490226425</v>
      </c>
      <c r="M96">
        <v>4</v>
      </c>
      <c r="N96">
        <f>N95</f>
        <v>4.2063434671627941E-3</v>
      </c>
      <c r="O96">
        <f>O95</f>
        <v>4.9864439752006686E-3</v>
      </c>
      <c r="P96">
        <f>P95</f>
        <v>0.50945152303043884</v>
      </c>
      <c r="Q96">
        <f>Q95</f>
        <v>0.48135568952719765</v>
      </c>
      <c r="S96" t="str" cm="1">
        <f t="array" ref="S96">INDEX($M$94:$Q$101, COLUMN(A3), ROW(A3))</f>
        <v>Solid</v>
      </c>
      <c r="T96" cm="1">
        <f t="array" ref="T96">INDEX($M$94:$Q$101, COLUMN(B3), ROW(B3))</f>
        <v>4.9864439752006686E-3</v>
      </c>
      <c r="U96" cm="1">
        <f t="array" ref="U96">INDEX($M$94:$Q$101, COLUMN(C3), ROW(C3))</f>
        <v>4.9864439752006686E-3</v>
      </c>
      <c r="V96" cm="1">
        <f t="array" ref="V96">INDEX($M$94:$Q$101, COLUMN(D3), ROW(D3))</f>
        <v>4.4357725824891257E-3</v>
      </c>
      <c r="W96" cm="1">
        <f t="array" ref="W96">INDEX($M$94:$Q$101, COLUMN(E3), ROW(E3))</f>
        <v>0</v>
      </c>
      <c r="X96" cm="1">
        <f t="array" ref="X96">INDEX($M$94:$Q$101, COLUMN(F3), ROW(F3))</f>
        <v>5.1401623997618176E-3</v>
      </c>
      <c r="Y96" cm="1">
        <f t="array" ref="Y96">INDEX($M$94:$Q$101, COLUMN(G3), ROW(G3))</f>
        <v>5.1401286477675175E-3</v>
      </c>
      <c r="Z96" cm="1">
        <f t="array" ref="Z96">INDEX($M$94:$Q$101, COLUMN(H3), ROW(H3))</f>
        <v>4.6642942033764921E-3</v>
      </c>
    </row>
    <row r="97" spans="2:29" x14ac:dyDescent="0.2">
      <c r="B97">
        <v>5</v>
      </c>
      <c r="C97">
        <f>'5-alternativess'!B79</f>
        <v>198.29873231418671</v>
      </c>
      <c r="D97">
        <f>'5-alternativess'!C79</f>
        <v>18.675883076269283</v>
      </c>
      <c r="E97">
        <f>'5-alternativess'!D79</f>
        <v>1028.0208422367455</v>
      </c>
      <c r="F97">
        <f>'5-alternativess'!E79</f>
        <v>53.907243290017455</v>
      </c>
      <c r="G97">
        <f>'5-alternativess'!F79</f>
        <v>578.539423277894</v>
      </c>
      <c r="H97">
        <f>'5-alternativess'!G79</f>
        <v>521.70404251919263</v>
      </c>
      <c r="I97">
        <f>'5-alternativess'!H79</f>
        <v>2399.1461667143058</v>
      </c>
      <c r="J97">
        <f>'5-alternativess'!I79</f>
        <v>198.29873231418696</v>
      </c>
      <c r="M97">
        <v>5</v>
      </c>
      <c r="N97">
        <f>'5-alternativess'!B86</f>
        <v>1.4739529008347288E-3</v>
      </c>
      <c r="O97">
        <f>'5-alternativess'!C86</f>
        <v>4.4357725824891257E-3</v>
      </c>
      <c r="P97">
        <f>'5-alternativess'!D86</f>
        <v>0.39497209721255677</v>
      </c>
      <c r="Q97">
        <f>'5-alternativess'!E86</f>
        <v>0.59911817730411931</v>
      </c>
      <c r="S97" t="str" cm="1">
        <f t="array" ref="S97">INDEX($M$94:$Q$101, COLUMN(A4), ROW(A4))</f>
        <v>Solvent</v>
      </c>
      <c r="T97" cm="1">
        <f t="array" ref="T97">INDEX($M$94:$Q$101, COLUMN(B4), ROW(B4))</f>
        <v>0.50945152303043884</v>
      </c>
      <c r="U97" cm="1">
        <f t="array" ref="U97">INDEX($M$94:$Q$101, COLUMN(C4), ROW(C4))</f>
        <v>0.50945152303043884</v>
      </c>
      <c r="V97" cm="1">
        <f t="array" ref="V97">INDEX($M$94:$Q$101, COLUMN(D4), ROW(D4))</f>
        <v>0.39497209721255677</v>
      </c>
      <c r="W97" cm="1">
        <f t="array" ref="W97">INDEX($M$94:$Q$101, COLUMN(E4), ROW(E4))</f>
        <v>0</v>
      </c>
      <c r="X97" cm="1">
        <f t="array" ref="X97">INDEX($M$94:$Q$101, COLUMN(F4), ROW(F4))</f>
        <v>0.52388117459776706</v>
      </c>
      <c r="Y97" cm="1">
        <f t="array" ref="Y97">INDEX($M$94:$Q$101, COLUMN(G4), ROW(G4))</f>
        <v>0.52387883905572974</v>
      </c>
      <c r="Z97" cm="1">
        <f t="array" ref="Z97">INDEX($M$94:$Q$101, COLUMN(H4), ROW(H4))</f>
        <v>0.42069522458864372</v>
      </c>
    </row>
    <row r="98" spans="2:29" x14ac:dyDescent="0.2">
      <c r="S98" t="str" cm="1">
        <f t="array" ref="S98">INDEX($M$94:$Q$101, COLUMN(A5), ROW(A5))</f>
        <v>Water</v>
      </c>
      <c r="T98" cm="1">
        <f t="array" ref="T98">INDEX($M$94:$Q$101, COLUMN(B5), ROW(B5))</f>
        <v>0.48135568952719765</v>
      </c>
      <c r="U98" cm="1">
        <f t="array" ref="U98">INDEX($M$94:$Q$101, COLUMN(C5), ROW(C5))</f>
        <v>0.48135568952719765</v>
      </c>
      <c r="V98" cm="1">
        <f t="array" ref="V98">INDEX($M$94:$Q$101, COLUMN(D5), ROW(D5))</f>
        <v>0.59911817730411931</v>
      </c>
      <c r="W98" cm="1">
        <f t="array" ref="W98">INDEX($M$94:$Q$101, COLUMN(E5), ROW(E5))</f>
        <v>0</v>
      </c>
      <c r="X98" cm="1">
        <f t="array" ref="X98">INDEX($M$94:$Q$101, COLUMN(F5), ROW(F5))</f>
        <v>0.46699548832213722</v>
      </c>
      <c r="Y98" cm="1">
        <f t="array" ref="Y98">INDEX($M$94:$Q$101, COLUMN(G5), ROW(G5))</f>
        <v>0.46699779587931867</v>
      </c>
      <c r="Z98" cm="1">
        <f t="array" ref="Z98">INDEX($M$94:$Q$101, COLUMN(H5), ROW(H5))</f>
        <v>0.57325799291287849</v>
      </c>
    </row>
    <row r="99" spans="2:29" x14ac:dyDescent="0.2">
      <c r="B99" t="s">
        <v>17</v>
      </c>
      <c r="C99">
        <f>baseline!G13</f>
        <v>5828.3258448266824</v>
      </c>
      <c r="D99">
        <f>baseline!G14</f>
        <v>137.22872902172634</v>
      </c>
      <c r="E99">
        <f>baseline!G15</f>
        <v>7761.644014286856</v>
      </c>
      <c r="F99">
        <f>baseline!G16</f>
        <v>396.10563267843281</v>
      </c>
      <c r="G99">
        <f>baseline!G17</f>
        <v>4326.6797023588733</v>
      </c>
      <c r="H99">
        <f>baseline!G18</f>
        <v>4833.3514231749086</v>
      </c>
      <c r="I99">
        <f>SUM(C99:H99)</f>
        <v>23283.335346347478</v>
      </c>
      <c r="M99" t="s">
        <v>17</v>
      </c>
      <c r="N99" cm="1">
        <f t="array" ref="N99">INDEX(baseline!$X$11:'baseline'!$X$14, COLUMN(A1), ROW(A1))</f>
        <v>3.9831746803340095E-3</v>
      </c>
      <c r="O99" cm="1">
        <f t="array" ref="O99">INDEX(baseline!$X$11:'baseline'!$X$14, COLUMN(B1), ROW(B1))</f>
        <v>5.1401623997618176E-3</v>
      </c>
      <c r="P99" cm="1">
        <f t="array" ref="P99">INDEX(baseline!$X$11:'baseline'!$X$14, COLUMN(C1), ROW(C1))</f>
        <v>0.52388117459776706</v>
      </c>
      <c r="Q99" cm="1">
        <f t="array" ref="Q99">INDEX(baseline!$X$11:'baseline'!$X$14, COLUMN(D1), ROW(D1))</f>
        <v>0.46699548832213722</v>
      </c>
    </row>
    <row r="100" spans="2:29" x14ac:dyDescent="0.2">
      <c r="B100">
        <v>4</v>
      </c>
      <c r="C100">
        <f>'4-Cascade'!J74</f>
        <v>5213.9771013196078</v>
      </c>
      <c r="D100">
        <f>'4-Cascade'!K74</f>
        <v>122.76380384558811</v>
      </c>
      <c r="E100">
        <f>'4-Cascade'!L74</f>
        <v>6943.3433294371935</v>
      </c>
      <c r="F100">
        <f>'4-Cascade'!M74</f>
        <v>354.35316306521281</v>
      </c>
      <c r="G100">
        <f>'4-Cascade'!N74</f>
        <v>3870.6227131171017</v>
      </c>
      <c r="H100">
        <f>'4-Cascade'!O74</f>
        <v>4323.5580722801005</v>
      </c>
      <c r="I100">
        <f>'4-Cascade'!P74</f>
        <v>20828.618183064806</v>
      </c>
      <c r="J100">
        <f>'4-Cascade'!Q74</f>
        <v>864.49114424578511</v>
      </c>
      <c r="M100">
        <v>4</v>
      </c>
      <c r="N100">
        <f>'4-Cascade'!AA33</f>
        <v>3.9832364171840801E-3</v>
      </c>
      <c r="O100">
        <f>'4-Cascade'!AB33</f>
        <v>5.1401286477675175E-3</v>
      </c>
      <c r="P100">
        <f>'4-Cascade'!AC33</f>
        <v>0.52387883905572974</v>
      </c>
      <c r="Q100">
        <f>'4-Cascade'!AD33</f>
        <v>0.46699779587931867</v>
      </c>
    </row>
    <row r="101" spans="2:29" x14ac:dyDescent="0.2">
      <c r="B101">
        <v>5</v>
      </c>
      <c r="C101">
        <f>'5-alternativess'!J79</f>
        <v>1457.0814612066706</v>
      </c>
      <c r="D101">
        <f>'5-alternativess'!K79</f>
        <v>137.22872902172634</v>
      </c>
      <c r="E101">
        <f>'5-alternativess'!L79</f>
        <v>7761.644014286856</v>
      </c>
      <c r="F101">
        <f>'5-alternativess'!M79</f>
        <v>396.10563267843281</v>
      </c>
      <c r="G101">
        <f>'5-alternativess'!N79</f>
        <v>4326.6797023588733</v>
      </c>
      <c r="H101">
        <f>'5-alternativess'!O79</f>
        <v>4833.3514231749086</v>
      </c>
      <c r="I101">
        <f>'5-alternativess'!P79</f>
        <v>18912.090962727467</v>
      </c>
      <c r="J101">
        <f>'5-alternativess'!Q79</f>
        <v>1457.0814612066679</v>
      </c>
      <c r="M101">
        <v>5</v>
      </c>
      <c r="N101">
        <f>'5-alternativess'!J86</f>
        <v>1.3824882951012603E-3</v>
      </c>
      <c r="O101">
        <f>'5-alternativess'!K86</f>
        <v>4.6642942033764921E-3</v>
      </c>
      <c r="P101">
        <f>'5-alternativess'!L86</f>
        <v>0.42069522458864372</v>
      </c>
      <c r="Q101">
        <f>'5-alternativess'!M86</f>
        <v>0.57325799291287849</v>
      </c>
    </row>
    <row r="102" spans="2:29" x14ac:dyDescent="0.2">
      <c r="X102" t="s">
        <v>17</v>
      </c>
      <c r="AB102">
        <v>4</v>
      </c>
      <c r="AC102">
        <v>5</v>
      </c>
    </row>
    <row r="103" spans="2:29" x14ac:dyDescent="0.2">
      <c r="X103">
        <v>3.9831746803340095E-3</v>
      </c>
      <c r="Y103">
        <v>3.9831746803340095E-3</v>
      </c>
      <c r="Z103">
        <v>3.9831746803340095E-3</v>
      </c>
      <c r="AA103">
        <v>3.9831746803340095E-3</v>
      </c>
      <c r="AB103">
        <v>3.9831746803340095E-3</v>
      </c>
      <c r="AC103">
        <v>1.3824882951012603E-3</v>
      </c>
    </row>
    <row r="104" spans="2:29" x14ac:dyDescent="0.2">
      <c r="B104" t="s">
        <v>10</v>
      </c>
      <c r="C104">
        <f>C95/$I$95</f>
        <v>0.26492441753160562</v>
      </c>
      <c r="D104">
        <f t="shared" ref="D104:J104" si="36">D95/$I$95</f>
        <v>6.2376816383649695E-3</v>
      </c>
      <c r="E104">
        <f t="shared" si="36"/>
        <v>0.34335547643392078</v>
      </c>
      <c r="F104">
        <f t="shared" si="36"/>
        <v>1.8004836519472687E-2</v>
      </c>
      <c r="G104">
        <f t="shared" si="36"/>
        <v>0.19323020619229886</v>
      </c>
      <c r="H104">
        <f t="shared" si="36"/>
        <v>0.17424738168433707</v>
      </c>
      <c r="I104">
        <f t="shared" si="36"/>
        <v>1</v>
      </c>
      <c r="J104">
        <f t="shared" si="36"/>
        <v>0</v>
      </c>
      <c r="X104">
        <v>5.1401623997618176E-3</v>
      </c>
      <c r="Y104">
        <v>5.1401623997618176E-3</v>
      </c>
      <c r="Z104">
        <v>5.1401623997618176E-3</v>
      </c>
      <c r="AA104">
        <v>5.1401623997618176E-3</v>
      </c>
      <c r="AB104">
        <v>5.1401623997618176E-3</v>
      </c>
      <c r="AC104">
        <v>4.6642942033764921E-3</v>
      </c>
    </row>
    <row r="105" spans="2:29" x14ac:dyDescent="0.2">
      <c r="B105" t="s">
        <v>21</v>
      </c>
      <c r="C105">
        <f t="shared" ref="C105:J105" si="37">C96/$I$95</f>
        <v>0.25556193540923139</v>
      </c>
      <c r="D105">
        <f t="shared" si="37"/>
        <v>6.0172407165035996E-3</v>
      </c>
      <c r="E105">
        <f t="shared" si="37"/>
        <v>0.33125210798775628</v>
      </c>
      <c r="F105">
        <f t="shared" si="37"/>
        <v>1.7368541980824798E-2</v>
      </c>
      <c r="G105">
        <f t="shared" si="37"/>
        <v>0.18638865418190656</v>
      </c>
      <c r="H105">
        <f t="shared" si="37"/>
        <v>0.16805571393077925</v>
      </c>
      <c r="I105">
        <f t="shared" si="37"/>
        <v>0.96464419420700209</v>
      </c>
      <c r="J105">
        <f t="shared" si="37"/>
        <v>6.3186956603779659E-3</v>
      </c>
      <c r="X105">
        <v>0.52388117459776706</v>
      </c>
      <c r="Y105">
        <v>0.52388117459776706</v>
      </c>
      <c r="Z105">
        <v>0.52388117459776706</v>
      </c>
      <c r="AA105">
        <v>0.52388117459776706</v>
      </c>
      <c r="AB105">
        <v>0.52388117459776706</v>
      </c>
      <c r="AC105">
        <v>0.42069522458864372</v>
      </c>
    </row>
    <row r="106" spans="2:29" x14ac:dyDescent="0.2">
      <c r="B106" t="s">
        <v>22</v>
      </c>
      <c r="C106">
        <f t="shared" ref="C106:J106" si="38">C97/$I$95</f>
        <v>6.6231104382901404E-2</v>
      </c>
      <c r="D106">
        <f t="shared" si="38"/>
        <v>6.2376816383649695E-3</v>
      </c>
      <c r="E106">
        <f t="shared" si="38"/>
        <v>0.34335547643392078</v>
      </c>
      <c r="F106">
        <f t="shared" si="38"/>
        <v>1.8004836519472687E-2</v>
      </c>
      <c r="G106">
        <f t="shared" si="38"/>
        <v>0.19323020619229886</v>
      </c>
      <c r="H106">
        <f t="shared" si="38"/>
        <v>0.17424738168433707</v>
      </c>
      <c r="I106">
        <f t="shared" si="38"/>
        <v>0.8013066868512958</v>
      </c>
      <c r="J106">
        <f t="shared" si="38"/>
        <v>6.6231104382901487E-2</v>
      </c>
      <c r="X106">
        <v>0.46699548832213722</v>
      </c>
      <c r="Y106">
        <v>0.46699548832213722</v>
      </c>
      <c r="Z106">
        <v>0.46699548832213722</v>
      </c>
      <c r="AA106">
        <v>0.46699548832213722</v>
      </c>
      <c r="AB106">
        <v>0.46699548832213722</v>
      </c>
      <c r="AC106">
        <v>0.57325799291287849</v>
      </c>
    </row>
    <row r="108" spans="2:29" x14ac:dyDescent="0.2">
      <c r="B108" t="s">
        <v>17</v>
      </c>
      <c r="C108">
        <f>C99/$I$99</f>
        <v>0.25032177555871471</v>
      </c>
      <c r="D108">
        <f t="shared" ref="D108:J108" si="39">D99/$I$99</f>
        <v>5.8938604362477557E-3</v>
      </c>
      <c r="E108">
        <f t="shared" si="39"/>
        <v>0.33335619226497321</v>
      </c>
      <c r="F108">
        <f t="shared" si="39"/>
        <v>1.7012409381483698E-2</v>
      </c>
      <c r="G108">
        <f t="shared" si="39"/>
        <v>0.18582731545966466</v>
      </c>
      <c r="H108">
        <f t="shared" si="39"/>
        <v>0.20758844689891606</v>
      </c>
      <c r="I108">
        <f t="shared" si="39"/>
        <v>1</v>
      </c>
      <c r="J108">
        <f t="shared" si="39"/>
        <v>0</v>
      </c>
    </row>
    <row r="109" spans="2:29" x14ac:dyDescent="0.2">
      <c r="B109" t="s">
        <v>26</v>
      </c>
      <c r="C109">
        <f t="shared" ref="C109:J109" si="40">C100/$I$99</f>
        <v>0.22393600503364047</v>
      </c>
      <c r="D109">
        <f t="shared" si="40"/>
        <v>5.2726038610635059E-3</v>
      </c>
      <c r="E109">
        <f t="shared" si="40"/>
        <v>0.29821085450828311</v>
      </c>
      <c r="F109">
        <f t="shared" si="40"/>
        <v>1.5219175336956232E-2</v>
      </c>
      <c r="G109">
        <f t="shared" si="40"/>
        <v>0.16624004488791153</v>
      </c>
      <c r="H109">
        <f t="shared" si="40"/>
        <v>0.18569324402907547</v>
      </c>
      <c r="I109">
        <f t="shared" si="40"/>
        <v>0.89457192765693039</v>
      </c>
      <c r="J109">
        <f t="shared" si="40"/>
        <v>3.71291797925936E-2</v>
      </c>
    </row>
    <row r="110" spans="2:29" x14ac:dyDescent="0.2">
      <c r="B110" t="s">
        <v>27</v>
      </c>
      <c r="C110">
        <f t="shared" ref="C110:J110" si="41">C101/$I$99</f>
        <v>6.2580443889678677E-2</v>
      </c>
      <c r="D110">
        <f t="shared" si="41"/>
        <v>5.8938604362477557E-3</v>
      </c>
      <c r="E110">
        <f t="shared" si="41"/>
        <v>0.33335619226497321</v>
      </c>
      <c r="F110">
        <f t="shared" si="41"/>
        <v>1.7012409381483698E-2</v>
      </c>
      <c r="G110">
        <f t="shared" si="41"/>
        <v>0.18582731545966466</v>
      </c>
      <c r="H110">
        <f t="shared" si="41"/>
        <v>0.20758844689891606</v>
      </c>
      <c r="I110">
        <f t="shared" si="41"/>
        <v>0.81225866833096405</v>
      </c>
      <c r="J110">
        <f t="shared" si="41"/>
        <v>6.2580443889678566E-2</v>
      </c>
    </row>
  </sheetData>
  <sortState xmlns:xlrd2="http://schemas.microsoft.com/office/spreadsheetml/2017/richdata2" ref="B100:J101">
    <sortCondition ref="B100:B101"/>
  </sortState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7C3A-3ADD-064C-9B85-2CE36E3CAB8C}">
  <dimension ref="A5:AJ75"/>
  <sheetViews>
    <sheetView topLeftCell="A6" workbookViewId="0">
      <selection activeCell="E3" sqref="E3"/>
    </sheetView>
  </sheetViews>
  <sheetFormatPr baseColWidth="10" defaultRowHeight="16" x14ac:dyDescent="0.2"/>
  <sheetData>
    <row r="5" spans="1:19" x14ac:dyDescent="0.2">
      <c r="A5" t="s">
        <v>7</v>
      </c>
    </row>
    <row r="6" spans="1:19" x14ac:dyDescent="0.2">
      <c r="A6" t="str">
        <f>'[1]data summary'!A35</f>
        <v>yearly</v>
      </c>
      <c r="B6">
        <f>'[1]data summary'!B35</f>
        <v>0</v>
      </c>
      <c r="C6" t="str">
        <f>'[1]data summary'!C35</f>
        <v>CC</v>
      </c>
      <c r="D6" t="str">
        <f>'[1]data summary'!D35</f>
        <v>HTC</v>
      </c>
      <c r="E6" t="str">
        <f>'[1]data summary'!E35</f>
        <v>CED</v>
      </c>
      <c r="G6" s="4">
        <f>'[2]data summary'!M25</f>
        <v>0</v>
      </c>
      <c r="H6" s="4">
        <f>'[2]data summary'!N25</f>
        <v>0</v>
      </c>
      <c r="I6" s="4" t="str">
        <f>'[2]data summary'!O25</f>
        <v>CC</v>
      </c>
      <c r="J6" s="4" t="str">
        <f>'[2]data summary'!P25</f>
        <v>CC</v>
      </c>
      <c r="K6" s="4">
        <f>'[2]data summary'!Q25</f>
        <v>0</v>
      </c>
      <c r="L6" s="4">
        <f>'[2]data summary'!R25</f>
        <v>0</v>
      </c>
      <c r="M6" s="4" t="str">
        <f>'[2]data summary'!S25</f>
        <v>HTC</v>
      </c>
      <c r="N6" s="4" t="str">
        <f>'[2]data summary'!T25</f>
        <v>HTC</v>
      </c>
      <c r="O6" s="4">
        <f>'[2]data summary'!U25</f>
        <v>0</v>
      </c>
      <c r="P6" s="4">
        <f>'[2]data summary'!V25</f>
        <v>0</v>
      </c>
      <c r="Q6" s="4" t="str">
        <f>'[2]data summary'!W25</f>
        <v>CED</v>
      </c>
      <c r="R6" s="4" t="str">
        <f>'[2]data summary'!X25</f>
        <v>CED</v>
      </c>
      <c r="S6" s="4">
        <f>'[2]data summary'!Y25</f>
        <v>0</v>
      </c>
    </row>
    <row r="7" spans="1:19" x14ac:dyDescent="0.2">
      <c r="A7">
        <f>'[1]data summary'!A36</f>
        <v>2025</v>
      </c>
      <c r="B7" t="str">
        <f>'[1]data summary'!B36</f>
        <v>PAG</v>
      </c>
      <c r="C7">
        <f>'[1]data summary'!C36</f>
        <v>4251403.2559666513</v>
      </c>
      <c r="D7">
        <f>'[1]data summary'!D36</f>
        <v>0.24581353895763169</v>
      </c>
      <c r="E7">
        <f>'[1]data summary'!E36</f>
        <v>30496684.969730847</v>
      </c>
      <c r="G7" s="4">
        <f>'[2]data summary'!M26</f>
        <v>2025</v>
      </c>
      <c r="H7" s="4" t="str">
        <f>'[2]data summary'!N26</f>
        <v>Gas</v>
      </c>
      <c r="I7" s="4">
        <f>'[2]data summary'!O26</f>
        <v>6.5086344535273885E-2</v>
      </c>
      <c r="J7" s="4">
        <f>'[2]data summary'!P26</f>
        <v>6.524984500660619E-3</v>
      </c>
      <c r="K7" s="4">
        <f>'[2]data summary'!Q26</f>
        <v>2.5733832826384125E-3</v>
      </c>
      <c r="L7" s="4">
        <f>'[2]data summary'!R26</f>
        <v>0</v>
      </c>
      <c r="M7" s="4">
        <f>'[2]data summary'!S26</f>
        <v>5.3189608052447625E-3</v>
      </c>
      <c r="N7" s="4">
        <f>'[2]data summary'!T26</f>
        <v>5.3308479977362262E-4</v>
      </c>
      <c r="O7" s="4">
        <f>'[2]data summary'!U26</f>
        <v>2.1082730085693595E-3</v>
      </c>
      <c r="P7" s="4">
        <f>'[2]data summary'!V26</f>
        <v>0</v>
      </c>
      <c r="Q7" s="4">
        <f>'[2]data summary'!W26</f>
        <v>0.49320386448793424</v>
      </c>
      <c r="R7" s="4">
        <f>'[2]data summary'!X26</f>
        <v>4.9407301970425498E-2</v>
      </c>
      <c r="S7" s="4">
        <f>'[2]data summary'!Y26</f>
        <v>2.1518608849244785E-3</v>
      </c>
    </row>
    <row r="8" spans="1:19" x14ac:dyDescent="0.2">
      <c r="A8">
        <f>'[1]data summary'!A37</f>
        <v>0</v>
      </c>
      <c r="B8" t="str">
        <f>'[1]data summary'!B37</f>
        <v>Sur</v>
      </c>
      <c r="C8">
        <f>'[1]data summary'!C37</f>
        <v>224617.65338192534</v>
      </c>
      <c r="D8">
        <f>'[1]data summary'!D37</f>
        <v>2.702023067651068E-2</v>
      </c>
      <c r="E8">
        <f>'[1]data summary'!E37</f>
        <v>2242851.0766219627</v>
      </c>
      <c r="G8" s="4">
        <f>'[2]data summary'!M27</f>
        <v>0</v>
      </c>
      <c r="H8" s="4" t="str">
        <f>'[2]data summary'!N27</f>
        <v>Solid</v>
      </c>
      <c r="I8" s="4">
        <f>'[2]data summary'!O27</f>
        <v>7.7153690039646894E-2</v>
      </c>
      <c r="J8" s="4">
        <f>'[2]data summary'!P27</f>
        <v>7.7371706511845202E-3</v>
      </c>
      <c r="K8" s="4">
        <f>'[2]data summary'!Q27</f>
        <v>3.0505018765386352E-3</v>
      </c>
      <c r="L8" s="4">
        <f>'[2]data summary'!R27</f>
        <v>0</v>
      </c>
      <c r="M8" s="4">
        <f>'[2]data summary'!S27</f>
        <v>6.3050398642571989E-3</v>
      </c>
      <c r="N8" s="4">
        <f>'[2]data summary'!T27</f>
        <v>6.3211050394295764E-4</v>
      </c>
      <c r="O8" s="4">
        <f>'[2]data summary'!U27</f>
        <v>2.4991245189586574E-3</v>
      </c>
      <c r="P8" s="4">
        <f>'[2]data summary'!V27</f>
        <v>0</v>
      </c>
      <c r="Q8" s="4">
        <f>'[2]data summary'!W27</f>
        <v>0.58464550694241613</v>
      </c>
      <c r="R8" s="4">
        <f>'[2]data summary'!X27</f>
        <v>5.8585764486121891E-2</v>
      </c>
      <c r="S8" s="4">
        <f>'[2]data summary'!Y27</f>
        <v>2.5508230744347819E-3</v>
      </c>
    </row>
    <row r="9" spans="1:19" x14ac:dyDescent="0.2">
      <c r="A9">
        <f>'[1]data summary'!A38</f>
        <v>0</v>
      </c>
      <c r="B9" t="str">
        <f>'[1]data summary'!B38</f>
        <v>TARC</v>
      </c>
      <c r="C9">
        <f>'[1]data summary'!C38</f>
        <v>11780121.329725295</v>
      </c>
      <c r="D9">
        <f>'[1]data summary'!D38</f>
        <v>1.3875142974526551</v>
      </c>
      <c r="E9">
        <f>'[1]data summary'!E38</f>
        <v>116299506.03011468</v>
      </c>
      <c r="G9" s="4">
        <f>'[2]data summary'!M28</f>
        <v>0</v>
      </c>
      <c r="H9" s="4" t="str">
        <f>'[2]data summary'!N28</f>
        <v>Solvent</v>
      </c>
      <c r="I9" s="4">
        <f>'[2]data summary'!O28</f>
        <v>7.7757771951754489</v>
      </c>
      <c r="J9" s="4">
        <f>'[2]data summary'!P28</f>
        <v>0.779449069862859</v>
      </c>
      <c r="K9" s="4">
        <f>'[2]data summary'!Q28</f>
        <v>0.30743860615402901</v>
      </c>
      <c r="L9" s="4">
        <f>'[2]data summary'!R28</f>
        <v>0</v>
      </c>
      <c r="M9" s="4">
        <f>'[2]data summary'!S28</f>
        <v>0.40990547250962001</v>
      </c>
      <c r="N9" s="4">
        <f>'[2]data summary'!T28</f>
        <v>4.1134486701402073E-2</v>
      </c>
      <c r="O9" s="4">
        <f>'[2]data summary'!U28</f>
        <v>0.16247396350519525</v>
      </c>
      <c r="P9" s="4">
        <f>'[2]data summary'!V28</f>
        <v>0</v>
      </c>
      <c r="Q9" s="4">
        <f>'[2]data summary'!W28</f>
        <v>54.113575915427177</v>
      </c>
      <c r="R9" s="4">
        <f>'[2]data summary'!X28</f>
        <v>5.4222618702318419</v>
      </c>
      <c r="S9" s="4">
        <f>'[2]data summary'!Y28</f>
        <v>0.23609889487929547</v>
      </c>
    </row>
    <row r="10" spans="1:19" x14ac:dyDescent="0.2">
      <c r="A10">
        <f>'[1]data summary'!A39</f>
        <v>0</v>
      </c>
      <c r="B10" t="str">
        <f>'[1]data summary'!B39</f>
        <v>Polymer</v>
      </c>
      <c r="C10">
        <f>'[1]data summary'!C39</f>
        <v>286208.04610526672</v>
      </c>
      <c r="D10">
        <f>'[1]data summary'!D39</f>
        <v>1.6232341274727516E-2</v>
      </c>
      <c r="E10">
        <f>'[1]data summary'!E39</f>
        <v>2038811.1828306536</v>
      </c>
      <c r="G10" s="4">
        <f>'[2]data summary'!M29</f>
        <v>0</v>
      </c>
      <c r="H10" s="4" t="str">
        <f>'[2]data summary'!N29</f>
        <v>Water</v>
      </c>
      <c r="I10" s="4">
        <f>'[2]data summary'!O29</f>
        <v>17.374112774507221</v>
      </c>
      <c r="J10" s="4">
        <f>'[2]data summary'!P29</f>
        <v>1.7432501725160734</v>
      </c>
      <c r="K10" s="4">
        <f>'[2]data summary'!Q29</f>
        <v>0.68693750868679404</v>
      </c>
      <c r="L10" s="4">
        <f>'[2]data summary'!R29</f>
        <v>0</v>
      </c>
      <c r="M10" s="4">
        <f>'[2]data summary'!S29</f>
        <v>2.1013699727774169</v>
      </c>
      <c r="N10" s="4">
        <f>'[2]data summary'!T29</f>
        <v>0.21043304929267165</v>
      </c>
      <c r="O10" s="4">
        <f>'[2]data summary'!U29</f>
        <v>0.83291863896727669</v>
      </c>
      <c r="P10" s="4">
        <f>'[2]data summary'!V29</f>
        <v>0</v>
      </c>
      <c r="Q10" s="4">
        <f>'[2]data summary'!W29</f>
        <v>174.00734306439844</v>
      </c>
      <c r="R10" s="4">
        <f>'[2]data summary'!X29</f>
        <v>17.428596569423476</v>
      </c>
      <c r="S10" s="4">
        <f>'[2]data summary'!Y29</f>
        <v>0.75919842116134528</v>
      </c>
    </row>
    <row r="11" spans="1:19" x14ac:dyDescent="0.2">
      <c r="A11">
        <f>'[1]data summary'!A40</f>
        <v>0</v>
      </c>
      <c r="B11" t="str">
        <f>'[1]data summary'!B40</f>
        <v>ITC</v>
      </c>
      <c r="C11">
        <f>'[1]data summary'!C40</f>
        <v>6193781.965712118</v>
      </c>
      <c r="D11">
        <f>'[1]data summary'!D40</f>
        <v>0.70621839341266091</v>
      </c>
      <c r="E11">
        <f>'[1]data summary'!E40</f>
        <v>60109138.180475712</v>
      </c>
      <c r="G11" s="4">
        <f>'[2]data summary'!M30</f>
        <v>0</v>
      </c>
      <c r="H11" s="4">
        <f>'[2]data summary'!N30</f>
        <v>0</v>
      </c>
      <c r="I11" s="4">
        <f>'[2]data summary'!O30</f>
        <v>25.29213000425759</v>
      </c>
      <c r="J11" s="4">
        <f>'[2]data summary'!P30</f>
        <v>2.5369613975307774</v>
      </c>
      <c r="K11" s="4">
        <f>'[2]data summary'!Q30</f>
        <v>0</v>
      </c>
      <c r="L11" s="4">
        <f>'[2]data summary'!R30</f>
        <v>0</v>
      </c>
      <c r="M11" s="4">
        <f>'[2]data summary'!S30</f>
        <v>2.522899445956539</v>
      </c>
      <c r="N11" s="4">
        <f>'[2]data summary'!T30</f>
        <v>0.25273273129779028</v>
      </c>
      <c r="O11" s="4">
        <f>'[2]data summary'!U30</f>
        <v>0</v>
      </c>
      <c r="P11" s="4">
        <f>'[2]data summary'!V30</f>
        <v>0</v>
      </c>
      <c r="Q11" s="4">
        <f>'[2]data summary'!W30</f>
        <v>229.19876835125598</v>
      </c>
      <c r="R11" s="4">
        <f>'[2]data summary'!X30</f>
        <v>22.958851506111866</v>
      </c>
      <c r="S11" s="4">
        <f>'[2]data summary'!Y30</f>
        <v>0</v>
      </c>
    </row>
    <row r="12" spans="1:19" x14ac:dyDescent="0.2">
      <c r="A12">
        <f>'[1]data summary'!A41</f>
        <v>0</v>
      </c>
      <c r="B12" t="str">
        <f>'[1]data summary'!B41</f>
        <v>PBO</v>
      </c>
      <c r="C12">
        <f>'[1]data summary'!C41</f>
        <v>2555997.7533663311</v>
      </c>
      <c r="D12">
        <f>'[1]data summary'!D41</f>
        <v>0.14010064418235288</v>
      </c>
      <c r="E12">
        <f>'[1]data summary'!E41</f>
        <v>18011776.911482114</v>
      </c>
      <c r="G12" s="4">
        <f>'[2]data summary'!M31</f>
        <v>0</v>
      </c>
      <c r="H12" s="4">
        <f>'[2]data summary'!N31</f>
        <v>0</v>
      </c>
      <c r="I12" s="4">
        <f>'[2]data summary'!O31</f>
        <v>0</v>
      </c>
      <c r="J12" s="4">
        <f>'[2]data summary'!P31</f>
        <v>0</v>
      </c>
      <c r="K12" s="4">
        <f>'[2]data summary'!Q31</f>
        <v>0</v>
      </c>
      <c r="L12" s="4">
        <f>'[2]data summary'!R31</f>
        <v>0</v>
      </c>
      <c r="M12" s="4">
        <f>'[2]data summary'!S31</f>
        <v>0</v>
      </c>
      <c r="N12" s="4">
        <f>'[2]data summary'!T31</f>
        <v>0</v>
      </c>
      <c r="O12" s="4">
        <f>'[2]data summary'!U31</f>
        <v>0</v>
      </c>
      <c r="P12" s="4">
        <f>'[2]data summary'!V31</f>
        <v>0</v>
      </c>
      <c r="Q12" s="4">
        <f>'[2]data summary'!W31</f>
        <v>0</v>
      </c>
      <c r="R12" s="4">
        <f>'[2]data summary'!X31</f>
        <v>0</v>
      </c>
      <c r="S12" s="4">
        <f>'[2]data summary'!Y31</f>
        <v>0</v>
      </c>
    </row>
    <row r="13" spans="1:19" x14ac:dyDescent="0.2">
      <c r="A13">
        <f>'[1]data summary'!A42</f>
        <v>0</v>
      </c>
      <c r="B13">
        <f>'[1]data summary'!B42</f>
        <v>0</v>
      </c>
      <c r="C13">
        <f>'[1]data summary'!C42</f>
        <v>25292130.00425759</v>
      </c>
      <c r="D13">
        <f>'[1]data summary'!D42</f>
        <v>2.5228994459565386</v>
      </c>
      <c r="E13">
        <f>'[1]data summary'!E42</f>
        <v>229198768.35125598</v>
      </c>
      <c r="G13" s="4">
        <f>'[2]data summary'!M32</f>
        <v>2030</v>
      </c>
      <c r="H13" s="4" t="str">
        <f>'[2]data summary'!N32</f>
        <v>Gas</v>
      </c>
      <c r="I13" s="4">
        <f>'[2]data summary'!O32</f>
        <v>0.46008920020778293</v>
      </c>
      <c r="J13" s="4">
        <f>'[2]data summary'!P32</f>
        <v>5.1349006917861137E-2</v>
      </c>
      <c r="K13" s="4">
        <f>'[2]data summary'!Q32</f>
        <v>2.5552636564945773E-3</v>
      </c>
      <c r="L13" s="4">
        <f>'[2]data summary'!R32</f>
        <v>0</v>
      </c>
      <c r="M13" s="4">
        <f>'[2]data summary'!S32</f>
        <v>3.5769125115531368E-2</v>
      </c>
      <c r="N13" s="4">
        <f>'[2]data summary'!T32</f>
        <v>3.988968785075135E-3</v>
      </c>
      <c r="O13" s="4">
        <f>'[2]data summary'!U32</f>
        <v>2.1666541326425095E-3</v>
      </c>
      <c r="P13" s="4">
        <f>'[2]data summary'!V32</f>
        <v>0</v>
      </c>
      <c r="Q13" s="4">
        <f>'[2]data summary'!W32</f>
        <v>3.4665582878031911</v>
      </c>
      <c r="R13" s="4">
        <f>'[2]data summary'!X32</f>
        <v>0.38329476387971595</v>
      </c>
      <c r="S13" s="4">
        <f>'[2]data summary'!Y32</f>
        <v>2.1466589438610901E-3</v>
      </c>
    </row>
    <row r="14" spans="1:19" x14ac:dyDescent="0.2">
      <c r="A14">
        <f>'[1]data summary'!A43</f>
        <v>0</v>
      </c>
      <c r="B14">
        <f>'[1]data summary'!B43</f>
        <v>0</v>
      </c>
      <c r="C14">
        <f>'[1]data summary'!C43</f>
        <v>0</v>
      </c>
      <c r="D14">
        <f>'[1]data summary'!D43</f>
        <v>0</v>
      </c>
      <c r="E14">
        <f>'[1]data summary'!E43</f>
        <v>0</v>
      </c>
      <c r="G14" s="4">
        <f>'[2]data summary'!M33</f>
        <v>0</v>
      </c>
      <c r="H14" s="4" t="str">
        <f>'[2]data summary'!N33</f>
        <v>Solid</v>
      </c>
      <c r="I14" s="4">
        <f>'[2]data summary'!O33</f>
        <v>0.59371643089445125</v>
      </c>
      <c r="J14" s="4">
        <f>'[2]data summary'!P33</f>
        <v>6.6254557532706246E-2</v>
      </c>
      <c r="K14" s="4">
        <f>'[2]data summary'!Q33</f>
        <v>3.2974084534979748E-3</v>
      </c>
      <c r="L14" s="4">
        <f>'[2]data summary'!R33</f>
        <v>0</v>
      </c>
      <c r="M14" s="4">
        <f>'[2]data summary'!S33</f>
        <v>4.6156294807444861E-2</v>
      </c>
      <c r="N14" s="4">
        <f>'[2]data summary'!T33</f>
        <v>5.1467189521978794E-3</v>
      </c>
      <c r="O14" s="4">
        <f>'[2]data summary'!U33</f>
        <v>2.7958393326369953E-3</v>
      </c>
      <c r="P14" s="4">
        <f>'[2]data summary'!V33</f>
        <v>0</v>
      </c>
      <c r="Q14" s="4">
        <f>'[2]data summary'!W33</f>
        <v>4.4733607533739548</v>
      </c>
      <c r="R14" s="4">
        <f>'[2]data summary'!X33</f>
        <v>0.49455286738465609</v>
      </c>
      <c r="S14" s="4">
        <f>'[2]data summary'!Y33</f>
        <v>2.770119257516598E-3</v>
      </c>
    </row>
    <row r="15" spans="1:19" x14ac:dyDescent="0.2">
      <c r="A15">
        <f>'[1]data summary'!A44</f>
        <v>2030</v>
      </c>
      <c r="B15" t="str">
        <f>'[1]data summary'!B44</f>
        <v>PAG</v>
      </c>
      <c r="C15">
        <f>'[1]data summary'!C44</f>
        <v>30470469.005943894</v>
      </c>
      <c r="D15">
        <f>'[1]data summary'!D44</f>
        <v>1.6330718030810116</v>
      </c>
      <c r="E15">
        <f>'[1]data summary'!E44</f>
        <v>217498671.69452125</v>
      </c>
      <c r="G15" s="4">
        <f>'[2]data summary'!M34</f>
        <v>0</v>
      </c>
      <c r="H15" s="4" t="str">
        <f>'[2]data summary'!N34</f>
        <v>Solvent</v>
      </c>
      <c r="I15" s="4">
        <f>'[2]data summary'!O34</f>
        <v>60.863621661831331</v>
      </c>
      <c r="J15" s="4">
        <f>'[2]data summary'!P34</f>
        <v>6.7393192448158894</v>
      </c>
      <c r="K15" s="4">
        <f>'[2]data summary'!Q34</f>
        <v>0.3380270616325648</v>
      </c>
      <c r="L15" s="4">
        <f>'[2]data summary'!R34</f>
        <v>0</v>
      </c>
      <c r="M15" s="4">
        <f>'[2]data summary'!S34</f>
        <v>2.9853934761556671</v>
      </c>
      <c r="N15" s="4">
        <f>'[2]data summary'!T34</f>
        <v>0.33673237849524751</v>
      </c>
      <c r="O15" s="4">
        <f>'[2]data summary'!U34</f>
        <v>0.18083515019683963</v>
      </c>
      <c r="P15" s="4">
        <f>'[2]data summary'!V34</f>
        <v>0</v>
      </c>
      <c r="Q15" s="4">
        <f>'[2]data summary'!W34</f>
        <v>422.22940166577587</v>
      </c>
      <c r="R15" s="4">
        <f>'[2]data summary'!X34</f>
        <v>46.529446815662816</v>
      </c>
      <c r="S15" s="4">
        <f>'[2]data summary'!Y34</f>
        <v>0.26146467077619584</v>
      </c>
    </row>
    <row r="16" spans="1:19" x14ac:dyDescent="0.2">
      <c r="A16">
        <f>'[1]data summary'!A45</f>
        <v>0</v>
      </c>
      <c r="B16" t="str">
        <f>'[1]data summary'!B45</f>
        <v>Sur</v>
      </c>
      <c r="C16">
        <f>'[1]data summary'!C45</f>
        <v>1492142.3429854645</v>
      </c>
      <c r="D16">
        <f>'[1]data summary'!D45</f>
        <v>0.16877955068800038</v>
      </c>
      <c r="E16">
        <f>'[1]data summary'!E45</f>
        <v>14913964.577958558</v>
      </c>
      <c r="G16" s="4">
        <f>'[2]data summary'!M35</f>
        <v>0</v>
      </c>
      <c r="H16" s="4" t="str">
        <f>'[2]data summary'!N35</f>
        <v>Water</v>
      </c>
      <c r="I16" s="4">
        <f>'[2]data summary'!O35</f>
        <v>118.13804331903195</v>
      </c>
      <c r="J16" s="4">
        <f>'[2]data summary'!P35</f>
        <v>13.432348337392048</v>
      </c>
      <c r="K16" s="4">
        <f>'[2]data summary'!Q35</f>
        <v>0.65612026625744257</v>
      </c>
      <c r="L16" s="4">
        <f>'[2]data summary'!R35</f>
        <v>0</v>
      </c>
      <c r="M16" s="4">
        <f>'[2]data summary'!S35</f>
        <v>13.44160358335114</v>
      </c>
      <c r="N16" s="4">
        <f>'[2]data summary'!T35</f>
        <v>1.4930943352920711</v>
      </c>
      <c r="O16" s="4">
        <f>'[2]data summary'!U35</f>
        <v>0.81420235633788085</v>
      </c>
      <c r="P16" s="4">
        <f>'[2]data summary'!V35</f>
        <v>0</v>
      </c>
      <c r="Q16" s="4">
        <f>'[2]data summary'!W35</f>
        <v>1184.6928341391554</v>
      </c>
      <c r="R16" s="4">
        <f>'[2]data summary'!X35</f>
        <v>131.51903859035997</v>
      </c>
      <c r="S16" s="4">
        <f>'[2]data summary'!Y35</f>
        <v>0.73361855102242657</v>
      </c>
    </row>
    <row r="17" spans="1:19" x14ac:dyDescent="0.2">
      <c r="A17">
        <f>'[1]data summary'!A46</f>
        <v>0</v>
      </c>
      <c r="B17" t="str">
        <f>'[1]data summary'!B46</f>
        <v>TARC</v>
      </c>
      <c r="C17">
        <f>'[1]data summary'!C46</f>
        <v>80653744.294497043</v>
      </c>
      <c r="D17">
        <f>'[1]data summary'!D46</f>
        <v>8.9147864533021313</v>
      </c>
      <c r="E17">
        <f>'[1]data summary'!E46</f>
        <v>796202671.73995101</v>
      </c>
      <c r="G17" s="4">
        <f>'[2]data summary'!M36</f>
        <v>0</v>
      </c>
      <c r="H17" s="4">
        <f>'[2]data summary'!N36</f>
        <v>0</v>
      </c>
      <c r="I17" s="4">
        <f>'[2]data summary'!O36</f>
        <v>180.05547061196552</v>
      </c>
      <c r="J17" s="4">
        <f>'[2]data summary'!P36</f>
        <v>20.289271146658503</v>
      </c>
      <c r="K17" s="4">
        <f>'[2]data summary'!Q36</f>
        <v>0</v>
      </c>
      <c r="L17" s="4">
        <f>'[2]data summary'!R36</f>
        <v>0</v>
      </c>
      <c r="M17" s="4">
        <f>'[2]data summary'!S36</f>
        <v>16.508922479429785</v>
      </c>
      <c r="N17" s="4">
        <f>'[2]data summary'!T36</f>
        <v>1.8389624015245918</v>
      </c>
      <c r="O17" s="4">
        <f>'[2]data summary'!U36</f>
        <v>0</v>
      </c>
      <c r="P17" s="4">
        <f>'[2]data summary'!V36</f>
        <v>0</v>
      </c>
      <c r="Q17" s="4">
        <f>'[2]data summary'!W36</f>
        <v>1614.8621548461083</v>
      </c>
      <c r="R17" s="4">
        <f>'[2]data summary'!X36</f>
        <v>178.92633303728715</v>
      </c>
      <c r="S17" s="4">
        <f>'[2]data summary'!Y36</f>
        <v>0</v>
      </c>
    </row>
    <row r="18" spans="1:19" x14ac:dyDescent="0.2">
      <c r="A18">
        <f>'[1]data summary'!A47</f>
        <v>0</v>
      </c>
      <c r="B18" t="str">
        <f>'[1]data summary'!B47</f>
        <v>Polymer</v>
      </c>
      <c r="C18">
        <f>'[1]data summary'!C47</f>
        <v>2053953.0905894691</v>
      </c>
      <c r="D18">
        <f>'[1]data summary'!D47</f>
        <v>0.10808286033854259</v>
      </c>
      <c r="E18">
        <f>'[1]data summary'!E47</f>
        <v>14564960.537339879</v>
      </c>
      <c r="G18" s="4">
        <f>'[2]data summary'!M37</f>
        <v>0</v>
      </c>
      <c r="H18" s="4">
        <f>'[2]data summary'!N37</f>
        <v>0</v>
      </c>
      <c r="I18" s="4">
        <f>'[2]data summary'!O37</f>
        <v>0</v>
      </c>
      <c r="J18" s="4">
        <f>'[2]data summary'!P37</f>
        <v>0</v>
      </c>
      <c r="K18" s="4">
        <f>'[2]data summary'!Q37</f>
        <v>0</v>
      </c>
      <c r="L18" s="4">
        <f>'[2]data summary'!R37</f>
        <v>0</v>
      </c>
      <c r="M18" s="4">
        <f>'[2]data summary'!S37</f>
        <v>0</v>
      </c>
      <c r="N18" s="4">
        <f>'[2]data summary'!T37</f>
        <v>0</v>
      </c>
      <c r="O18" s="4">
        <f>'[2]data summary'!U37</f>
        <v>0</v>
      </c>
      <c r="P18" s="4">
        <f>'[2]data summary'!V37</f>
        <v>0</v>
      </c>
      <c r="Q18" s="4">
        <f>'[2]data summary'!W37</f>
        <v>0</v>
      </c>
      <c r="R18" s="4">
        <f>'[2]data summary'!X37</f>
        <v>0</v>
      </c>
      <c r="S18" s="4">
        <f>'[2]data summary'!Y37</f>
        <v>0</v>
      </c>
    </row>
    <row r="19" spans="1:19" x14ac:dyDescent="0.2">
      <c r="A19">
        <f>'[1]data summary'!A48</f>
        <v>0</v>
      </c>
      <c r="B19" t="str">
        <f>'[1]data summary'!B48</f>
        <v>ITC</v>
      </c>
      <c r="C19">
        <f>'[1]data summary'!C48</f>
        <v>42209664.250355311</v>
      </c>
      <c r="D19">
        <f>'[1]data summary'!D48</f>
        <v>4.5042829844180767</v>
      </c>
      <c r="E19">
        <f>'[1]data summary'!E48</f>
        <v>409008892.70079952</v>
      </c>
      <c r="G19" s="4">
        <f>'[2]data summary'!M38</f>
        <v>2025</v>
      </c>
      <c r="H19" s="4">
        <f>'[2]data summary'!N38</f>
        <v>0</v>
      </c>
      <c r="I19" s="4">
        <f>'[2]data summary'!O38</f>
        <v>25.29213000425759</v>
      </c>
      <c r="J19" s="4">
        <f>'[2]data summary'!P38</f>
        <v>2.5369613975307774</v>
      </c>
      <c r="K19" s="4">
        <f>'[2]data summary'!Q38</f>
        <v>0</v>
      </c>
      <c r="L19" s="4">
        <f>'[2]data summary'!R38</f>
        <v>0</v>
      </c>
      <c r="M19" s="4">
        <f>'[2]data summary'!S38</f>
        <v>2.522899445956539</v>
      </c>
      <c r="N19" s="4">
        <f>'[2]data summary'!T38</f>
        <v>0.25273273129779028</v>
      </c>
      <c r="O19" s="4">
        <f>'[2]data summary'!U38</f>
        <v>0</v>
      </c>
      <c r="P19" s="4">
        <f>'[2]data summary'!V38</f>
        <v>0</v>
      </c>
      <c r="Q19" s="4">
        <f>'[2]data summary'!W38</f>
        <v>229.19876835125598</v>
      </c>
      <c r="R19" s="4">
        <f>'[2]data summary'!X38</f>
        <v>22.958851506111866</v>
      </c>
      <c r="S19" s="4">
        <f>'[2]data summary'!Y38</f>
        <v>0</v>
      </c>
    </row>
    <row r="20" spans="1:19" x14ac:dyDescent="0.2">
      <c r="A20">
        <f>'[1]data summary'!A49</f>
        <v>0</v>
      </c>
      <c r="B20" t="str">
        <f>'[1]data summary'!B49</f>
        <v>PBO</v>
      </c>
      <c r="C20">
        <f>'[1]data summary'!C49</f>
        <v>23175497.627594315</v>
      </c>
      <c r="D20">
        <f>'[1]data summary'!D49</f>
        <v>1.1799188276020207</v>
      </c>
      <c r="E20">
        <f>'[1]data summary'!E49</f>
        <v>162672993.59553814</v>
      </c>
      <c r="G20" s="4">
        <f>'[2]data summary'!M39</f>
        <v>2030</v>
      </c>
      <c r="H20" s="4">
        <f>'[2]data summary'!N39</f>
        <v>0</v>
      </c>
      <c r="I20" s="4">
        <f>'[2]data summary'!O39</f>
        <v>180.05547061196552</v>
      </c>
      <c r="J20" s="4">
        <f>'[2]data summary'!P39</f>
        <v>20.289271146658503</v>
      </c>
      <c r="K20" s="4">
        <f>'[2]data summary'!Q39</f>
        <v>0</v>
      </c>
      <c r="L20" s="4">
        <f>'[2]data summary'!R39</f>
        <v>0</v>
      </c>
      <c r="M20" s="4">
        <f>'[2]data summary'!S39</f>
        <v>16.508922479429785</v>
      </c>
      <c r="N20" s="4">
        <f>'[2]data summary'!T39</f>
        <v>1.8389624015245918</v>
      </c>
      <c r="O20" s="4">
        <f>'[2]data summary'!U39</f>
        <v>0</v>
      </c>
      <c r="P20" s="4">
        <f>'[2]data summary'!V39</f>
        <v>0</v>
      </c>
      <c r="Q20" s="4">
        <f>'[2]data summary'!W39</f>
        <v>1614.8621548461083</v>
      </c>
      <c r="R20" s="4">
        <f>'[2]data summary'!X39</f>
        <v>178.92633303728715</v>
      </c>
      <c r="S20" s="4">
        <f>'[2]data summary'!Y39</f>
        <v>0</v>
      </c>
    </row>
    <row r="21" spans="1:19" x14ac:dyDescent="0.2">
      <c r="A21">
        <f>'[1]data summary'!A50</f>
        <v>0</v>
      </c>
      <c r="B21">
        <f>'[1]data summary'!B50</f>
        <v>0</v>
      </c>
      <c r="C21">
        <f>'[1]data summary'!C50</f>
        <v>180055470.61196551</v>
      </c>
      <c r="D21">
        <f>'[1]data summary'!D50</f>
        <v>16.508922479429781</v>
      </c>
      <c r="E21">
        <f>'[1]data summary'!E50</f>
        <v>1614862154.8461084</v>
      </c>
    </row>
    <row r="25" spans="1:19" x14ac:dyDescent="0.2">
      <c r="A25" t="s">
        <v>8</v>
      </c>
    </row>
    <row r="26" spans="1:19" x14ac:dyDescent="0.2">
      <c r="A26" t="str">
        <f>'[3]data summary'!A35</f>
        <v>yearly</v>
      </c>
      <c r="B26">
        <f>'[3]data summary'!B35</f>
        <v>0</v>
      </c>
      <c r="C26" t="str">
        <f>'[3]data summary'!C35</f>
        <v>CC</v>
      </c>
      <c r="D26" t="str">
        <f>'[3]data summary'!D35</f>
        <v>HTC</v>
      </c>
      <c r="E26" t="str">
        <f>'[3]data summary'!E35</f>
        <v>CED</v>
      </c>
      <c r="G26" s="4">
        <f>'[4]data summary'!M25</f>
        <v>0</v>
      </c>
      <c r="H26" s="4">
        <f>'[4]data summary'!N25</f>
        <v>0</v>
      </c>
      <c r="I26" s="4" t="str">
        <f>'[4]data summary'!O25</f>
        <v>CC</v>
      </c>
      <c r="J26" s="4" t="str">
        <f>'[4]data summary'!P25</f>
        <v>CC</v>
      </c>
      <c r="K26" s="4">
        <f>'[4]data summary'!Q25</f>
        <v>0</v>
      </c>
      <c r="L26" s="4">
        <f>'[4]data summary'!R25</f>
        <v>0</v>
      </c>
      <c r="M26" s="4" t="str">
        <f>'[4]data summary'!S25</f>
        <v>HTC</v>
      </c>
      <c r="N26" s="4" t="str">
        <f>'[4]data summary'!T25</f>
        <v>HTC</v>
      </c>
      <c r="O26" s="4">
        <f>'[4]data summary'!U25</f>
        <v>0</v>
      </c>
      <c r="P26" s="4">
        <f>'[4]data summary'!V25</f>
        <v>0</v>
      </c>
      <c r="Q26" s="4" t="str">
        <f>'[4]data summary'!W25</f>
        <v>CED</v>
      </c>
      <c r="R26" s="4" t="str">
        <f>'[4]data summary'!X25</f>
        <v>CED</v>
      </c>
      <c r="S26" s="4">
        <f>'[4]data summary'!Y25</f>
        <v>0</v>
      </c>
    </row>
    <row r="27" spans="1:19" x14ac:dyDescent="0.2">
      <c r="A27">
        <f>'[3]data summary'!A36</f>
        <v>2025</v>
      </c>
      <c r="B27" t="str">
        <f>'[3]data summary'!B36</f>
        <v>PAG</v>
      </c>
      <c r="C27">
        <f>'[3]data summary'!C36</f>
        <v>4250269.7349737957</v>
      </c>
      <c r="D27">
        <f>'[3]data summary'!D36</f>
        <v>0.24577970484133399</v>
      </c>
      <c r="E27">
        <f>'[3]data summary'!E36</f>
        <v>30549096.183350913</v>
      </c>
      <c r="G27" s="4">
        <f>'[4]data summary'!M26</f>
        <v>2025</v>
      </c>
      <c r="H27" s="4" t="str">
        <f>'[4]data summary'!N26</f>
        <v>Gas</v>
      </c>
      <c r="I27" s="4">
        <f>'[4]data summary'!O26</f>
        <v>6.4930173349183259E-2</v>
      </c>
      <c r="J27" s="4">
        <f>'[4]data summary'!P26</f>
        <v>6.3416264217000442E-3</v>
      </c>
      <c r="K27" s="4">
        <f>'[4]data summary'!Q26</f>
        <v>2.5171707709855384E-3</v>
      </c>
      <c r="L27" s="4">
        <f>'[4]data summary'!R26</f>
        <v>0</v>
      </c>
      <c r="M27" s="4">
        <f>'[4]data summary'!S26</f>
        <v>5.3061890660962216E-3</v>
      </c>
      <c r="N27" s="4">
        <f>'[4]data summary'!T26</f>
        <v>5.1812994824228416E-4</v>
      </c>
      <c r="O27" s="4">
        <f>'[4]data summary'!U26</f>
        <v>2.079695787637051E-3</v>
      </c>
      <c r="P27" s="4">
        <f>'[4]data summary'!V26</f>
        <v>0</v>
      </c>
      <c r="Q27" s="4">
        <f>'[4]data summary'!W26</f>
        <v>0.49202034874977502</v>
      </c>
      <c r="R27" s="4">
        <f>'[4]data summary'!X26</f>
        <v>4.8019589258959543E-2</v>
      </c>
      <c r="S27" s="4">
        <f>'[4]data summary'!Y26</f>
        <v>2.0808284774576514E-3</v>
      </c>
    </row>
    <row r="28" spans="1:19" x14ac:dyDescent="0.2">
      <c r="A28">
        <f>'[3]data summary'!A37</f>
        <v>0</v>
      </c>
      <c r="B28" t="str">
        <f>'[3]data summary'!B37</f>
        <v>Sur</v>
      </c>
      <c r="C28">
        <f>'[3]data summary'!C37</f>
        <v>231289.73136732439</v>
      </c>
      <c r="D28">
        <f>'[3]data summary'!D37</f>
        <v>2.7397986175068095E-2</v>
      </c>
      <c r="E28">
        <f>'[3]data summary'!E37</f>
        <v>2337360.9410452568</v>
      </c>
      <c r="G28" s="4">
        <f>'[4]data summary'!M27</f>
        <v>0</v>
      </c>
      <c r="H28" s="4" t="str">
        <f>'[4]data summary'!N27</f>
        <v>Solid</v>
      </c>
      <c r="I28" s="4">
        <f>'[4]data summary'!O27</f>
        <v>7.6968833973436235E-2</v>
      </c>
      <c r="J28" s="4">
        <f>'[4]data summary'!P27</f>
        <v>7.519038301582676E-3</v>
      </c>
      <c r="K28" s="4">
        <f>'[4]data summary'!Q27</f>
        <v>2.9838777437548522E-3</v>
      </c>
      <c r="L28" s="4">
        <f>'[4]data summary'!R27</f>
        <v>0</v>
      </c>
      <c r="M28" s="4">
        <f>'[4]data summary'!S27</f>
        <v>6.289922513587687E-3</v>
      </c>
      <c r="N28" s="4">
        <f>'[4]data summary'!T27</f>
        <v>6.1431954164790957E-4</v>
      </c>
      <c r="O28" s="4">
        <f>'[4]data summary'!U27</f>
        <v>2.4652580586796893E-3</v>
      </c>
      <c r="P28" s="4">
        <f>'[4]data summary'!V27</f>
        <v>0</v>
      </c>
      <c r="Q28" s="4">
        <f>'[4]data summary'!W27</f>
        <v>0.58324461060914279</v>
      </c>
      <c r="R28" s="4">
        <f>'[4]data summary'!X27</f>
        <v>5.6934871903168358E-2</v>
      </c>
      <c r="S28" s="4">
        <f>'[4]data summary'!Y27</f>
        <v>2.466629679368029E-3</v>
      </c>
    </row>
    <row r="29" spans="1:19" x14ac:dyDescent="0.2">
      <c r="A29">
        <f>'[3]data summary'!A38</f>
        <v>0</v>
      </c>
      <c r="B29" t="str">
        <f>'[3]data summary'!B38</f>
        <v>TARC</v>
      </c>
      <c r="C29">
        <f>'[3]data summary'!C38</f>
        <v>12115842.271092307</v>
      </c>
      <c r="D29">
        <f>'[3]data summary'!D38</f>
        <v>1.4065218621868005</v>
      </c>
      <c r="E29">
        <f>'[3]data summary'!E38</f>
        <v>121062924.78277341</v>
      </c>
      <c r="G29" s="4">
        <f>'[4]data summary'!M28</f>
        <v>0</v>
      </c>
      <c r="H29" s="4" t="str">
        <f>'[4]data summary'!N28</f>
        <v>Solvent</v>
      </c>
      <c r="I29" s="4">
        <f>'[4]data summary'!O28</f>
        <v>7.757162199981865</v>
      </c>
      <c r="J29" s="4">
        <f>'[4]data summary'!P28</f>
        <v>0.75743877846264207</v>
      </c>
      <c r="K29" s="4">
        <f>'[4]data summary'!Q28</f>
        <v>0.3007246238290513</v>
      </c>
      <c r="L29" s="4">
        <f>'[4]data summary'!R28</f>
        <v>0</v>
      </c>
      <c r="M29" s="4">
        <f>'[4]data summary'!S28</f>
        <v>0.40892314846117306</v>
      </c>
      <c r="N29" s="4">
        <f>'[4]data summary'!T28</f>
        <v>3.9975057596078056E-2</v>
      </c>
      <c r="O29" s="4">
        <f>'[4]data summary'!U28</f>
        <v>0.16027241749748847</v>
      </c>
      <c r="P29" s="4">
        <f>'[4]data summary'!V28</f>
        <v>0</v>
      </c>
      <c r="Q29" s="4">
        <f>'[4]data summary'!W28</f>
        <v>53.984023395943929</v>
      </c>
      <c r="R29" s="4">
        <f>'[4]data summary'!X28</f>
        <v>5.2691864366007248</v>
      </c>
      <c r="S29" s="4">
        <f>'[4]data summary'!Y28</f>
        <v>0.22830660052059809</v>
      </c>
    </row>
    <row r="30" spans="1:19" x14ac:dyDescent="0.2">
      <c r="A30">
        <f>'[3]data summary'!A39</f>
        <v>0</v>
      </c>
      <c r="B30" t="str">
        <f>'[3]data summary'!B39</f>
        <v>Polymer</v>
      </c>
      <c r="C30">
        <f>'[3]data summary'!C39</f>
        <v>285979.57464178838</v>
      </c>
      <c r="D30">
        <f>'[3]data summary'!D39</f>
        <v>1.6221481997971157E-2</v>
      </c>
      <c r="E30">
        <f>'[3]data summary'!E39</f>
        <v>2040265.8844255749</v>
      </c>
      <c r="G30" s="4">
        <f>'[4]data summary'!M29</f>
        <v>0</v>
      </c>
      <c r="H30" s="4" t="str">
        <f>'[4]data summary'!N29</f>
        <v>Water</v>
      </c>
      <c r="I30" s="4">
        <f>'[4]data summary'!O29</f>
        <v>17.895840790449682</v>
      </c>
      <c r="J30" s="4">
        <f>'[4]data summary'!P29</f>
        <v>1.7494597542751273</v>
      </c>
      <c r="K30" s="4">
        <f>'[4]data summary'!Q29</f>
        <v>0.69377432765620839</v>
      </c>
      <c r="L30" s="4">
        <f>'[4]data summary'!R29</f>
        <v>0</v>
      </c>
      <c r="M30" s="4">
        <f>'[4]data summary'!S29</f>
        <v>2.130906336740829</v>
      </c>
      <c r="N30" s="4">
        <f>'[4]data summary'!T29</f>
        <v>0.2079376915350783</v>
      </c>
      <c r="O30" s="4">
        <f>'[4]data summary'!U29</f>
        <v>0.83518262865619475</v>
      </c>
      <c r="P30" s="4">
        <f>'[4]data summary'!V29</f>
        <v>0</v>
      </c>
      <c r="Q30" s="4">
        <f>'[4]data summary'!W29</f>
        <v>181.39477505261613</v>
      </c>
      <c r="R30" s="4">
        <f>'[4]data summary'!X29</f>
        <v>17.702708161735572</v>
      </c>
      <c r="S30" s="4">
        <f>'[4]data summary'!Y29</f>
        <v>0.7671459413225763</v>
      </c>
    </row>
    <row r="31" spans="1:19" x14ac:dyDescent="0.2">
      <c r="A31">
        <f>'[3]data summary'!A40</f>
        <v>0</v>
      </c>
      <c r="B31" t="str">
        <f>'[3]data summary'!B40</f>
        <v>ITC</v>
      </c>
      <c r="C31">
        <f>'[3]data summary'!C40</f>
        <v>6359396.0391024798</v>
      </c>
      <c r="D31">
        <f>'[3]data summary'!D40</f>
        <v>0.71560198819351073</v>
      </c>
      <c r="E31">
        <f>'[3]data summary'!E40</f>
        <v>62464831.750706404</v>
      </c>
      <c r="G31" s="4">
        <f>'[4]data summary'!M30</f>
        <v>0</v>
      </c>
      <c r="H31" s="4">
        <f>'[4]data summary'!N30</f>
        <v>0</v>
      </c>
      <c r="I31" s="4">
        <f>'[4]data summary'!O30</f>
        <v>25.794901997754167</v>
      </c>
      <c r="J31" s="4">
        <f>'[4]data summary'!P30</f>
        <v>2.5207591974610519</v>
      </c>
      <c r="K31" s="4">
        <f>'[4]data summary'!Q30</f>
        <v>0</v>
      </c>
      <c r="L31" s="4">
        <f>'[4]data summary'!R30</f>
        <v>0</v>
      </c>
      <c r="M31" s="4">
        <f>'[4]data summary'!S30</f>
        <v>2.5514255967816859</v>
      </c>
      <c r="N31" s="4">
        <f>'[4]data summary'!T30</f>
        <v>0.24904519862104654</v>
      </c>
      <c r="O31" s="4">
        <f>'[4]data summary'!U30</f>
        <v>0</v>
      </c>
      <c r="P31" s="4">
        <f>'[4]data summary'!V30</f>
        <v>0</v>
      </c>
      <c r="Q31" s="4">
        <f>'[4]data summary'!W30</f>
        <v>236.45406340791897</v>
      </c>
      <c r="R31" s="4">
        <f>'[4]data summary'!X30</f>
        <v>23.076849059498425</v>
      </c>
      <c r="S31" s="4">
        <f>'[4]data summary'!Y30</f>
        <v>0</v>
      </c>
    </row>
    <row r="32" spans="1:19" x14ac:dyDescent="0.2">
      <c r="A32">
        <f>'[3]data summary'!A41</f>
        <v>0</v>
      </c>
      <c r="B32" t="str">
        <f>'[3]data summary'!B41</f>
        <v>PBO</v>
      </c>
      <c r="C32">
        <f>'[3]data summary'!C41</f>
        <v>2552124.6465764749</v>
      </c>
      <c r="D32">
        <f>'[3]data summary'!D41</f>
        <v>0.13990257338700135</v>
      </c>
      <c r="E32">
        <f>'[3]data summary'!E41</f>
        <v>17999583.865617428</v>
      </c>
      <c r="G32" s="4">
        <f>'[4]data summary'!M31</f>
        <v>0</v>
      </c>
      <c r="H32" s="4">
        <f>'[4]data summary'!N31</f>
        <v>0</v>
      </c>
      <c r="I32" s="4">
        <f>'[4]data summary'!O31</f>
        <v>0</v>
      </c>
      <c r="J32" s="4">
        <f>'[4]data summary'!P31</f>
        <v>0</v>
      </c>
      <c r="K32" s="4">
        <f>'[4]data summary'!Q31</f>
        <v>0</v>
      </c>
      <c r="L32" s="4">
        <f>'[4]data summary'!R31</f>
        <v>0</v>
      </c>
      <c r="M32" s="4">
        <f>'[4]data summary'!S31</f>
        <v>0</v>
      </c>
      <c r="N32" s="4">
        <f>'[4]data summary'!T31</f>
        <v>0</v>
      </c>
      <c r="O32" s="4">
        <f>'[4]data summary'!U31</f>
        <v>0</v>
      </c>
      <c r="P32" s="4">
        <f>'[4]data summary'!V31</f>
        <v>0</v>
      </c>
      <c r="Q32" s="4">
        <f>'[4]data summary'!W31</f>
        <v>0</v>
      </c>
      <c r="R32" s="4">
        <f>'[4]data summary'!X31</f>
        <v>0</v>
      </c>
      <c r="S32" s="4">
        <f>'[4]data summary'!Y31</f>
        <v>0</v>
      </c>
    </row>
    <row r="33" spans="1:36" x14ac:dyDescent="0.2">
      <c r="A33">
        <f>'[3]data summary'!A42</f>
        <v>0</v>
      </c>
      <c r="B33">
        <f>'[3]data summary'!B42</f>
        <v>0</v>
      </c>
      <c r="C33">
        <f>'[3]data summary'!C42</f>
        <v>25794901.997754168</v>
      </c>
      <c r="D33">
        <f>'[3]data summary'!D42</f>
        <v>2.5514255967816855</v>
      </c>
      <c r="E33">
        <f>'[3]data summary'!E42</f>
        <v>236454063.40791899</v>
      </c>
      <c r="G33" s="4">
        <f>'[4]data summary'!M32</f>
        <v>2030</v>
      </c>
      <c r="H33" s="4" t="str">
        <f>'[4]data summary'!N32</f>
        <v>Gas</v>
      </c>
      <c r="I33" s="4">
        <f>'[4]data summary'!O32</f>
        <v>0.4586556218011677</v>
      </c>
      <c r="J33" s="4">
        <f>'[4]data summary'!P32</f>
        <v>5.1337499344812729E-2</v>
      </c>
      <c r="K33" s="4">
        <f>'[4]data summary'!Q32</f>
        <v>2.4972430153244866E-3</v>
      </c>
      <c r="L33" s="4">
        <f>'[4]data summary'!R32</f>
        <v>0</v>
      </c>
      <c r="M33" s="4">
        <f>'[4]data summary'!S32</f>
        <v>3.5657686363850784E-2</v>
      </c>
      <c r="N33" s="4">
        <f>'[4]data summary'!T32</f>
        <v>3.9877198786024224E-3</v>
      </c>
      <c r="O33" s="4">
        <f>'[4]data summary'!U32</f>
        <v>2.1370632369076704E-3</v>
      </c>
      <c r="P33" s="4">
        <f>'[4]data summary'!V32</f>
        <v>0</v>
      </c>
      <c r="Q33" s="4">
        <f>'[4]data summary'!W32</f>
        <v>3.4557570841316014</v>
      </c>
      <c r="R33" s="4">
        <f>'[4]data summary'!X32</f>
        <v>0.38319936157005546</v>
      </c>
      <c r="S33" s="4">
        <f>'[4]data summary'!Y32</f>
        <v>2.0719191379344934E-3</v>
      </c>
    </row>
    <row r="34" spans="1:36" x14ac:dyDescent="0.2">
      <c r="A34">
        <f>'[3]data summary'!A43</f>
        <v>0</v>
      </c>
      <c r="B34">
        <f>'[3]data summary'!B43</f>
        <v>0</v>
      </c>
      <c r="C34">
        <f>'[3]data summary'!C43</f>
        <v>0</v>
      </c>
      <c r="D34">
        <f>'[3]data summary'!D43</f>
        <v>0</v>
      </c>
      <c r="E34">
        <f>'[3]data summary'!E43</f>
        <v>0</v>
      </c>
      <c r="G34" s="4">
        <f>'[4]data summary'!M33</f>
        <v>0</v>
      </c>
      <c r="H34" s="4" t="str">
        <f>'[4]data summary'!N33</f>
        <v>Solid</v>
      </c>
      <c r="I34" s="4">
        <f>'[4]data summary'!O33</f>
        <v>0.59186567961449321</v>
      </c>
      <c r="J34" s="4">
        <f>'[4]data summary'!P33</f>
        <v>6.6260945048698894E-2</v>
      </c>
      <c r="K34" s="4">
        <f>'[4]data summary'!Q33</f>
        <v>3.2225320353062564E-3</v>
      </c>
      <c r="L34" s="4">
        <f>'[4]data summary'!R33</f>
        <v>0</v>
      </c>
      <c r="M34" s="4">
        <f>'[4]data summary'!S33</f>
        <v>4.6012431298248509E-2</v>
      </c>
      <c r="N34" s="4">
        <f>'[4]data summary'!T33</f>
        <v>5.1467551016813971E-3</v>
      </c>
      <c r="O34" s="4">
        <f>'[4]data summary'!U33</f>
        <v>2.7576515863887824E-3</v>
      </c>
      <c r="P34" s="4">
        <f>'[4]data summary'!V33</f>
        <v>0</v>
      </c>
      <c r="Q34" s="4">
        <f>'[4]data summary'!W33</f>
        <v>4.4594164315316283</v>
      </c>
      <c r="R34" s="4">
        <f>'[4]data summary'!X33</f>
        <v>0.49458822904236632</v>
      </c>
      <c r="S34" s="4">
        <f>'[4]data summary'!Y33</f>
        <v>2.6736689019424336E-3</v>
      </c>
    </row>
    <row r="35" spans="1:36" x14ac:dyDescent="0.2">
      <c r="A35">
        <f>'[3]data summary'!A44</f>
        <v>2030</v>
      </c>
      <c r="B35" t="str">
        <f>'[3]data summary'!B44</f>
        <v>PAG</v>
      </c>
      <c r="C35">
        <f>'[3]data summary'!C44</f>
        <v>30441012.680731088</v>
      </c>
      <c r="D35">
        <f>'[3]data summary'!D44</f>
        <v>1.631562713273158</v>
      </c>
      <c r="E35">
        <f>'[3]data summary'!E44</f>
        <v>217732861.6683253</v>
      </c>
      <c r="G35" s="4">
        <f>'[4]data summary'!M34</f>
        <v>0</v>
      </c>
      <c r="H35" s="4" t="str">
        <f>'[4]data summary'!N34</f>
        <v>Solvent</v>
      </c>
      <c r="I35" s="4">
        <f>'[4]data summary'!O34</f>
        <v>60.673895473356751</v>
      </c>
      <c r="J35" s="4">
        <f>'[4]data summary'!P34</f>
        <v>6.7399035033010248</v>
      </c>
      <c r="K35" s="4">
        <f>'[4]data summary'!Q34</f>
        <v>0.33035125807103399</v>
      </c>
      <c r="L35" s="4">
        <f>'[4]data summary'!R34</f>
        <v>0</v>
      </c>
      <c r="M35" s="4">
        <f>'[4]data summary'!S34</f>
        <v>2.9760888227300537</v>
      </c>
      <c r="N35" s="4">
        <f>'[4]data summary'!T34</f>
        <v>0.33672925844096901</v>
      </c>
      <c r="O35" s="4">
        <f>'[4]data summary'!U34</f>
        <v>0.1783651902686538</v>
      </c>
      <c r="P35" s="4">
        <f>'[4]data summary'!V34</f>
        <v>0</v>
      </c>
      <c r="Q35" s="4">
        <f>'[4]data summary'!W34</f>
        <v>420.91322265022336</v>
      </c>
      <c r="R35" s="4">
        <f>'[4]data summary'!X34</f>
        <v>46.532878265417899</v>
      </c>
      <c r="S35" s="4">
        <f>'[4]data summary'!Y34</f>
        <v>0.25236095598942543</v>
      </c>
    </row>
    <row r="36" spans="1:36" x14ac:dyDescent="0.2">
      <c r="A36">
        <f>'[3]data summary'!A45</f>
        <v>0</v>
      </c>
      <c r="B36" t="str">
        <f>'[3]data summary'!B45</f>
        <v>Sur</v>
      </c>
      <c r="C36">
        <f>'[3]data summary'!C45</f>
        <v>1539589.9357912648</v>
      </c>
      <c r="D36">
        <f>'[3]data summary'!D45</f>
        <v>0.17110058553055701</v>
      </c>
      <c r="E36">
        <f>'[3]data summary'!E45</f>
        <v>15592918.247824268</v>
      </c>
      <c r="G36" s="4">
        <f>'[4]data summary'!M35</f>
        <v>0</v>
      </c>
      <c r="H36" s="4" t="str">
        <f>'[4]data summary'!N35</f>
        <v>Water</v>
      </c>
      <c r="I36" s="4">
        <f>'[4]data summary'!O35</f>
        <v>121.94037635372933</v>
      </c>
      <c r="J36" s="4">
        <f>'[4]data summary'!P35</f>
        <v>13.892786369680275</v>
      </c>
      <c r="K36" s="4">
        <f>'[4]data summary'!Q35</f>
        <v>0.66392896687833525</v>
      </c>
      <c r="L36" s="4">
        <f>'[4]data summary'!R35</f>
        <v>0</v>
      </c>
      <c r="M36" s="4">
        <f>'[4]data summary'!S35</f>
        <v>13.627608973871085</v>
      </c>
      <c r="N36" s="4">
        <f>'[4]data summary'!T35</f>
        <v>1.5182190047876429</v>
      </c>
      <c r="O36" s="4">
        <f>'[4]data summary'!U35</f>
        <v>0.81674009490804977</v>
      </c>
      <c r="P36" s="4">
        <f>'[4]data summary'!V35</f>
        <v>0</v>
      </c>
      <c r="Q36" s="4">
        <f>'[4]data summary'!W35</f>
        <v>1239.0731260801329</v>
      </c>
      <c r="R36" s="4">
        <f>'[4]data summary'!X35</f>
        <v>137.90402032259777</v>
      </c>
      <c r="S36" s="4">
        <f>'[4]data summary'!Y35</f>
        <v>0.74289345597069767</v>
      </c>
    </row>
    <row r="37" spans="1:36" x14ac:dyDescent="0.2">
      <c r="A37">
        <f>'[3]data summary'!A46</f>
        <v>0</v>
      </c>
      <c r="B37" t="str">
        <f>'[3]data summary'!B46</f>
        <v>TARC</v>
      </c>
      <c r="C37">
        <f>'[3]data summary'!C46</f>
        <v>83104917.05748263</v>
      </c>
      <c r="D37">
        <f>'[3]data summary'!D46</f>
        <v>9.0346776280797894</v>
      </c>
      <c r="E37">
        <f>'[3]data summary'!E46</f>
        <v>831352923.86075044</v>
      </c>
      <c r="G37" s="4">
        <f>'[4]data summary'!M36</f>
        <v>0</v>
      </c>
      <c r="H37" s="4">
        <f>'[4]data summary'!N36</f>
        <v>0</v>
      </c>
      <c r="I37" s="4">
        <f>'[4]data summary'!O36</f>
        <v>183.66479312850174</v>
      </c>
      <c r="J37" s="4">
        <f>'[4]data summary'!P36</f>
        <v>20.75028831737481</v>
      </c>
      <c r="K37" s="4">
        <f>'[4]data summary'!Q36</f>
        <v>0</v>
      </c>
      <c r="L37" s="4">
        <f>'[4]data summary'!R36</f>
        <v>0</v>
      </c>
      <c r="M37" s="4">
        <f>'[4]data summary'!S36</f>
        <v>16.685367914263239</v>
      </c>
      <c r="N37" s="4">
        <f>'[4]data summary'!T36</f>
        <v>1.8640827382088958</v>
      </c>
      <c r="O37" s="4">
        <f>'[4]data summary'!U36</f>
        <v>0</v>
      </c>
      <c r="P37" s="4">
        <f>'[4]data summary'!V36</f>
        <v>0</v>
      </c>
      <c r="Q37" s="4">
        <f>'[4]data summary'!W36</f>
        <v>1667.9015222460193</v>
      </c>
      <c r="R37" s="4">
        <f>'[4]data summary'!X36</f>
        <v>185.31468617862811</v>
      </c>
      <c r="S37" s="4">
        <f>'[4]data summary'!Y36</f>
        <v>0</v>
      </c>
    </row>
    <row r="38" spans="1:36" x14ac:dyDescent="0.2">
      <c r="A38">
        <f>'[3]data summary'!A47</f>
        <v>0</v>
      </c>
      <c r="B38" t="str">
        <f>'[3]data summary'!B47</f>
        <v>Polymer</v>
      </c>
      <c r="C38">
        <f>'[3]data summary'!C47</f>
        <v>2050862.4541576956</v>
      </c>
      <c r="D38">
        <f>'[3]data summary'!D47</f>
        <v>0.10792697864544581</v>
      </c>
      <c r="E38">
        <f>'[3]data summary'!E47</f>
        <v>14565659.358015824</v>
      </c>
      <c r="G38" s="4">
        <f>'[4]data summary'!M37</f>
        <v>0</v>
      </c>
      <c r="H38" s="4">
        <f>'[4]data summary'!N37</f>
        <v>0</v>
      </c>
      <c r="I38" s="4">
        <f>'[4]data summary'!O37</f>
        <v>0</v>
      </c>
      <c r="J38" s="4">
        <f>'[4]data summary'!P37</f>
        <v>0</v>
      </c>
      <c r="K38" s="4">
        <f>'[4]data summary'!Q37</f>
        <v>0</v>
      </c>
      <c r="L38" s="4">
        <f>'[4]data summary'!R37</f>
        <v>0</v>
      </c>
      <c r="M38" s="4">
        <f>'[4]data summary'!S37</f>
        <v>0</v>
      </c>
      <c r="N38" s="4">
        <f>'[4]data summary'!T37</f>
        <v>0</v>
      </c>
      <c r="O38" s="4">
        <f>'[4]data summary'!U37</f>
        <v>0</v>
      </c>
      <c r="P38" s="4">
        <f>'[4]data summary'!V37</f>
        <v>0</v>
      </c>
      <c r="Q38" s="4">
        <f>'[4]data summary'!W37</f>
        <v>0</v>
      </c>
      <c r="R38" s="4">
        <f>'[4]data summary'!X37</f>
        <v>0</v>
      </c>
      <c r="S38" s="4">
        <f>'[4]data summary'!Y37</f>
        <v>0</v>
      </c>
    </row>
    <row r="39" spans="1:36" x14ac:dyDescent="0.2">
      <c r="A39">
        <f>'[3]data summary'!A48</f>
        <v>0</v>
      </c>
      <c r="B39" t="str">
        <f>'[3]data summary'!B48</f>
        <v>ITC</v>
      </c>
      <c r="C39">
        <f>'[3]data summary'!C48</f>
        <v>43404987.911218092</v>
      </c>
      <c r="D39">
        <f>'[3]data summary'!D48</f>
        <v>4.5627566033429385</v>
      </c>
      <c r="E39">
        <f>'[3]data summary'!E48</f>
        <v>426210097.46331692</v>
      </c>
      <c r="G39" s="4">
        <f>'[4]data summary'!M38</f>
        <v>2025</v>
      </c>
      <c r="H39" s="4">
        <f>'[4]data summary'!N38</f>
        <v>0</v>
      </c>
      <c r="I39" s="4">
        <f>'[4]data summary'!O38</f>
        <v>25.794901997754167</v>
      </c>
      <c r="J39" s="4">
        <f>'[4]data summary'!P38</f>
        <v>2.5207591974610519</v>
      </c>
      <c r="K39" s="4">
        <f>'[4]data summary'!Q38</f>
        <v>0</v>
      </c>
      <c r="L39" s="4">
        <f>'[4]data summary'!R38</f>
        <v>0</v>
      </c>
      <c r="M39" s="4">
        <f>'[4]data summary'!S38</f>
        <v>2.5514255967816859</v>
      </c>
      <c r="N39" s="4">
        <f>'[4]data summary'!T38</f>
        <v>0.24904519862104654</v>
      </c>
      <c r="O39" s="4">
        <f>'[4]data summary'!U38</f>
        <v>0</v>
      </c>
      <c r="P39" s="4">
        <f>'[4]data summary'!V38</f>
        <v>0</v>
      </c>
      <c r="Q39" s="4">
        <f>'[4]data summary'!W38</f>
        <v>236.45406340791897</v>
      </c>
      <c r="R39" s="4">
        <f>'[4]data summary'!X38</f>
        <v>23.076849059498425</v>
      </c>
      <c r="S39" s="4">
        <f>'[4]data summary'!Y38</f>
        <v>0</v>
      </c>
    </row>
    <row r="40" spans="1:36" x14ac:dyDescent="0.2">
      <c r="A40">
        <f>'[3]data summary'!A49</f>
        <v>0</v>
      </c>
      <c r="B40" t="str">
        <f>'[3]data summary'!B49</f>
        <v>PBO</v>
      </c>
      <c r="C40">
        <f>'[3]data summary'!C49</f>
        <v>23123423.089120999</v>
      </c>
      <c r="D40">
        <f>'[3]data summary'!D49</f>
        <v>1.1773434053913481</v>
      </c>
      <c r="E40">
        <f>'[3]data summary'!E49</f>
        <v>162447061.64778692</v>
      </c>
      <c r="G40" s="4">
        <f>'[4]data summary'!M39</f>
        <v>2030</v>
      </c>
      <c r="H40" s="4">
        <f>'[4]data summary'!N39</f>
        <v>0</v>
      </c>
      <c r="I40" s="4">
        <f>'[4]data summary'!O39</f>
        <v>183.66479312850174</v>
      </c>
      <c r="J40" s="4">
        <f>'[4]data summary'!P39</f>
        <v>20.75028831737481</v>
      </c>
      <c r="K40" s="4">
        <f>'[4]data summary'!Q39</f>
        <v>0</v>
      </c>
      <c r="L40" s="4">
        <f>'[4]data summary'!R39</f>
        <v>0</v>
      </c>
      <c r="M40" s="4">
        <f>'[4]data summary'!S39</f>
        <v>16.685367914263239</v>
      </c>
      <c r="N40" s="4">
        <f>'[4]data summary'!T39</f>
        <v>1.8640827382088958</v>
      </c>
      <c r="O40" s="4">
        <f>'[4]data summary'!U39</f>
        <v>0</v>
      </c>
      <c r="P40" s="4">
        <f>'[4]data summary'!V39</f>
        <v>0</v>
      </c>
      <c r="Q40" s="4">
        <f>'[4]data summary'!W39</f>
        <v>1667.9015222460193</v>
      </c>
      <c r="R40" s="4">
        <f>'[4]data summary'!X39</f>
        <v>185.31468617862811</v>
      </c>
      <c r="S40" s="4">
        <f>'[4]data summary'!Y39</f>
        <v>0</v>
      </c>
    </row>
    <row r="41" spans="1:36" x14ac:dyDescent="0.2">
      <c r="A41">
        <f>'[3]data summary'!A50</f>
        <v>0</v>
      </c>
      <c r="B41">
        <f>'[3]data summary'!B50</f>
        <v>0</v>
      </c>
      <c r="C41">
        <f>'[3]data summary'!C50</f>
        <v>183664793.12850177</v>
      </c>
      <c r="D41">
        <f>'[3]data summary'!D50</f>
        <v>16.685367914263239</v>
      </c>
      <c r="E41">
        <f>'[3]data summary'!E50</f>
        <v>1667901522.2460196</v>
      </c>
    </row>
    <row r="45" spans="1:36" x14ac:dyDescent="0.2">
      <c r="A45" t="str" cm="1">
        <f t="array" ref="A45">INDEX($A$6:$S$41, COLUMN(A1), ROW(A1))</f>
        <v>yearly</v>
      </c>
      <c r="B45" cm="1">
        <f t="array" ref="B45">INDEX($A$6:$S$41, COLUMN(B1), ROW(B1))</f>
        <v>2025</v>
      </c>
      <c r="C45" cm="1">
        <f t="array" ref="C45">INDEX($A$6:$S$41, COLUMN(C1), ROW(C1))</f>
        <v>0</v>
      </c>
      <c r="D45" cm="1">
        <f t="array" ref="D45">INDEX($A$6:$S$41, COLUMN(D1), ROW(D1))</f>
        <v>0</v>
      </c>
      <c r="E45" cm="1">
        <f t="array" ref="E45">INDEX($A$6:$S$41, COLUMN(E1), ROW(E1))</f>
        <v>0</v>
      </c>
      <c r="F45" cm="1">
        <f t="array" ref="F45">INDEX($A$6:$S$41, COLUMN(F1), ROW(F1))</f>
        <v>0</v>
      </c>
      <c r="G45" cm="1">
        <f t="array" ref="G45">INDEX($A$6:$S$41, COLUMN(G1), ROW(G1))</f>
        <v>0</v>
      </c>
      <c r="H45" cm="1">
        <f t="array" ref="H45">INDEX($A$6:$S$41, COLUMN(H1), ROW(H1))</f>
        <v>0</v>
      </c>
      <c r="I45" cm="1">
        <f t="array" ref="I45">INDEX($A$6:$S$41, COLUMN(I1), ROW(I1))</f>
        <v>0</v>
      </c>
      <c r="J45" cm="1">
        <f t="array" ref="J45">INDEX($A$6:$S$41, COLUMN(J1), ROW(J1))</f>
        <v>2030</v>
      </c>
      <c r="K45" cm="1">
        <f t="array" ref="K45">INDEX($A$6:$S$41, COLUMN(K1), ROW(K1))</f>
        <v>0</v>
      </c>
      <c r="L45" cm="1">
        <f t="array" ref="L45">INDEX($A$6:$S$41, COLUMN(L1), ROW(L1))</f>
        <v>0</v>
      </c>
      <c r="M45" cm="1">
        <f t="array" ref="M45">INDEX($A$6:$S$41, COLUMN(M1), ROW(M1))</f>
        <v>0</v>
      </c>
      <c r="N45" cm="1">
        <f t="array" ref="N45">INDEX($A$6:$S$41, COLUMN(N1), ROW(N1))</f>
        <v>0</v>
      </c>
      <c r="O45" cm="1">
        <f t="array" ref="O45">INDEX($A$6:$S$41, COLUMN(O1), ROW(O1))</f>
        <v>0</v>
      </c>
      <c r="P45" cm="1">
        <f t="array" ref="P45">INDEX($A$6:$S$41, COLUMN(P1), ROW(P1))</f>
        <v>0</v>
      </c>
      <c r="Q45" cm="1">
        <f t="array" ref="Q45">INDEX($A$6:$S$41, COLUMN(Q1), ROW(Q1))</f>
        <v>0</v>
      </c>
      <c r="R45" cm="1">
        <f t="array" ref="R45">INDEX($A$6:$S$41, COLUMN(R1), ROW(R1))</f>
        <v>0</v>
      </c>
      <c r="S45" cm="1">
        <f t="array" ref="S45">INDEX($A$6:$S$41, COLUMN(S1), ROW(S1))</f>
        <v>0</v>
      </c>
      <c r="T45" t="str" cm="1">
        <f t="array" ref="T45">INDEX($A$6:$S$41, COLUMN(T1), ROW(T1))</f>
        <v>13MJ</v>
      </c>
      <c r="U45" t="str" cm="1">
        <f t="array" ref="U45">INDEX($A$6:$S$41, COLUMN(U1), ROW(U1))</f>
        <v>yearly</v>
      </c>
      <c r="V45" cm="1">
        <f t="array" ref="V45">INDEX($A$6:$S$41, COLUMN(V1), ROW(V1))</f>
        <v>2025</v>
      </c>
      <c r="W45" cm="1">
        <f t="array" ref="W45">INDEX($A$6:$S$41, COLUMN(W1), ROW(W1))</f>
        <v>0</v>
      </c>
      <c r="X45" cm="1">
        <f t="array" ref="X45">INDEX($A$6:$S$41, COLUMN(X1), ROW(X1))</f>
        <v>0</v>
      </c>
      <c r="Y45" cm="1">
        <f t="array" ref="Y45">INDEX($A$6:$S$41, COLUMN(Y1), ROW(Y1))</f>
        <v>0</v>
      </c>
      <c r="Z45" cm="1">
        <f t="array" ref="Z45">INDEX($A$6:$S$41, COLUMN(Z1), ROW(Z1))</f>
        <v>0</v>
      </c>
      <c r="AA45" cm="1">
        <f t="array" ref="AA45">INDEX($A$6:$S$41, COLUMN(AA1), ROW(AA1))</f>
        <v>0</v>
      </c>
      <c r="AB45" cm="1">
        <f t="array" ref="AB45">INDEX($A$6:$S$41, COLUMN(AB1), ROW(AB1))</f>
        <v>0</v>
      </c>
      <c r="AC45" cm="1">
        <f t="array" ref="AC45">INDEX($A$6:$S$41, COLUMN(AC1), ROW(AC1))</f>
        <v>0</v>
      </c>
      <c r="AD45" cm="1">
        <f t="array" ref="AD45">INDEX($A$6:$S$41, COLUMN(AD1), ROW(AD1))</f>
        <v>2030</v>
      </c>
      <c r="AE45" cm="1">
        <f t="array" ref="AE45">INDEX($A$6:$S$41, COLUMN(AE1), ROW(AE1))</f>
        <v>0</v>
      </c>
      <c r="AF45" cm="1">
        <f t="array" ref="AF45">INDEX($A$6:$S$41, COLUMN(AF1), ROW(AF1))</f>
        <v>0</v>
      </c>
      <c r="AG45" cm="1">
        <f t="array" ref="AG45">INDEX($A$6:$S$41, COLUMN(AG1), ROW(AG1))</f>
        <v>0</v>
      </c>
      <c r="AH45" cm="1">
        <f t="array" ref="AH45">INDEX($A$6:$S$41, COLUMN(AH1), ROW(AH1))</f>
        <v>0</v>
      </c>
      <c r="AI45" cm="1">
        <f t="array" ref="AI45">INDEX($A$6:$S$41, COLUMN(AI1), ROW(AI1))</f>
        <v>0</v>
      </c>
      <c r="AJ45" cm="1">
        <f t="array" ref="AJ45">INDEX($A$6:$S$41, COLUMN(AJ1), ROW(AJ1))</f>
        <v>0</v>
      </c>
    </row>
    <row r="46" spans="1:36" x14ac:dyDescent="0.2">
      <c r="A46" cm="1">
        <f t="array" ref="A46">INDEX($A$6:$S$41, COLUMN(A2), ROW(A2))</f>
        <v>0</v>
      </c>
      <c r="B46" t="str" cm="1">
        <f t="array" ref="B46">INDEX($A$6:$S$41, COLUMN(B2), ROW(B2))</f>
        <v>PAG</v>
      </c>
      <c r="C46" t="str" cm="1">
        <f t="array" ref="C46">INDEX($A$6:$S$41, COLUMN(C2), ROW(C2))</f>
        <v>Sur</v>
      </c>
      <c r="D46" t="str" cm="1">
        <f t="array" ref="D46">INDEX($A$6:$S$41, COLUMN(D2), ROW(D2))</f>
        <v>TARC</v>
      </c>
      <c r="E46" t="str" cm="1">
        <f t="array" ref="E46">INDEX($A$6:$S$41, COLUMN(E2), ROW(E2))</f>
        <v>Polymer</v>
      </c>
      <c r="F46" t="str" cm="1">
        <f t="array" ref="F46">INDEX($A$6:$S$41, COLUMN(F2), ROW(F2))</f>
        <v>ITC</v>
      </c>
      <c r="G46" t="str" cm="1">
        <f t="array" ref="G46">INDEX($A$6:$S$41, COLUMN(G2), ROW(G2))</f>
        <v>PBO</v>
      </c>
      <c r="H46" cm="1">
        <f t="array" ref="H46">INDEX($A$6:$S$41, COLUMN(H2), ROW(H2))</f>
        <v>0</v>
      </c>
      <c r="I46" cm="1">
        <f t="array" ref="I46">INDEX($A$6:$S$41, COLUMN(I2), ROW(I2))</f>
        <v>0</v>
      </c>
      <c r="J46" t="str" cm="1">
        <f t="array" ref="J46">INDEX($A$6:$S$41, COLUMN(J2), ROW(J2))</f>
        <v>PAG</v>
      </c>
      <c r="K46" t="str" cm="1">
        <f t="array" ref="K46">INDEX($A$6:$S$41, COLUMN(K2), ROW(K2))</f>
        <v>Sur</v>
      </c>
      <c r="L46" t="str" cm="1">
        <f t="array" ref="L46">INDEX($A$6:$S$41, COLUMN(L2), ROW(L2))</f>
        <v>TARC</v>
      </c>
      <c r="M46" t="str" cm="1">
        <f t="array" ref="M46">INDEX($A$6:$S$41, COLUMN(M2), ROW(M2))</f>
        <v>Polymer</v>
      </c>
      <c r="N46" t="str" cm="1">
        <f t="array" ref="N46">INDEX($A$6:$S$41, COLUMN(N2), ROW(N2))</f>
        <v>ITC</v>
      </c>
      <c r="O46" t="str" cm="1">
        <f t="array" ref="O46">INDEX($A$6:$S$41, COLUMN(O2), ROW(O2))</f>
        <v>PBO</v>
      </c>
      <c r="P46" cm="1">
        <f t="array" ref="P46">INDEX($A$6:$S$41, COLUMN(P2), ROW(P2))</f>
        <v>0</v>
      </c>
      <c r="Q46" cm="1">
        <f t="array" ref="Q46">INDEX($A$6:$S$41, COLUMN(Q2), ROW(Q2))</f>
        <v>0</v>
      </c>
      <c r="R46" cm="1">
        <f t="array" ref="R46">INDEX($A$6:$S$41, COLUMN(R2), ROW(R2))</f>
        <v>0</v>
      </c>
      <c r="S46" cm="1">
        <f t="array" ref="S46">INDEX($A$6:$S$41, COLUMN(S2), ROW(S2))</f>
        <v>0</v>
      </c>
      <c r="T46" cm="1">
        <f t="array" ref="T46">INDEX($A$6:$S$41, COLUMN(T2), ROW(T2))</f>
        <v>0</v>
      </c>
      <c r="U46" cm="1">
        <f t="array" ref="U46">INDEX($A$6:$S$41, COLUMN(U2), ROW(U2))</f>
        <v>0</v>
      </c>
      <c r="V46" t="str" cm="1">
        <f t="array" ref="V46">INDEX($A$6:$S$41, COLUMN(V2), ROW(V2))</f>
        <v>PAG</v>
      </c>
      <c r="W46" t="str" cm="1">
        <f t="array" ref="W46">INDEX($A$6:$S$41, COLUMN(W2), ROW(W2))</f>
        <v>Sur</v>
      </c>
      <c r="X46" t="str" cm="1">
        <f t="array" ref="X46">INDEX($A$6:$S$41, COLUMN(X2), ROW(X2))</f>
        <v>TARC</v>
      </c>
      <c r="Y46" t="str" cm="1">
        <f t="array" ref="Y46">INDEX($A$6:$S$41, COLUMN(Y2), ROW(Y2))</f>
        <v>Polymer</v>
      </c>
      <c r="Z46" t="str" cm="1">
        <f t="array" ref="Z46">INDEX($A$6:$S$41, COLUMN(Z2), ROW(Z2))</f>
        <v>ITC</v>
      </c>
      <c r="AA46" t="str" cm="1">
        <f t="array" ref="AA46">INDEX($A$6:$S$41, COLUMN(AA2), ROW(AA2))</f>
        <v>PBO</v>
      </c>
      <c r="AB46" cm="1">
        <f t="array" ref="AB46">INDEX($A$6:$S$41, COLUMN(AB2), ROW(AB2))</f>
        <v>0</v>
      </c>
      <c r="AC46" cm="1">
        <f t="array" ref="AC46">INDEX($A$6:$S$41, COLUMN(AC2), ROW(AC2))</f>
        <v>0</v>
      </c>
      <c r="AD46" t="str" cm="1">
        <f t="array" ref="AD46">INDEX($A$6:$S$41, COLUMN(AD2), ROW(AD2))</f>
        <v>PAG</v>
      </c>
      <c r="AE46" t="str" cm="1">
        <f t="array" ref="AE46">INDEX($A$6:$S$41, COLUMN(AE2), ROW(AE2))</f>
        <v>Sur</v>
      </c>
      <c r="AF46" t="str" cm="1">
        <f t="array" ref="AF46">INDEX($A$6:$S$41, COLUMN(AF2), ROW(AF2))</f>
        <v>TARC</v>
      </c>
      <c r="AG46" t="str" cm="1">
        <f t="array" ref="AG46">INDEX($A$6:$S$41, COLUMN(AG2), ROW(AG2))</f>
        <v>Polymer</v>
      </c>
      <c r="AH46" t="str" cm="1">
        <f t="array" ref="AH46">INDEX($A$6:$S$41, COLUMN(AH2), ROW(AH2))</f>
        <v>ITC</v>
      </c>
      <c r="AI46" t="str" cm="1">
        <f t="array" ref="AI46">INDEX($A$6:$S$41, COLUMN(AI2), ROW(AI2))</f>
        <v>PBO</v>
      </c>
      <c r="AJ46" cm="1">
        <f t="array" ref="AJ46">INDEX($A$6:$S$41, COLUMN(AJ2), ROW(AJ2))</f>
        <v>0</v>
      </c>
    </row>
    <row r="47" spans="1:36" x14ac:dyDescent="0.2">
      <c r="A47" t="str" cm="1">
        <f t="array" ref="A47">INDEX($A$6:$S$41, COLUMN(A3), ROW(A3))</f>
        <v>CC</v>
      </c>
      <c r="B47" cm="1">
        <f t="array" ref="B47">INDEX($A$6:$S$41, COLUMN(B3), ROW(B3))</f>
        <v>4251403.2559666513</v>
      </c>
      <c r="C47" cm="1">
        <f t="array" ref="C47">INDEX($A$6:$S$41, COLUMN(C3), ROW(C3))</f>
        <v>224617.65338192534</v>
      </c>
      <c r="D47" cm="1">
        <f t="array" ref="D47">INDEX($A$6:$S$41, COLUMN(D3), ROW(D3))</f>
        <v>11780121.329725295</v>
      </c>
      <c r="E47" cm="1">
        <f t="array" ref="E47">INDEX($A$6:$S$41, COLUMN(E3), ROW(E3))</f>
        <v>286208.04610526672</v>
      </c>
      <c r="F47" cm="1">
        <f t="array" ref="F47">INDEX($A$6:$S$41, COLUMN(F3), ROW(F3))</f>
        <v>6193781.965712118</v>
      </c>
      <c r="G47" cm="1">
        <f t="array" ref="G47">INDEX($A$6:$S$41, COLUMN(G3), ROW(G3))</f>
        <v>2555997.7533663311</v>
      </c>
      <c r="H47" cm="1">
        <f t="array" ref="H47">INDEX($A$6:$S$41, COLUMN(H3), ROW(H3))</f>
        <v>25292130.00425759</v>
      </c>
      <c r="I47" cm="1">
        <f t="array" ref="I47">INDEX($A$6:$S$41, COLUMN(I3), ROW(I3))</f>
        <v>0</v>
      </c>
      <c r="J47" cm="1">
        <f t="array" ref="J47">INDEX($A$6:$S$41, COLUMN(J3), ROW(J3))</f>
        <v>30470469.005943894</v>
      </c>
      <c r="K47" cm="1">
        <f t="array" ref="K47">INDEX($A$6:$S$41, COLUMN(K3), ROW(K3))</f>
        <v>1492142.3429854645</v>
      </c>
      <c r="L47" cm="1">
        <f t="array" ref="L47">INDEX($A$6:$S$41, COLUMN(L3), ROW(L3))</f>
        <v>80653744.294497043</v>
      </c>
      <c r="M47" cm="1">
        <f t="array" ref="M47">INDEX($A$6:$S$41, COLUMN(M3), ROW(M3))</f>
        <v>2053953.0905894691</v>
      </c>
      <c r="N47" cm="1">
        <f t="array" ref="N47">INDEX($A$6:$S$41, COLUMN(N3), ROW(N3))</f>
        <v>42209664.250355311</v>
      </c>
      <c r="O47" cm="1">
        <f t="array" ref="O47">INDEX($A$6:$S$41, COLUMN(O3), ROW(O3))</f>
        <v>23175497.627594315</v>
      </c>
      <c r="P47" cm="1">
        <f t="array" ref="P47">INDEX($A$6:$S$41, COLUMN(P3), ROW(P3))</f>
        <v>180055470.61196551</v>
      </c>
      <c r="Q47" cm="1">
        <f t="array" ref="Q47">INDEX($A$6:$S$41, COLUMN(Q3), ROW(Q3))</f>
        <v>0</v>
      </c>
      <c r="R47" cm="1">
        <f t="array" ref="R47">INDEX($A$6:$S$41, COLUMN(R3), ROW(R3))</f>
        <v>0</v>
      </c>
      <c r="S47" cm="1">
        <f t="array" ref="S47">INDEX($A$6:$S$41, COLUMN(S3), ROW(S3))</f>
        <v>0</v>
      </c>
      <c r="T47" cm="1">
        <f t="array" ref="T47">INDEX($A$6:$S$41, COLUMN(T3), ROW(T3))</f>
        <v>0</v>
      </c>
      <c r="U47" t="str" cm="1">
        <f t="array" ref="U47">INDEX($A$6:$S$41, COLUMN(U3), ROW(U3))</f>
        <v>CC</v>
      </c>
      <c r="V47" cm="1">
        <f t="array" ref="V47">INDEX($A$6:$S$41, COLUMN(V3), ROW(V3))</f>
        <v>4250269.7349737957</v>
      </c>
      <c r="W47" cm="1">
        <f t="array" ref="W47">INDEX($A$6:$S$41, COLUMN(W3), ROW(W3))</f>
        <v>231289.73136732439</v>
      </c>
      <c r="X47" cm="1">
        <f t="array" ref="X47">INDEX($A$6:$S$41, COLUMN(X3), ROW(X3))</f>
        <v>12115842.271092307</v>
      </c>
      <c r="Y47" cm="1">
        <f t="array" ref="Y47">INDEX($A$6:$S$41, COLUMN(Y3), ROW(Y3))</f>
        <v>285979.57464178838</v>
      </c>
      <c r="Z47" cm="1">
        <f t="array" ref="Z47">INDEX($A$6:$S$41, COLUMN(Z3), ROW(Z3))</f>
        <v>6359396.0391024798</v>
      </c>
      <c r="AA47" cm="1">
        <f t="array" ref="AA47">INDEX($A$6:$S$41, COLUMN(AA3), ROW(AA3))</f>
        <v>2552124.6465764749</v>
      </c>
      <c r="AB47" cm="1">
        <f t="array" ref="AB47">INDEX($A$6:$S$41, COLUMN(AB3), ROW(AB3))</f>
        <v>25794901.997754168</v>
      </c>
      <c r="AC47" cm="1">
        <f t="array" ref="AC47">INDEX($A$6:$S$41, COLUMN(AC3), ROW(AC3))</f>
        <v>0</v>
      </c>
      <c r="AD47" cm="1">
        <f t="array" ref="AD47">INDEX($A$6:$S$41, COLUMN(AD3), ROW(AD3))</f>
        <v>30441012.680731088</v>
      </c>
      <c r="AE47" cm="1">
        <f t="array" ref="AE47">INDEX($A$6:$S$41, COLUMN(AE3), ROW(AE3))</f>
        <v>1539589.9357912648</v>
      </c>
      <c r="AF47" cm="1">
        <f t="array" ref="AF47">INDEX($A$6:$S$41, COLUMN(AF3), ROW(AF3))</f>
        <v>83104917.05748263</v>
      </c>
      <c r="AG47" cm="1">
        <f t="array" ref="AG47">INDEX($A$6:$S$41, COLUMN(AG3), ROW(AG3))</f>
        <v>2050862.4541576956</v>
      </c>
      <c r="AH47" cm="1">
        <f t="array" ref="AH47">INDEX($A$6:$S$41, COLUMN(AH3), ROW(AH3))</f>
        <v>43404987.911218092</v>
      </c>
      <c r="AI47" cm="1">
        <f t="array" ref="AI47">INDEX($A$6:$S$41, COLUMN(AI3), ROW(AI3))</f>
        <v>23123423.089120999</v>
      </c>
      <c r="AJ47" cm="1">
        <f t="array" ref="AJ47">INDEX($A$6:$S$41, COLUMN(AJ3), ROW(AJ3))</f>
        <v>183664793.12850177</v>
      </c>
    </row>
    <row r="48" spans="1:36" x14ac:dyDescent="0.2">
      <c r="A48" t="str" cm="1">
        <f t="array" ref="A48">INDEX($A$6:$S$41, COLUMN(A4), ROW(A4))</f>
        <v>HTC</v>
      </c>
      <c r="B48" cm="1">
        <f t="array" ref="B48">INDEX($A$6:$S$41, COLUMN(B4), ROW(B4))</f>
        <v>0.24581353895763169</v>
      </c>
      <c r="C48" cm="1">
        <f t="array" ref="C48">INDEX($A$6:$S$41, COLUMN(C4), ROW(C4))</f>
        <v>2.702023067651068E-2</v>
      </c>
      <c r="D48" cm="1">
        <f t="array" ref="D48">INDEX($A$6:$S$41, COLUMN(D4), ROW(D4))</f>
        <v>1.3875142974526551</v>
      </c>
      <c r="E48" cm="1">
        <f t="array" ref="E48">INDEX($A$6:$S$41, COLUMN(E4), ROW(E4))</f>
        <v>1.6232341274727516E-2</v>
      </c>
      <c r="F48" cm="1">
        <f t="array" ref="F48">INDEX($A$6:$S$41, COLUMN(F4), ROW(F4))</f>
        <v>0.70621839341266091</v>
      </c>
      <c r="G48" cm="1">
        <f t="array" ref="G48">INDEX($A$6:$S$41, COLUMN(G4), ROW(G4))</f>
        <v>0.14010064418235288</v>
      </c>
      <c r="H48" cm="1">
        <f t="array" ref="H48">INDEX($A$6:$S$41, COLUMN(H4), ROW(H4))</f>
        <v>2.5228994459565386</v>
      </c>
      <c r="I48" cm="1">
        <f t="array" ref="I48">INDEX($A$6:$S$41, COLUMN(I4), ROW(I4))</f>
        <v>0</v>
      </c>
      <c r="J48" cm="1">
        <f t="array" ref="J48">INDEX($A$6:$S$41, COLUMN(J4), ROW(J4))</f>
        <v>1.6330718030810116</v>
      </c>
      <c r="K48" cm="1">
        <f t="array" ref="K48">INDEX($A$6:$S$41, COLUMN(K4), ROW(K4))</f>
        <v>0.16877955068800038</v>
      </c>
      <c r="L48" cm="1">
        <f t="array" ref="L48">INDEX($A$6:$S$41, COLUMN(L4), ROW(L4))</f>
        <v>8.9147864533021313</v>
      </c>
      <c r="M48" cm="1">
        <f t="array" ref="M48">INDEX($A$6:$S$41, COLUMN(M4), ROW(M4))</f>
        <v>0.10808286033854259</v>
      </c>
      <c r="N48" cm="1">
        <f t="array" ref="N48">INDEX($A$6:$S$41, COLUMN(N4), ROW(N4))</f>
        <v>4.5042829844180767</v>
      </c>
      <c r="O48" cm="1">
        <f t="array" ref="O48">INDEX($A$6:$S$41, COLUMN(O4), ROW(O4))</f>
        <v>1.1799188276020207</v>
      </c>
      <c r="P48" cm="1">
        <f t="array" ref="P48">INDEX($A$6:$S$41, COLUMN(P4), ROW(P4))</f>
        <v>16.508922479429781</v>
      </c>
      <c r="Q48" cm="1">
        <f t="array" ref="Q48">INDEX($A$6:$S$41, COLUMN(Q4), ROW(Q4))</f>
        <v>0</v>
      </c>
      <c r="R48" cm="1">
        <f t="array" ref="R48">INDEX($A$6:$S$41, COLUMN(R4), ROW(R4))</f>
        <v>0</v>
      </c>
      <c r="S48" cm="1">
        <f t="array" ref="S48">INDEX($A$6:$S$41, COLUMN(S4), ROW(S4))</f>
        <v>0</v>
      </c>
      <c r="T48" cm="1">
        <f t="array" ref="T48">INDEX($A$6:$S$41, COLUMN(T4), ROW(T4))</f>
        <v>0</v>
      </c>
      <c r="U48" t="str" cm="1">
        <f t="array" ref="U48">INDEX($A$6:$S$41, COLUMN(U4), ROW(U4))</f>
        <v>HTC</v>
      </c>
      <c r="V48" cm="1">
        <f t="array" ref="V48">INDEX($A$6:$S$41, COLUMN(V4), ROW(V4))</f>
        <v>0.24577970484133399</v>
      </c>
      <c r="W48" cm="1">
        <f t="array" ref="W48">INDEX($A$6:$S$41, COLUMN(W4), ROW(W4))</f>
        <v>2.7397986175068095E-2</v>
      </c>
      <c r="X48" cm="1">
        <f t="array" ref="X48">INDEX($A$6:$S$41, COLUMN(X4), ROW(X4))</f>
        <v>1.4065218621868005</v>
      </c>
      <c r="Y48" cm="1">
        <f t="array" ref="Y48">INDEX($A$6:$S$41, COLUMN(Y4), ROW(Y4))</f>
        <v>1.6221481997971157E-2</v>
      </c>
      <c r="Z48" cm="1">
        <f t="array" ref="Z48">INDEX($A$6:$S$41, COLUMN(Z4), ROW(Z4))</f>
        <v>0.71560198819351073</v>
      </c>
      <c r="AA48" cm="1">
        <f t="array" ref="AA48">INDEX($A$6:$S$41, COLUMN(AA4), ROW(AA4))</f>
        <v>0.13990257338700135</v>
      </c>
      <c r="AB48" cm="1">
        <f t="array" ref="AB48">INDEX($A$6:$S$41, COLUMN(AB4), ROW(AB4))</f>
        <v>2.5514255967816855</v>
      </c>
      <c r="AC48" cm="1">
        <f t="array" ref="AC48">INDEX($A$6:$S$41, COLUMN(AC4), ROW(AC4))</f>
        <v>0</v>
      </c>
      <c r="AD48" cm="1">
        <f t="array" ref="AD48">INDEX($A$6:$S$41, COLUMN(AD4), ROW(AD4))</f>
        <v>1.631562713273158</v>
      </c>
      <c r="AE48" cm="1">
        <f t="array" ref="AE48">INDEX($A$6:$S$41, COLUMN(AE4), ROW(AE4))</f>
        <v>0.17110058553055701</v>
      </c>
      <c r="AF48" cm="1">
        <f t="array" ref="AF48">INDEX($A$6:$S$41, COLUMN(AF4), ROW(AF4))</f>
        <v>9.0346776280797894</v>
      </c>
      <c r="AG48" cm="1">
        <f t="array" ref="AG48">INDEX($A$6:$S$41, COLUMN(AG4), ROW(AG4))</f>
        <v>0.10792697864544581</v>
      </c>
      <c r="AH48" cm="1">
        <f t="array" ref="AH48">INDEX($A$6:$S$41, COLUMN(AH4), ROW(AH4))</f>
        <v>4.5627566033429385</v>
      </c>
      <c r="AI48" cm="1">
        <f t="array" ref="AI48">INDEX($A$6:$S$41, COLUMN(AI4), ROW(AI4))</f>
        <v>1.1773434053913481</v>
      </c>
      <c r="AJ48" cm="1">
        <f t="array" ref="AJ48">INDEX($A$6:$S$41, COLUMN(AJ4), ROW(AJ4))</f>
        <v>16.685367914263239</v>
      </c>
    </row>
    <row r="49" spans="1:36" x14ac:dyDescent="0.2">
      <c r="A49" t="str" cm="1">
        <f t="array" ref="A49">INDEX($A$6:$S$41, COLUMN(A5), ROW(A5))</f>
        <v>CED</v>
      </c>
      <c r="B49" cm="1">
        <f t="array" ref="B49">INDEX($A$6:$S$41, COLUMN(B5), ROW(B5))</f>
        <v>30496684.969730847</v>
      </c>
      <c r="C49" cm="1">
        <f t="array" ref="C49">INDEX($A$6:$S$41, COLUMN(C5), ROW(C5))</f>
        <v>2242851.0766219627</v>
      </c>
      <c r="D49" cm="1">
        <f t="array" ref="D49">INDEX($A$6:$S$41, COLUMN(D5), ROW(D5))</f>
        <v>116299506.03011468</v>
      </c>
      <c r="E49" cm="1">
        <f t="array" ref="E49">INDEX($A$6:$S$41, COLUMN(E5), ROW(E5))</f>
        <v>2038811.1828306536</v>
      </c>
      <c r="F49" cm="1">
        <f t="array" ref="F49">INDEX($A$6:$S$41, COLUMN(F5), ROW(F5))</f>
        <v>60109138.180475712</v>
      </c>
      <c r="G49" cm="1">
        <f t="array" ref="G49">INDEX($A$6:$S$41, COLUMN(G5), ROW(G5))</f>
        <v>18011776.911482114</v>
      </c>
      <c r="H49" cm="1">
        <f t="array" ref="H49">INDEX($A$6:$S$41, COLUMN(H5), ROW(H5))</f>
        <v>229198768.35125598</v>
      </c>
      <c r="I49" cm="1">
        <f t="array" ref="I49">INDEX($A$6:$S$41, COLUMN(I5), ROW(I5))</f>
        <v>0</v>
      </c>
      <c r="J49" cm="1">
        <f t="array" ref="J49">INDEX($A$6:$S$41, COLUMN(J5), ROW(J5))</f>
        <v>217498671.69452125</v>
      </c>
      <c r="K49" cm="1">
        <f t="array" ref="K49">INDEX($A$6:$S$41, COLUMN(K5), ROW(K5))</f>
        <v>14913964.577958558</v>
      </c>
      <c r="L49" cm="1">
        <f t="array" ref="L49">INDEX($A$6:$S$41, COLUMN(L5), ROW(L5))</f>
        <v>796202671.73995101</v>
      </c>
      <c r="M49" cm="1">
        <f t="array" ref="M49">INDEX($A$6:$S$41, COLUMN(M5), ROW(M5))</f>
        <v>14564960.537339879</v>
      </c>
      <c r="N49" cm="1">
        <f t="array" ref="N49">INDEX($A$6:$S$41, COLUMN(N5), ROW(N5))</f>
        <v>409008892.70079952</v>
      </c>
      <c r="O49" cm="1">
        <f t="array" ref="O49">INDEX($A$6:$S$41, COLUMN(O5), ROW(O5))</f>
        <v>162672993.59553814</v>
      </c>
      <c r="P49" cm="1">
        <f t="array" ref="P49">INDEX($A$6:$S$41, COLUMN(P5), ROW(P5))</f>
        <v>1614862154.8461084</v>
      </c>
      <c r="Q49" cm="1">
        <f t="array" ref="Q49">INDEX($A$6:$S$41, COLUMN(Q5), ROW(Q5))</f>
        <v>0</v>
      </c>
      <c r="R49" cm="1">
        <f t="array" ref="R49">INDEX($A$6:$S$41, COLUMN(R5), ROW(R5))</f>
        <v>0</v>
      </c>
      <c r="S49" cm="1">
        <f t="array" ref="S49">INDEX($A$6:$S$41, COLUMN(S5), ROW(S5))</f>
        <v>0</v>
      </c>
      <c r="T49" cm="1">
        <f t="array" ref="T49">INDEX($A$6:$S$41, COLUMN(T5), ROW(T5))</f>
        <v>0</v>
      </c>
      <c r="U49" t="str" cm="1">
        <f t="array" ref="U49">INDEX($A$6:$S$41, COLUMN(U5), ROW(U5))</f>
        <v>CED</v>
      </c>
      <c r="V49" cm="1">
        <f t="array" ref="V49">INDEX($A$6:$S$41, COLUMN(V5), ROW(V5))</f>
        <v>30549096.183350913</v>
      </c>
      <c r="W49" cm="1">
        <f t="array" ref="W49">INDEX($A$6:$S$41, COLUMN(W5), ROW(W5))</f>
        <v>2337360.9410452568</v>
      </c>
      <c r="X49" cm="1">
        <f t="array" ref="X49">INDEX($A$6:$S$41, COLUMN(X5), ROW(X5))</f>
        <v>121062924.78277341</v>
      </c>
      <c r="Y49" cm="1">
        <f t="array" ref="Y49">INDEX($A$6:$S$41, COLUMN(Y5), ROW(Y5))</f>
        <v>2040265.8844255749</v>
      </c>
      <c r="Z49" cm="1">
        <f t="array" ref="Z49">INDEX($A$6:$S$41, COLUMN(Z5), ROW(Z5))</f>
        <v>62464831.750706404</v>
      </c>
      <c r="AA49" cm="1">
        <f t="array" ref="AA49">INDEX($A$6:$S$41, COLUMN(AA5), ROW(AA5))</f>
        <v>17999583.865617428</v>
      </c>
      <c r="AB49" cm="1">
        <f t="array" ref="AB49">INDEX($A$6:$S$41, COLUMN(AB5), ROW(AB5))</f>
        <v>236454063.40791899</v>
      </c>
      <c r="AC49" cm="1">
        <f t="array" ref="AC49">INDEX($A$6:$S$41, COLUMN(AC5), ROW(AC5))</f>
        <v>0</v>
      </c>
      <c r="AD49" cm="1">
        <f t="array" ref="AD49">INDEX($A$6:$S$41, COLUMN(AD5), ROW(AD5))</f>
        <v>217732861.6683253</v>
      </c>
      <c r="AE49" cm="1">
        <f t="array" ref="AE49">INDEX($A$6:$S$41, COLUMN(AE5), ROW(AE5))</f>
        <v>15592918.247824268</v>
      </c>
      <c r="AF49" cm="1">
        <f t="array" ref="AF49">INDEX($A$6:$S$41, COLUMN(AF5), ROW(AF5))</f>
        <v>831352923.86075044</v>
      </c>
      <c r="AG49" cm="1">
        <f t="array" ref="AG49">INDEX($A$6:$S$41, COLUMN(AG5), ROW(AG5))</f>
        <v>14565659.358015824</v>
      </c>
      <c r="AH49" cm="1">
        <f t="array" ref="AH49">INDEX($A$6:$S$41, COLUMN(AH5), ROW(AH5))</f>
        <v>426210097.46331692</v>
      </c>
      <c r="AI49" cm="1">
        <f t="array" ref="AI49">INDEX($A$6:$S$41, COLUMN(AI5), ROW(AI5))</f>
        <v>162447061.64778692</v>
      </c>
      <c r="AJ49" cm="1">
        <f t="array" ref="AJ49">INDEX($A$6:$S$41, COLUMN(AJ5), ROW(AJ5))</f>
        <v>1667901522.2460196</v>
      </c>
    </row>
    <row r="50" spans="1:36" x14ac:dyDescent="0.2">
      <c r="A50" cm="1">
        <f t="array" ref="A50">INDEX($A$6:$S$41, COLUMN(A6), ROW(A6))</f>
        <v>0</v>
      </c>
      <c r="B50" cm="1">
        <f t="array" ref="B50">INDEX($A$6:$S$41, COLUMN(B6), ROW(B6))</f>
        <v>0</v>
      </c>
      <c r="C50" cm="1">
        <f t="array" ref="C50">INDEX($A$6:$S$41, COLUMN(C6), ROW(C6))</f>
        <v>0</v>
      </c>
      <c r="D50" cm="1">
        <f t="array" ref="D50">INDEX($A$6:$S$41, COLUMN(D6), ROW(D6))</f>
        <v>0</v>
      </c>
      <c r="E50" cm="1">
        <f t="array" ref="E50">INDEX($A$6:$S$41, COLUMN(E6), ROW(E6))</f>
        <v>0</v>
      </c>
      <c r="F50" cm="1">
        <f t="array" ref="F50">INDEX($A$6:$S$41, COLUMN(F6), ROW(F6))</f>
        <v>0</v>
      </c>
      <c r="G50" cm="1">
        <f t="array" ref="G50">INDEX($A$6:$S$41, COLUMN(G6), ROW(G6))</f>
        <v>0</v>
      </c>
      <c r="H50" cm="1">
        <f t="array" ref="H50">INDEX($A$6:$S$41, COLUMN(H6), ROW(H6))</f>
        <v>0</v>
      </c>
      <c r="I50" cm="1">
        <f t="array" ref="I50">INDEX($A$6:$S$41, COLUMN(I6), ROW(I6))</f>
        <v>0</v>
      </c>
      <c r="J50" cm="1">
        <f t="array" ref="J50">INDEX($A$6:$S$41, COLUMN(J6), ROW(J6))</f>
        <v>0</v>
      </c>
      <c r="K50" cm="1">
        <f t="array" ref="K50">INDEX($A$6:$S$41, COLUMN(K6), ROW(K6))</f>
        <v>0</v>
      </c>
      <c r="L50" cm="1">
        <f t="array" ref="L50">INDEX($A$6:$S$41, COLUMN(L6), ROW(L6))</f>
        <v>0</v>
      </c>
      <c r="M50" cm="1">
        <f t="array" ref="M50">INDEX($A$6:$S$41, COLUMN(M6), ROW(M6))</f>
        <v>0</v>
      </c>
      <c r="N50" cm="1">
        <f t="array" ref="N50">INDEX($A$6:$S$41, COLUMN(N6), ROW(N6))</f>
        <v>0</v>
      </c>
      <c r="O50" cm="1">
        <f t="array" ref="O50">INDEX($A$6:$S$41, COLUMN(O6), ROW(O6))</f>
        <v>0</v>
      </c>
      <c r="P50" cm="1">
        <f t="array" ref="P50">INDEX($A$6:$S$41, COLUMN(P6), ROW(P6))</f>
        <v>0</v>
      </c>
      <c r="Q50" cm="1">
        <f t="array" ref="Q50">INDEX($A$6:$S$41, COLUMN(Q6), ROW(Q6))</f>
        <v>0</v>
      </c>
      <c r="R50" cm="1">
        <f t="array" ref="R50">INDEX($A$6:$S$41, COLUMN(R6), ROW(R6))</f>
        <v>0</v>
      </c>
      <c r="S50" cm="1">
        <f t="array" ref="S50">INDEX($A$6:$S$41, COLUMN(S6), ROW(S6))</f>
        <v>0</v>
      </c>
      <c r="T50" cm="1">
        <f t="array" ref="T50">INDEX($A$6:$S$41, COLUMN(T6), ROW(T6))</f>
        <v>0</v>
      </c>
      <c r="U50" cm="1">
        <f t="array" ref="U50">INDEX($A$6:$S$41, COLUMN(U6), ROW(U6))</f>
        <v>0</v>
      </c>
      <c r="V50" cm="1">
        <f t="array" ref="V50">INDEX($A$6:$S$41, COLUMN(V6), ROW(V6))</f>
        <v>0</v>
      </c>
      <c r="W50" cm="1">
        <f t="array" ref="W50">INDEX($A$6:$S$41, COLUMN(W6), ROW(W6))</f>
        <v>0</v>
      </c>
      <c r="X50" cm="1">
        <f t="array" ref="X50">INDEX($A$6:$S$41, COLUMN(X6), ROW(X6))</f>
        <v>0</v>
      </c>
      <c r="Y50" cm="1">
        <f t="array" ref="Y50">INDEX($A$6:$S$41, COLUMN(Y6), ROW(Y6))</f>
        <v>0</v>
      </c>
      <c r="Z50" cm="1">
        <f t="array" ref="Z50">INDEX($A$6:$S$41, COLUMN(Z6), ROW(Z6))</f>
        <v>0</v>
      </c>
      <c r="AA50" cm="1">
        <f t="array" ref="AA50">INDEX($A$6:$S$41, COLUMN(AA6), ROW(AA6))</f>
        <v>0</v>
      </c>
      <c r="AB50" cm="1">
        <f t="array" ref="AB50">INDEX($A$6:$S$41, COLUMN(AB6), ROW(AB6))</f>
        <v>0</v>
      </c>
      <c r="AC50" cm="1">
        <f t="array" ref="AC50">INDEX($A$6:$S$41, COLUMN(AC6), ROW(AC6))</f>
        <v>0</v>
      </c>
      <c r="AD50" cm="1">
        <f t="array" ref="AD50">INDEX($A$6:$S$41, COLUMN(AD6), ROW(AD6))</f>
        <v>0</v>
      </c>
      <c r="AE50" cm="1">
        <f t="array" ref="AE50">INDEX($A$6:$S$41, COLUMN(AE6), ROW(AE6))</f>
        <v>0</v>
      </c>
      <c r="AF50" cm="1">
        <f t="array" ref="AF50">INDEX($A$6:$S$41, COLUMN(AF6), ROW(AF6))</f>
        <v>0</v>
      </c>
      <c r="AG50" cm="1">
        <f t="array" ref="AG50">INDEX($A$6:$S$41, COLUMN(AG6), ROW(AG6))</f>
        <v>0</v>
      </c>
      <c r="AH50" cm="1">
        <f t="array" ref="AH50">INDEX($A$6:$S$41, COLUMN(AH6), ROW(AH6))</f>
        <v>0</v>
      </c>
      <c r="AI50" cm="1">
        <f t="array" ref="AI50">INDEX($A$6:$S$41, COLUMN(AI6), ROW(AI6))</f>
        <v>0</v>
      </c>
      <c r="AJ50" cm="1">
        <f t="array" ref="AJ50">INDEX($A$6:$S$41, COLUMN(AJ6), ROW(AJ6))</f>
        <v>0</v>
      </c>
    </row>
    <row r="51" spans="1:36" x14ac:dyDescent="0.2">
      <c r="A51" cm="1">
        <f t="array" ref="A51">INDEX($A$6:$S$41, COLUMN(A7), ROW(A7))</f>
        <v>0</v>
      </c>
      <c r="B51" cm="1">
        <f t="array" ref="B51">INDEX($A$6:$S$41, COLUMN(B7), ROW(B7))</f>
        <v>2025</v>
      </c>
      <c r="C51" cm="1">
        <f t="array" ref="C51">INDEX($A$6:$S$41, COLUMN(C7), ROW(C7))</f>
        <v>0</v>
      </c>
      <c r="D51" cm="1">
        <f t="array" ref="D51">INDEX($A$6:$S$41, COLUMN(D7), ROW(D7))</f>
        <v>0</v>
      </c>
      <c r="E51" cm="1">
        <f t="array" ref="E51">INDEX($A$6:$S$41, COLUMN(E7), ROW(E7))</f>
        <v>0</v>
      </c>
      <c r="F51" cm="1">
        <f t="array" ref="F51">INDEX($A$6:$S$41, COLUMN(F7), ROW(F7))</f>
        <v>0</v>
      </c>
      <c r="G51" cm="1">
        <f t="array" ref="G51">INDEX($A$6:$S$41, COLUMN(G7), ROW(G7))</f>
        <v>0</v>
      </c>
      <c r="H51" cm="1">
        <f t="array" ref="H51">INDEX($A$6:$S$41, COLUMN(H7), ROW(H7))</f>
        <v>2030</v>
      </c>
      <c r="I51" cm="1">
        <f t="array" ref="I51">INDEX($A$6:$S$41, COLUMN(I7), ROW(I7))</f>
        <v>0</v>
      </c>
      <c r="J51" cm="1">
        <f t="array" ref="J51">INDEX($A$6:$S$41, COLUMN(J7), ROW(J7))</f>
        <v>0</v>
      </c>
      <c r="K51" cm="1">
        <f t="array" ref="K51">INDEX($A$6:$S$41, COLUMN(K7), ROW(K7))</f>
        <v>0</v>
      </c>
      <c r="L51" cm="1">
        <f t="array" ref="L51">INDEX($A$6:$S$41, COLUMN(L7), ROW(L7))</f>
        <v>0</v>
      </c>
      <c r="M51" cm="1">
        <f t="array" ref="M51">INDEX($A$6:$S$41, COLUMN(M7), ROW(M7))</f>
        <v>0</v>
      </c>
      <c r="N51" cm="1">
        <f t="array" ref="N51">INDEX($A$6:$S$41, COLUMN(N7), ROW(N7))</f>
        <v>2025</v>
      </c>
      <c r="O51" cm="1">
        <f t="array" ref="O51">INDEX($A$6:$S$41, COLUMN(O7), ROW(O7))</f>
        <v>2030</v>
      </c>
      <c r="P51" cm="1">
        <f t="array" ref="P51">INDEX($A$6:$S$41, COLUMN(P7), ROW(P7))</f>
        <v>0</v>
      </c>
      <c r="Q51" cm="1">
        <f t="array" ref="Q51">INDEX($A$6:$S$41, COLUMN(Q7), ROW(Q7))</f>
        <v>0</v>
      </c>
      <c r="R51" cm="1">
        <f t="array" ref="R51">INDEX($A$6:$S$41, COLUMN(R7), ROW(R7))</f>
        <v>0</v>
      </c>
      <c r="S51" cm="1">
        <f t="array" ref="S51">INDEX($A$6:$S$41, COLUMN(S7), ROW(S7))</f>
        <v>0</v>
      </c>
      <c r="T51" cm="1">
        <f t="array" ref="T51">INDEX($A$6:$S$41, COLUMN(T7), ROW(T7))</f>
        <v>0</v>
      </c>
      <c r="U51" cm="1">
        <f t="array" ref="U51">INDEX($A$6:$S$41, COLUMN(U7), ROW(U7))</f>
        <v>0</v>
      </c>
      <c r="V51" cm="1">
        <f t="array" ref="V51">INDEX($A$6:$S$41, COLUMN(V7), ROW(V7))</f>
        <v>2025</v>
      </c>
      <c r="W51" cm="1">
        <f t="array" ref="W51">INDEX($A$6:$S$41, COLUMN(W7), ROW(W7))</f>
        <v>0</v>
      </c>
      <c r="X51" cm="1">
        <f t="array" ref="X51">INDEX($A$6:$S$41, COLUMN(X7), ROW(X7))</f>
        <v>0</v>
      </c>
      <c r="Y51" cm="1">
        <f t="array" ref="Y51">INDEX($A$6:$S$41, COLUMN(Y7), ROW(Y7))</f>
        <v>0</v>
      </c>
      <c r="Z51" cm="1">
        <f t="array" ref="Z51">INDEX($A$6:$S$41, COLUMN(Z7), ROW(Z7))</f>
        <v>0</v>
      </c>
      <c r="AA51" cm="1">
        <f t="array" ref="AA51">INDEX($A$6:$S$41, COLUMN(AA7), ROW(AA7))</f>
        <v>0</v>
      </c>
      <c r="AB51" cm="1">
        <f t="array" ref="AB51">INDEX($A$6:$S$41, COLUMN(AB7), ROW(AB7))</f>
        <v>2030</v>
      </c>
      <c r="AC51" cm="1">
        <f t="array" ref="AC51">INDEX($A$6:$S$41, COLUMN(AC7), ROW(AC7))</f>
        <v>0</v>
      </c>
      <c r="AD51" cm="1">
        <f t="array" ref="AD51">INDEX($A$6:$S$41, COLUMN(AD7), ROW(AD7))</f>
        <v>0</v>
      </c>
      <c r="AE51" cm="1">
        <f t="array" ref="AE51">INDEX($A$6:$S$41, COLUMN(AE7), ROW(AE7))</f>
        <v>0</v>
      </c>
      <c r="AF51" cm="1">
        <f t="array" ref="AF51">INDEX($A$6:$S$41, COLUMN(AF7), ROW(AF7))</f>
        <v>0</v>
      </c>
      <c r="AG51" cm="1">
        <f t="array" ref="AG51">INDEX($A$6:$S$41, COLUMN(AG7), ROW(AG7))</f>
        <v>0</v>
      </c>
      <c r="AH51" cm="1">
        <f t="array" ref="AH51">INDEX($A$6:$S$41, COLUMN(AH7), ROW(AH7))</f>
        <v>2025</v>
      </c>
      <c r="AI51" cm="1">
        <f t="array" ref="AI51">INDEX($A$6:$S$41, COLUMN(AI7), ROW(AI7))</f>
        <v>2030</v>
      </c>
      <c r="AJ51" cm="1">
        <f t="array" ref="AJ51">INDEX($A$6:$S$41, COLUMN(AJ7), ROW(AJ7))</f>
        <v>0</v>
      </c>
    </row>
    <row r="52" spans="1:36" x14ac:dyDescent="0.2">
      <c r="A52" cm="1">
        <f t="array" ref="A52">INDEX($A$6:$S$41, COLUMN(A8), ROW(A8))</f>
        <v>0</v>
      </c>
      <c r="B52" t="str" cm="1">
        <f t="array" ref="B52">INDEX($A$6:$S$41, COLUMN(B8), ROW(B8))</f>
        <v>Gas</v>
      </c>
      <c r="C52" t="str" cm="1">
        <f t="array" ref="C52">INDEX($A$6:$S$41, COLUMN(C8), ROW(C8))</f>
        <v>Solid</v>
      </c>
      <c r="D52" t="str" cm="1">
        <f t="array" ref="D52">INDEX($A$6:$S$41, COLUMN(D8), ROW(D8))</f>
        <v>Solvent</v>
      </c>
      <c r="E52" t="str" cm="1">
        <f t="array" ref="E52">INDEX($A$6:$S$41, COLUMN(E8), ROW(E8))</f>
        <v>Water</v>
      </c>
      <c r="F52" cm="1">
        <f t="array" ref="F52">INDEX($A$6:$S$41, COLUMN(F8), ROW(F8))</f>
        <v>0</v>
      </c>
      <c r="G52" cm="1">
        <f t="array" ref="G52">INDEX($A$6:$S$41, COLUMN(G8), ROW(G8))</f>
        <v>0</v>
      </c>
      <c r="H52" t="str" cm="1">
        <f t="array" ref="H52">INDEX($A$6:$S$41, COLUMN(H8), ROW(H8))</f>
        <v>Gas</v>
      </c>
      <c r="I52" t="str" cm="1">
        <f t="array" ref="I52">INDEX($A$6:$S$41, COLUMN(I8), ROW(I8))</f>
        <v>Solid</v>
      </c>
      <c r="J52" t="str" cm="1">
        <f t="array" ref="J52">INDEX($A$6:$S$41, COLUMN(J8), ROW(J8))</f>
        <v>Solvent</v>
      </c>
      <c r="K52" t="str" cm="1">
        <f t="array" ref="K52">INDEX($A$6:$S$41, COLUMN(K8), ROW(K8))</f>
        <v>Water</v>
      </c>
      <c r="L52" cm="1">
        <f t="array" ref="L52">INDEX($A$6:$S$41, COLUMN(L8), ROW(L8))</f>
        <v>0</v>
      </c>
      <c r="M52" cm="1">
        <f t="array" ref="M52">INDEX($A$6:$S$41, COLUMN(M8), ROW(M8))</f>
        <v>0</v>
      </c>
      <c r="N52" cm="1">
        <f t="array" ref="N52">INDEX($A$6:$S$41, COLUMN(N8), ROW(N8))</f>
        <v>0</v>
      </c>
      <c r="O52" cm="1">
        <f t="array" ref="O52">INDEX($A$6:$S$41, COLUMN(O8), ROW(O8))</f>
        <v>0</v>
      </c>
      <c r="P52" cm="1">
        <f t="array" ref="P52">INDEX($A$6:$S$41, COLUMN(P8), ROW(P8))</f>
        <v>0</v>
      </c>
      <c r="Q52" cm="1">
        <f t="array" ref="Q52">INDEX($A$6:$S$41, COLUMN(Q8), ROW(Q8))</f>
        <v>0</v>
      </c>
      <c r="R52" cm="1">
        <f t="array" ref="R52">INDEX($A$6:$S$41, COLUMN(R8), ROW(R8))</f>
        <v>0</v>
      </c>
      <c r="S52" cm="1">
        <f t="array" ref="S52">INDEX($A$6:$S$41, COLUMN(S8), ROW(S8))</f>
        <v>0</v>
      </c>
      <c r="T52" cm="1">
        <f t="array" ref="T52">INDEX($A$6:$S$41, COLUMN(T8), ROW(T8))</f>
        <v>0</v>
      </c>
      <c r="U52" cm="1">
        <f t="array" ref="U52">INDEX($A$6:$S$41, COLUMN(U8), ROW(U8))</f>
        <v>0</v>
      </c>
      <c r="V52" t="str" cm="1">
        <f t="array" ref="V52">INDEX($A$6:$S$41, COLUMN(V8), ROW(V8))</f>
        <v>Gas</v>
      </c>
      <c r="W52" t="str" cm="1">
        <f t="array" ref="W52">INDEX($A$6:$S$41, COLUMN(W8), ROW(W8))</f>
        <v>Solid</v>
      </c>
      <c r="X52" t="str" cm="1">
        <f t="array" ref="X52">INDEX($A$6:$S$41, COLUMN(X8), ROW(X8))</f>
        <v>Solvent</v>
      </c>
      <c r="Y52" t="str" cm="1">
        <f t="array" ref="Y52">INDEX($A$6:$S$41, COLUMN(Y8), ROW(Y8))</f>
        <v>Water</v>
      </c>
      <c r="Z52" cm="1">
        <f t="array" ref="Z52">INDEX($A$6:$S$41, COLUMN(Z8), ROW(Z8))</f>
        <v>0</v>
      </c>
      <c r="AA52" cm="1">
        <f t="array" ref="AA52">INDEX($A$6:$S$41, COLUMN(AA8), ROW(AA8))</f>
        <v>0</v>
      </c>
      <c r="AB52" t="str" cm="1">
        <f t="array" ref="AB52">INDEX($A$6:$S$41, COLUMN(AB8), ROW(AB8))</f>
        <v>Gas</v>
      </c>
      <c r="AC52" t="str" cm="1">
        <f t="array" ref="AC52">INDEX($A$6:$S$41, COLUMN(AC8), ROW(AC8))</f>
        <v>Solid</v>
      </c>
      <c r="AD52" t="str" cm="1">
        <f t="array" ref="AD52">INDEX($A$6:$S$41, COLUMN(AD8), ROW(AD8))</f>
        <v>Solvent</v>
      </c>
      <c r="AE52" t="str" cm="1">
        <f t="array" ref="AE52">INDEX($A$6:$S$41, COLUMN(AE8), ROW(AE8))</f>
        <v>Water</v>
      </c>
      <c r="AF52" cm="1">
        <f t="array" ref="AF52">INDEX($A$6:$S$41, COLUMN(AF8), ROW(AF8))</f>
        <v>0</v>
      </c>
      <c r="AG52" cm="1">
        <f t="array" ref="AG52">INDEX($A$6:$S$41, COLUMN(AG8), ROW(AG8))</f>
        <v>0</v>
      </c>
      <c r="AH52" cm="1">
        <f t="array" ref="AH52">INDEX($A$6:$S$41, COLUMN(AH8), ROW(AH8))</f>
        <v>0</v>
      </c>
      <c r="AI52" cm="1">
        <f t="array" ref="AI52">INDEX($A$6:$S$41, COLUMN(AI8), ROW(AI8))</f>
        <v>0</v>
      </c>
      <c r="AJ52" cm="1">
        <f t="array" ref="AJ52">INDEX($A$6:$S$41, COLUMN(AJ8), ROW(AJ8))</f>
        <v>0</v>
      </c>
    </row>
    <row r="53" spans="1:36" x14ac:dyDescent="0.2">
      <c r="A53" t="str" cm="1">
        <f t="array" ref="A53">INDEX($A$6:$S$41, COLUMN(A9), ROW(A9))</f>
        <v>CC</v>
      </c>
      <c r="B53" cm="1">
        <f t="array" ref="B53">INDEX($A$6:$S$41, COLUMN(B9), ROW(B9))</f>
        <v>6.5086344535273885E-2</v>
      </c>
      <c r="C53" cm="1">
        <f t="array" ref="C53">INDEX($A$6:$S$41, COLUMN(C9), ROW(C9))</f>
        <v>7.7153690039646894E-2</v>
      </c>
      <c r="D53" cm="1">
        <f t="array" ref="D53">INDEX($A$6:$S$41, COLUMN(D9), ROW(D9))</f>
        <v>7.7757771951754489</v>
      </c>
      <c r="E53" cm="1">
        <f t="array" ref="E53">INDEX($A$6:$S$41, COLUMN(E9), ROW(E9))</f>
        <v>17.374112774507221</v>
      </c>
      <c r="F53" cm="1">
        <f t="array" ref="F53">INDEX($A$6:$S$41, COLUMN(F9), ROW(F9))</f>
        <v>25.29213000425759</v>
      </c>
      <c r="G53" cm="1">
        <f t="array" ref="G53">INDEX($A$6:$S$41, COLUMN(G9), ROW(G9))</f>
        <v>0</v>
      </c>
      <c r="H53" cm="1">
        <f t="array" ref="H53">INDEX($A$6:$S$41, COLUMN(H9), ROW(H9))</f>
        <v>0.46008920020778293</v>
      </c>
      <c r="I53" cm="1">
        <f t="array" ref="I53">INDEX($A$6:$S$41, COLUMN(I9), ROW(I9))</f>
        <v>0.59371643089445125</v>
      </c>
      <c r="J53" cm="1">
        <f t="array" ref="J53">INDEX($A$6:$S$41, COLUMN(J9), ROW(J9))</f>
        <v>60.863621661831331</v>
      </c>
      <c r="K53" cm="1">
        <f t="array" ref="K53">INDEX($A$6:$S$41, COLUMN(K9), ROW(K9))</f>
        <v>118.13804331903195</v>
      </c>
      <c r="L53" cm="1">
        <f t="array" ref="L53">INDEX($A$6:$S$41, COLUMN(L9), ROW(L9))</f>
        <v>180.05547061196552</v>
      </c>
      <c r="M53" cm="1">
        <f t="array" ref="M53">INDEX($A$6:$S$41, COLUMN(M9), ROW(M9))</f>
        <v>0</v>
      </c>
      <c r="N53" cm="1">
        <f t="array" ref="N53">INDEX($A$6:$S$41, COLUMN(N9), ROW(N9))</f>
        <v>25.29213000425759</v>
      </c>
      <c r="O53" cm="1">
        <f t="array" ref="O53">INDEX($A$6:$S$41, COLUMN(O9), ROW(O9))</f>
        <v>180.05547061196552</v>
      </c>
      <c r="P53" cm="1">
        <f t="array" ref="P53">INDEX($A$6:$S$41, COLUMN(P9), ROW(P9))</f>
        <v>0</v>
      </c>
      <c r="Q53" cm="1">
        <f t="array" ref="Q53">INDEX($A$6:$S$41, COLUMN(Q9), ROW(Q9))</f>
        <v>0</v>
      </c>
      <c r="R53" cm="1">
        <f t="array" ref="R53">INDEX($A$6:$S$41, COLUMN(R9), ROW(R9))</f>
        <v>0</v>
      </c>
      <c r="S53" cm="1">
        <f t="array" ref="S53">INDEX($A$6:$S$41, COLUMN(S9), ROW(S9))</f>
        <v>0</v>
      </c>
      <c r="T53" cm="1">
        <f t="array" ref="T53">INDEX($A$6:$S$41, COLUMN(T9), ROW(T9))</f>
        <v>0</v>
      </c>
      <c r="U53" t="str" cm="1">
        <f t="array" ref="U53">INDEX($A$6:$S$41, COLUMN(U9), ROW(U9))</f>
        <v>CC</v>
      </c>
      <c r="V53" cm="1">
        <f t="array" ref="V53">INDEX($A$6:$S$41, COLUMN(V9), ROW(V9))</f>
        <v>6.4930173349183259E-2</v>
      </c>
      <c r="W53" cm="1">
        <f t="array" ref="W53">INDEX($A$6:$S$41, COLUMN(W9), ROW(W9))</f>
        <v>7.6968833973436235E-2</v>
      </c>
      <c r="X53" cm="1">
        <f t="array" ref="X53">INDEX($A$6:$S$41, COLUMN(X9), ROW(X9))</f>
        <v>7.757162199981865</v>
      </c>
      <c r="Y53" cm="1">
        <f t="array" ref="Y53">INDEX($A$6:$S$41, COLUMN(Y9), ROW(Y9))</f>
        <v>17.895840790449682</v>
      </c>
      <c r="Z53" cm="1">
        <f t="array" ref="Z53">INDEX($A$6:$S$41, COLUMN(Z9), ROW(Z9))</f>
        <v>25.794901997754167</v>
      </c>
      <c r="AA53" cm="1">
        <f t="array" ref="AA53">INDEX($A$6:$S$41, COLUMN(AA9), ROW(AA9))</f>
        <v>0</v>
      </c>
      <c r="AB53" cm="1">
        <f t="array" ref="AB53">INDEX($A$6:$S$41, COLUMN(AB9), ROW(AB9))</f>
        <v>0.4586556218011677</v>
      </c>
      <c r="AC53" cm="1">
        <f t="array" ref="AC53">INDEX($A$6:$S$41, COLUMN(AC9), ROW(AC9))</f>
        <v>0.59186567961449321</v>
      </c>
      <c r="AD53" cm="1">
        <f t="array" ref="AD53">INDEX($A$6:$S$41, COLUMN(AD9), ROW(AD9))</f>
        <v>60.673895473356751</v>
      </c>
      <c r="AE53" cm="1">
        <f t="array" ref="AE53">INDEX($A$6:$S$41, COLUMN(AE9), ROW(AE9))</f>
        <v>121.94037635372933</v>
      </c>
      <c r="AF53" cm="1">
        <f t="array" ref="AF53">INDEX($A$6:$S$41, COLUMN(AF9), ROW(AF9))</f>
        <v>183.66479312850174</v>
      </c>
      <c r="AG53" cm="1">
        <f t="array" ref="AG53">INDEX($A$6:$S$41, COLUMN(AG9), ROW(AG9))</f>
        <v>0</v>
      </c>
      <c r="AH53" cm="1">
        <f t="array" ref="AH53">INDEX($A$6:$S$41, COLUMN(AH9), ROW(AH9))</f>
        <v>25.794901997754167</v>
      </c>
      <c r="AI53" cm="1">
        <f t="array" ref="AI53">INDEX($A$6:$S$41, COLUMN(AI9), ROW(AI9))</f>
        <v>183.66479312850174</v>
      </c>
      <c r="AJ53" cm="1">
        <f t="array" ref="AJ53">INDEX($A$6:$S$41, COLUMN(AJ9), ROW(AJ9))</f>
        <v>0</v>
      </c>
    </row>
    <row r="54" spans="1:36" x14ac:dyDescent="0.2">
      <c r="A54" t="str" cm="1">
        <f t="array" ref="A54">INDEX($A$6:$S$41, COLUMN(A10), ROW(A10))</f>
        <v>CC</v>
      </c>
      <c r="B54" cm="1">
        <f t="array" ref="B54">INDEX($A$6:$S$41, COLUMN(B10), ROW(B10))</f>
        <v>6.524984500660619E-3</v>
      </c>
      <c r="C54" cm="1">
        <f t="array" ref="C54">INDEX($A$6:$S$41, COLUMN(C10), ROW(C10))</f>
        <v>7.7371706511845202E-3</v>
      </c>
      <c r="D54" cm="1">
        <f t="array" ref="D54">INDEX($A$6:$S$41, COLUMN(D10), ROW(D10))</f>
        <v>0.779449069862859</v>
      </c>
      <c r="E54" cm="1">
        <f t="array" ref="E54">INDEX($A$6:$S$41, COLUMN(E10), ROW(E10))</f>
        <v>1.7432501725160734</v>
      </c>
      <c r="F54" cm="1">
        <f t="array" ref="F54">INDEX($A$6:$S$41, COLUMN(F10), ROW(F10))</f>
        <v>2.5369613975307774</v>
      </c>
      <c r="G54" cm="1">
        <f t="array" ref="G54">INDEX($A$6:$S$41, COLUMN(G10), ROW(G10))</f>
        <v>0</v>
      </c>
      <c r="H54" cm="1">
        <f t="array" ref="H54">INDEX($A$6:$S$41, COLUMN(H10), ROW(H10))</f>
        <v>5.1349006917861137E-2</v>
      </c>
      <c r="I54" cm="1">
        <f t="array" ref="I54">INDEX($A$6:$S$41, COLUMN(I10), ROW(I10))</f>
        <v>6.6254557532706246E-2</v>
      </c>
      <c r="J54" cm="1">
        <f t="array" ref="J54">INDEX($A$6:$S$41, COLUMN(J10), ROW(J10))</f>
        <v>6.7393192448158894</v>
      </c>
      <c r="K54" cm="1">
        <f t="array" ref="K54">INDEX($A$6:$S$41, COLUMN(K10), ROW(K10))</f>
        <v>13.432348337392048</v>
      </c>
      <c r="L54" cm="1">
        <f t="array" ref="L54">INDEX($A$6:$S$41, COLUMN(L10), ROW(L10))</f>
        <v>20.289271146658503</v>
      </c>
      <c r="M54" cm="1">
        <f t="array" ref="M54">INDEX($A$6:$S$41, COLUMN(M10), ROW(M10))</f>
        <v>0</v>
      </c>
      <c r="N54" cm="1">
        <f t="array" ref="N54">INDEX($A$6:$S$41, COLUMN(N10), ROW(N10))</f>
        <v>2.5369613975307774</v>
      </c>
      <c r="O54" cm="1">
        <f t="array" ref="O54">INDEX($A$6:$S$41, COLUMN(O10), ROW(O10))</f>
        <v>20.289271146658503</v>
      </c>
      <c r="P54" cm="1">
        <f t="array" ref="P54">INDEX($A$6:$S$41, COLUMN(P10), ROW(P10))</f>
        <v>0</v>
      </c>
      <c r="Q54" cm="1">
        <f t="array" ref="Q54">INDEX($A$6:$S$41, COLUMN(Q10), ROW(Q10))</f>
        <v>0</v>
      </c>
      <c r="R54" cm="1">
        <f t="array" ref="R54">INDEX($A$6:$S$41, COLUMN(R10), ROW(R10))</f>
        <v>0</v>
      </c>
      <c r="S54" cm="1">
        <f t="array" ref="S54">INDEX($A$6:$S$41, COLUMN(S10), ROW(S10))</f>
        <v>0</v>
      </c>
      <c r="T54" cm="1">
        <f t="array" ref="T54">INDEX($A$6:$S$41, COLUMN(T10), ROW(T10))</f>
        <v>0</v>
      </c>
      <c r="U54" t="str" cm="1">
        <f t="array" ref="U54">INDEX($A$6:$S$41, COLUMN(U10), ROW(U10))</f>
        <v>CC</v>
      </c>
      <c r="V54" cm="1">
        <f t="array" ref="V54">INDEX($A$6:$S$41, COLUMN(V10), ROW(V10))</f>
        <v>6.3416264217000442E-3</v>
      </c>
      <c r="W54" cm="1">
        <f t="array" ref="W54">INDEX($A$6:$S$41, COLUMN(W10), ROW(W10))</f>
        <v>7.519038301582676E-3</v>
      </c>
      <c r="X54" cm="1">
        <f t="array" ref="X54">INDEX($A$6:$S$41, COLUMN(X10), ROW(X10))</f>
        <v>0.75743877846264207</v>
      </c>
      <c r="Y54" cm="1">
        <f t="array" ref="Y54">INDEX($A$6:$S$41, COLUMN(Y10), ROW(Y10))</f>
        <v>1.7494597542751273</v>
      </c>
      <c r="Z54" cm="1">
        <f t="array" ref="Z54">INDEX($A$6:$S$41, COLUMN(Z10), ROW(Z10))</f>
        <v>2.5207591974610519</v>
      </c>
      <c r="AA54" cm="1">
        <f t="array" ref="AA54">INDEX($A$6:$S$41, COLUMN(AA10), ROW(AA10))</f>
        <v>0</v>
      </c>
      <c r="AB54" cm="1">
        <f t="array" ref="AB54">INDEX($A$6:$S$41, COLUMN(AB10), ROW(AB10))</f>
        <v>5.1337499344812729E-2</v>
      </c>
      <c r="AC54" cm="1">
        <f t="array" ref="AC54">INDEX($A$6:$S$41, COLUMN(AC10), ROW(AC10))</f>
        <v>6.6260945048698894E-2</v>
      </c>
      <c r="AD54" cm="1">
        <f t="array" ref="AD54">INDEX($A$6:$S$41, COLUMN(AD10), ROW(AD10))</f>
        <v>6.7399035033010248</v>
      </c>
      <c r="AE54" cm="1">
        <f t="array" ref="AE54">INDEX($A$6:$S$41, COLUMN(AE10), ROW(AE10))</f>
        <v>13.892786369680275</v>
      </c>
      <c r="AF54" cm="1">
        <f t="array" ref="AF54">INDEX($A$6:$S$41, COLUMN(AF10), ROW(AF10))</f>
        <v>20.75028831737481</v>
      </c>
      <c r="AG54" cm="1">
        <f t="array" ref="AG54">INDEX($A$6:$S$41, COLUMN(AG10), ROW(AG10))</f>
        <v>0</v>
      </c>
      <c r="AH54" cm="1">
        <f t="array" ref="AH54">INDEX($A$6:$S$41, COLUMN(AH10), ROW(AH10))</f>
        <v>2.5207591974610519</v>
      </c>
      <c r="AI54" cm="1">
        <f t="array" ref="AI54">INDEX($A$6:$S$41, COLUMN(AI10), ROW(AI10))</f>
        <v>20.75028831737481</v>
      </c>
      <c r="AJ54" cm="1">
        <f t="array" ref="AJ54">INDEX($A$6:$S$41, COLUMN(AJ10), ROW(AJ10))</f>
        <v>0</v>
      </c>
    </row>
    <row r="55" spans="1:36" x14ac:dyDescent="0.2">
      <c r="A55" cm="1">
        <f t="array" ref="A55">INDEX($A$6:$S$41, COLUMN(A11), ROW(A11))</f>
        <v>0</v>
      </c>
      <c r="B55" cm="1">
        <f t="array" ref="B55">INDEX($A$6:$S$41, COLUMN(B11), ROW(B11))</f>
        <v>2.5733832826384125E-3</v>
      </c>
      <c r="C55" cm="1">
        <f t="array" ref="C55">INDEX($A$6:$S$41, COLUMN(C11), ROW(C11))</f>
        <v>3.0505018765386352E-3</v>
      </c>
      <c r="D55" cm="1">
        <f t="array" ref="D55">INDEX($A$6:$S$41, COLUMN(D11), ROW(D11))</f>
        <v>0.30743860615402901</v>
      </c>
      <c r="E55" cm="1">
        <f t="array" ref="E55">INDEX($A$6:$S$41, COLUMN(E11), ROW(E11))</f>
        <v>0.68693750868679404</v>
      </c>
      <c r="F55" cm="1">
        <f t="array" ref="F55">INDEX($A$6:$S$41, COLUMN(F11), ROW(F11))</f>
        <v>0</v>
      </c>
      <c r="G55" cm="1">
        <f t="array" ref="G55">INDEX($A$6:$S$41, COLUMN(G11), ROW(G11))</f>
        <v>0</v>
      </c>
      <c r="H55" cm="1">
        <f t="array" ref="H55">INDEX($A$6:$S$41, COLUMN(H11), ROW(H11))</f>
        <v>2.5552636564945773E-3</v>
      </c>
      <c r="I55" cm="1">
        <f t="array" ref="I55">INDEX($A$6:$S$41, COLUMN(I11), ROW(I11))</f>
        <v>3.2974084534979748E-3</v>
      </c>
      <c r="J55" cm="1">
        <f t="array" ref="J55">INDEX($A$6:$S$41, COLUMN(J11), ROW(J11))</f>
        <v>0.3380270616325648</v>
      </c>
      <c r="K55" cm="1">
        <f t="array" ref="K55">INDEX($A$6:$S$41, COLUMN(K11), ROW(K11))</f>
        <v>0.65612026625744257</v>
      </c>
      <c r="L55" cm="1">
        <f t="array" ref="L55">INDEX($A$6:$S$41, COLUMN(L11), ROW(L11))</f>
        <v>0</v>
      </c>
      <c r="M55" cm="1">
        <f t="array" ref="M55">INDEX($A$6:$S$41, COLUMN(M11), ROW(M11))</f>
        <v>0</v>
      </c>
      <c r="N55" cm="1">
        <f t="array" ref="N55">INDEX($A$6:$S$41, COLUMN(N11), ROW(N11))</f>
        <v>0</v>
      </c>
      <c r="O55" cm="1">
        <f t="array" ref="O55">INDEX($A$6:$S$41, COLUMN(O11), ROW(O11))</f>
        <v>0</v>
      </c>
      <c r="P55" cm="1">
        <f t="array" ref="P55">INDEX($A$6:$S$41, COLUMN(P11), ROW(P11))</f>
        <v>0</v>
      </c>
      <c r="Q55" cm="1">
        <f t="array" ref="Q55">INDEX($A$6:$S$41, COLUMN(Q11), ROW(Q11))</f>
        <v>0</v>
      </c>
      <c r="R55" cm="1">
        <f t="array" ref="R55">INDEX($A$6:$S$41, COLUMN(R11), ROW(R11))</f>
        <v>0</v>
      </c>
      <c r="S55" cm="1">
        <f t="array" ref="S55">INDEX($A$6:$S$41, COLUMN(S11), ROW(S11))</f>
        <v>0</v>
      </c>
      <c r="T55" cm="1">
        <f t="array" ref="T55">INDEX($A$6:$S$41, COLUMN(T11), ROW(T11))</f>
        <v>0</v>
      </c>
      <c r="U55" cm="1">
        <f t="array" ref="U55">INDEX($A$6:$S$41, COLUMN(U11), ROW(U11))</f>
        <v>0</v>
      </c>
      <c r="V55" cm="1">
        <f t="array" ref="V55">INDEX($A$6:$S$41, COLUMN(V11), ROW(V11))</f>
        <v>2.5171707709855384E-3</v>
      </c>
      <c r="W55" cm="1">
        <f t="array" ref="W55">INDEX($A$6:$S$41, COLUMN(W11), ROW(W11))</f>
        <v>2.9838777437548522E-3</v>
      </c>
      <c r="X55" cm="1">
        <f t="array" ref="X55">INDEX($A$6:$S$41, COLUMN(X11), ROW(X11))</f>
        <v>0.3007246238290513</v>
      </c>
      <c r="Y55" cm="1">
        <f t="array" ref="Y55">INDEX($A$6:$S$41, COLUMN(Y11), ROW(Y11))</f>
        <v>0.69377432765620839</v>
      </c>
      <c r="Z55" cm="1">
        <f t="array" ref="Z55">INDEX($A$6:$S$41, COLUMN(Z11), ROW(Z11))</f>
        <v>0</v>
      </c>
      <c r="AA55" cm="1">
        <f t="array" ref="AA55">INDEX($A$6:$S$41, COLUMN(AA11), ROW(AA11))</f>
        <v>0</v>
      </c>
      <c r="AB55" cm="1">
        <f t="array" ref="AB55">INDEX($A$6:$S$41, COLUMN(AB11), ROW(AB11))</f>
        <v>2.4972430153244866E-3</v>
      </c>
      <c r="AC55" cm="1">
        <f t="array" ref="AC55">INDEX($A$6:$S$41, COLUMN(AC11), ROW(AC11))</f>
        <v>3.2225320353062564E-3</v>
      </c>
      <c r="AD55" cm="1">
        <f t="array" ref="AD55">INDEX($A$6:$S$41, COLUMN(AD11), ROW(AD11))</f>
        <v>0.33035125807103399</v>
      </c>
      <c r="AE55" cm="1">
        <f t="array" ref="AE55">INDEX($A$6:$S$41, COLUMN(AE11), ROW(AE11))</f>
        <v>0.66392896687833525</v>
      </c>
      <c r="AF55" cm="1">
        <f t="array" ref="AF55">INDEX($A$6:$S$41, COLUMN(AF11), ROW(AF11))</f>
        <v>0</v>
      </c>
      <c r="AG55" cm="1">
        <f t="array" ref="AG55">INDEX($A$6:$S$41, COLUMN(AG11), ROW(AG11))</f>
        <v>0</v>
      </c>
      <c r="AH55" cm="1">
        <f t="array" ref="AH55">INDEX($A$6:$S$41, COLUMN(AH11), ROW(AH11))</f>
        <v>0</v>
      </c>
      <c r="AI55" cm="1">
        <f t="array" ref="AI55">INDEX($A$6:$S$41, COLUMN(AI11), ROW(AI11))</f>
        <v>0</v>
      </c>
      <c r="AJ55" cm="1">
        <f t="array" ref="AJ55">INDEX($A$6:$S$41, COLUMN(AJ11), ROW(AJ11))</f>
        <v>0</v>
      </c>
    </row>
    <row r="56" spans="1:36" x14ac:dyDescent="0.2">
      <c r="A56" cm="1">
        <f t="array" ref="A56">INDEX($A$6:$S$41, COLUMN(A12), ROW(A12))</f>
        <v>0</v>
      </c>
      <c r="B56" cm="1">
        <f t="array" ref="B56">INDEX($A$6:$S$41, COLUMN(B12), ROW(B12))</f>
        <v>0</v>
      </c>
      <c r="C56" cm="1">
        <f t="array" ref="C56">INDEX($A$6:$S$41, COLUMN(C12), ROW(C12))</f>
        <v>0</v>
      </c>
      <c r="D56" cm="1">
        <f t="array" ref="D56">INDEX($A$6:$S$41, COLUMN(D12), ROW(D12))</f>
        <v>0</v>
      </c>
      <c r="E56" cm="1">
        <f t="array" ref="E56">INDEX($A$6:$S$41, COLUMN(E12), ROW(E12))</f>
        <v>0</v>
      </c>
      <c r="F56" cm="1">
        <f t="array" ref="F56">INDEX($A$6:$S$41, COLUMN(F12), ROW(F12))</f>
        <v>0</v>
      </c>
      <c r="G56" cm="1">
        <f t="array" ref="G56">INDEX($A$6:$S$41, COLUMN(G12), ROW(G12))</f>
        <v>0</v>
      </c>
      <c r="H56" cm="1">
        <f t="array" ref="H56">INDEX($A$6:$S$41, COLUMN(H12), ROW(H12))</f>
        <v>0</v>
      </c>
      <c r="I56" cm="1">
        <f t="array" ref="I56">INDEX($A$6:$S$41, COLUMN(I12), ROW(I12))</f>
        <v>0</v>
      </c>
      <c r="J56" cm="1">
        <f t="array" ref="J56">INDEX($A$6:$S$41, COLUMN(J12), ROW(J12))</f>
        <v>0</v>
      </c>
      <c r="K56" cm="1">
        <f t="array" ref="K56">INDEX($A$6:$S$41, COLUMN(K12), ROW(K12))</f>
        <v>0</v>
      </c>
      <c r="L56" cm="1">
        <f t="array" ref="L56">INDEX($A$6:$S$41, COLUMN(L12), ROW(L12))</f>
        <v>0</v>
      </c>
      <c r="M56" cm="1">
        <f t="array" ref="M56">INDEX($A$6:$S$41, COLUMN(M12), ROW(M12))</f>
        <v>0</v>
      </c>
      <c r="N56" cm="1">
        <f t="array" ref="N56">INDEX($A$6:$S$41, COLUMN(N12), ROW(N12))</f>
        <v>0</v>
      </c>
      <c r="O56" cm="1">
        <f t="array" ref="O56">INDEX($A$6:$S$41, COLUMN(O12), ROW(O12))</f>
        <v>0</v>
      </c>
      <c r="P56" cm="1">
        <f t="array" ref="P56">INDEX($A$6:$S$41, COLUMN(P12), ROW(P12))</f>
        <v>0</v>
      </c>
      <c r="Q56" cm="1">
        <f t="array" ref="Q56">INDEX($A$6:$S$41, COLUMN(Q12), ROW(Q12))</f>
        <v>0</v>
      </c>
      <c r="R56" cm="1">
        <f t="array" ref="R56">INDEX($A$6:$S$41, COLUMN(R12), ROW(R12))</f>
        <v>0</v>
      </c>
      <c r="S56" cm="1">
        <f t="array" ref="S56">INDEX($A$6:$S$41, COLUMN(S12), ROW(S12))</f>
        <v>0</v>
      </c>
      <c r="T56" cm="1">
        <f t="array" ref="T56">INDEX($A$6:$S$41, COLUMN(T12), ROW(T12))</f>
        <v>0</v>
      </c>
      <c r="U56" cm="1">
        <f t="array" ref="U56">INDEX($A$6:$S$41, COLUMN(U12), ROW(U12))</f>
        <v>0</v>
      </c>
      <c r="V56" cm="1">
        <f t="array" ref="V56">INDEX($A$6:$S$41, COLUMN(V12), ROW(V12))</f>
        <v>0</v>
      </c>
      <c r="W56" cm="1">
        <f t="array" ref="W56">INDEX($A$6:$S$41, COLUMN(W12), ROW(W12))</f>
        <v>0</v>
      </c>
      <c r="X56" cm="1">
        <f t="array" ref="X56">INDEX($A$6:$S$41, COLUMN(X12), ROW(X12))</f>
        <v>0</v>
      </c>
      <c r="Y56" cm="1">
        <f t="array" ref="Y56">INDEX($A$6:$S$41, COLUMN(Y12), ROW(Y12))</f>
        <v>0</v>
      </c>
      <c r="Z56" cm="1">
        <f t="array" ref="Z56">INDEX($A$6:$S$41, COLUMN(Z12), ROW(Z12))</f>
        <v>0</v>
      </c>
      <c r="AA56" cm="1">
        <f t="array" ref="AA56">INDEX($A$6:$S$41, COLUMN(AA12), ROW(AA12))</f>
        <v>0</v>
      </c>
      <c r="AB56" cm="1">
        <f t="array" ref="AB56">INDEX($A$6:$S$41, COLUMN(AB12), ROW(AB12))</f>
        <v>0</v>
      </c>
      <c r="AC56" cm="1">
        <f t="array" ref="AC56">INDEX($A$6:$S$41, COLUMN(AC12), ROW(AC12))</f>
        <v>0</v>
      </c>
      <c r="AD56" cm="1">
        <f t="array" ref="AD56">INDEX($A$6:$S$41, COLUMN(AD12), ROW(AD12))</f>
        <v>0</v>
      </c>
      <c r="AE56" cm="1">
        <f t="array" ref="AE56">INDEX($A$6:$S$41, COLUMN(AE12), ROW(AE12))</f>
        <v>0</v>
      </c>
      <c r="AF56" cm="1">
        <f t="array" ref="AF56">INDEX($A$6:$S$41, COLUMN(AF12), ROW(AF12))</f>
        <v>0</v>
      </c>
      <c r="AG56" cm="1">
        <f t="array" ref="AG56">INDEX($A$6:$S$41, COLUMN(AG12), ROW(AG12))</f>
        <v>0</v>
      </c>
      <c r="AH56" cm="1">
        <f t="array" ref="AH56">INDEX($A$6:$S$41, COLUMN(AH12), ROW(AH12))</f>
        <v>0</v>
      </c>
      <c r="AI56" cm="1">
        <f t="array" ref="AI56">INDEX($A$6:$S$41, COLUMN(AI12), ROW(AI12))</f>
        <v>0</v>
      </c>
      <c r="AJ56" cm="1">
        <f t="array" ref="AJ56">INDEX($A$6:$S$41, COLUMN(AJ12), ROW(AJ12))</f>
        <v>0</v>
      </c>
    </row>
    <row r="57" spans="1:36" x14ac:dyDescent="0.2">
      <c r="A57" t="str" cm="1">
        <f t="array" ref="A57">INDEX($A$6:$S$41, COLUMN(A13), ROW(A13))</f>
        <v>HTC</v>
      </c>
      <c r="B57" cm="1">
        <f t="array" ref="B57">INDEX($A$6:$S$41, COLUMN(B13), ROW(B13))</f>
        <v>5.3189608052447625E-3</v>
      </c>
      <c r="C57" cm="1">
        <f t="array" ref="C57">INDEX($A$6:$S$41, COLUMN(C13), ROW(C13))</f>
        <v>6.3050398642571989E-3</v>
      </c>
      <c r="D57" cm="1">
        <f t="array" ref="D57">INDEX($A$6:$S$41, COLUMN(D13), ROW(D13))</f>
        <v>0.40990547250962001</v>
      </c>
      <c r="E57" cm="1">
        <f t="array" ref="E57">INDEX($A$6:$S$41, COLUMN(E13), ROW(E13))</f>
        <v>2.1013699727774169</v>
      </c>
      <c r="F57" cm="1">
        <f t="array" ref="F57">INDEX($A$6:$S$41, COLUMN(F13), ROW(F13))</f>
        <v>2.522899445956539</v>
      </c>
      <c r="G57" cm="1">
        <f t="array" ref="G57">INDEX($A$6:$S$41, COLUMN(G13), ROW(G13))</f>
        <v>0</v>
      </c>
      <c r="H57" cm="1">
        <f t="array" ref="H57">INDEX($A$6:$S$41, COLUMN(H13), ROW(H13))</f>
        <v>3.5769125115531368E-2</v>
      </c>
      <c r="I57" cm="1">
        <f t="array" ref="I57">INDEX($A$6:$S$41, COLUMN(I13), ROW(I13))</f>
        <v>4.6156294807444861E-2</v>
      </c>
      <c r="J57" cm="1">
        <f t="array" ref="J57">INDEX($A$6:$S$41, COLUMN(J13), ROW(J13))</f>
        <v>2.9853934761556671</v>
      </c>
      <c r="K57" cm="1">
        <f t="array" ref="K57">INDEX($A$6:$S$41, COLUMN(K13), ROW(K13))</f>
        <v>13.44160358335114</v>
      </c>
      <c r="L57" cm="1">
        <f t="array" ref="L57">INDEX($A$6:$S$41, COLUMN(L13), ROW(L13))</f>
        <v>16.508922479429785</v>
      </c>
      <c r="M57" cm="1">
        <f t="array" ref="M57">INDEX($A$6:$S$41, COLUMN(M13), ROW(M13))</f>
        <v>0</v>
      </c>
      <c r="N57" cm="1">
        <f t="array" ref="N57">INDEX($A$6:$S$41, COLUMN(N13), ROW(N13))</f>
        <v>2.522899445956539</v>
      </c>
      <c r="O57" cm="1">
        <f t="array" ref="O57">INDEX($A$6:$S$41, COLUMN(O13), ROW(O13))</f>
        <v>16.508922479429785</v>
      </c>
      <c r="P57" cm="1">
        <f t="array" ref="P57">INDEX($A$6:$S$41, COLUMN(P13), ROW(P13))</f>
        <v>0</v>
      </c>
      <c r="Q57" cm="1">
        <f t="array" ref="Q57">INDEX($A$6:$S$41, COLUMN(Q13), ROW(Q13))</f>
        <v>0</v>
      </c>
      <c r="R57" cm="1">
        <f t="array" ref="R57">INDEX($A$6:$S$41, COLUMN(R13), ROW(R13))</f>
        <v>0</v>
      </c>
      <c r="S57" cm="1">
        <f t="array" ref="S57">INDEX($A$6:$S$41, COLUMN(S13), ROW(S13))</f>
        <v>0</v>
      </c>
      <c r="T57" cm="1">
        <f t="array" ref="T57">INDEX($A$6:$S$41, COLUMN(T13), ROW(T13))</f>
        <v>0</v>
      </c>
      <c r="U57" t="str" cm="1">
        <f t="array" ref="U57">INDEX($A$6:$S$41, COLUMN(U13), ROW(U13))</f>
        <v>HTC</v>
      </c>
      <c r="V57" cm="1">
        <f t="array" ref="V57">INDEX($A$6:$S$41, COLUMN(V13), ROW(V13))</f>
        <v>5.3061890660962216E-3</v>
      </c>
      <c r="W57" cm="1">
        <f t="array" ref="W57">INDEX($A$6:$S$41, COLUMN(W13), ROW(W13))</f>
        <v>6.289922513587687E-3</v>
      </c>
      <c r="X57" cm="1">
        <f t="array" ref="X57">INDEX($A$6:$S$41, COLUMN(X13), ROW(X13))</f>
        <v>0.40892314846117306</v>
      </c>
      <c r="Y57" cm="1">
        <f t="array" ref="Y57">INDEX($A$6:$S$41, COLUMN(Y13), ROW(Y13))</f>
        <v>2.130906336740829</v>
      </c>
      <c r="Z57" cm="1">
        <f t="array" ref="Z57">INDEX($A$6:$S$41, COLUMN(Z13), ROW(Z13))</f>
        <v>2.5514255967816859</v>
      </c>
      <c r="AA57" cm="1">
        <f t="array" ref="AA57">INDEX($A$6:$S$41, COLUMN(AA13), ROW(AA13))</f>
        <v>0</v>
      </c>
      <c r="AB57" cm="1">
        <f t="array" ref="AB57">INDEX($A$6:$S$41, COLUMN(AB13), ROW(AB13))</f>
        <v>3.5657686363850784E-2</v>
      </c>
      <c r="AC57" cm="1">
        <f t="array" ref="AC57">INDEX($A$6:$S$41, COLUMN(AC13), ROW(AC13))</f>
        <v>4.6012431298248509E-2</v>
      </c>
      <c r="AD57" cm="1">
        <f t="array" ref="AD57">INDEX($A$6:$S$41, COLUMN(AD13), ROW(AD13))</f>
        <v>2.9760888227300537</v>
      </c>
      <c r="AE57" cm="1">
        <f t="array" ref="AE57">INDEX($A$6:$S$41, COLUMN(AE13), ROW(AE13))</f>
        <v>13.627608973871085</v>
      </c>
      <c r="AF57" cm="1">
        <f t="array" ref="AF57">INDEX($A$6:$S$41, COLUMN(AF13), ROW(AF13))</f>
        <v>16.685367914263239</v>
      </c>
      <c r="AG57" cm="1">
        <f t="array" ref="AG57">INDEX($A$6:$S$41, COLUMN(AG13), ROW(AG13))</f>
        <v>0</v>
      </c>
      <c r="AH57" cm="1">
        <f t="array" ref="AH57">INDEX($A$6:$S$41, COLUMN(AH13), ROW(AH13))</f>
        <v>2.5514255967816859</v>
      </c>
      <c r="AI57" cm="1">
        <f t="array" ref="AI57">INDEX($A$6:$S$41, COLUMN(AI13), ROW(AI13))</f>
        <v>16.685367914263239</v>
      </c>
      <c r="AJ57" cm="1">
        <f t="array" ref="AJ57">INDEX($A$6:$S$41, COLUMN(AJ13), ROW(AJ13))</f>
        <v>0</v>
      </c>
    </row>
    <row r="58" spans="1:36" x14ac:dyDescent="0.2">
      <c r="A58" t="str" cm="1">
        <f t="array" ref="A58">INDEX($A$6:$S$41, COLUMN(A14), ROW(A14))</f>
        <v>HTC</v>
      </c>
      <c r="B58" cm="1">
        <f t="array" ref="B58">INDEX($A$6:$S$41, COLUMN(B14), ROW(B14))</f>
        <v>5.3308479977362262E-4</v>
      </c>
      <c r="C58" cm="1">
        <f t="array" ref="C58">INDEX($A$6:$S$41, COLUMN(C14), ROW(C14))</f>
        <v>6.3211050394295764E-4</v>
      </c>
      <c r="D58" cm="1">
        <f t="array" ref="D58">INDEX($A$6:$S$41, COLUMN(D14), ROW(D14))</f>
        <v>4.1134486701402073E-2</v>
      </c>
      <c r="E58" cm="1">
        <f t="array" ref="E58">INDEX($A$6:$S$41, COLUMN(E14), ROW(E14))</f>
        <v>0.21043304929267165</v>
      </c>
      <c r="F58" cm="1">
        <f t="array" ref="F58">INDEX($A$6:$S$41, COLUMN(F14), ROW(F14))</f>
        <v>0.25273273129779028</v>
      </c>
      <c r="G58" cm="1">
        <f t="array" ref="G58">INDEX($A$6:$S$41, COLUMN(G14), ROW(G14))</f>
        <v>0</v>
      </c>
      <c r="H58" cm="1">
        <f t="array" ref="H58">INDEX($A$6:$S$41, COLUMN(H14), ROW(H14))</f>
        <v>3.988968785075135E-3</v>
      </c>
      <c r="I58" cm="1">
        <f t="array" ref="I58">INDEX($A$6:$S$41, COLUMN(I14), ROW(I14))</f>
        <v>5.1467189521978794E-3</v>
      </c>
      <c r="J58" cm="1">
        <f t="array" ref="J58">INDEX($A$6:$S$41, COLUMN(J14), ROW(J14))</f>
        <v>0.33673237849524751</v>
      </c>
      <c r="K58" cm="1">
        <f t="array" ref="K58">INDEX($A$6:$S$41, COLUMN(K14), ROW(K14))</f>
        <v>1.4930943352920711</v>
      </c>
      <c r="L58" cm="1">
        <f t="array" ref="L58">INDEX($A$6:$S$41, COLUMN(L14), ROW(L14))</f>
        <v>1.8389624015245918</v>
      </c>
      <c r="M58" cm="1">
        <f t="array" ref="M58">INDEX($A$6:$S$41, COLUMN(M14), ROW(M14))</f>
        <v>0</v>
      </c>
      <c r="N58" cm="1">
        <f t="array" ref="N58">INDEX($A$6:$S$41, COLUMN(N14), ROW(N14))</f>
        <v>0.25273273129779028</v>
      </c>
      <c r="O58" cm="1">
        <f t="array" ref="O58">INDEX($A$6:$S$41, COLUMN(O14), ROW(O14))</f>
        <v>1.8389624015245918</v>
      </c>
      <c r="P58" cm="1">
        <f t="array" ref="P58">INDEX($A$6:$S$41, COLUMN(P14), ROW(P14))</f>
        <v>0</v>
      </c>
      <c r="Q58" cm="1">
        <f t="array" ref="Q58">INDEX($A$6:$S$41, COLUMN(Q14), ROW(Q14))</f>
        <v>0</v>
      </c>
      <c r="R58" cm="1">
        <f t="array" ref="R58">INDEX($A$6:$S$41, COLUMN(R14), ROW(R14))</f>
        <v>0</v>
      </c>
      <c r="S58" cm="1">
        <f t="array" ref="S58">INDEX($A$6:$S$41, COLUMN(S14), ROW(S14))</f>
        <v>0</v>
      </c>
      <c r="T58" cm="1">
        <f t="array" ref="T58">INDEX($A$6:$S$41, COLUMN(T14), ROW(T14))</f>
        <v>0</v>
      </c>
      <c r="U58" t="str" cm="1">
        <f t="array" ref="U58">INDEX($A$6:$S$41, COLUMN(U14), ROW(U14))</f>
        <v>HTC</v>
      </c>
      <c r="V58" cm="1">
        <f t="array" ref="V58">INDEX($A$6:$S$41, COLUMN(V14), ROW(V14))</f>
        <v>5.1812994824228416E-4</v>
      </c>
      <c r="W58" cm="1">
        <f t="array" ref="W58">INDEX($A$6:$S$41, COLUMN(W14), ROW(W14))</f>
        <v>6.1431954164790957E-4</v>
      </c>
      <c r="X58" cm="1">
        <f t="array" ref="X58">INDEX($A$6:$S$41, COLUMN(X14), ROW(X14))</f>
        <v>3.9975057596078056E-2</v>
      </c>
      <c r="Y58" cm="1">
        <f t="array" ref="Y58">INDEX($A$6:$S$41, COLUMN(Y14), ROW(Y14))</f>
        <v>0.2079376915350783</v>
      </c>
      <c r="Z58" cm="1">
        <f t="array" ref="Z58">INDEX($A$6:$S$41, COLUMN(Z14), ROW(Z14))</f>
        <v>0.24904519862104654</v>
      </c>
      <c r="AA58" cm="1">
        <f t="array" ref="AA58">INDEX($A$6:$S$41, COLUMN(AA14), ROW(AA14))</f>
        <v>0</v>
      </c>
      <c r="AB58" cm="1">
        <f t="array" ref="AB58">INDEX($A$6:$S$41, COLUMN(AB14), ROW(AB14))</f>
        <v>3.9877198786024224E-3</v>
      </c>
      <c r="AC58" cm="1">
        <f t="array" ref="AC58">INDEX($A$6:$S$41, COLUMN(AC14), ROW(AC14))</f>
        <v>5.1467551016813971E-3</v>
      </c>
      <c r="AD58" cm="1">
        <f t="array" ref="AD58">INDEX($A$6:$S$41, COLUMN(AD14), ROW(AD14))</f>
        <v>0.33672925844096901</v>
      </c>
      <c r="AE58" cm="1">
        <f t="array" ref="AE58">INDEX($A$6:$S$41, COLUMN(AE14), ROW(AE14))</f>
        <v>1.5182190047876429</v>
      </c>
      <c r="AF58" cm="1">
        <f t="array" ref="AF58">INDEX($A$6:$S$41, COLUMN(AF14), ROW(AF14))</f>
        <v>1.8640827382088958</v>
      </c>
      <c r="AG58" cm="1">
        <f t="array" ref="AG58">INDEX($A$6:$S$41, COLUMN(AG14), ROW(AG14))</f>
        <v>0</v>
      </c>
      <c r="AH58" cm="1">
        <f t="array" ref="AH58">INDEX($A$6:$S$41, COLUMN(AH14), ROW(AH14))</f>
        <v>0.24904519862104654</v>
      </c>
      <c r="AI58" cm="1">
        <f t="array" ref="AI58">INDEX($A$6:$S$41, COLUMN(AI14), ROW(AI14))</f>
        <v>1.8640827382088958</v>
      </c>
      <c r="AJ58" cm="1">
        <f t="array" ref="AJ58">INDEX($A$6:$S$41, COLUMN(AJ14), ROW(AJ14))</f>
        <v>0</v>
      </c>
    </row>
    <row r="59" spans="1:36" x14ac:dyDescent="0.2">
      <c r="A59" cm="1">
        <f t="array" ref="A59">INDEX($A$6:$S$41, COLUMN(A15), ROW(A15))</f>
        <v>0</v>
      </c>
      <c r="B59" cm="1">
        <f t="array" ref="B59">INDEX($A$6:$S$41, COLUMN(B15), ROW(B15))</f>
        <v>2.1082730085693595E-3</v>
      </c>
      <c r="C59" cm="1">
        <f t="array" ref="C59">INDEX($A$6:$S$41, COLUMN(C15), ROW(C15))</f>
        <v>2.4991245189586574E-3</v>
      </c>
      <c r="D59" cm="1">
        <f t="array" ref="D59">INDEX($A$6:$S$41, COLUMN(D15), ROW(D15))</f>
        <v>0.16247396350519525</v>
      </c>
      <c r="E59" cm="1">
        <f t="array" ref="E59">INDEX($A$6:$S$41, COLUMN(E15), ROW(E15))</f>
        <v>0.83291863896727669</v>
      </c>
      <c r="F59" cm="1">
        <f t="array" ref="F59">INDEX($A$6:$S$41, COLUMN(F15), ROW(F15))</f>
        <v>0</v>
      </c>
      <c r="G59" cm="1">
        <f t="array" ref="G59">INDEX($A$6:$S$41, COLUMN(G15), ROW(G15))</f>
        <v>0</v>
      </c>
      <c r="H59" cm="1">
        <f t="array" ref="H59">INDEX($A$6:$S$41, COLUMN(H15), ROW(H15))</f>
        <v>2.1666541326425095E-3</v>
      </c>
      <c r="I59" cm="1">
        <f t="array" ref="I59">INDEX($A$6:$S$41, COLUMN(I15), ROW(I15))</f>
        <v>2.7958393326369953E-3</v>
      </c>
      <c r="J59" cm="1">
        <f t="array" ref="J59">INDEX($A$6:$S$41, COLUMN(J15), ROW(J15))</f>
        <v>0.18083515019683963</v>
      </c>
      <c r="K59" cm="1">
        <f t="array" ref="K59">INDEX($A$6:$S$41, COLUMN(K15), ROW(K15))</f>
        <v>0.81420235633788085</v>
      </c>
      <c r="L59" cm="1">
        <f t="array" ref="L59">INDEX($A$6:$S$41, COLUMN(L15), ROW(L15))</f>
        <v>0</v>
      </c>
      <c r="M59" cm="1">
        <f t="array" ref="M59">INDEX($A$6:$S$41, COLUMN(M15), ROW(M15))</f>
        <v>0</v>
      </c>
      <c r="N59" cm="1">
        <f t="array" ref="N59">INDEX($A$6:$S$41, COLUMN(N15), ROW(N15))</f>
        <v>0</v>
      </c>
      <c r="O59" cm="1">
        <f t="array" ref="O59">INDEX($A$6:$S$41, COLUMN(O15), ROW(O15))</f>
        <v>0</v>
      </c>
      <c r="P59" cm="1">
        <f t="array" ref="P59">INDEX($A$6:$S$41, COLUMN(P15), ROW(P15))</f>
        <v>0</v>
      </c>
      <c r="Q59" cm="1">
        <f t="array" ref="Q59">INDEX($A$6:$S$41, COLUMN(Q15), ROW(Q15))</f>
        <v>0</v>
      </c>
      <c r="R59" cm="1">
        <f t="array" ref="R59">INDEX($A$6:$S$41, COLUMN(R15), ROW(R15))</f>
        <v>0</v>
      </c>
      <c r="S59" cm="1">
        <f t="array" ref="S59">INDEX($A$6:$S$41, COLUMN(S15), ROW(S15))</f>
        <v>0</v>
      </c>
      <c r="T59" cm="1">
        <f t="array" ref="T59">INDEX($A$6:$S$41, COLUMN(T15), ROW(T15))</f>
        <v>0</v>
      </c>
      <c r="U59" cm="1">
        <f t="array" ref="U59">INDEX($A$6:$S$41, COLUMN(U15), ROW(U15))</f>
        <v>0</v>
      </c>
      <c r="V59" cm="1">
        <f t="array" ref="V59">INDEX($A$6:$S$41, COLUMN(V15), ROW(V15))</f>
        <v>2.079695787637051E-3</v>
      </c>
      <c r="W59" cm="1">
        <f t="array" ref="W59">INDEX($A$6:$S$41, COLUMN(W15), ROW(W15))</f>
        <v>2.4652580586796893E-3</v>
      </c>
      <c r="X59" cm="1">
        <f t="array" ref="X59">INDEX($A$6:$S$41, COLUMN(X15), ROW(X15))</f>
        <v>0.16027241749748847</v>
      </c>
      <c r="Y59" cm="1">
        <f t="array" ref="Y59">INDEX($A$6:$S$41, COLUMN(Y15), ROW(Y15))</f>
        <v>0.83518262865619475</v>
      </c>
      <c r="Z59" cm="1">
        <f t="array" ref="Z59">INDEX($A$6:$S$41, COLUMN(Z15), ROW(Z15))</f>
        <v>0</v>
      </c>
      <c r="AA59" cm="1">
        <f t="array" ref="AA59">INDEX($A$6:$S$41, COLUMN(AA15), ROW(AA15))</f>
        <v>0</v>
      </c>
      <c r="AB59" cm="1">
        <f t="array" ref="AB59">INDEX($A$6:$S$41, COLUMN(AB15), ROW(AB15))</f>
        <v>2.1370632369076704E-3</v>
      </c>
      <c r="AC59" cm="1">
        <f t="array" ref="AC59">INDEX($A$6:$S$41, COLUMN(AC15), ROW(AC15))</f>
        <v>2.7576515863887824E-3</v>
      </c>
      <c r="AD59" cm="1">
        <f t="array" ref="AD59">INDEX($A$6:$S$41, COLUMN(AD15), ROW(AD15))</f>
        <v>0.1783651902686538</v>
      </c>
      <c r="AE59" cm="1">
        <f t="array" ref="AE59">INDEX($A$6:$S$41, COLUMN(AE15), ROW(AE15))</f>
        <v>0.81674009490804977</v>
      </c>
      <c r="AF59" cm="1">
        <f t="array" ref="AF59">INDEX($A$6:$S$41, COLUMN(AF15), ROW(AF15))</f>
        <v>0</v>
      </c>
      <c r="AG59" cm="1">
        <f t="array" ref="AG59">INDEX($A$6:$S$41, COLUMN(AG15), ROW(AG15))</f>
        <v>0</v>
      </c>
      <c r="AH59" cm="1">
        <f t="array" ref="AH59">INDEX($A$6:$S$41, COLUMN(AH15), ROW(AH15))</f>
        <v>0</v>
      </c>
      <c r="AI59" cm="1">
        <f t="array" ref="AI59">INDEX($A$6:$S$41, COLUMN(AI15), ROW(AI15))</f>
        <v>0</v>
      </c>
      <c r="AJ59" cm="1">
        <f t="array" ref="AJ59">INDEX($A$6:$S$41, COLUMN(AJ15), ROW(AJ15))</f>
        <v>0</v>
      </c>
    </row>
    <row r="60" spans="1:36" x14ac:dyDescent="0.2">
      <c r="A60" cm="1">
        <f t="array" ref="A60">INDEX($A$6:$S$41, COLUMN(A16), ROW(A16))</f>
        <v>0</v>
      </c>
      <c r="B60" cm="1">
        <f t="array" ref="B60">INDEX($A$6:$S$41, COLUMN(B16), ROW(B16))</f>
        <v>0</v>
      </c>
      <c r="C60" cm="1">
        <f t="array" ref="C60">INDEX($A$6:$S$41, COLUMN(C16), ROW(C16))</f>
        <v>0</v>
      </c>
      <c r="D60" cm="1">
        <f t="array" ref="D60">INDEX($A$6:$S$41, COLUMN(D16), ROW(D16))</f>
        <v>0</v>
      </c>
      <c r="E60" cm="1">
        <f t="array" ref="E60">INDEX($A$6:$S$41, COLUMN(E16), ROW(E16))</f>
        <v>0</v>
      </c>
      <c r="F60" cm="1">
        <f t="array" ref="F60">INDEX($A$6:$S$41, COLUMN(F16), ROW(F16))</f>
        <v>0</v>
      </c>
      <c r="G60" cm="1">
        <f t="array" ref="G60">INDEX($A$6:$S$41, COLUMN(G16), ROW(G16))</f>
        <v>0</v>
      </c>
      <c r="H60" cm="1">
        <f t="array" ref="H60">INDEX($A$6:$S$41, COLUMN(H16), ROW(H16))</f>
        <v>0</v>
      </c>
      <c r="I60" cm="1">
        <f t="array" ref="I60">INDEX($A$6:$S$41, COLUMN(I16), ROW(I16))</f>
        <v>0</v>
      </c>
      <c r="J60" cm="1">
        <f t="array" ref="J60">INDEX($A$6:$S$41, COLUMN(J16), ROW(J16))</f>
        <v>0</v>
      </c>
      <c r="K60" cm="1">
        <f t="array" ref="K60">INDEX($A$6:$S$41, COLUMN(K16), ROW(K16))</f>
        <v>0</v>
      </c>
      <c r="L60" cm="1">
        <f t="array" ref="L60">INDEX($A$6:$S$41, COLUMN(L16), ROW(L16))</f>
        <v>0</v>
      </c>
      <c r="M60" cm="1">
        <f t="array" ref="M60">INDEX($A$6:$S$41, COLUMN(M16), ROW(M16))</f>
        <v>0</v>
      </c>
      <c r="N60" cm="1">
        <f t="array" ref="N60">INDEX($A$6:$S$41, COLUMN(N16), ROW(N16))</f>
        <v>0</v>
      </c>
      <c r="O60" cm="1">
        <f t="array" ref="O60">INDEX($A$6:$S$41, COLUMN(O16), ROW(O16))</f>
        <v>0</v>
      </c>
      <c r="P60" cm="1">
        <f t="array" ref="P60">INDEX($A$6:$S$41, COLUMN(P16), ROW(P16))</f>
        <v>0</v>
      </c>
      <c r="Q60" cm="1">
        <f t="array" ref="Q60">INDEX($A$6:$S$41, COLUMN(Q16), ROW(Q16))</f>
        <v>0</v>
      </c>
      <c r="R60" cm="1">
        <f t="array" ref="R60">INDEX($A$6:$S$41, COLUMN(R16), ROW(R16))</f>
        <v>0</v>
      </c>
      <c r="S60" cm="1">
        <f t="array" ref="S60">INDEX($A$6:$S$41, COLUMN(S16), ROW(S16))</f>
        <v>0</v>
      </c>
      <c r="T60" cm="1">
        <f t="array" ref="T60">INDEX($A$6:$S$41, COLUMN(T16), ROW(T16))</f>
        <v>0</v>
      </c>
      <c r="U60" cm="1">
        <f t="array" ref="U60">INDEX($A$6:$S$41, COLUMN(U16), ROW(U16))</f>
        <v>0</v>
      </c>
      <c r="V60" cm="1">
        <f t="array" ref="V60">INDEX($A$6:$S$41, COLUMN(V16), ROW(V16))</f>
        <v>0</v>
      </c>
      <c r="W60" cm="1">
        <f t="array" ref="W60">INDEX($A$6:$S$41, COLUMN(W16), ROW(W16))</f>
        <v>0</v>
      </c>
      <c r="X60" cm="1">
        <f t="array" ref="X60">INDEX($A$6:$S$41, COLUMN(X16), ROW(X16))</f>
        <v>0</v>
      </c>
      <c r="Y60" cm="1">
        <f t="array" ref="Y60">INDEX($A$6:$S$41, COLUMN(Y16), ROW(Y16))</f>
        <v>0</v>
      </c>
      <c r="Z60" cm="1">
        <f t="array" ref="Z60">INDEX($A$6:$S$41, COLUMN(Z16), ROW(Z16))</f>
        <v>0</v>
      </c>
      <c r="AA60" cm="1">
        <f t="array" ref="AA60">INDEX($A$6:$S$41, COLUMN(AA16), ROW(AA16))</f>
        <v>0</v>
      </c>
      <c r="AB60" cm="1">
        <f t="array" ref="AB60">INDEX($A$6:$S$41, COLUMN(AB16), ROW(AB16))</f>
        <v>0</v>
      </c>
      <c r="AC60" cm="1">
        <f t="array" ref="AC60">INDEX($A$6:$S$41, COLUMN(AC16), ROW(AC16))</f>
        <v>0</v>
      </c>
      <c r="AD60" cm="1">
        <f t="array" ref="AD60">INDEX($A$6:$S$41, COLUMN(AD16), ROW(AD16))</f>
        <v>0</v>
      </c>
      <c r="AE60" cm="1">
        <f t="array" ref="AE60">INDEX($A$6:$S$41, COLUMN(AE16), ROW(AE16))</f>
        <v>0</v>
      </c>
      <c r="AF60" cm="1">
        <f t="array" ref="AF60">INDEX($A$6:$S$41, COLUMN(AF16), ROW(AF16))</f>
        <v>0</v>
      </c>
      <c r="AG60" cm="1">
        <f t="array" ref="AG60">INDEX($A$6:$S$41, COLUMN(AG16), ROW(AG16))</f>
        <v>0</v>
      </c>
      <c r="AH60" cm="1">
        <f t="array" ref="AH60">INDEX($A$6:$S$41, COLUMN(AH16), ROW(AH16))</f>
        <v>0</v>
      </c>
      <c r="AI60" cm="1">
        <f t="array" ref="AI60">INDEX($A$6:$S$41, COLUMN(AI16), ROW(AI16))</f>
        <v>0</v>
      </c>
      <c r="AJ60" cm="1">
        <f t="array" ref="AJ60">INDEX($A$6:$S$41, COLUMN(AJ16), ROW(AJ16))</f>
        <v>0</v>
      </c>
    </row>
    <row r="61" spans="1:36" x14ac:dyDescent="0.2">
      <c r="A61" t="str" cm="1">
        <f t="array" ref="A61">INDEX($A$6:$S$41, COLUMN(A17), ROW(A17))</f>
        <v>CED</v>
      </c>
      <c r="B61" cm="1">
        <f t="array" ref="B61">INDEX($A$6:$S$41, COLUMN(B17), ROW(B17))</f>
        <v>0.49320386448793424</v>
      </c>
      <c r="C61" cm="1">
        <f t="array" ref="C61">INDEX($A$6:$S$41, COLUMN(C17), ROW(C17))</f>
        <v>0.58464550694241613</v>
      </c>
      <c r="D61" cm="1">
        <f t="array" ref="D61">INDEX($A$6:$S$41, COLUMN(D17), ROW(D17))</f>
        <v>54.113575915427177</v>
      </c>
      <c r="E61" cm="1">
        <f t="array" ref="E61">INDEX($A$6:$S$41, COLUMN(E17), ROW(E17))</f>
        <v>174.00734306439844</v>
      </c>
      <c r="F61" cm="1">
        <f t="array" ref="F61">INDEX($A$6:$S$41, COLUMN(F17), ROW(F17))</f>
        <v>229.19876835125598</v>
      </c>
      <c r="G61" cm="1">
        <f t="array" ref="G61">INDEX($A$6:$S$41, COLUMN(G17), ROW(G17))</f>
        <v>0</v>
      </c>
      <c r="H61" cm="1">
        <f t="array" ref="H61">INDEX($A$6:$S$41, COLUMN(H17), ROW(H17))</f>
        <v>3.4665582878031911</v>
      </c>
      <c r="I61" cm="1">
        <f t="array" ref="I61">INDEX($A$6:$S$41, COLUMN(I17), ROW(I17))</f>
        <v>4.4733607533739548</v>
      </c>
      <c r="J61" cm="1">
        <f t="array" ref="J61">INDEX($A$6:$S$41, COLUMN(J17), ROW(J17))</f>
        <v>422.22940166577587</v>
      </c>
      <c r="K61" cm="1">
        <f t="array" ref="K61">INDEX($A$6:$S$41, COLUMN(K17), ROW(K17))</f>
        <v>1184.6928341391554</v>
      </c>
      <c r="L61" cm="1">
        <f t="array" ref="L61">INDEX($A$6:$S$41, COLUMN(L17), ROW(L17))</f>
        <v>1614.8621548461083</v>
      </c>
      <c r="M61" cm="1">
        <f t="array" ref="M61">INDEX($A$6:$S$41, COLUMN(M17), ROW(M17))</f>
        <v>0</v>
      </c>
      <c r="N61" cm="1">
        <f t="array" ref="N61">INDEX($A$6:$S$41, COLUMN(N17), ROW(N17))</f>
        <v>229.19876835125598</v>
      </c>
      <c r="O61" cm="1">
        <f t="array" ref="O61">INDEX($A$6:$S$41, COLUMN(O17), ROW(O17))</f>
        <v>1614.8621548461083</v>
      </c>
      <c r="P61" cm="1">
        <f t="array" ref="P61">INDEX($A$6:$S$41, COLUMN(P17), ROW(P17))</f>
        <v>0</v>
      </c>
      <c r="Q61" cm="1">
        <f t="array" ref="Q61">INDEX($A$6:$S$41, COLUMN(Q17), ROW(Q17))</f>
        <v>0</v>
      </c>
      <c r="R61" cm="1">
        <f t="array" ref="R61">INDEX($A$6:$S$41, COLUMN(R17), ROW(R17))</f>
        <v>0</v>
      </c>
      <c r="S61" cm="1">
        <f t="array" ref="S61">INDEX($A$6:$S$41, COLUMN(S17), ROW(S17))</f>
        <v>0</v>
      </c>
      <c r="T61" cm="1">
        <f t="array" ref="T61">INDEX($A$6:$S$41, COLUMN(T17), ROW(T17))</f>
        <v>0</v>
      </c>
      <c r="U61" t="str" cm="1">
        <f t="array" ref="U61">INDEX($A$6:$S$41, COLUMN(U17), ROW(U17))</f>
        <v>CED</v>
      </c>
      <c r="V61" cm="1">
        <f t="array" ref="V61">INDEX($A$6:$S$41, COLUMN(V17), ROW(V17))</f>
        <v>0.49202034874977502</v>
      </c>
      <c r="W61" cm="1">
        <f t="array" ref="W61">INDEX($A$6:$S$41, COLUMN(W17), ROW(W17))</f>
        <v>0.58324461060914279</v>
      </c>
      <c r="X61" cm="1">
        <f t="array" ref="X61">INDEX($A$6:$S$41, COLUMN(X17), ROW(X17))</f>
        <v>53.984023395943929</v>
      </c>
      <c r="Y61" cm="1">
        <f t="array" ref="Y61">INDEX($A$6:$S$41, COLUMN(Y17), ROW(Y17))</f>
        <v>181.39477505261613</v>
      </c>
      <c r="Z61" cm="1">
        <f t="array" ref="Z61">INDEX($A$6:$S$41, COLUMN(Z17), ROW(Z17))</f>
        <v>236.45406340791897</v>
      </c>
      <c r="AA61" cm="1">
        <f t="array" ref="AA61">INDEX($A$6:$S$41, COLUMN(AA17), ROW(AA17))</f>
        <v>0</v>
      </c>
      <c r="AB61" cm="1">
        <f t="array" ref="AB61">INDEX($A$6:$S$41, COLUMN(AB17), ROW(AB17))</f>
        <v>3.4557570841316014</v>
      </c>
      <c r="AC61" cm="1">
        <f t="array" ref="AC61">INDEX($A$6:$S$41, COLUMN(AC17), ROW(AC17))</f>
        <v>4.4594164315316283</v>
      </c>
      <c r="AD61" cm="1">
        <f t="array" ref="AD61">INDEX($A$6:$S$41, COLUMN(AD17), ROW(AD17))</f>
        <v>420.91322265022336</v>
      </c>
      <c r="AE61" cm="1">
        <f t="array" ref="AE61">INDEX($A$6:$S$41, COLUMN(AE17), ROW(AE17))</f>
        <v>1239.0731260801329</v>
      </c>
      <c r="AF61" cm="1">
        <f t="array" ref="AF61">INDEX($A$6:$S$41, COLUMN(AF17), ROW(AF17))</f>
        <v>1667.9015222460193</v>
      </c>
      <c r="AG61" cm="1">
        <f t="array" ref="AG61">INDEX($A$6:$S$41, COLUMN(AG17), ROW(AG17))</f>
        <v>0</v>
      </c>
      <c r="AH61" cm="1">
        <f t="array" ref="AH61">INDEX($A$6:$S$41, COLUMN(AH17), ROW(AH17))</f>
        <v>236.45406340791897</v>
      </c>
      <c r="AI61" cm="1">
        <f t="array" ref="AI61">INDEX($A$6:$S$41, COLUMN(AI17), ROW(AI17))</f>
        <v>1667.9015222460193</v>
      </c>
      <c r="AJ61" cm="1">
        <f t="array" ref="AJ61">INDEX($A$6:$S$41, COLUMN(AJ17), ROW(AJ17))</f>
        <v>0</v>
      </c>
    </row>
    <row r="62" spans="1:36" x14ac:dyDescent="0.2">
      <c r="A62" t="str" cm="1">
        <f t="array" ref="A62">INDEX($A$6:$S$41, COLUMN(A18), ROW(A18))</f>
        <v>CED</v>
      </c>
      <c r="B62" cm="1">
        <f t="array" ref="B62">INDEX($A$6:$S$41, COLUMN(B18), ROW(B18))</f>
        <v>4.9407301970425498E-2</v>
      </c>
      <c r="C62" cm="1">
        <f t="array" ref="C62">INDEX($A$6:$S$41, COLUMN(C18), ROW(C18))</f>
        <v>5.8585764486121891E-2</v>
      </c>
      <c r="D62" cm="1">
        <f t="array" ref="D62">INDEX($A$6:$S$41, COLUMN(D18), ROW(D18))</f>
        <v>5.4222618702318419</v>
      </c>
      <c r="E62" cm="1">
        <f t="array" ref="E62">INDEX($A$6:$S$41, COLUMN(E18), ROW(E18))</f>
        <v>17.428596569423476</v>
      </c>
      <c r="F62" cm="1">
        <f t="array" ref="F62">INDEX($A$6:$S$41, COLUMN(F18), ROW(F18))</f>
        <v>22.958851506111866</v>
      </c>
      <c r="G62" cm="1">
        <f t="array" ref="G62">INDEX($A$6:$S$41, COLUMN(G18), ROW(G18))</f>
        <v>0</v>
      </c>
      <c r="H62" cm="1">
        <f t="array" ref="H62">INDEX($A$6:$S$41, COLUMN(H18), ROW(H18))</f>
        <v>0.38329476387971595</v>
      </c>
      <c r="I62" cm="1">
        <f t="array" ref="I62">INDEX($A$6:$S$41, COLUMN(I18), ROW(I18))</f>
        <v>0.49455286738465609</v>
      </c>
      <c r="J62" cm="1">
        <f t="array" ref="J62">INDEX($A$6:$S$41, COLUMN(J18), ROW(J18))</f>
        <v>46.529446815662816</v>
      </c>
      <c r="K62" cm="1">
        <f t="array" ref="K62">INDEX($A$6:$S$41, COLUMN(K18), ROW(K18))</f>
        <v>131.51903859035997</v>
      </c>
      <c r="L62" cm="1">
        <f t="array" ref="L62">INDEX($A$6:$S$41, COLUMN(L18), ROW(L18))</f>
        <v>178.92633303728715</v>
      </c>
      <c r="M62" cm="1">
        <f t="array" ref="M62">INDEX($A$6:$S$41, COLUMN(M18), ROW(M18))</f>
        <v>0</v>
      </c>
      <c r="N62" cm="1">
        <f t="array" ref="N62">INDEX($A$6:$S$41, COLUMN(N18), ROW(N18))</f>
        <v>22.958851506111866</v>
      </c>
      <c r="O62" cm="1">
        <f t="array" ref="O62">INDEX($A$6:$S$41, COLUMN(O18), ROW(O18))</f>
        <v>178.92633303728715</v>
      </c>
      <c r="P62" cm="1">
        <f t="array" ref="P62">INDEX($A$6:$S$41, COLUMN(P18), ROW(P18))</f>
        <v>0</v>
      </c>
      <c r="Q62" cm="1">
        <f t="array" ref="Q62">INDEX($A$6:$S$41, COLUMN(Q18), ROW(Q18))</f>
        <v>0</v>
      </c>
      <c r="R62" cm="1">
        <f t="array" ref="R62">INDEX($A$6:$S$41, COLUMN(R18), ROW(R18))</f>
        <v>0</v>
      </c>
      <c r="S62" cm="1">
        <f t="array" ref="S62">INDEX($A$6:$S$41, COLUMN(S18), ROW(S18))</f>
        <v>0</v>
      </c>
      <c r="T62" cm="1">
        <f t="array" ref="T62">INDEX($A$6:$S$41, COLUMN(T18), ROW(T18))</f>
        <v>0</v>
      </c>
      <c r="U62" t="str" cm="1">
        <f t="array" ref="U62">INDEX($A$6:$S$41, COLUMN(U18), ROW(U18))</f>
        <v>CED</v>
      </c>
      <c r="V62" cm="1">
        <f t="array" ref="V62">INDEX($A$6:$S$41, COLUMN(V18), ROW(V18))</f>
        <v>4.8019589258959543E-2</v>
      </c>
      <c r="W62" cm="1">
        <f t="array" ref="W62">INDEX($A$6:$S$41, COLUMN(W18), ROW(W18))</f>
        <v>5.6934871903168358E-2</v>
      </c>
      <c r="X62" cm="1">
        <f t="array" ref="X62">INDEX($A$6:$S$41, COLUMN(X18), ROW(X18))</f>
        <v>5.2691864366007248</v>
      </c>
      <c r="Y62" cm="1">
        <f t="array" ref="Y62">INDEX($A$6:$S$41, COLUMN(Y18), ROW(Y18))</f>
        <v>17.702708161735572</v>
      </c>
      <c r="Z62" cm="1">
        <f t="array" ref="Z62">INDEX($A$6:$S$41, COLUMN(Z18), ROW(Z18))</f>
        <v>23.076849059498425</v>
      </c>
      <c r="AA62" cm="1">
        <f t="array" ref="AA62">INDEX($A$6:$S$41, COLUMN(AA18), ROW(AA18))</f>
        <v>0</v>
      </c>
      <c r="AB62" cm="1">
        <f t="array" ref="AB62">INDEX($A$6:$S$41, COLUMN(AB18), ROW(AB18))</f>
        <v>0.38319936157005546</v>
      </c>
      <c r="AC62" cm="1">
        <f t="array" ref="AC62">INDEX($A$6:$S$41, COLUMN(AC18), ROW(AC18))</f>
        <v>0.49458822904236632</v>
      </c>
      <c r="AD62" cm="1">
        <f t="array" ref="AD62">INDEX($A$6:$S$41, COLUMN(AD18), ROW(AD18))</f>
        <v>46.532878265417899</v>
      </c>
      <c r="AE62" cm="1">
        <f t="array" ref="AE62">INDEX($A$6:$S$41, COLUMN(AE18), ROW(AE18))</f>
        <v>137.90402032259777</v>
      </c>
      <c r="AF62" cm="1">
        <f t="array" ref="AF62">INDEX($A$6:$S$41, COLUMN(AF18), ROW(AF18))</f>
        <v>185.31468617862811</v>
      </c>
      <c r="AG62" cm="1">
        <f t="array" ref="AG62">INDEX($A$6:$S$41, COLUMN(AG18), ROW(AG18))</f>
        <v>0</v>
      </c>
      <c r="AH62" cm="1">
        <f t="array" ref="AH62">INDEX($A$6:$S$41, COLUMN(AH18), ROW(AH18))</f>
        <v>23.076849059498425</v>
      </c>
      <c r="AI62" cm="1">
        <f t="array" ref="AI62">INDEX($A$6:$S$41, COLUMN(AI18), ROW(AI18))</f>
        <v>185.31468617862811</v>
      </c>
      <c r="AJ62" cm="1">
        <f t="array" ref="AJ62">INDEX($A$6:$S$41, COLUMN(AJ18), ROW(AJ18))</f>
        <v>0</v>
      </c>
    </row>
    <row r="63" spans="1:36" x14ac:dyDescent="0.2">
      <c r="A63" cm="1">
        <f t="array" ref="A63">INDEX($A$6:$S$41, COLUMN(A19), ROW(A19))</f>
        <v>0</v>
      </c>
      <c r="B63" cm="1">
        <f t="array" ref="B63">INDEX($A$6:$S$41, COLUMN(B19), ROW(B19))</f>
        <v>2.1518608849244785E-3</v>
      </c>
      <c r="C63" cm="1">
        <f t="array" ref="C63">INDEX($A$6:$S$41, COLUMN(C19), ROW(C19))</f>
        <v>2.5508230744347819E-3</v>
      </c>
      <c r="D63" cm="1">
        <f t="array" ref="D63">INDEX($A$6:$S$41, COLUMN(D19), ROW(D19))</f>
        <v>0.23609889487929547</v>
      </c>
      <c r="E63" cm="1">
        <f t="array" ref="E63">INDEX($A$6:$S$41, COLUMN(E19), ROW(E19))</f>
        <v>0.75919842116134528</v>
      </c>
      <c r="F63" cm="1">
        <f t="array" ref="F63">INDEX($A$6:$S$41, COLUMN(F19), ROW(F19))</f>
        <v>0</v>
      </c>
      <c r="G63" cm="1">
        <f t="array" ref="G63">INDEX($A$6:$S$41, COLUMN(G19), ROW(G19))</f>
        <v>0</v>
      </c>
      <c r="H63" cm="1">
        <f t="array" ref="H63">INDEX($A$6:$S$41, COLUMN(H19), ROW(H19))</f>
        <v>2.1466589438610901E-3</v>
      </c>
      <c r="I63" cm="1">
        <f t="array" ref="I63">INDEX($A$6:$S$41, COLUMN(I19), ROW(I19))</f>
        <v>2.770119257516598E-3</v>
      </c>
      <c r="J63" cm="1">
        <f t="array" ref="J63">INDEX($A$6:$S$41, COLUMN(J19), ROW(J19))</f>
        <v>0.26146467077619584</v>
      </c>
      <c r="K63" cm="1">
        <f t="array" ref="K63">INDEX($A$6:$S$41, COLUMN(K19), ROW(K19))</f>
        <v>0.73361855102242657</v>
      </c>
      <c r="L63" cm="1">
        <f t="array" ref="L63">INDEX($A$6:$S$41, COLUMN(L19), ROW(L19))</f>
        <v>0</v>
      </c>
      <c r="M63" cm="1">
        <f t="array" ref="M63">INDEX($A$6:$S$41, COLUMN(M19), ROW(M19))</f>
        <v>0</v>
      </c>
      <c r="N63" cm="1">
        <f t="array" ref="N63">INDEX($A$6:$S$41, COLUMN(N19), ROW(N19))</f>
        <v>0</v>
      </c>
      <c r="O63" cm="1">
        <f t="array" ref="O63">INDEX($A$6:$S$41, COLUMN(O19), ROW(O19))</f>
        <v>0</v>
      </c>
      <c r="P63" cm="1">
        <f t="array" ref="P63">INDEX($A$6:$S$41, COLUMN(P19), ROW(P19))</f>
        <v>0</v>
      </c>
      <c r="Q63" cm="1">
        <f t="array" ref="Q63">INDEX($A$6:$S$41, COLUMN(Q19), ROW(Q19))</f>
        <v>0</v>
      </c>
      <c r="R63" cm="1">
        <f t="array" ref="R63">INDEX($A$6:$S$41, COLUMN(R19), ROW(R19))</f>
        <v>0</v>
      </c>
      <c r="S63" cm="1">
        <f t="array" ref="S63">INDEX($A$6:$S$41, COLUMN(S19), ROW(S19))</f>
        <v>0</v>
      </c>
      <c r="T63" cm="1">
        <f t="array" ref="T63">INDEX($A$6:$S$41, COLUMN(T19), ROW(T19))</f>
        <v>0</v>
      </c>
      <c r="U63" cm="1">
        <f t="array" ref="U63">INDEX($A$6:$S$41, COLUMN(U19), ROW(U19))</f>
        <v>0</v>
      </c>
      <c r="V63" cm="1">
        <f t="array" ref="V63">INDEX($A$6:$S$41, COLUMN(V19), ROW(V19))</f>
        <v>2.0808284774576514E-3</v>
      </c>
      <c r="W63" cm="1">
        <f t="array" ref="W63">INDEX($A$6:$S$41, COLUMN(W19), ROW(W19))</f>
        <v>2.466629679368029E-3</v>
      </c>
      <c r="X63" cm="1">
        <f t="array" ref="X63">INDEX($A$6:$S$41, COLUMN(X19), ROW(X19))</f>
        <v>0.22830660052059809</v>
      </c>
      <c r="Y63" cm="1">
        <f t="array" ref="Y63">INDEX($A$6:$S$41, COLUMN(Y19), ROW(Y19))</f>
        <v>0.7671459413225763</v>
      </c>
      <c r="Z63" cm="1">
        <f t="array" ref="Z63">INDEX($A$6:$S$41, COLUMN(Z19), ROW(Z19))</f>
        <v>0</v>
      </c>
      <c r="AA63" cm="1">
        <f t="array" ref="AA63">INDEX($A$6:$S$41, COLUMN(AA19), ROW(AA19))</f>
        <v>0</v>
      </c>
      <c r="AB63" cm="1">
        <f t="array" ref="AB63">INDEX($A$6:$S$41, COLUMN(AB19), ROW(AB19))</f>
        <v>2.0719191379344934E-3</v>
      </c>
      <c r="AC63" cm="1">
        <f t="array" ref="AC63">INDEX($A$6:$S$41, COLUMN(AC19), ROW(AC19))</f>
        <v>2.6736689019424336E-3</v>
      </c>
      <c r="AD63" cm="1">
        <f t="array" ref="AD63">INDEX($A$6:$S$41, COLUMN(AD19), ROW(AD19))</f>
        <v>0.25236095598942543</v>
      </c>
      <c r="AE63" cm="1">
        <f t="array" ref="AE63">INDEX($A$6:$S$41, COLUMN(AE19), ROW(AE19))</f>
        <v>0.74289345597069767</v>
      </c>
      <c r="AF63" cm="1">
        <f t="array" ref="AF63">INDEX($A$6:$S$41, COLUMN(AF19), ROW(AF19))</f>
        <v>0</v>
      </c>
      <c r="AG63" cm="1">
        <f t="array" ref="AG63">INDEX($A$6:$S$41, COLUMN(AG19), ROW(AG19))</f>
        <v>0</v>
      </c>
      <c r="AH63" cm="1">
        <f t="array" ref="AH63">INDEX($A$6:$S$41, COLUMN(AH19), ROW(AH19))</f>
        <v>0</v>
      </c>
      <c r="AI63" cm="1">
        <f t="array" ref="AI63">INDEX($A$6:$S$41, COLUMN(AI19), ROW(AI19))</f>
        <v>0</v>
      </c>
      <c r="AJ63" cm="1">
        <f t="array" ref="AJ63">INDEX($A$6:$S$41, COLUMN(AJ19), ROW(AJ19))</f>
        <v>0</v>
      </c>
    </row>
    <row r="67" spans="1:17" x14ac:dyDescent="0.2">
      <c r="A67" s="4" t="s">
        <v>35</v>
      </c>
      <c r="B67" s="5">
        <v>2025</v>
      </c>
      <c r="C67" s="4"/>
      <c r="D67" s="4"/>
      <c r="E67" s="4"/>
      <c r="F67" s="4"/>
      <c r="G67" s="4"/>
      <c r="H67" s="4"/>
      <c r="I67" s="4"/>
      <c r="J67" s="6">
        <v>2030</v>
      </c>
      <c r="K67" s="1"/>
      <c r="L67" s="1"/>
      <c r="M67" s="1"/>
      <c r="N67" s="1"/>
      <c r="O67" s="1"/>
      <c r="P67" s="1"/>
      <c r="Q67" s="1"/>
    </row>
    <row r="68" spans="1:17" x14ac:dyDescent="0.2">
      <c r="A68" s="4"/>
      <c r="B68" s="4" t="s">
        <v>11</v>
      </c>
      <c r="C68" s="4" t="s">
        <v>12</v>
      </c>
      <c r="D68" s="4" t="s">
        <v>13</v>
      </c>
      <c r="E68" s="4" t="s">
        <v>14</v>
      </c>
      <c r="F68" s="4" t="s">
        <v>15</v>
      </c>
      <c r="G68" s="4" t="s">
        <v>16</v>
      </c>
      <c r="H68" s="4" t="s">
        <v>40</v>
      </c>
      <c r="I68" s="4" t="s">
        <v>0</v>
      </c>
      <c r="J68" s="1" t="s">
        <v>11</v>
      </c>
      <c r="K68" s="1" t="s">
        <v>12</v>
      </c>
      <c r="L68" s="1" t="s">
        <v>13</v>
      </c>
      <c r="M68" s="1" t="s">
        <v>14</v>
      </c>
      <c r="N68" s="1" t="s">
        <v>15</v>
      </c>
      <c r="O68" s="1" t="s">
        <v>16</v>
      </c>
      <c r="P68" s="1" t="s">
        <v>40</v>
      </c>
      <c r="Q68" s="1" t="s">
        <v>0</v>
      </c>
    </row>
    <row r="69" spans="1:17" x14ac:dyDescent="0.2">
      <c r="A69" s="4" t="s">
        <v>36</v>
      </c>
      <c r="B69" s="4">
        <f>(B47+V47)/2</f>
        <v>4250836.4954702239</v>
      </c>
      <c r="C69" s="4">
        <f t="shared" ref="C69:P71" si="0">(C47+W47)/2</f>
        <v>227953.69237462486</v>
      </c>
      <c r="D69" s="4">
        <f t="shared" si="0"/>
        <v>11947981.800408801</v>
      </c>
      <c r="E69" s="4">
        <f t="shared" si="0"/>
        <v>286093.81037352758</v>
      </c>
      <c r="F69" s="4">
        <f t="shared" si="0"/>
        <v>6276589.0024072994</v>
      </c>
      <c r="G69" s="4">
        <f t="shared" si="0"/>
        <v>2554061.199971403</v>
      </c>
      <c r="H69" s="4">
        <f t="shared" si="0"/>
        <v>25543516.001005881</v>
      </c>
      <c r="I69" s="4">
        <f>ABS(H47-H69)</f>
        <v>251385.99674829096</v>
      </c>
      <c r="J69" s="1">
        <f t="shared" si="0"/>
        <v>30455740.843337491</v>
      </c>
      <c r="K69" s="1">
        <f t="shared" si="0"/>
        <v>1515866.1393883647</v>
      </c>
      <c r="L69" s="1">
        <f t="shared" si="0"/>
        <v>81879330.675989836</v>
      </c>
      <c r="M69" s="1">
        <f t="shared" si="0"/>
        <v>2052407.7723735822</v>
      </c>
      <c r="N69" s="1">
        <f t="shared" si="0"/>
        <v>42807326.080786705</v>
      </c>
      <c r="O69" s="1">
        <f t="shared" si="0"/>
        <v>23149460.358357657</v>
      </c>
      <c r="P69" s="1">
        <f t="shared" si="0"/>
        <v>181860131.87023365</v>
      </c>
      <c r="Q69" s="1">
        <f>ABS(P47-P69)</f>
        <v>1804661.2582681477</v>
      </c>
    </row>
    <row r="70" spans="1:17" x14ac:dyDescent="0.2">
      <c r="A70" s="4" t="s">
        <v>33</v>
      </c>
      <c r="B70" s="4">
        <f t="shared" ref="B70:B71" si="1">(B48+V48)/2</f>
        <v>0.24579662189948284</v>
      </c>
      <c r="C70" s="4">
        <f t="shared" si="0"/>
        <v>2.7209108425789386E-2</v>
      </c>
      <c r="D70" s="4">
        <f t="shared" si="0"/>
        <v>1.3970180798197278</v>
      </c>
      <c r="E70" s="4">
        <f t="shared" si="0"/>
        <v>1.6226911636349338E-2</v>
      </c>
      <c r="F70" s="4">
        <f t="shared" si="0"/>
        <v>0.71091019080308582</v>
      </c>
      <c r="G70" s="4">
        <f t="shared" si="0"/>
        <v>0.1400016087846771</v>
      </c>
      <c r="H70" s="4">
        <f t="shared" si="0"/>
        <v>2.5371625213691118</v>
      </c>
      <c r="I70" s="4">
        <f t="shared" ref="I70:I71" si="2">ABS(H48-H70)</f>
        <v>1.4263075412573212E-2</v>
      </c>
      <c r="J70" s="1">
        <f t="shared" si="0"/>
        <v>1.6323172581770848</v>
      </c>
      <c r="K70" s="1">
        <f t="shared" si="0"/>
        <v>0.1699400681092787</v>
      </c>
      <c r="L70" s="1">
        <f t="shared" si="0"/>
        <v>8.9747320406909594</v>
      </c>
      <c r="M70" s="1">
        <f t="shared" si="0"/>
        <v>0.1080049194919942</v>
      </c>
      <c r="N70" s="1">
        <f t="shared" si="0"/>
        <v>4.5335197938805081</v>
      </c>
      <c r="O70" s="1">
        <f t="shared" si="0"/>
        <v>1.1786311164966845</v>
      </c>
      <c r="P70" s="1">
        <f>(P48+AJ48)/2</f>
        <v>16.597145196846512</v>
      </c>
      <c r="Q70" s="1">
        <f t="shared" ref="Q70:Q71" si="3">ABS(P48-P70)</f>
        <v>8.822271741673049E-2</v>
      </c>
    </row>
    <row r="71" spans="1:17" x14ac:dyDescent="0.2">
      <c r="A71" s="4" t="s">
        <v>34</v>
      </c>
      <c r="B71" s="4">
        <f t="shared" si="1"/>
        <v>30522890.57654088</v>
      </c>
      <c r="C71" s="4">
        <f t="shared" si="0"/>
        <v>2290106.0088336095</v>
      </c>
      <c r="D71" s="4">
        <f t="shared" si="0"/>
        <v>118681215.40644404</v>
      </c>
      <c r="E71" s="4">
        <f t="shared" si="0"/>
        <v>2039538.5336281143</v>
      </c>
      <c r="F71" s="4">
        <f t="shared" si="0"/>
        <v>61286984.965591058</v>
      </c>
      <c r="G71" s="4">
        <f t="shared" si="0"/>
        <v>18005680.388549771</v>
      </c>
      <c r="H71" s="4">
        <f t="shared" si="0"/>
        <v>232826415.87958747</v>
      </c>
      <c r="I71" s="4">
        <f t="shared" si="2"/>
        <v>3627647.5283314884</v>
      </c>
      <c r="J71" s="1">
        <f t="shared" si="0"/>
        <v>217615766.68142328</v>
      </c>
      <c r="K71" s="1">
        <f t="shared" si="0"/>
        <v>15253441.412891414</v>
      </c>
      <c r="L71" s="1">
        <f t="shared" si="0"/>
        <v>813777797.80035067</v>
      </c>
      <c r="M71" s="1">
        <f t="shared" si="0"/>
        <v>14565309.947677851</v>
      </c>
      <c r="N71" s="1">
        <f t="shared" si="0"/>
        <v>417609495.08205819</v>
      </c>
      <c r="O71" s="1">
        <f t="shared" si="0"/>
        <v>162560027.62166253</v>
      </c>
      <c r="P71" s="1">
        <f t="shared" si="0"/>
        <v>1641381838.5460639</v>
      </c>
      <c r="Q71" s="1">
        <f t="shared" si="3"/>
        <v>26519683.699955463</v>
      </c>
    </row>
    <row r="72" spans="1:17" x14ac:dyDescent="0.2">
      <c r="A72" s="4"/>
      <c r="B72" s="4"/>
      <c r="C72" s="4"/>
      <c r="D72" s="4"/>
      <c r="E72" s="4"/>
      <c r="F72" s="4"/>
      <c r="G72" s="4"/>
      <c r="H72" s="4"/>
      <c r="I72" s="4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4" t="s">
        <v>37</v>
      </c>
      <c r="B73" s="4">
        <f>(B55+V55)/2</f>
        <v>2.5452770268119757E-3</v>
      </c>
      <c r="C73" s="4">
        <f t="shared" ref="C73:E73" si="4">(C55+W55)/2</f>
        <v>3.0171898101467439E-3</v>
      </c>
      <c r="D73" s="4">
        <f t="shared" si="4"/>
        <v>0.30408161499154018</v>
      </c>
      <c r="E73" s="4">
        <f t="shared" si="4"/>
        <v>0.69035591817150121</v>
      </c>
      <c r="F73" s="4"/>
      <c r="G73" s="4"/>
      <c r="H73" s="4"/>
      <c r="I73" s="4"/>
      <c r="J73" s="1">
        <f>(H55+AB55)/2</f>
        <v>2.526253335909532E-3</v>
      </c>
      <c r="K73" s="1">
        <f>(I55+AC55)/2</f>
        <v>3.2599702444021158E-3</v>
      </c>
      <c r="L73" s="1">
        <f>(J55+AD55)/2</f>
        <v>0.33418915985179942</v>
      </c>
      <c r="M73" s="1">
        <f>(K55+AE55)/2</f>
        <v>0.66002461656788891</v>
      </c>
      <c r="N73" s="1"/>
      <c r="O73" s="1"/>
      <c r="P73" s="1"/>
      <c r="Q73" s="1"/>
    </row>
    <row r="74" spans="1:17" x14ac:dyDescent="0.2">
      <c r="A74" s="4" t="s">
        <v>38</v>
      </c>
      <c r="B74" s="4">
        <f>(B59+V59)/2</f>
        <v>2.093984398103205E-3</v>
      </c>
      <c r="C74" s="4">
        <f t="shared" ref="C74:E74" si="5">(C59+W59)/2</f>
        <v>2.4821912888191733E-3</v>
      </c>
      <c r="D74" s="4">
        <f t="shared" si="5"/>
        <v>0.16137319050134186</v>
      </c>
      <c r="E74" s="4">
        <f t="shared" si="5"/>
        <v>0.83405063381173572</v>
      </c>
      <c r="F74" s="4"/>
      <c r="G74" s="4"/>
      <c r="H74" s="4"/>
      <c r="I74" s="4"/>
      <c r="J74" s="1">
        <f>(H59+AB59)/2</f>
        <v>2.1518586847750899E-3</v>
      </c>
      <c r="K74" s="1">
        <f>(I59+AC59)/2</f>
        <v>2.7767454595128888E-3</v>
      </c>
      <c r="L74" s="1">
        <f>(J59+AD59)/2</f>
        <v>0.17960017023274671</v>
      </c>
      <c r="M74" s="1">
        <f>(K59+AE59)/2</f>
        <v>0.81547122562296526</v>
      </c>
      <c r="N74" s="1"/>
      <c r="O74" s="1"/>
      <c r="P74" s="1"/>
      <c r="Q74" s="1"/>
    </row>
    <row r="75" spans="1:17" x14ac:dyDescent="0.2">
      <c r="A75" s="4" t="s">
        <v>39</v>
      </c>
      <c r="B75" s="4">
        <f>(B63+V63)/2</f>
        <v>2.116344681191065E-3</v>
      </c>
      <c r="C75" s="4">
        <f t="shared" ref="C75:E75" si="6">(C63+W63)/2</f>
        <v>2.5087263769014052E-3</v>
      </c>
      <c r="D75" s="4">
        <f t="shared" si="6"/>
        <v>0.23220274769994678</v>
      </c>
      <c r="E75" s="4">
        <f t="shared" si="6"/>
        <v>0.76317218124196073</v>
      </c>
      <c r="F75" s="4"/>
      <c r="G75" s="4"/>
      <c r="H75" s="4"/>
      <c r="I75" s="4"/>
      <c r="J75" s="1">
        <f>(H63+AB63)/2</f>
        <v>2.1092890408977915E-3</v>
      </c>
      <c r="K75" s="1">
        <f>(I63+AC63)/2</f>
        <v>2.7218940797295158E-3</v>
      </c>
      <c r="L75" s="1">
        <f>(J63+AD63)/2</f>
        <v>0.25691281338281063</v>
      </c>
      <c r="M75" s="1">
        <f>(K63+AE63)/2</f>
        <v>0.73825600349656217</v>
      </c>
      <c r="N75" s="1"/>
      <c r="O75" s="1"/>
      <c r="P75" s="1"/>
      <c r="Q7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16C7-0F6B-134A-98BD-BBDF938A17FC}">
  <dimension ref="A1:AJ75"/>
  <sheetViews>
    <sheetView workbookViewId="0">
      <selection activeCell="D4" sqref="A1:D4"/>
    </sheetView>
  </sheetViews>
  <sheetFormatPr baseColWidth="10" defaultRowHeight="16" x14ac:dyDescent="0.2"/>
  <sheetData>
    <row r="1" spans="1:19" x14ac:dyDescent="0.2">
      <c r="C1" s="3"/>
    </row>
    <row r="5" spans="1:19" x14ac:dyDescent="0.2">
      <c r="A5">
        <v>1.5</v>
      </c>
    </row>
    <row r="6" spans="1:19" x14ac:dyDescent="0.2">
      <c r="A6" t="str">
        <f>'[5]data summary'!A35</f>
        <v>yearly</v>
      </c>
      <c r="B6">
        <f>'[5]data summary'!B35</f>
        <v>0</v>
      </c>
      <c r="C6" t="str">
        <f>'[5]data summary'!C35</f>
        <v>CC</v>
      </c>
      <c r="D6" t="str">
        <f>'[5]data summary'!D35</f>
        <v>HTC</v>
      </c>
      <c r="E6" t="str">
        <f>'[5]data summary'!E35</f>
        <v>CED</v>
      </c>
      <c r="G6" s="4">
        <f>'[6]data summary'!M25</f>
        <v>0</v>
      </c>
      <c r="H6" s="4">
        <f>'[6]data summary'!N25</f>
        <v>0</v>
      </c>
      <c r="I6" s="4" t="str">
        <f>'[6]data summary'!O25</f>
        <v>CC</v>
      </c>
      <c r="J6" s="4" t="str">
        <f>'[6]data summary'!P25</f>
        <v>CC</v>
      </c>
      <c r="K6" s="4">
        <f>'[6]data summary'!Q25</f>
        <v>0</v>
      </c>
      <c r="L6" s="4">
        <f>'[6]data summary'!R25</f>
        <v>0</v>
      </c>
      <c r="M6" s="4" t="str">
        <f>'[6]data summary'!S25</f>
        <v>HTC</v>
      </c>
      <c r="N6" s="4" t="str">
        <f>'[6]data summary'!T25</f>
        <v>HTC</v>
      </c>
      <c r="O6" s="4">
        <f>'[6]data summary'!U25</f>
        <v>0</v>
      </c>
      <c r="P6" s="4">
        <f>'[6]data summary'!V25</f>
        <v>0</v>
      </c>
      <c r="Q6" s="4" t="str">
        <f>'[6]data summary'!W25</f>
        <v>CED</v>
      </c>
      <c r="R6" s="4" t="str">
        <f>'[6]data summary'!X25</f>
        <v>CED</v>
      </c>
      <c r="S6" s="4">
        <f>'[6]data summary'!Y25</f>
        <v>0</v>
      </c>
    </row>
    <row r="7" spans="1:19" x14ac:dyDescent="0.2">
      <c r="A7">
        <f>'[5]data summary'!A36</f>
        <v>2025</v>
      </c>
      <c r="B7" t="str">
        <f>'[5]data summary'!B36</f>
        <v>PAG</v>
      </c>
      <c r="C7">
        <f>'[5]data summary'!C36</f>
        <v>4225983.1491808817</v>
      </c>
      <c r="D7">
        <f>'[5]data summary'!D36</f>
        <v>0.24000977164894371</v>
      </c>
      <c r="E7">
        <f>'[5]data summary'!E36</f>
        <v>30261195.612423833</v>
      </c>
      <c r="G7" s="4">
        <f>'[6]data summary'!M26</f>
        <v>2025</v>
      </c>
      <c r="H7" s="4" t="str">
        <f>'[6]data summary'!N26</f>
        <v>Gas</v>
      </c>
      <c r="I7" s="4">
        <f>'[6]data summary'!O26</f>
        <v>6.5047027620610542E-2</v>
      </c>
      <c r="J7" s="4">
        <f>'[6]data summary'!P26</f>
        <v>6.3929235832451805E-3</v>
      </c>
      <c r="K7" s="4">
        <f>'[6]data summary'!Q26</f>
        <v>2.7266436724388207E-3</v>
      </c>
      <c r="L7" s="4">
        <f>'[6]data summary'!R26</f>
        <v>0</v>
      </c>
      <c r="M7" s="4">
        <f>'[6]data summary'!S26</f>
        <v>5.3157365372624764E-3</v>
      </c>
      <c r="N7" s="4">
        <f>'[6]data summary'!T26</f>
        <v>5.2231300247839287E-4</v>
      </c>
      <c r="O7" s="4">
        <f>'[6]data summary'!U26</f>
        <v>2.4498134428211815E-3</v>
      </c>
      <c r="P7" s="4">
        <f>'[6]data summary'!V26</f>
        <v>0</v>
      </c>
      <c r="Q7" s="4">
        <f>'[6]data summary'!W26</f>
        <v>0.49290581147937418</v>
      </c>
      <c r="R7" s="4">
        <f>'[6]data summary'!X26</f>
        <v>4.8407801497256396E-2</v>
      </c>
      <c r="S7" s="4">
        <f>'[6]data summary'!Y26</f>
        <v>2.28657463048469E-3</v>
      </c>
    </row>
    <row r="8" spans="1:19" x14ac:dyDescent="0.2">
      <c r="A8">
        <f>'[5]data summary'!A37</f>
        <v>0</v>
      </c>
      <c r="B8" t="str">
        <f>'[5]data summary'!B37</f>
        <v>Sur</v>
      </c>
      <c r="C8">
        <f>'[5]data summary'!C37</f>
        <v>206300.6386464606</v>
      </c>
      <c r="D8">
        <f>'[5]data summary'!D37</f>
        <v>2.2505513892008017E-2</v>
      </c>
      <c r="E8">
        <f>'[5]data summary'!E37</f>
        <v>2068804.3847254876</v>
      </c>
      <c r="G8" s="4">
        <f>'[6]data summary'!M27</f>
        <v>0</v>
      </c>
      <c r="H8" s="4" t="str">
        <f>'[6]data summary'!N27</f>
        <v>Solid</v>
      </c>
      <c r="I8" s="4">
        <f>'[6]data summary'!O27</f>
        <v>7.7107401812720328E-2</v>
      </c>
      <c r="J8" s="4">
        <f>'[6]data summary'!P27</f>
        <v>7.5800997049840536E-3</v>
      </c>
      <c r="K8" s="4">
        <f>'[6]data summary'!Q27</f>
        <v>3.2321908769930379E-3</v>
      </c>
      <c r="L8" s="4">
        <f>'[6]data summary'!R27</f>
        <v>0</v>
      </c>
      <c r="M8" s="4">
        <f>'[6]data summary'!S27</f>
        <v>6.3012437997305992E-3</v>
      </c>
      <c r="N8" s="4">
        <f>'[6]data summary'!T27</f>
        <v>6.1929896901371866E-4</v>
      </c>
      <c r="O8" s="4">
        <f>'[6]data summary'!U27</f>
        <v>2.9039948949432693E-3</v>
      </c>
      <c r="P8" s="4">
        <f>'[6]data summary'!V27</f>
        <v>0</v>
      </c>
      <c r="Q8" s="4">
        <f>'[6]data summary'!W27</f>
        <v>0.58429460485130513</v>
      </c>
      <c r="R8" s="4">
        <f>'[6]data summary'!X27</f>
        <v>5.739698285778002E-2</v>
      </c>
      <c r="S8" s="4">
        <f>'[6]data summary'!Y27</f>
        <v>2.7105243822794283E-3</v>
      </c>
    </row>
    <row r="9" spans="1:19" x14ac:dyDescent="0.2">
      <c r="A9">
        <f>'[5]data summary'!A38</f>
        <v>0</v>
      </c>
      <c r="B9" t="str">
        <f>'[5]data summary'!B38</f>
        <v>TARC</v>
      </c>
      <c r="C9">
        <f>'[5]data summary'!C38</f>
        <v>10854831.300538819</v>
      </c>
      <c r="D9">
        <f>'[5]data summary'!D38</f>
        <v>1.1595270350129754</v>
      </c>
      <c r="E9">
        <f>'[5]data summary'!E38</f>
        <v>107508015.20699281</v>
      </c>
      <c r="G9" s="4">
        <f>'[6]data summary'!M28</f>
        <v>0</v>
      </c>
      <c r="H9" s="4" t="str">
        <f>'[6]data summary'!N28</f>
        <v>Solvent</v>
      </c>
      <c r="I9" s="4">
        <f>'[6]data summary'!O28</f>
        <v>7.7711305474651402</v>
      </c>
      <c r="J9" s="4">
        <f>'[6]data summary'!P28</f>
        <v>0.76360160806749422</v>
      </c>
      <c r="K9" s="4">
        <f>'[6]data summary'!Q28</f>
        <v>0.32575053326845571</v>
      </c>
      <c r="L9" s="4">
        <f>'[6]data summary'!R28</f>
        <v>0</v>
      </c>
      <c r="M9" s="4">
        <f>'[6]data summary'!S28</f>
        <v>0.40965925390451885</v>
      </c>
      <c r="N9" s="4">
        <f>'[6]data summary'!T28</f>
        <v>4.0299644904374377E-2</v>
      </c>
      <c r="O9" s="4">
        <f>'[6]data summary'!U28</f>
        <v>0.18879580283115741</v>
      </c>
      <c r="P9" s="4">
        <f>'[6]data summary'!V28</f>
        <v>0</v>
      </c>
      <c r="Q9" s="4">
        <f>'[6]data summary'!W28</f>
        <v>54.081231144465072</v>
      </c>
      <c r="R9" s="4">
        <f>'[6]data summary'!X28</f>
        <v>5.312046262446998</v>
      </c>
      <c r="S9" s="4">
        <f>'[6]data summary'!Y28</f>
        <v>0.25088113842513898</v>
      </c>
    </row>
    <row r="10" spans="1:19" x14ac:dyDescent="0.2">
      <c r="A10">
        <f>'[5]data summary'!A39</f>
        <v>0</v>
      </c>
      <c r="B10" t="str">
        <f>'[5]data summary'!B39</f>
        <v>Polymer</v>
      </c>
      <c r="C10">
        <f>'[5]data summary'!C39</f>
        <v>284880.40385969565</v>
      </c>
      <c r="D10">
        <f>'[5]data summary'!D39</f>
        <v>1.5936740860830974E-2</v>
      </c>
      <c r="E10">
        <f>'[5]data summary'!E39</f>
        <v>2026610.5627408056</v>
      </c>
      <c r="G10" s="4">
        <f>'[6]data summary'!M29</f>
        <v>0</v>
      </c>
      <c r="H10" s="4" t="str">
        <f>'[6]data summary'!N29</f>
        <v>Water</v>
      </c>
      <c r="I10" s="4">
        <f>'[6]data summary'!O29</f>
        <v>15.942794304054965</v>
      </c>
      <c r="J10" s="4">
        <f>'[6]data summary'!P29</f>
        <v>1.5678221274253372</v>
      </c>
      <c r="K10" s="4">
        <f>'[6]data summary'!Q29</f>
        <v>0.66829063218211238</v>
      </c>
      <c r="L10" s="4">
        <f>'[6]data summary'!R29</f>
        <v>0</v>
      </c>
      <c r="M10" s="4">
        <f>'[6]data summary'!S29</f>
        <v>1.7485773735258312</v>
      </c>
      <c r="N10" s="4">
        <f>'[6]data summary'!T29</f>
        <v>0.171703089170295</v>
      </c>
      <c r="O10" s="4">
        <f>'[6]data summary'!U29</f>
        <v>0.80585038883107818</v>
      </c>
      <c r="P10" s="4">
        <f>'[6]data summary'!V29</f>
        <v>0</v>
      </c>
      <c r="Q10" s="4">
        <f>'[6]data summary'!W29</f>
        <v>160.40672205716942</v>
      </c>
      <c r="R10" s="4">
        <f>'[6]data summary'!X29</f>
        <v>15.751216729464954</v>
      </c>
      <c r="S10" s="4">
        <f>'[6]data summary'!Y29</f>
        <v>0.74412176256209694</v>
      </c>
    </row>
    <row r="11" spans="1:19" x14ac:dyDescent="0.2">
      <c r="A11">
        <f>'[5]data summary'!A40</f>
        <v>0</v>
      </c>
      <c r="B11" t="str">
        <f>'[5]data summary'!B40</f>
        <v>ITC</v>
      </c>
      <c r="C11">
        <f>'[5]data summary'!C40</f>
        <v>5735174.8464510068</v>
      </c>
      <c r="D11">
        <f>'[5]data summary'!D40</f>
        <v>0.5932402836427153</v>
      </c>
      <c r="E11">
        <f>'[5]data summary'!E40</f>
        <v>55752417.321601816</v>
      </c>
      <c r="G11" s="4">
        <f>'[6]data summary'!M30</f>
        <v>0</v>
      </c>
      <c r="H11" s="4">
        <f>'[6]data summary'!N30</f>
        <v>0</v>
      </c>
      <c r="I11" s="4">
        <f>'[6]data summary'!O30</f>
        <v>23.856079280953438</v>
      </c>
      <c r="J11" s="4">
        <f>'[6]data summary'!P30</f>
        <v>2.3453967587810607</v>
      </c>
      <c r="K11" s="4">
        <f>'[6]data summary'!Q30</f>
        <v>0</v>
      </c>
      <c r="L11" s="4">
        <f>'[6]data summary'!R30</f>
        <v>0</v>
      </c>
      <c r="M11" s="4">
        <f>'[6]data summary'!S30</f>
        <v>2.1698536077673429</v>
      </c>
      <c r="N11" s="4">
        <f>'[6]data summary'!T30</f>
        <v>0.2131443460461615</v>
      </c>
      <c r="O11" s="4">
        <f>'[6]data summary'!U30</f>
        <v>0</v>
      </c>
      <c r="P11" s="4">
        <f>'[6]data summary'!V30</f>
        <v>0</v>
      </c>
      <c r="Q11" s="4">
        <f>'[6]data summary'!W30</f>
        <v>215.56515361796517</v>
      </c>
      <c r="R11" s="4">
        <f>'[6]data summary'!X30</f>
        <v>21.169067776266989</v>
      </c>
      <c r="S11" s="4">
        <f>'[6]data summary'!Y30</f>
        <v>0</v>
      </c>
    </row>
    <row r="12" spans="1:19" x14ac:dyDescent="0.2">
      <c r="A12">
        <f>'[5]data summary'!A41</f>
        <v>0</v>
      </c>
      <c r="B12" t="str">
        <f>'[5]data summary'!B41</f>
        <v>PBO</v>
      </c>
      <c r="C12">
        <f>'[5]data summary'!C41</f>
        <v>2548908.9422765751</v>
      </c>
      <c r="D12">
        <f>'[5]data summary'!D41</f>
        <v>0.13863426270986975</v>
      </c>
      <c r="E12">
        <f>'[5]data summary'!E41</f>
        <v>17948110.529480413</v>
      </c>
      <c r="G12" s="4">
        <f>'[6]data summary'!M31</f>
        <v>0</v>
      </c>
      <c r="H12" s="4">
        <f>'[6]data summary'!N31</f>
        <v>0</v>
      </c>
      <c r="I12" s="4">
        <f>'[6]data summary'!O31</f>
        <v>0</v>
      </c>
      <c r="J12" s="4">
        <f>'[6]data summary'!P31</f>
        <v>0</v>
      </c>
      <c r="K12" s="4">
        <f>'[6]data summary'!Q31</f>
        <v>0</v>
      </c>
      <c r="L12" s="4">
        <f>'[6]data summary'!R31</f>
        <v>0</v>
      </c>
      <c r="M12" s="4">
        <f>'[6]data summary'!S31</f>
        <v>0</v>
      </c>
      <c r="N12" s="4">
        <f>'[6]data summary'!T31</f>
        <v>0</v>
      </c>
      <c r="O12" s="4">
        <f>'[6]data summary'!U31</f>
        <v>0</v>
      </c>
      <c r="P12" s="4">
        <f>'[6]data summary'!V31</f>
        <v>0</v>
      </c>
      <c r="Q12" s="4">
        <f>'[6]data summary'!W31</f>
        <v>0</v>
      </c>
      <c r="R12" s="4">
        <f>'[6]data summary'!X31</f>
        <v>0</v>
      </c>
      <c r="S12" s="4">
        <f>'[6]data summary'!Y31</f>
        <v>0</v>
      </c>
    </row>
    <row r="13" spans="1:19" x14ac:dyDescent="0.2">
      <c r="A13">
        <f>'[5]data summary'!A42</f>
        <v>0</v>
      </c>
      <c r="B13">
        <f>'[5]data summary'!B42</f>
        <v>0</v>
      </c>
      <c r="C13">
        <f>'[5]data summary'!C42</f>
        <v>23856079.280953437</v>
      </c>
      <c r="D13">
        <f>'[5]data summary'!D42</f>
        <v>2.1698536077673429</v>
      </c>
      <c r="E13">
        <f>'[5]data summary'!E42</f>
        <v>215565153.61796516</v>
      </c>
      <c r="G13" s="4">
        <f>'[6]data summary'!M32</f>
        <v>2030</v>
      </c>
      <c r="H13" s="4" t="str">
        <f>'[6]data summary'!N32</f>
        <v>Gas</v>
      </c>
      <c r="I13" s="4">
        <f>'[6]data summary'!O32</f>
        <v>0.45877704937651487</v>
      </c>
      <c r="J13" s="4">
        <f>'[6]data summary'!P32</f>
        <v>5.1149154593400775E-2</v>
      </c>
      <c r="K13" s="4">
        <f>'[6]data summary'!Q32</f>
        <v>2.6699187566317489E-3</v>
      </c>
      <c r="L13" s="4">
        <f>'[6]data summary'!R32</f>
        <v>0</v>
      </c>
      <c r="M13" s="4">
        <f>'[6]data summary'!S32</f>
        <v>3.5667165626665921E-2</v>
      </c>
      <c r="N13" s="4">
        <f>'[6]data summary'!T32</f>
        <v>3.9733552295453042E-3</v>
      </c>
      <c r="O13" s="4">
        <f>'[6]data summary'!U32</f>
        <v>2.4896078889936695E-3</v>
      </c>
      <c r="P13" s="4">
        <f>'[6]data summary'!V32</f>
        <v>0</v>
      </c>
      <c r="Q13" s="4">
        <f>'[6]data summary'!W32</f>
        <v>3.4566724076641373</v>
      </c>
      <c r="R13" s="4">
        <f>'[6]data summary'!X32</f>
        <v>0.38180060065283838</v>
      </c>
      <c r="S13" s="4">
        <f>'[6]data summary'!Y32</f>
        <v>2.2459706961413827E-3</v>
      </c>
    </row>
    <row r="14" spans="1:19" x14ac:dyDescent="0.2">
      <c r="A14">
        <f>'[5]data summary'!A43</f>
        <v>0</v>
      </c>
      <c r="B14">
        <f>'[5]data summary'!B43</f>
        <v>0</v>
      </c>
      <c r="C14">
        <f>'[5]data summary'!C43</f>
        <v>0</v>
      </c>
      <c r="D14">
        <f>'[5]data summary'!D43</f>
        <v>0</v>
      </c>
      <c r="E14">
        <f>'[5]data summary'!E43</f>
        <v>0</v>
      </c>
      <c r="G14" s="4">
        <f>'[6]data summary'!M33</f>
        <v>0</v>
      </c>
      <c r="H14" s="4" t="str">
        <f>'[6]data summary'!N33</f>
        <v>Solid</v>
      </c>
      <c r="I14" s="4">
        <f>'[6]data summary'!O33</f>
        <v>0.59201998667365308</v>
      </c>
      <c r="J14" s="4">
        <f>'[6]data summary'!P33</f>
        <v>6.6001954388998071E-2</v>
      </c>
      <c r="K14" s="4">
        <f>'[6]data summary'!Q33</f>
        <v>3.4453451166944508E-3</v>
      </c>
      <c r="L14" s="4">
        <f>'[6]data summary'!R33</f>
        <v>0</v>
      </c>
      <c r="M14" s="4">
        <f>'[6]data summary'!S33</f>
        <v>4.602447540191637E-2</v>
      </c>
      <c r="N14" s="4">
        <f>'[6]data summary'!T33</f>
        <v>5.126980860721283E-3</v>
      </c>
      <c r="O14" s="4">
        <f>'[6]data summary'!U33</f>
        <v>3.2125596479059782E-3</v>
      </c>
      <c r="P14" s="4">
        <f>'[6]data summary'!V33</f>
        <v>0</v>
      </c>
      <c r="Q14" s="4">
        <f>'[6]data summary'!W33</f>
        <v>4.4605795806571304</v>
      </c>
      <c r="R14" s="4">
        <f>'[6]data summary'!X33</f>
        <v>0.49266423148661492</v>
      </c>
      <c r="S14" s="4">
        <f>'[6]data summary'!Y33</f>
        <v>2.898258742642166E-3</v>
      </c>
    </row>
    <row r="15" spans="1:19" x14ac:dyDescent="0.2">
      <c r="A15">
        <f>'[5]data summary'!A44</f>
        <v>2030</v>
      </c>
      <c r="B15" t="str">
        <f>'[5]data summary'!B44</f>
        <v>PAG</v>
      </c>
      <c r="C15">
        <f>'[5]data summary'!C44</f>
        <v>30262477.852509562</v>
      </c>
      <c r="D15">
        <f>'[5]data summary'!D44</f>
        <v>1.5948824818717946</v>
      </c>
      <c r="E15">
        <f>'[5]data summary'!E44</f>
        <v>215760153.99717367</v>
      </c>
      <c r="G15" s="4">
        <f>'[6]data summary'!M34</f>
        <v>0</v>
      </c>
      <c r="H15" s="4" t="str">
        <f>'[6]data summary'!N34</f>
        <v>Solvent</v>
      </c>
      <c r="I15" s="4">
        <f>'[6]data summary'!O34</f>
        <v>60.689713385910096</v>
      </c>
      <c r="J15" s="4">
        <f>'[6]data summary'!P34</f>
        <v>6.7136090562414621</v>
      </c>
      <c r="K15" s="4">
        <f>'[6]data summary'!Q34</f>
        <v>0.35319248058257613</v>
      </c>
      <c r="L15" s="4">
        <f>'[6]data summary'!R34</f>
        <v>0</v>
      </c>
      <c r="M15" s="4">
        <f>'[6]data summary'!S34</f>
        <v>2.9768691722857623</v>
      </c>
      <c r="N15" s="4">
        <f>'[6]data summary'!T34</f>
        <v>0.33543964597595066</v>
      </c>
      <c r="O15" s="4">
        <f>'[6]data summary'!U34</f>
        <v>0.20778878404298573</v>
      </c>
      <c r="P15" s="4">
        <f>'[6]data summary'!V34</f>
        <v>0</v>
      </c>
      <c r="Q15" s="4">
        <f>'[6]data summary'!W34</f>
        <v>421.02298308704161</v>
      </c>
      <c r="R15" s="4">
        <f>'[6]data summary'!X34</f>
        <v>46.351787881446164</v>
      </c>
      <c r="S15" s="4">
        <f>'[6]data summary'!Y34</f>
        <v>0.27355941521068861</v>
      </c>
    </row>
    <row r="16" spans="1:19" x14ac:dyDescent="0.2">
      <c r="A16">
        <f>'[5]data summary'!A45</f>
        <v>0</v>
      </c>
      <c r="B16" t="str">
        <f>'[5]data summary'!B45</f>
        <v>Sur</v>
      </c>
      <c r="C16">
        <f>'[5]data summary'!C45</f>
        <v>1391571.3103147487</v>
      </c>
      <c r="D16">
        <f>'[5]data summary'!D45</f>
        <v>0.14162187715303648</v>
      </c>
      <c r="E16">
        <f>'[5]data summary'!E45</f>
        <v>13981956.05947406</v>
      </c>
      <c r="G16" s="4">
        <f>'[6]data summary'!M35</f>
        <v>0</v>
      </c>
      <c r="H16" s="4" t="str">
        <f>'[6]data summary'!N35</f>
        <v>Water</v>
      </c>
      <c r="I16" s="4">
        <f>'[6]data summary'!O35</f>
        <v>110.09132836975174</v>
      </c>
      <c r="J16" s="4">
        <f>'[6]data summary'!P35</f>
        <v>12.434547805050322</v>
      </c>
      <c r="K16" s="4">
        <f>'[6]data summary'!Q35</f>
        <v>0.64069225554409759</v>
      </c>
      <c r="L16" s="4">
        <f>'[6]data summary'!R35</f>
        <v>0</v>
      </c>
      <c r="M16" s="4">
        <f>'[6]data summary'!S35</f>
        <v>11.267858131752156</v>
      </c>
      <c r="N16" s="4">
        <f>'[6]data summary'!T35</f>
        <v>1.2513754866838833</v>
      </c>
      <c r="O16" s="4">
        <f>'[6]data summary'!U35</f>
        <v>0.78650904842011471</v>
      </c>
      <c r="P16" s="4">
        <f>'[6]data summary'!V35</f>
        <v>0</v>
      </c>
      <c r="Q16" s="4">
        <f>'[6]data summary'!W35</f>
        <v>1110.1147550911437</v>
      </c>
      <c r="R16" s="4">
        <f>'[6]data summary'!X35</f>
        <v>122.90037404051435</v>
      </c>
      <c r="S16" s="4">
        <f>'[6]data summary'!Y35</f>
        <v>0.72129635535052794</v>
      </c>
    </row>
    <row r="17" spans="1:19" x14ac:dyDescent="0.2">
      <c r="A17">
        <f>'[5]data summary'!A46</f>
        <v>0</v>
      </c>
      <c r="B17" t="str">
        <f>'[5]data summary'!B46</f>
        <v>TARC</v>
      </c>
      <c r="C17">
        <f>'[5]data summary'!C46</f>
        <v>75427833.503728509</v>
      </c>
      <c r="D17">
        <f>'[5]data summary'!D46</f>
        <v>7.5056192072232335</v>
      </c>
      <c r="E17">
        <f>'[5]data summary'!E46</f>
        <v>747795499.33710504</v>
      </c>
      <c r="G17" s="4">
        <f>'[6]data summary'!M36</f>
        <v>0</v>
      </c>
      <c r="H17" s="4">
        <f>'[6]data summary'!N36</f>
        <v>0</v>
      </c>
      <c r="I17" s="4">
        <f>'[6]data summary'!O36</f>
        <v>171.83183879171202</v>
      </c>
      <c r="J17" s="4">
        <f>'[6]data summary'!P36</f>
        <v>19.265307970274183</v>
      </c>
      <c r="K17" s="4">
        <f>'[6]data summary'!Q36</f>
        <v>0</v>
      </c>
      <c r="L17" s="4">
        <f>'[6]data summary'!R36</f>
        <v>0</v>
      </c>
      <c r="M17" s="4">
        <f>'[6]data summary'!S36</f>
        <v>14.3264189450665</v>
      </c>
      <c r="N17" s="4">
        <f>'[6]data summary'!T36</f>
        <v>1.5959154687501007</v>
      </c>
      <c r="O17" s="4">
        <f>'[6]data summary'!U36</f>
        <v>0</v>
      </c>
      <c r="P17" s="4">
        <f>'[6]data summary'!V36</f>
        <v>0</v>
      </c>
      <c r="Q17" s="4">
        <f>'[6]data summary'!W36</f>
        <v>1539.0549901665065</v>
      </c>
      <c r="R17" s="4">
        <f>'[6]data summary'!X36</f>
        <v>170.12662675409996</v>
      </c>
      <c r="S17" s="4">
        <f>'[6]data summary'!Y36</f>
        <v>0</v>
      </c>
    </row>
    <row r="18" spans="1:19" x14ac:dyDescent="0.2">
      <c r="A18">
        <f>'[5]data summary'!A47</f>
        <v>0</v>
      </c>
      <c r="B18" t="str">
        <f>'[5]data summary'!B47</f>
        <v>Polymer</v>
      </c>
      <c r="C18">
        <f>'[5]data summary'!C47</f>
        <v>2041975.7801759043</v>
      </c>
      <c r="D18">
        <f>'[5]data summary'!D47</f>
        <v>0.10608013710189394</v>
      </c>
      <c r="E18">
        <f>'[5]data summary'!E47</f>
        <v>14466911.644385671</v>
      </c>
      <c r="G18" s="4">
        <f>'[6]data summary'!M37</f>
        <v>0</v>
      </c>
      <c r="H18" s="4">
        <f>'[6]data summary'!N37</f>
        <v>0</v>
      </c>
      <c r="I18" s="4">
        <f>'[6]data summary'!O37</f>
        <v>0</v>
      </c>
      <c r="J18" s="4">
        <f>'[6]data summary'!P37</f>
        <v>0</v>
      </c>
      <c r="K18" s="4">
        <f>'[6]data summary'!Q37</f>
        <v>0</v>
      </c>
      <c r="L18" s="4">
        <f>'[6]data summary'!R37</f>
        <v>0</v>
      </c>
      <c r="M18" s="4">
        <f>'[6]data summary'!S37</f>
        <v>0</v>
      </c>
      <c r="N18" s="4">
        <f>'[6]data summary'!T37</f>
        <v>0</v>
      </c>
      <c r="O18" s="4">
        <f>'[6]data summary'!U37</f>
        <v>0</v>
      </c>
      <c r="P18" s="4">
        <f>'[6]data summary'!V37</f>
        <v>0</v>
      </c>
      <c r="Q18" s="4">
        <f>'[6]data summary'!W37</f>
        <v>0</v>
      </c>
      <c r="R18" s="4">
        <f>'[6]data summary'!X37</f>
        <v>0</v>
      </c>
      <c r="S18" s="4">
        <f>'[6]data summary'!Y37</f>
        <v>0</v>
      </c>
    </row>
    <row r="19" spans="1:19" x14ac:dyDescent="0.2">
      <c r="A19">
        <f>'[5]data summary'!A48</f>
        <v>0</v>
      </c>
      <c r="B19" t="str">
        <f>'[5]data summary'!B48</f>
        <v>ITC</v>
      </c>
      <c r="C19">
        <f>'[5]data summary'!C48</f>
        <v>39636231.197232053</v>
      </c>
      <c r="D19">
        <f>'[5]data summary'!D48</f>
        <v>3.8120219298724982</v>
      </c>
      <c r="E19">
        <f>'[5]data summary'!E48</f>
        <v>385188433.96731293</v>
      </c>
      <c r="G19" s="4">
        <f>'[6]data summary'!M38</f>
        <v>2025</v>
      </c>
      <c r="H19" s="4">
        <f>'[6]data summary'!N38</f>
        <v>0</v>
      </c>
      <c r="I19" s="4">
        <f>'[6]data summary'!O38</f>
        <v>23.856079280953438</v>
      </c>
      <c r="J19" s="4">
        <f>'[6]data summary'!P38</f>
        <v>2.3453967587810607</v>
      </c>
      <c r="K19" s="4">
        <f>'[6]data summary'!Q38</f>
        <v>0</v>
      </c>
      <c r="L19" s="4">
        <f>'[6]data summary'!R38</f>
        <v>0</v>
      </c>
      <c r="M19" s="4">
        <f>'[6]data summary'!S38</f>
        <v>2.1698536077673429</v>
      </c>
      <c r="N19" s="4">
        <f>'[6]data summary'!T38</f>
        <v>0.2131443460461615</v>
      </c>
      <c r="O19" s="4">
        <f>'[6]data summary'!U38</f>
        <v>0</v>
      </c>
      <c r="P19" s="4">
        <f>'[6]data summary'!V38</f>
        <v>0</v>
      </c>
      <c r="Q19" s="4">
        <f>'[6]data summary'!W38</f>
        <v>215.56515361796517</v>
      </c>
      <c r="R19" s="4">
        <f>'[6]data summary'!X38</f>
        <v>21.169067776266989</v>
      </c>
      <c r="S19" s="4">
        <f>'[6]data summary'!Y38</f>
        <v>0</v>
      </c>
    </row>
    <row r="20" spans="1:19" x14ac:dyDescent="0.2">
      <c r="A20">
        <f>'[5]data summary'!A49</f>
        <v>0</v>
      </c>
      <c r="B20" t="str">
        <f>'[5]data summary'!B49</f>
        <v>PBO</v>
      </c>
      <c r="C20">
        <f>'[5]data summary'!C49</f>
        <v>23071749.147751216</v>
      </c>
      <c r="D20">
        <f>'[5]data summary'!D49</f>
        <v>1.1661933118440464</v>
      </c>
      <c r="E20">
        <f>'[5]data summary'!E49</f>
        <v>161862035.16105512</v>
      </c>
      <c r="G20" s="4">
        <f>'[6]data summary'!M39</f>
        <v>2030</v>
      </c>
      <c r="H20" s="4">
        <f>'[6]data summary'!N39</f>
        <v>0</v>
      </c>
      <c r="I20" s="4">
        <f>'[6]data summary'!O39</f>
        <v>171.83183879171202</v>
      </c>
      <c r="J20" s="4">
        <f>'[6]data summary'!P39</f>
        <v>19.265307970274183</v>
      </c>
      <c r="K20" s="4">
        <f>'[6]data summary'!Q39</f>
        <v>0</v>
      </c>
      <c r="L20" s="4">
        <f>'[6]data summary'!R39</f>
        <v>0</v>
      </c>
      <c r="M20" s="4">
        <f>'[6]data summary'!S39</f>
        <v>14.3264189450665</v>
      </c>
      <c r="N20" s="4">
        <f>'[6]data summary'!T39</f>
        <v>1.5959154687501007</v>
      </c>
      <c r="O20" s="4">
        <f>'[6]data summary'!U39</f>
        <v>0</v>
      </c>
      <c r="P20" s="4">
        <f>'[6]data summary'!V39</f>
        <v>0</v>
      </c>
      <c r="Q20" s="4">
        <f>'[6]data summary'!W39</f>
        <v>1539.0549901665065</v>
      </c>
      <c r="R20" s="4">
        <f>'[6]data summary'!X39</f>
        <v>170.12662675409996</v>
      </c>
      <c r="S20" s="4">
        <f>'[6]data summary'!Y39</f>
        <v>0</v>
      </c>
    </row>
    <row r="21" spans="1:19" x14ac:dyDescent="0.2">
      <c r="A21">
        <f>'[5]data summary'!A50</f>
        <v>0</v>
      </c>
      <c r="B21">
        <f>'[5]data summary'!B50</f>
        <v>0</v>
      </c>
      <c r="C21">
        <f>'[5]data summary'!C50</f>
        <v>171831838.79171199</v>
      </c>
      <c r="D21">
        <f>'[5]data summary'!D50</f>
        <v>14.326418945066504</v>
      </c>
      <c r="E21">
        <f>'[5]data summary'!E50</f>
        <v>1539054990.1665065</v>
      </c>
    </row>
    <row r="25" spans="1:19" x14ac:dyDescent="0.2">
      <c r="A25">
        <v>2</v>
      </c>
    </row>
    <row r="26" spans="1:19" x14ac:dyDescent="0.2">
      <c r="A26" t="str">
        <f>'[7]data summary'!A35</f>
        <v>yearly</v>
      </c>
      <c r="B26">
        <f>'[7]data summary'!B35</f>
        <v>0</v>
      </c>
      <c r="C26" t="str">
        <f>'[7]data summary'!C35</f>
        <v>CC</v>
      </c>
      <c r="D26" t="str">
        <f>'[7]data summary'!D35</f>
        <v>HTC</v>
      </c>
      <c r="E26" t="str">
        <f>'[7]data summary'!E35</f>
        <v>CED</v>
      </c>
      <c r="G26" s="4">
        <f>'[8]data summary'!M25</f>
        <v>0</v>
      </c>
      <c r="H26" s="4">
        <f>'[8]data summary'!N25</f>
        <v>0</v>
      </c>
      <c r="I26" s="4" t="str">
        <f>'[8]data summary'!O25</f>
        <v>CC</v>
      </c>
      <c r="J26" s="4" t="str">
        <f>'[8]data summary'!P25</f>
        <v>CC</v>
      </c>
      <c r="K26" s="4">
        <f>'[8]data summary'!Q25</f>
        <v>0</v>
      </c>
      <c r="L26" s="4">
        <f>'[8]data summary'!R25</f>
        <v>0</v>
      </c>
      <c r="M26" s="4" t="str">
        <f>'[8]data summary'!S25</f>
        <v>HTC</v>
      </c>
      <c r="N26" s="4" t="str">
        <f>'[8]data summary'!T25</f>
        <v>HTC</v>
      </c>
      <c r="O26" s="4">
        <f>'[8]data summary'!U25</f>
        <v>0</v>
      </c>
      <c r="P26" s="4">
        <f>'[8]data summary'!V25</f>
        <v>0</v>
      </c>
      <c r="Q26" s="4" t="str">
        <f>'[8]data summary'!W25</f>
        <v>CED</v>
      </c>
      <c r="R26" s="4" t="str">
        <f>'[8]data summary'!X25</f>
        <v>CED</v>
      </c>
      <c r="S26" s="4">
        <f>'[8]data summary'!Y25</f>
        <v>0</v>
      </c>
    </row>
    <row r="27" spans="1:19" x14ac:dyDescent="0.2">
      <c r="A27">
        <f>'[7]data summary'!A36</f>
        <v>2025</v>
      </c>
      <c r="B27" t="str">
        <f>'[7]data summary'!B36</f>
        <v>PAG</v>
      </c>
      <c r="C27">
        <f>'[7]data summary'!C36</f>
        <v>4184961.5705066938</v>
      </c>
      <c r="D27">
        <f>'[7]data summary'!D36</f>
        <v>0.23504399757575303</v>
      </c>
      <c r="E27">
        <f>'[7]data summary'!E36</f>
        <v>29794746.102495007</v>
      </c>
      <c r="G27" s="4">
        <f>'[8]data summary'!M26</f>
        <v>2025</v>
      </c>
      <c r="H27" s="4" t="str">
        <f>'[8]data summary'!N26</f>
        <v>Gas</v>
      </c>
      <c r="I27" s="4">
        <f>'[8]data summary'!O26</f>
        <v>6.4946084138085877E-2</v>
      </c>
      <c r="J27" s="4">
        <f>'[8]data summary'!P26</f>
        <v>6.2352594179679579E-3</v>
      </c>
      <c r="K27" s="4">
        <f>'[8]data summary'!Q26</f>
        <v>2.9961665979212708E-3</v>
      </c>
      <c r="L27" s="4">
        <f>'[8]data summary'!R26</f>
        <v>0</v>
      </c>
      <c r="M27" s="4">
        <f>'[8]data summary'!S26</f>
        <v>5.3074665384064065E-3</v>
      </c>
      <c r="N27" s="4">
        <f>'[8]data summary'!T26</f>
        <v>5.0940972197472594E-4</v>
      </c>
      <c r="O27" s="4">
        <f>'[8]data summary'!U26</f>
        <v>2.8216138961891591E-3</v>
      </c>
      <c r="P27" s="4">
        <f>'[8]data summary'!V26</f>
        <v>0</v>
      </c>
      <c r="Q27" s="4">
        <f>'[8]data summary'!W26</f>
        <v>0.49214066855698752</v>
      </c>
      <c r="R27" s="4">
        <f>'[8]data summary'!X26</f>
        <v>4.7213369177067019E-2</v>
      </c>
      <c r="S27" s="4">
        <f>'[8]data summary'!Y26</f>
        <v>2.6018207670380484E-3</v>
      </c>
    </row>
    <row r="28" spans="1:19" x14ac:dyDescent="0.2">
      <c r="A28">
        <f>'[7]data summary'!A37</f>
        <v>0</v>
      </c>
      <c r="B28" t="str">
        <f>'[7]data summary'!B37</f>
        <v>Sur</v>
      </c>
      <c r="C28">
        <f>'[7]data summary'!C37</f>
        <v>178559.97804945856</v>
      </c>
      <c r="D28">
        <f>'[7]data summary'!D37</f>
        <v>1.881730268919465E-2</v>
      </c>
      <c r="E28">
        <f>'[7]data summary'!E37</f>
        <v>1731863.145809737</v>
      </c>
      <c r="G28" s="4">
        <f>'[8]data summary'!M27</f>
        <v>0</v>
      </c>
      <c r="H28" s="4" t="str">
        <f>'[8]data summary'!N27</f>
        <v>Solid</v>
      </c>
      <c r="I28" s="4">
        <f>'[8]data summary'!O27</f>
        <v>7.6988335910213979E-2</v>
      </c>
      <c r="J28" s="4">
        <f>'[8]data summary'!P27</f>
        <v>7.3937633512106441E-3</v>
      </c>
      <c r="K28" s="4">
        <f>'[8]data summary'!Q27</f>
        <v>3.5517134488552747E-3</v>
      </c>
      <c r="L28" s="4">
        <f>'[8]data summary'!R27</f>
        <v>0</v>
      </c>
      <c r="M28" s="4">
        <f>'[8]data summary'!S27</f>
        <v>6.2914890436052261E-3</v>
      </c>
      <c r="N28" s="4">
        <f>'[8]data summary'!T27</f>
        <v>6.0404921693867216E-4</v>
      </c>
      <c r="O28" s="4">
        <f>'[8]data summary'!U27</f>
        <v>3.3447507930004818E-3</v>
      </c>
      <c r="P28" s="4">
        <f>'[8]data summary'!V27</f>
        <v>0</v>
      </c>
      <c r="Q28" s="4">
        <f>'[8]data summary'!W27</f>
        <v>0.58339209509402756</v>
      </c>
      <c r="R28" s="4">
        <f>'[8]data summary'!X27</f>
        <v>5.5985337582734065E-2</v>
      </c>
      <c r="S28" s="4">
        <f>'[8]data summary'!Y27</f>
        <v>3.0842435208455316E-3</v>
      </c>
    </row>
    <row r="29" spans="1:19" x14ac:dyDescent="0.2">
      <c r="A29">
        <f>'[7]data summary'!A38</f>
        <v>0</v>
      </c>
      <c r="B29" t="str">
        <f>'[7]data summary'!B38</f>
        <v>TARC</v>
      </c>
      <c r="C29">
        <f>'[7]data summary'!C38</f>
        <v>9453353.867336046</v>
      </c>
      <c r="D29">
        <f>'[7]data summary'!D38</f>
        <v>0.97324891575676786</v>
      </c>
      <c r="E29">
        <f>'[7]data summary'!E38</f>
        <v>90489607.859138682</v>
      </c>
      <c r="G29" s="4">
        <f>'[8]data summary'!M28</f>
        <v>0</v>
      </c>
      <c r="H29" s="4" t="str">
        <f>'[8]data summary'!N28</f>
        <v>Solvent</v>
      </c>
      <c r="I29" s="4">
        <f>'[8]data summary'!O28</f>
        <v>7.7591649019033371</v>
      </c>
      <c r="J29" s="4">
        <f>'[8]data summary'!P28</f>
        <v>0.7448608875431606</v>
      </c>
      <c r="K29" s="4">
        <f>'[8]data summary'!Q28</f>
        <v>0.35795461751654456</v>
      </c>
      <c r="L29" s="4">
        <f>'[8]data summary'!R28</f>
        <v>0</v>
      </c>
      <c r="M29" s="4">
        <f>'[8]data summary'!S28</f>
        <v>0.40902614349689659</v>
      </c>
      <c r="N29" s="4">
        <f>'[8]data summary'!T28</f>
        <v>3.9308737346147267E-2</v>
      </c>
      <c r="O29" s="4">
        <f>'[8]data summary'!U28</f>
        <v>0.21745098947755834</v>
      </c>
      <c r="P29" s="4">
        <f>'[8]data summary'!V28</f>
        <v>0</v>
      </c>
      <c r="Q29" s="4">
        <f>'[8]data summary'!W28</f>
        <v>53.997945257436335</v>
      </c>
      <c r="R29" s="4">
        <f>'[8]data summary'!X28</f>
        <v>5.1816406460971667</v>
      </c>
      <c r="S29" s="4">
        <f>'[8]data summary'!Y28</f>
        <v>0.28547320781296731</v>
      </c>
    </row>
    <row r="30" spans="1:19" x14ac:dyDescent="0.2">
      <c r="A30">
        <f>'[7]data summary'!A39</f>
        <v>0</v>
      </c>
      <c r="B30" t="str">
        <f>'[7]data summary'!B39</f>
        <v>Polymer</v>
      </c>
      <c r="C30">
        <f>'[7]data summary'!C39</f>
        <v>282696.82772798021</v>
      </c>
      <c r="D30">
        <f>'[7]data summary'!D39</f>
        <v>1.5679873082014274E-2</v>
      </c>
      <c r="E30">
        <f>'[7]data summary'!E39</f>
        <v>2002267.562173306</v>
      </c>
      <c r="G30" s="4">
        <f>'[8]data summary'!M29</f>
        <v>0</v>
      </c>
      <c r="H30" s="4" t="str">
        <f>'[8]data summary'!N29</f>
        <v>Water</v>
      </c>
      <c r="I30" s="4">
        <f>'[8]data summary'!O29</f>
        <v>13.775293500511982</v>
      </c>
      <c r="J30" s="4">
        <f>'[8]data summary'!P29</f>
        <v>1.3230637504146525</v>
      </c>
      <c r="K30" s="4">
        <f>'[8]data summary'!Q29</f>
        <v>0.63549750243667891</v>
      </c>
      <c r="L30" s="4">
        <f>'[8]data summary'!R29</f>
        <v>0</v>
      </c>
      <c r="M30" s="4">
        <f>'[8]data summary'!S29</f>
        <v>1.4603787284024536</v>
      </c>
      <c r="N30" s="4">
        <f>'[8]data summary'!T29</f>
        <v>0.1400682771964144</v>
      </c>
      <c r="O30" s="4">
        <f>'[8]data summary'!U29</f>
        <v>0.77638264583325201</v>
      </c>
      <c r="P30" s="4">
        <f>'[8]data summary'!V29</f>
        <v>0</v>
      </c>
      <c r="Q30" s="4">
        <f>'[8]data summary'!W29</f>
        <v>134.07893201107939</v>
      </c>
      <c r="R30" s="4">
        <f>'[8]data summary'!X29</f>
        <v>12.859878636265364</v>
      </c>
      <c r="S30" s="4">
        <f>'[8]data summary'!Y29</f>
        <v>0.7088407278991492</v>
      </c>
    </row>
    <row r="31" spans="1:19" x14ac:dyDescent="0.2">
      <c r="A31">
        <f>'[7]data summary'!A40</f>
        <v>0</v>
      </c>
      <c r="B31" t="str">
        <f>'[7]data summary'!B40</f>
        <v>ITC</v>
      </c>
      <c r="C31">
        <f>'[7]data summary'!C40</f>
        <v>5040214.6657364862</v>
      </c>
      <c r="D31">
        <f>'[7]data summary'!D40</f>
        <v>0.50091452882176957</v>
      </c>
      <c r="E31">
        <f>'[7]data summary'!E40</f>
        <v>47315731.693303511</v>
      </c>
      <c r="G31" s="4">
        <f>'[8]data summary'!M30</f>
        <v>0</v>
      </c>
      <c r="H31" s="4">
        <f>'[8]data summary'!N30</f>
        <v>0</v>
      </c>
      <c r="I31" s="4">
        <f>'[8]data summary'!O30</f>
        <v>21.676392822463619</v>
      </c>
      <c r="J31" s="4">
        <f>'[8]data summary'!P30</f>
        <v>2.0815536607269918</v>
      </c>
      <c r="K31" s="4">
        <f>'[8]data summary'!Q30</f>
        <v>0</v>
      </c>
      <c r="L31" s="4">
        <f>'[8]data summary'!R30</f>
        <v>0</v>
      </c>
      <c r="M31" s="4">
        <f>'[8]data summary'!S30</f>
        <v>1.8810038274813619</v>
      </c>
      <c r="N31" s="4">
        <f>'[8]data summary'!T30</f>
        <v>0.18049047348147507</v>
      </c>
      <c r="O31" s="4">
        <f>'[8]data summary'!U30</f>
        <v>0</v>
      </c>
      <c r="P31" s="4">
        <f>'[8]data summary'!V30</f>
        <v>0</v>
      </c>
      <c r="Q31" s="4">
        <f>'[8]data summary'!W30</f>
        <v>189.15241003216673</v>
      </c>
      <c r="R31" s="4">
        <f>'[8]data summary'!X30</f>
        <v>18.144717989122331</v>
      </c>
      <c r="S31" s="4">
        <f>'[8]data summary'!Y30</f>
        <v>0</v>
      </c>
    </row>
    <row r="32" spans="1:19" x14ac:dyDescent="0.2">
      <c r="A32">
        <f>'[7]data summary'!A41</f>
        <v>0</v>
      </c>
      <c r="B32" t="str">
        <f>'[7]data summary'!B41</f>
        <v>PBO</v>
      </c>
      <c r="C32">
        <f>'[7]data summary'!C41</f>
        <v>2536605.9131069495</v>
      </c>
      <c r="D32">
        <f>'[7]data summary'!D41</f>
        <v>0.13729920955586261</v>
      </c>
      <c r="E32">
        <f>'[7]data summary'!E41</f>
        <v>17818193.669246513</v>
      </c>
      <c r="G32" s="4">
        <f>'[8]data summary'!M31</f>
        <v>0</v>
      </c>
      <c r="H32" s="4">
        <f>'[8]data summary'!N31</f>
        <v>0</v>
      </c>
      <c r="I32" s="4">
        <f>'[8]data summary'!O31</f>
        <v>0</v>
      </c>
      <c r="J32" s="4">
        <f>'[8]data summary'!P31</f>
        <v>0</v>
      </c>
      <c r="K32" s="4">
        <f>'[8]data summary'!Q31</f>
        <v>0</v>
      </c>
      <c r="L32" s="4">
        <f>'[8]data summary'!R31</f>
        <v>0</v>
      </c>
      <c r="M32" s="4">
        <f>'[8]data summary'!S31</f>
        <v>0</v>
      </c>
      <c r="N32" s="4">
        <f>'[8]data summary'!T31</f>
        <v>0</v>
      </c>
      <c r="O32" s="4">
        <f>'[8]data summary'!U31</f>
        <v>0</v>
      </c>
      <c r="P32" s="4">
        <f>'[8]data summary'!V31</f>
        <v>0</v>
      </c>
      <c r="Q32" s="4">
        <f>'[8]data summary'!W31</f>
        <v>0</v>
      </c>
      <c r="R32" s="4">
        <f>'[8]data summary'!X31</f>
        <v>0</v>
      </c>
      <c r="S32" s="4">
        <f>'[8]data summary'!Y31</f>
        <v>0</v>
      </c>
    </row>
    <row r="33" spans="1:36" x14ac:dyDescent="0.2">
      <c r="A33">
        <f>'[7]data summary'!A42</f>
        <v>0</v>
      </c>
      <c r="B33">
        <f>'[7]data summary'!B42</f>
        <v>0</v>
      </c>
      <c r="C33">
        <f>'[7]data summary'!C42</f>
        <v>21676392.822463613</v>
      </c>
      <c r="D33">
        <f>'[7]data summary'!D42</f>
        <v>1.8810038274813619</v>
      </c>
      <c r="E33">
        <f>'[7]data summary'!E42</f>
        <v>189152410.03216675</v>
      </c>
      <c r="G33" s="4">
        <f>'[8]data summary'!M32</f>
        <v>2030</v>
      </c>
      <c r="H33" s="4" t="str">
        <f>'[8]data summary'!N32</f>
        <v>Gas</v>
      </c>
      <c r="I33" s="4">
        <f>'[8]data summary'!O32</f>
        <v>0.45881366389006073</v>
      </c>
      <c r="J33" s="4">
        <f>'[8]data summary'!P32</f>
        <v>5.1420869640990373E-2</v>
      </c>
      <c r="K33" s="4">
        <f>'[8]data summary'!Q32</f>
        <v>2.9110093992799286E-3</v>
      </c>
      <c r="L33" s="4">
        <f>'[8]data summary'!R32</f>
        <v>0</v>
      </c>
      <c r="M33" s="4">
        <f>'[8]data summary'!S32</f>
        <v>3.5670038989867474E-2</v>
      </c>
      <c r="N33" s="4">
        <f>'[8]data summary'!T32</f>
        <v>3.9943419018987764E-3</v>
      </c>
      <c r="O33" s="4">
        <f>'[8]data summary'!U32</f>
        <v>2.8422597846571871E-3</v>
      </c>
      <c r="P33" s="4">
        <f>'[8]data summary'!V32</f>
        <v>0</v>
      </c>
      <c r="Q33" s="4">
        <f>'[8]data summary'!W32</f>
        <v>3.4569485718255835</v>
      </c>
      <c r="R33" s="4">
        <f>'[8]data summary'!X32</f>
        <v>0.38382557587108351</v>
      </c>
      <c r="S33" s="4">
        <f>'[8]data summary'!Y32</f>
        <v>2.5379679901050981E-3</v>
      </c>
    </row>
    <row r="34" spans="1:36" x14ac:dyDescent="0.2">
      <c r="A34">
        <f>'[7]data summary'!A43</f>
        <v>0</v>
      </c>
      <c r="B34">
        <f>'[7]data summary'!B43</f>
        <v>0</v>
      </c>
      <c r="C34">
        <f>'[7]data summary'!C43</f>
        <v>0</v>
      </c>
      <c r="D34">
        <f>'[7]data summary'!D43</f>
        <v>0</v>
      </c>
      <c r="E34">
        <f>'[7]data summary'!E43</f>
        <v>0</v>
      </c>
      <c r="G34" s="4">
        <f>'[8]data summary'!M33</f>
        <v>0</v>
      </c>
      <c r="H34" s="4" t="str">
        <f>'[8]data summary'!N33</f>
        <v>Solid</v>
      </c>
      <c r="I34" s="4">
        <f>'[8]data summary'!O33</f>
        <v>0.59206574672782575</v>
      </c>
      <c r="J34" s="4">
        <f>'[8]data summary'!P33</f>
        <v>6.6359849879092769E-2</v>
      </c>
      <c r="K34" s="4">
        <f>'[8]data summary'!Q33</f>
        <v>3.7564464386339014E-3</v>
      </c>
      <c r="L34" s="4">
        <f>'[8]data summary'!R33</f>
        <v>0</v>
      </c>
      <c r="M34" s="4">
        <f>'[8]data summary'!S33</f>
        <v>4.6028072425550043E-2</v>
      </c>
      <c r="N34" s="4">
        <f>'[8]data summary'!T33</f>
        <v>5.1546287911254634E-3</v>
      </c>
      <c r="O34" s="4">
        <f>'[8]data summary'!U33</f>
        <v>3.667608528759708E-3</v>
      </c>
      <c r="P34" s="4">
        <f>'[8]data summary'!V33</f>
        <v>0</v>
      </c>
      <c r="Q34" s="4">
        <f>'[8]data summary'!W33</f>
        <v>4.4609247894500772</v>
      </c>
      <c r="R34" s="4">
        <f>'[8]data summary'!X33</f>
        <v>0.49533160282642996</v>
      </c>
      <c r="S34" s="4">
        <f>'[8]data summary'!Y33</f>
        <v>3.2750514179364087E-3</v>
      </c>
    </row>
    <row r="35" spans="1:36" x14ac:dyDescent="0.2">
      <c r="A35">
        <f>'[7]data summary'!A44</f>
        <v>2030</v>
      </c>
      <c r="B35" t="str">
        <f>'[7]data summary'!B44</f>
        <v>PAG</v>
      </c>
      <c r="C35">
        <f>'[7]data summary'!C44</f>
        <v>30041391.389522973</v>
      </c>
      <c r="D35">
        <f>'[7]data summary'!D44</f>
        <v>1.5670946206468297</v>
      </c>
      <c r="E35">
        <f>'[7]data summary'!E44</f>
        <v>212996517.85612315</v>
      </c>
      <c r="G35" s="4">
        <f>'[8]data summary'!M34</f>
        <v>0</v>
      </c>
      <c r="H35" s="4" t="str">
        <f>'[8]data summary'!N34</f>
        <v>Solvent</v>
      </c>
      <c r="I35" s="4">
        <f>'[8]data summary'!O34</f>
        <v>60.694399575525146</v>
      </c>
      <c r="J35" s="4">
        <f>'[8]data summary'!P34</f>
        <v>6.7499898439258317</v>
      </c>
      <c r="K35" s="4">
        <f>'[8]data summary'!Q34</f>
        <v>0.3850843633339161</v>
      </c>
      <c r="L35" s="4">
        <f>'[8]data summary'!R34</f>
        <v>0</v>
      </c>
      <c r="M35" s="4">
        <f>'[8]data summary'!S34</f>
        <v>2.9771026539724303</v>
      </c>
      <c r="N35" s="4">
        <f>'[8]data summary'!T34</f>
        <v>0.3372466043135009</v>
      </c>
      <c r="O35" s="4">
        <f>'[8]data summary'!U34</f>
        <v>0.23722147179557815</v>
      </c>
      <c r="P35" s="4">
        <f>'[8]data summary'!V34</f>
        <v>0</v>
      </c>
      <c r="Q35" s="4">
        <f>'[8]data summary'!W34</f>
        <v>421.05551429108385</v>
      </c>
      <c r="R35" s="4">
        <f>'[8]data summary'!X34</f>
        <v>46.602765537893639</v>
      </c>
      <c r="S35" s="4">
        <f>'[8]data summary'!Y34</f>
        <v>0.30912389789000505</v>
      </c>
    </row>
    <row r="36" spans="1:36" x14ac:dyDescent="0.2">
      <c r="A36">
        <f>'[7]data summary'!A45</f>
        <v>0</v>
      </c>
      <c r="B36" t="str">
        <f>'[7]data summary'!B45</f>
        <v>Sur</v>
      </c>
      <c r="C36">
        <f>'[7]data summary'!C45</f>
        <v>1213893.2535842103</v>
      </c>
      <c r="D36">
        <f>'[7]data summary'!D45</f>
        <v>0.11942581275794356</v>
      </c>
      <c r="E36">
        <f>'[7]data summary'!E45</f>
        <v>11770939.871204009</v>
      </c>
      <c r="G36" s="4">
        <f>'[8]data summary'!M35</f>
        <v>0</v>
      </c>
      <c r="H36" s="4" t="str">
        <f>'[8]data summary'!N35</f>
        <v>Water</v>
      </c>
      <c r="I36" s="4">
        <f>'[8]data summary'!O35</f>
        <v>95.867975029303807</v>
      </c>
      <c r="J36" s="4">
        <f>'[8]data summary'!P35</f>
        <v>10.865668818387549</v>
      </c>
      <c r="K36" s="4">
        <f>'[8]data summary'!Q35</f>
        <v>0.60824818082817</v>
      </c>
      <c r="L36" s="4">
        <f>'[8]data summary'!R35</f>
        <v>0</v>
      </c>
      <c r="M36" s="4">
        <f>'[8]data summary'!S35</f>
        <v>9.4910861880912272</v>
      </c>
      <c r="N36" s="4">
        <f>'[8]data summary'!T35</f>
        <v>1.0597206050150922</v>
      </c>
      <c r="O36" s="4">
        <f>'[8]data summary'!U35</f>
        <v>0.756268659891005</v>
      </c>
      <c r="P36" s="4">
        <f>'[8]data summary'!V35</f>
        <v>0</v>
      </c>
      <c r="Q36" s="4">
        <f>'[8]data summary'!W35</f>
        <v>933.11966683192111</v>
      </c>
      <c r="R36" s="4">
        <f>'[8]data summary'!X35</f>
        <v>103.82258023523814</v>
      </c>
      <c r="S36" s="4">
        <f>'[8]data summary'!Y35</f>
        <v>0.68506308270195349</v>
      </c>
    </row>
    <row r="37" spans="1:36" x14ac:dyDescent="0.2">
      <c r="A37">
        <f>'[7]data summary'!A46</f>
        <v>0</v>
      </c>
      <c r="B37" t="str">
        <f>'[7]data summary'!B46</f>
        <v>TARC</v>
      </c>
      <c r="C37">
        <f>'[7]data summary'!C46</f>
        <v>66211328.53601519</v>
      </c>
      <c r="D37">
        <f>'[7]data summary'!D46</f>
        <v>6.3542919288231854</v>
      </c>
      <c r="E37">
        <f>'[7]data summary'!E46</f>
        <v>633103409.97334123</v>
      </c>
      <c r="G37" s="4">
        <f>'[8]data summary'!M36</f>
        <v>0</v>
      </c>
      <c r="H37" s="4">
        <f>'[8]data summary'!N36</f>
        <v>0</v>
      </c>
      <c r="I37" s="4">
        <f>'[8]data summary'!O36</f>
        <v>157.61325401544684</v>
      </c>
      <c r="J37" s="4">
        <f>'[8]data summary'!P36</f>
        <v>17.733439381833463</v>
      </c>
      <c r="K37" s="4">
        <f>'[8]data summary'!Q36</f>
        <v>0</v>
      </c>
      <c r="L37" s="4">
        <f>'[8]data summary'!R36</f>
        <v>0</v>
      </c>
      <c r="M37" s="4">
        <f>'[8]data summary'!S36</f>
        <v>12.549886953479074</v>
      </c>
      <c r="N37" s="4">
        <f>'[8]data summary'!T36</f>
        <v>1.4061161800216173</v>
      </c>
      <c r="O37" s="4">
        <f>'[8]data summary'!U36</f>
        <v>0</v>
      </c>
      <c r="P37" s="4">
        <f>'[8]data summary'!V36</f>
        <v>0</v>
      </c>
      <c r="Q37" s="4">
        <f>'[8]data summary'!W36</f>
        <v>1362.0930544842806</v>
      </c>
      <c r="R37" s="4">
        <f>'[8]data summary'!X36</f>
        <v>151.30450295182928</v>
      </c>
      <c r="S37" s="4">
        <f>'[8]data summary'!Y36</f>
        <v>0</v>
      </c>
    </row>
    <row r="38" spans="1:36" x14ac:dyDescent="0.2">
      <c r="A38">
        <f>'[7]data summary'!A47</f>
        <v>0</v>
      </c>
      <c r="B38" t="str">
        <f>'[7]data summary'!B47</f>
        <v>Polymer</v>
      </c>
      <c r="C38">
        <f>'[7]data summary'!C47</f>
        <v>2030844.0690038134</v>
      </c>
      <c r="D38">
        <f>'[7]data summary'!D47</f>
        <v>0.10467794643976416</v>
      </c>
      <c r="E38">
        <f>'[7]data summary'!E47</f>
        <v>14327536.363709638</v>
      </c>
      <c r="G38" s="4">
        <f>'[8]data summary'!M37</f>
        <v>0</v>
      </c>
      <c r="H38" s="4">
        <f>'[8]data summary'!N37</f>
        <v>0</v>
      </c>
      <c r="I38" s="4">
        <f>'[8]data summary'!O37</f>
        <v>0</v>
      </c>
      <c r="J38" s="4">
        <f>'[8]data summary'!P37</f>
        <v>0</v>
      </c>
      <c r="K38" s="4">
        <f>'[8]data summary'!Q37</f>
        <v>0</v>
      </c>
      <c r="L38" s="4">
        <f>'[8]data summary'!R37</f>
        <v>0</v>
      </c>
      <c r="M38" s="4">
        <f>'[8]data summary'!S37</f>
        <v>0</v>
      </c>
      <c r="N38" s="4">
        <f>'[8]data summary'!T37</f>
        <v>0</v>
      </c>
      <c r="O38" s="4">
        <f>'[8]data summary'!U37</f>
        <v>0</v>
      </c>
      <c r="P38" s="4">
        <f>'[8]data summary'!V37</f>
        <v>0</v>
      </c>
      <c r="Q38" s="4">
        <f>'[8]data summary'!W37</f>
        <v>0</v>
      </c>
      <c r="R38" s="4">
        <f>'[8]data summary'!X37</f>
        <v>0</v>
      </c>
      <c r="S38" s="4">
        <f>'[8]data summary'!Y37</f>
        <v>0</v>
      </c>
    </row>
    <row r="39" spans="1:36" x14ac:dyDescent="0.2">
      <c r="A39">
        <f>'[7]data summary'!A48</f>
        <v>0</v>
      </c>
      <c r="B39" t="str">
        <f>'[7]data summary'!B48</f>
        <v>ITC</v>
      </c>
      <c r="C39">
        <f>'[7]data summary'!C48</f>
        <v>35111320.465493709</v>
      </c>
      <c r="D39">
        <f>'[7]data summary'!D48</f>
        <v>3.2467299283612077</v>
      </c>
      <c r="E39">
        <f>'[7]data summary'!E48</f>
        <v>328878886.21879232</v>
      </c>
      <c r="G39" s="4">
        <f>'[8]data summary'!M38</f>
        <v>2025</v>
      </c>
      <c r="H39" s="4">
        <f>'[8]data summary'!N38</f>
        <v>0</v>
      </c>
      <c r="I39" s="4">
        <f>'[8]data summary'!O38</f>
        <v>21.676392822463619</v>
      </c>
      <c r="J39" s="4">
        <f>'[8]data summary'!P38</f>
        <v>2.0815536607269918</v>
      </c>
      <c r="K39" s="4">
        <f>'[8]data summary'!Q38</f>
        <v>0</v>
      </c>
      <c r="L39" s="4">
        <f>'[8]data summary'!R38</f>
        <v>0</v>
      </c>
      <c r="M39" s="4">
        <f>'[8]data summary'!S38</f>
        <v>1.8810038274813619</v>
      </c>
      <c r="N39" s="4">
        <f>'[8]data summary'!T38</f>
        <v>0.18049047348147507</v>
      </c>
      <c r="O39" s="4">
        <f>'[8]data summary'!U38</f>
        <v>0</v>
      </c>
      <c r="P39" s="4">
        <f>'[8]data summary'!V38</f>
        <v>0</v>
      </c>
      <c r="Q39" s="4">
        <f>'[8]data summary'!W38</f>
        <v>189.15241003216673</v>
      </c>
      <c r="R39" s="4">
        <f>'[8]data summary'!X38</f>
        <v>18.144717989122331</v>
      </c>
      <c r="S39" s="4">
        <f>'[8]data summary'!Y38</f>
        <v>0</v>
      </c>
    </row>
    <row r="40" spans="1:36" x14ac:dyDescent="0.2">
      <c r="A40">
        <f>'[7]data summary'!A49</f>
        <v>0</v>
      </c>
      <c r="B40" t="str">
        <f>'[7]data summary'!B49</f>
        <v>PBO</v>
      </c>
      <c r="C40">
        <f>'[7]data summary'!C49</f>
        <v>23004476.301826946</v>
      </c>
      <c r="D40">
        <f>'[7]data summary'!D49</f>
        <v>1.1576667164501453</v>
      </c>
      <c r="E40">
        <f>'[7]data summary'!E49</f>
        <v>161015764.20111027</v>
      </c>
      <c r="G40" s="4">
        <f>'[8]data summary'!M39</f>
        <v>2030</v>
      </c>
      <c r="H40" s="4">
        <f>'[8]data summary'!N39</f>
        <v>0</v>
      </c>
      <c r="I40" s="4">
        <f>'[8]data summary'!O39</f>
        <v>157.61325401544684</v>
      </c>
      <c r="J40" s="4">
        <f>'[8]data summary'!P39</f>
        <v>17.733439381833463</v>
      </c>
      <c r="K40" s="4">
        <f>'[8]data summary'!Q39</f>
        <v>0</v>
      </c>
      <c r="L40" s="4">
        <f>'[8]data summary'!R39</f>
        <v>0</v>
      </c>
      <c r="M40" s="4">
        <f>'[8]data summary'!S39</f>
        <v>12.549886953479074</v>
      </c>
      <c r="N40" s="4">
        <f>'[8]data summary'!T39</f>
        <v>1.4061161800216173</v>
      </c>
      <c r="O40" s="4">
        <f>'[8]data summary'!U39</f>
        <v>0</v>
      </c>
      <c r="P40" s="4">
        <f>'[8]data summary'!V39</f>
        <v>0</v>
      </c>
      <c r="Q40" s="4">
        <f>'[8]data summary'!W39</f>
        <v>1362.0930544842806</v>
      </c>
      <c r="R40" s="4">
        <f>'[8]data summary'!X39</f>
        <v>151.30450295182928</v>
      </c>
      <c r="S40" s="4">
        <f>'[8]data summary'!Y39</f>
        <v>0</v>
      </c>
    </row>
    <row r="41" spans="1:36" x14ac:dyDescent="0.2">
      <c r="A41">
        <f>'[7]data summary'!A50</f>
        <v>0</v>
      </c>
      <c r="B41">
        <f>'[7]data summary'!B50</f>
        <v>0</v>
      </c>
      <c r="C41">
        <f>'[7]data summary'!C50</f>
        <v>157613254.01544684</v>
      </c>
      <c r="D41">
        <f>'[7]data summary'!D50</f>
        <v>12.549886953479074</v>
      </c>
      <c r="E41">
        <f>'[7]data summary'!E50</f>
        <v>1362093054.4842806</v>
      </c>
    </row>
    <row r="45" spans="1:36" x14ac:dyDescent="0.2">
      <c r="A45" t="str" cm="1">
        <f t="array" ref="A45">INDEX($A$6:$S$41, COLUMN(A1), ROW(A1))</f>
        <v>yearly</v>
      </c>
      <c r="B45" cm="1">
        <f t="array" ref="B45">INDEX($A$6:$S$41, COLUMN(B1), ROW(B1))</f>
        <v>2025</v>
      </c>
      <c r="C45" cm="1">
        <f t="array" ref="C45">INDEX($A$6:$S$41, COLUMN(C1), ROW(C1))</f>
        <v>0</v>
      </c>
      <c r="D45" cm="1">
        <f t="array" ref="D45">INDEX($A$6:$S$41, COLUMN(D1), ROW(D1))</f>
        <v>0</v>
      </c>
      <c r="E45" cm="1">
        <f t="array" ref="E45">INDEX($A$6:$S$41, COLUMN(E1), ROW(E1))</f>
        <v>0</v>
      </c>
      <c r="F45" cm="1">
        <f t="array" ref="F45">INDEX($A$6:$S$41, COLUMN(F1), ROW(F1))</f>
        <v>0</v>
      </c>
      <c r="G45" cm="1">
        <f t="array" ref="G45">INDEX($A$6:$S$41, COLUMN(G1), ROW(G1))</f>
        <v>0</v>
      </c>
      <c r="H45" cm="1">
        <f t="array" ref="H45">INDEX($A$6:$S$41, COLUMN(H1), ROW(H1))</f>
        <v>0</v>
      </c>
      <c r="I45" cm="1">
        <f t="array" ref="I45">INDEX($A$6:$S$41, COLUMN(I1), ROW(I1))</f>
        <v>0</v>
      </c>
      <c r="J45" cm="1">
        <f t="array" ref="J45">INDEX($A$6:$S$41, COLUMN(J1), ROW(J1))</f>
        <v>2030</v>
      </c>
      <c r="K45" cm="1">
        <f t="array" ref="K45">INDEX($A$6:$S$41, COLUMN(K1), ROW(K1))</f>
        <v>0</v>
      </c>
      <c r="L45" cm="1">
        <f t="array" ref="L45">INDEX($A$6:$S$41, COLUMN(L1), ROW(L1))</f>
        <v>0</v>
      </c>
      <c r="M45" cm="1">
        <f t="array" ref="M45">INDEX($A$6:$S$41, COLUMN(M1), ROW(M1))</f>
        <v>0</v>
      </c>
      <c r="N45" cm="1">
        <f t="array" ref="N45">INDEX($A$6:$S$41, COLUMN(N1), ROW(N1))</f>
        <v>0</v>
      </c>
      <c r="O45" cm="1">
        <f t="array" ref="O45">INDEX($A$6:$S$41, COLUMN(O1), ROW(O1))</f>
        <v>0</v>
      </c>
      <c r="P45" cm="1">
        <f t="array" ref="P45">INDEX($A$6:$S$41, COLUMN(P1), ROW(P1))</f>
        <v>0</v>
      </c>
      <c r="Q45" cm="1">
        <f t="array" ref="Q45">INDEX($A$6:$S$41, COLUMN(Q1), ROW(Q1))</f>
        <v>0</v>
      </c>
      <c r="R45" cm="1">
        <f t="array" ref="R45">INDEX($A$6:$S$41, COLUMN(R1), ROW(R1))</f>
        <v>0</v>
      </c>
      <c r="S45" cm="1">
        <f t="array" ref="S45">INDEX($A$6:$S$41, COLUMN(S1), ROW(S1))</f>
        <v>0</v>
      </c>
      <c r="T45" cm="1">
        <f t="array" ref="T45">INDEX($A$6:$S$41, COLUMN(T1), ROW(T1))</f>
        <v>2</v>
      </c>
      <c r="U45" t="str" cm="1">
        <f t="array" ref="U45">INDEX($A$6:$S$41, COLUMN(U1), ROW(U1))</f>
        <v>yearly</v>
      </c>
      <c r="V45" cm="1">
        <f t="array" ref="V45">INDEX($A$6:$S$41, COLUMN(V1), ROW(V1))</f>
        <v>2025</v>
      </c>
      <c r="W45" cm="1">
        <f t="array" ref="W45">INDEX($A$6:$S$41, COLUMN(W1), ROW(W1))</f>
        <v>0</v>
      </c>
      <c r="X45" cm="1">
        <f t="array" ref="X45">INDEX($A$6:$S$41, COLUMN(X1), ROW(X1))</f>
        <v>0</v>
      </c>
      <c r="Y45" cm="1">
        <f t="array" ref="Y45">INDEX($A$6:$S$41, COLUMN(Y1), ROW(Y1))</f>
        <v>0</v>
      </c>
      <c r="Z45" cm="1">
        <f t="array" ref="Z45">INDEX($A$6:$S$41, COLUMN(Z1), ROW(Z1))</f>
        <v>0</v>
      </c>
      <c r="AA45" cm="1">
        <f t="array" ref="AA45">INDEX($A$6:$S$41, COLUMN(AA1), ROW(AA1))</f>
        <v>0</v>
      </c>
      <c r="AB45" cm="1">
        <f t="array" ref="AB45">INDEX($A$6:$S$41, COLUMN(AB1), ROW(AB1))</f>
        <v>0</v>
      </c>
      <c r="AC45" cm="1">
        <f t="array" ref="AC45">INDEX($A$6:$S$41, COLUMN(AC1), ROW(AC1))</f>
        <v>0</v>
      </c>
      <c r="AD45" cm="1">
        <f t="array" ref="AD45">INDEX($A$6:$S$41, COLUMN(AD1), ROW(AD1))</f>
        <v>2030</v>
      </c>
      <c r="AE45" cm="1">
        <f t="array" ref="AE45">INDEX($A$6:$S$41, COLUMN(AE1), ROW(AE1))</f>
        <v>0</v>
      </c>
      <c r="AF45" cm="1">
        <f t="array" ref="AF45">INDEX($A$6:$S$41, COLUMN(AF1), ROW(AF1))</f>
        <v>0</v>
      </c>
      <c r="AG45" cm="1">
        <f t="array" ref="AG45">INDEX($A$6:$S$41, COLUMN(AG1), ROW(AG1))</f>
        <v>0</v>
      </c>
      <c r="AH45" cm="1">
        <f t="array" ref="AH45">INDEX($A$6:$S$41, COLUMN(AH1), ROW(AH1))</f>
        <v>0</v>
      </c>
      <c r="AI45" cm="1">
        <f t="array" ref="AI45">INDEX($A$6:$S$41, COLUMN(AI1), ROW(AI1))</f>
        <v>0</v>
      </c>
      <c r="AJ45" cm="1">
        <f t="array" ref="AJ45">INDEX($A$6:$S$41, COLUMN(AJ1), ROW(AJ1))</f>
        <v>0</v>
      </c>
    </row>
    <row r="46" spans="1:36" x14ac:dyDescent="0.2">
      <c r="A46" cm="1">
        <f t="array" ref="A46">INDEX($A$6:$S$41, COLUMN(A2), ROW(A2))</f>
        <v>0</v>
      </c>
      <c r="B46" t="str" cm="1">
        <f t="array" ref="B46">INDEX($A$6:$S$41, COLUMN(B2), ROW(B2))</f>
        <v>PAG</v>
      </c>
      <c r="C46" t="str" cm="1">
        <f t="array" ref="C46">INDEX($A$6:$S$41, COLUMN(C2), ROW(C2))</f>
        <v>Sur</v>
      </c>
      <c r="D46" t="str" cm="1">
        <f t="array" ref="D46">INDEX($A$6:$S$41, COLUMN(D2), ROW(D2))</f>
        <v>TARC</v>
      </c>
      <c r="E46" t="str" cm="1">
        <f t="array" ref="E46">INDEX($A$6:$S$41, COLUMN(E2), ROW(E2))</f>
        <v>Polymer</v>
      </c>
      <c r="F46" t="str" cm="1">
        <f t="array" ref="F46">INDEX($A$6:$S$41, COLUMN(F2), ROW(F2))</f>
        <v>ITC</v>
      </c>
      <c r="G46" t="str" cm="1">
        <f t="array" ref="G46">INDEX($A$6:$S$41, COLUMN(G2), ROW(G2))</f>
        <v>PBO</v>
      </c>
      <c r="H46" cm="1">
        <f t="array" ref="H46">INDEX($A$6:$S$41, COLUMN(H2), ROW(H2))</f>
        <v>0</v>
      </c>
      <c r="I46" cm="1">
        <f t="array" ref="I46">INDEX($A$6:$S$41, COLUMN(I2), ROW(I2))</f>
        <v>0</v>
      </c>
      <c r="J46" t="str" cm="1">
        <f t="array" ref="J46">INDEX($A$6:$S$41, COLUMN(J2), ROW(J2))</f>
        <v>PAG</v>
      </c>
      <c r="K46" t="str" cm="1">
        <f t="array" ref="K46">INDEX($A$6:$S$41, COLUMN(K2), ROW(K2))</f>
        <v>Sur</v>
      </c>
      <c r="L46" t="str" cm="1">
        <f t="array" ref="L46">INDEX($A$6:$S$41, COLUMN(L2), ROW(L2))</f>
        <v>TARC</v>
      </c>
      <c r="M46" t="str" cm="1">
        <f t="array" ref="M46">INDEX($A$6:$S$41, COLUMN(M2), ROW(M2))</f>
        <v>Polymer</v>
      </c>
      <c r="N46" t="str" cm="1">
        <f t="array" ref="N46">INDEX($A$6:$S$41, COLUMN(N2), ROW(N2))</f>
        <v>ITC</v>
      </c>
      <c r="O46" t="str" cm="1">
        <f t="array" ref="O46">INDEX($A$6:$S$41, COLUMN(O2), ROW(O2))</f>
        <v>PBO</v>
      </c>
      <c r="P46" cm="1">
        <f t="array" ref="P46">INDEX($A$6:$S$41, COLUMN(P2), ROW(P2))</f>
        <v>0</v>
      </c>
      <c r="Q46" cm="1">
        <f t="array" ref="Q46">INDEX($A$6:$S$41, COLUMN(Q2), ROW(Q2))</f>
        <v>0</v>
      </c>
      <c r="R46" cm="1">
        <f t="array" ref="R46">INDEX($A$6:$S$41, COLUMN(R2), ROW(R2))</f>
        <v>0</v>
      </c>
      <c r="S46" cm="1">
        <f t="array" ref="S46">INDEX($A$6:$S$41, COLUMN(S2), ROW(S2))</f>
        <v>0</v>
      </c>
      <c r="T46" cm="1">
        <f t="array" ref="T46">INDEX($A$6:$S$41, COLUMN(T2), ROW(T2))</f>
        <v>0</v>
      </c>
      <c r="U46" cm="1">
        <f t="array" ref="U46">INDEX($A$6:$S$41, COLUMN(U2), ROW(U2))</f>
        <v>0</v>
      </c>
      <c r="V46" t="str" cm="1">
        <f t="array" ref="V46">INDEX($A$6:$S$41, COLUMN(V2), ROW(V2))</f>
        <v>PAG</v>
      </c>
      <c r="W46" t="str" cm="1">
        <f t="array" ref="W46">INDEX($A$6:$S$41, COLUMN(W2), ROW(W2))</f>
        <v>Sur</v>
      </c>
      <c r="X46" t="str" cm="1">
        <f t="array" ref="X46">INDEX($A$6:$S$41, COLUMN(X2), ROW(X2))</f>
        <v>TARC</v>
      </c>
      <c r="Y46" t="str" cm="1">
        <f t="array" ref="Y46">INDEX($A$6:$S$41, COLUMN(Y2), ROW(Y2))</f>
        <v>Polymer</v>
      </c>
      <c r="Z46" t="str" cm="1">
        <f t="array" ref="Z46">INDEX($A$6:$S$41, COLUMN(Z2), ROW(Z2))</f>
        <v>ITC</v>
      </c>
      <c r="AA46" t="str" cm="1">
        <f t="array" ref="AA46">INDEX($A$6:$S$41, COLUMN(AA2), ROW(AA2))</f>
        <v>PBO</v>
      </c>
      <c r="AB46" cm="1">
        <f t="array" ref="AB46">INDEX($A$6:$S$41, COLUMN(AB2), ROW(AB2))</f>
        <v>0</v>
      </c>
      <c r="AC46" cm="1">
        <f t="array" ref="AC46">INDEX($A$6:$S$41, COLUMN(AC2), ROW(AC2))</f>
        <v>0</v>
      </c>
      <c r="AD46" t="str" cm="1">
        <f t="array" ref="AD46">INDEX($A$6:$S$41, COLUMN(AD2), ROW(AD2))</f>
        <v>PAG</v>
      </c>
      <c r="AE46" t="str" cm="1">
        <f t="array" ref="AE46">INDEX($A$6:$S$41, COLUMN(AE2), ROW(AE2))</f>
        <v>Sur</v>
      </c>
      <c r="AF46" t="str" cm="1">
        <f t="array" ref="AF46">INDEX($A$6:$S$41, COLUMN(AF2), ROW(AF2))</f>
        <v>TARC</v>
      </c>
      <c r="AG46" t="str" cm="1">
        <f t="array" ref="AG46">INDEX($A$6:$S$41, COLUMN(AG2), ROW(AG2))</f>
        <v>Polymer</v>
      </c>
      <c r="AH46" t="str" cm="1">
        <f t="array" ref="AH46">INDEX($A$6:$S$41, COLUMN(AH2), ROW(AH2))</f>
        <v>ITC</v>
      </c>
      <c r="AI46" t="str" cm="1">
        <f t="array" ref="AI46">INDEX($A$6:$S$41, COLUMN(AI2), ROW(AI2))</f>
        <v>PBO</v>
      </c>
      <c r="AJ46" cm="1">
        <f t="array" ref="AJ46">INDEX($A$6:$S$41, COLUMN(AJ2), ROW(AJ2))</f>
        <v>0</v>
      </c>
    </row>
    <row r="47" spans="1:36" x14ac:dyDescent="0.2">
      <c r="A47" t="str" cm="1">
        <f t="array" ref="A47">INDEX($A$6:$S$41, COLUMN(A3), ROW(A3))</f>
        <v>CC</v>
      </c>
      <c r="B47" cm="1">
        <f t="array" ref="B47">INDEX($A$6:$S$41, COLUMN(B3), ROW(B3))</f>
        <v>4225983.1491808817</v>
      </c>
      <c r="C47" cm="1">
        <f t="array" ref="C47">INDEX($A$6:$S$41, COLUMN(C3), ROW(C3))</f>
        <v>206300.6386464606</v>
      </c>
      <c r="D47" cm="1">
        <f t="array" ref="D47">INDEX($A$6:$S$41, COLUMN(D3), ROW(D3))</f>
        <v>10854831.300538819</v>
      </c>
      <c r="E47" cm="1">
        <f t="array" ref="E47">INDEX($A$6:$S$41, COLUMN(E3), ROW(E3))</f>
        <v>284880.40385969565</v>
      </c>
      <c r="F47" cm="1">
        <f t="array" ref="F47">INDEX($A$6:$S$41, COLUMN(F3), ROW(F3))</f>
        <v>5735174.8464510068</v>
      </c>
      <c r="G47" cm="1">
        <f t="array" ref="G47">INDEX($A$6:$S$41, COLUMN(G3), ROW(G3))</f>
        <v>2548908.9422765751</v>
      </c>
      <c r="H47" cm="1">
        <f t="array" ref="H47">INDEX($A$6:$S$41, COLUMN(H3), ROW(H3))</f>
        <v>23856079.280953437</v>
      </c>
      <c r="I47" cm="1">
        <f t="array" ref="I47">INDEX($A$6:$S$41, COLUMN(I3), ROW(I3))</f>
        <v>0</v>
      </c>
      <c r="J47" cm="1">
        <f t="array" ref="J47">INDEX($A$6:$S$41, COLUMN(J3), ROW(J3))</f>
        <v>30262477.852509562</v>
      </c>
      <c r="K47" cm="1">
        <f t="array" ref="K47">INDEX($A$6:$S$41, COLUMN(K3), ROW(K3))</f>
        <v>1391571.3103147487</v>
      </c>
      <c r="L47" cm="1">
        <f t="array" ref="L47">INDEX($A$6:$S$41, COLUMN(L3), ROW(L3))</f>
        <v>75427833.503728509</v>
      </c>
      <c r="M47" cm="1">
        <f t="array" ref="M47">INDEX($A$6:$S$41, COLUMN(M3), ROW(M3))</f>
        <v>2041975.7801759043</v>
      </c>
      <c r="N47" cm="1">
        <f t="array" ref="N47">INDEX($A$6:$S$41, COLUMN(N3), ROW(N3))</f>
        <v>39636231.197232053</v>
      </c>
      <c r="O47" cm="1">
        <f t="array" ref="O47">INDEX($A$6:$S$41, COLUMN(O3), ROW(O3))</f>
        <v>23071749.147751216</v>
      </c>
      <c r="P47" cm="1">
        <f t="array" ref="P47">INDEX($A$6:$S$41, COLUMN(P3), ROW(P3))</f>
        <v>171831838.79171199</v>
      </c>
      <c r="Q47" cm="1">
        <f t="array" ref="Q47">INDEX($A$6:$S$41, COLUMN(Q3), ROW(Q3))</f>
        <v>0</v>
      </c>
      <c r="R47" cm="1">
        <f t="array" ref="R47">INDEX($A$6:$S$41, COLUMN(R3), ROW(R3))</f>
        <v>0</v>
      </c>
      <c r="S47" cm="1">
        <f t="array" ref="S47">INDEX($A$6:$S$41, COLUMN(S3), ROW(S3))</f>
        <v>0</v>
      </c>
      <c r="T47" cm="1">
        <f t="array" ref="T47">INDEX($A$6:$S$41, COLUMN(T3), ROW(T3))</f>
        <v>0</v>
      </c>
      <c r="U47" t="str" cm="1">
        <f t="array" ref="U47">INDEX($A$6:$S$41, COLUMN(U3), ROW(U3))</f>
        <v>CC</v>
      </c>
      <c r="V47" cm="1">
        <f t="array" ref="V47">INDEX($A$6:$S$41, COLUMN(V3), ROW(V3))</f>
        <v>4184961.5705066938</v>
      </c>
      <c r="W47" cm="1">
        <f t="array" ref="W47">INDEX($A$6:$S$41, COLUMN(W3), ROW(W3))</f>
        <v>178559.97804945856</v>
      </c>
      <c r="X47" cm="1">
        <f t="array" ref="X47">INDEX($A$6:$S$41, COLUMN(X3), ROW(X3))</f>
        <v>9453353.867336046</v>
      </c>
      <c r="Y47" cm="1">
        <f t="array" ref="Y47">INDEX($A$6:$S$41, COLUMN(Y3), ROW(Y3))</f>
        <v>282696.82772798021</v>
      </c>
      <c r="Z47" cm="1">
        <f t="array" ref="Z47">INDEX($A$6:$S$41, COLUMN(Z3), ROW(Z3))</f>
        <v>5040214.6657364862</v>
      </c>
      <c r="AA47" cm="1">
        <f t="array" ref="AA47">INDEX($A$6:$S$41, COLUMN(AA3), ROW(AA3))</f>
        <v>2536605.9131069495</v>
      </c>
      <c r="AB47" cm="1">
        <f t="array" ref="AB47">INDEX($A$6:$S$41, COLUMN(AB3), ROW(AB3))</f>
        <v>21676392.822463613</v>
      </c>
      <c r="AC47" cm="1">
        <f t="array" ref="AC47">INDEX($A$6:$S$41, COLUMN(AC3), ROW(AC3))</f>
        <v>0</v>
      </c>
      <c r="AD47" cm="1">
        <f t="array" ref="AD47">INDEX($A$6:$S$41, COLUMN(AD3), ROW(AD3))</f>
        <v>30041391.389522973</v>
      </c>
      <c r="AE47" cm="1">
        <f t="array" ref="AE47">INDEX($A$6:$S$41, COLUMN(AE3), ROW(AE3))</f>
        <v>1213893.2535842103</v>
      </c>
      <c r="AF47" cm="1">
        <f t="array" ref="AF47">INDEX($A$6:$S$41, COLUMN(AF3), ROW(AF3))</f>
        <v>66211328.53601519</v>
      </c>
      <c r="AG47" cm="1">
        <f t="array" ref="AG47">INDEX($A$6:$S$41, COLUMN(AG3), ROW(AG3))</f>
        <v>2030844.0690038134</v>
      </c>
      <c r="AH47" cm="1">
        <f t="array" ref="AH47">INDEX($A$6:$S$41, COLUMN(AH3), ROW(AH3))</f>
        <v>35111320.465493709</v>
      </c>
      <c r="AI47" cm="1">
        <f t="array" ref="AI47">INDEX($A$6:$S$41, COLUMN(AI3), ROW(AI3))</f>
        <v>23004476.301826946</v>
      </c>
      <c r="AJ47" cm="1">
        <f t="array" ref="AJ47">INDEX($A$6:$S$41, COLUMN(AJ3), ROW(AJ3))</f>
        <v>157613254.01544684</v>
      </c>
    </row>
    <row r="48" spans="1:36" x14ac:dyDescent="0.2">
      <c r="A48" t="str" cm="1">
        <f t="array" ref="A48">INDEX($A$6:$S$41, COLUMN(A4), ROW(A4))</f>
        <v>HTC</v>
      </c>
      <c r="B48" cm="1">
        <f t="array" ref="B48">INDEX($A$6:$S$41, COLUMN(B4), ROW(B4))</f>
        <v>0.24000977164894371</v>
      </c>
      <c r="C48" cm="1">
        <f t="array" ref="C48">INDEX($A$6:$S$41, COLUMN(C4), ROW(C4))</f>
        <v>2.2505513892008017E-2</v>
      </c>
      <c r="D48" cm="1">
        <f t="array" ref="D48">INDEX($A$6:$S$41, COLUMN(D4), ROW(D4))</f>
        <v>1.1595270350129754</v>
      </c>
      <c r="E48" cm="1">
        <f t="array" ref="E48">INDEX($A$6:$S$41, COLUMN(E4), ROW(E4))</f>
        <v>1.5936740860830974E-2</v>
      </c>
      <c r="F48" cm="1">
        <f t="array" ref="F48">INDEX($A$6:$S$41, COLUMN(F4), ROW(F4))</f>
        <v>0.5932402836427153</v>
      </c>
      <c r="G48" cm="1">
        <f t="array" ref="G48">INDEX($A$6:$S$41, COLUMN(G4), ROW(G4))</f>
        <v>0.13863426270986975</v>
      </c>
      <c r="H48" cm="1">
        <f t="array" ref="H48">INDEX($A$6:$S$41, COLUMN(H4), ROW(H4))</f>
        <v>2.1698536077673429</v>
      </c>
      <c r="I48" cm="1">
        <f t="array" ref="I48">INDEX($A$6:$S$41, COLUMN(I4), ROW(I4))</f>
        <v>0</v>
      </c>
      <c r="J48" cm="1">
        <f t="array" ref="J48">INDEX($A$6:$S$41, COLUMN(J4), ROW(J4))</f>
        <v>1.5948824818717946</v>
      </c>
      <c r="K48" cm="1">
        <f t="array" ref="K48">INDEX($A$6:$S$41, COLUMN(K4), ROW(K4))</f>
        <v>0.14162187715303648</v>
      </c>
      <c r="L48" cm="1">
        <f t="array" ref="L48">INDEX($A$6:$S$41, COLUMN(L4), ROW(L4))</f>
        <v>7.5056192072232335</v>
      </c>
      <c r="M48" cm="1">
        <f t="array" ref="M48">INDEX($A$6:$S$41, COLUMN(M4), ROW(M4))</f>
        <v>0.10608013710189394</v>
      </c>
      <c r="N48" cm="1">
        <f t="array" ref="N48">INDEX($A$6:$S$41, COLUMN(N4), ROW(N4))</f>
        <v>3.8120219298724982</v>
      </c>
      <c r="O48" cm="1">
        <f t="array" ref="O48">INDEX($A$6:$S$41, COLUMN(O4), ROW(O4))</f>
        <v>1.1661933118440464</v>
      </c>
      <c r="P48" cm="1">
        <f t="array" ref="P48">INDEX($A$6:$S$41, COLUMN(P4), ROW(P4))</f>
        <v>14.326418945066504</v>
      </c>
      <c r="Q48" cm="1">
        <f t="array" ref="Q48">INDEX($A$6:$S$41, COLUMN(Q4), ROW(Q4))</f>
        <v>0</v>
      </c>
      <c r="R48" cm="1">
        <f t="array" ref="R48">INDEX($A$6:$S$41, COLUMN(R4), ROW(R4))</f>
        <v>0</v>
      </c>
      <c r="S48" cm="1">
        <f t="array" ref="S48">INDEX($A$6:$S$41, COLUMN(S4), ROW(S4))</f>
        <v>0</v>
      </c>
      <c r="T48" cm="1">
        <f t="array" ref="T48">INDEX($A$6:$S$41, COLUMN(T4), ROW(T4))</f>
        <v>0</v>
      </c>
      <c r="U48" t="str" cm="1">
        <f t="array" ref="U48">INDEX($A$6:$S$41, COLUMN(U4), ROW(U4))</f>
        <v>HTC</v>
      </c>
      <c r="V48" cm="1">
        <f t="array" ref="V48">INDEX($A$6:$S$41, COLUMN(V4), ROW(V4))</f>
        <v>0.23504399757575303</v>
      </c>
      <c r="W48" cm="1">
        <f t="array" ref="W48">INDEX($A$6:$S$41, COLUMN(W4), ROW(W4))</f>
        <v>1.881730268919465E-2</v>
      </c>
      <c r="X48" cm="1">
        <f t="array" ref="X48">INDEX($A$6:$S$41, COLUMN(X4), ROW(X4))</f>
        <v>0.97324891575676786</v>
      </c>
      <c r="Y48" cm="1">
        <f t="array" ref="Y48">INDEX($A$6:$S$41, COLUMN(Y4), ROW(Y4))</f>
        <v>1.5679873082014274E-2</v>
      </c>
      <c r="Z48" cm="1">
        <f t="array" ref="Z48">INDEX($A$6:$S$41, COLUMN(Z4), ROW(Z4))</f>
        <v>0.50091452882176957</v>
      </c>
      <c r="AA48" cm="1">
        <f t="array" ref="AA48">INDEX($A$6:$S$41, COLUMN(AA4), ROW(AA4))</f>
        <v>0.13729920955586261</v>
      </c>
      <c r="AB48" cm="1">
        <f t="array" ref="AB48">INDEX($A$6:$S$41, COLUMN(AB4), ROW(AB4))</f>
        <v>1.8810038274813619</v>
      </c>
      <c r="AC48" cm="1">
        <f t="array" ref="AC48">INDEX($A$6:$S$41, COLUMN(AC4), ROW(AC4))</f>
        <v>0</v>
      </c>
      <c r="AD48" cm="1">
        <f t="array" ref="AD48">INDEX($A$6:$S$41, COLUMN(AD4), ROW(AD4))</f>
        <v>1.5670946206468297</v>
      </c>
      <c r="AE48" cm="1">
        <f t="array" ref="AE48">INDEX($A$6:$S$41, COLUMN(AE4), ROW(AE4))</f>
        <v>0.11942581275794356</v>
      </c>
      <c r="AF48" cm="1">
        <f t="array" ref="AF48">INDEX($A$6:$S$41, COLUMN(AF4), ROW(AF4))</f>
        <v>6.3542919288231854</v>
      </c>
      <c r="AG48" cm="1">
        <f t="array" ref="AG48">INDEX($A$6:$S$41, COLUMN(AG4), ROW(AG4))</f>
        <v>0.10467794643976416</v>
      </c>
      <c r="AH48" cm="1">
        <f t="array" ref="AH48">INDEX($A$6:$S$41, COLUMN(AH4), ROW(AH4))</f>
        <v>3.2467299283612077</v>
      </c>
      <c r="AI48" cm="1">
        <f t="array" ref="AI48">INDEX($A$6:$S$41, COLUMN(AI4), ROW(AI4))</f>
        <v>1.1576667164501453</v>
      </c>
      <c r="AJ48" cm="1">
        <f t="array" ref="AJ48">INDEX($A$6:$S$41, COLUMN(AJ4), ROW(AJ4))</f>
        <v>12.549886953479074</v>
      </c>
    </row>
    <row r="49" spans="1:36" x14ac:dyDescent="0.2">
      <c r="A49" t="str" cm="1">
        <f t="array" ref="A49">INDEX($A$6:$S$41, COLUMN(A5), ROW(A5))</f>
        <v>CED</v>
      </c>
      <c r="B49" cm="1">
        <f t="array" ref="B49">INDEX($A$6:$S$41, COLUMN(B5), ROW(B5))</f>
        <v>30261195.612423833</v>
      </c>
      <c r="C49" cm="1">
        <f t="array" ref="C49">INDEX($A$6:$S$41, COLUMN(C5), ROW(C5))</f>
        <v>2068804.3847254876</v>
      </c>
      <c r="D49" cm="1">
        <f t="array" ref="D49">INDEX($A$6:$S$41, COLUMN(D5), ROW(D5))</f>
        <v>107508015.20699281</v>
      </c>
      <c r="E49" cm="1">
        <f t="array" ref="E49">INDEX($A$6:$S$41, COLUMN(E5), ROW(E5))</f>
        <v>2026610.5627408056</v>
      </c>
      <c r="F49" cm="1">
        <f t="array" ref="F49">INDEX($A$6:$S$41, COLUMN(F5), ROW(F5))</f>
        <v>55752417.321601816</v>
      </c>
      <c r="G49" cm="1">
        <f t="array" ref="G49">INDEX($A$6:$S$41, COLUMN(G5), ROW(G5))</f>
        <v>17948110.529480413</v>
      </c>
      <c r="H49" cm="1">
        <f t="array" ref="H49">INDEX($A$6:$S$41, COLUMN(H5), ROW(H5))</f>
        <v>215565153.61796516</v>
      </c>
      <c r="I49" cm="1">
        <f t="array" ref="I49">INDEX($A$6:$S$41, COLUMN(I5), ROW(I5))</f>
        <v>0</v>
      </c>
      <c r="J49" cm="1">
        <f t="array" ref="J49">INDEX($A$6:$S$41, COLUMN(J5), ROW(J5))</f>
        <v>215760153.99717367</v>
      </c>
      <c r="K49" cm="1">
        <f t="array" ref="K49">INDEX($A$6:$S$41, COLUMN(K5), ROW(K5))</f>
        <v>13981956.05947406</v>
      </c>
      <c r="L49" cm="1">
        <f t="array" ref="L49">INDEX($A$6:$S$41, COLUMN(L5), ROW(L5))</f>
        <v>747795499.33710504</v>
      </c>
      <c r="M49" cm="1">
        <f t="array" ref="M49">INDEX($A$6:$S$41, COLUMN(M5), ROW(M5))</f>
        <v>14466911.644385671</v>
      </c>
      <c r="N49" cm="1">
        <f t="array" ref="N49">INDEX($A$6:$S$41, COLUMN(N5), ROW(N5))</f>
        <v>385188433.96731293</v>
      </c>
      <c r="O49" cm="1">
        <f t="array" ref="O49">INDEX($A$6:$S$41, COLUMN(O5), ROW(O5))</f>
        <v>161862035.16105512</v>
      </c>
      <c r="P49" cm="1">
        <f t="array" ref="P49">INDEX($A$6:$S$41, COLUMN(P5), ROW(P5))</f>
        <v>1539054990.1665065</v>
      </c>
      <c r="Q49" cm="1">
        <f t="array" ref="Q49">INDEX($A$6:$S$41, COLUMN(Q5), ROW(Q5))</f>
        <v>0</v>
      </c>
      <c r="R49" cm="1">
        <f t="array" ref="R49">INDEX($A$6:$S$41, COLUMN(R5), ROW(R5))</f>
        <v>0</v>
      </c>
      <c r="S49" cm="1">
        <f t="array" ref="S49">INDEX($A$6:$S$41, COLUMN(S5), ROW(S5))</f>
        <v>0</v>
      </c>
      <c r="T49" cm="1">
        <f t="array" ref="T49">INDEX($A$6:$S$41, COLUMN(T5), ROW(T5))</f>
        <v>0</v>
      </c>
      <c r="U49" t="str" cm="1">
        <f t="array" ref="U49">INDEX($A$6:$S$41, COLUMN(U5), ROW(U5))</f>
        <v>CED</v>
      </c>
      <c r="V49" cm="1">
        <f t="array" ref="V49">INDEX($A$6:$S$41, COLUMN(V5), ROW(V5))</f>
        <v>29794746.102495007</v>
      </c>
      <c r="W49" cm="1">
        <f t="array" ref="W49">INDEX($A$6:$S$41, COLUMN(W5), ROW(W5))</f>
        <v>1731863.145809737</v>
      </c>
      <c r="X49" cm="1">
        <f t="array" ref="X49">INDEX($A$6:$S$41, COLUMN(X5), ROW(X5))</f>
        <v>90489607.859138682</v>
      </c>
      <c r="Y49" cm="1">
        <f t="array" ref="Y49">INDEX($A$6:$S$41, COLUMN(Y5), ROW(Y5))</f>
        <v>2002267.562173306</v>
      </c>
      <c r="Z49" cm="1">
        <f t="array" ref="Z49">INDEX($A$6:$S$41, COLUMN(Z5), ROW(Z5))</f>
        <v>47315731.693303511</v>
      </c>
      <c r="AA49" cm="1">
        <f t="array" ref="AA49">INDEX($A$6:$S$41, COLUMN(AA5), ROW(AA5))</f>
        <v>17818193.669246513</v>
      </c>
      <c r="AB49" cm="1">
        <f t="array" ref="AB49">INDEX($A$6:$S$41, COLUMN(AB5), ROW(AB5))</f>
        <v>189152410.03216675</v>
      </c>
      <c r="AC49" cm="1">
        <f t="array" ref="AC49">INDEX($A$6:$S$41, COLUMN(AC5), ROW(AC5))</f>
        <v>0</v>
      </c>
      <c r="AD49" cm="1">
        <f t="array" ref="AD49">INDEX($A$6:$S$41, COLUMN(AD5), ROW(AD5))</f>
        <v>212996517.85612315</v>
      </c>
      <c r="AE49" cm="1">
        <f t="array" ref="AE49">INDEX($A$6:$S$41, COLUMN(AE5), ROW(AE5))</f>
        <v>11770939.871204009</v>
      </c>
      <c r="AF49" cm="1">
        <f t="array" ref="AF49">INDEX($A$6:$S$41, COLUMN(AF5), ROW(AF5))</f>
        <v>633103409.97334123</v>
      </c>
      <c r="AG49" cm="1">
        <f t="array" ref="AG49">INDEX($A$6:$S$41, COLUMN(AG5), ROW(AG5))</f>
        <v>14327536.363709638</v>
      </c>
      <c r="AH49" cm="1">
        <f t="array" ref="AH49">INDEX($A$6:$S$41, COLUMN(AH5), ROW(AH5))</f>
        <v>328878886.21879232</v>
      </c>
      <c r="AI49" cm="1">
        <f t="array" ref="AI49">INDEX($A$6:$S$41, COLUMN(AI5), ROW(AI5))</f>
        <v>161015764.20111027</v>
      </c>
      <c r="AJ49" cm="1">
        <f t="array" ref="AJ49">INDEX($A$6:$S$41, COLUMN(AJ5), ROW(AJ5))</f>
        <v>1362093054.4842806</v>
      </c>
    </row>
    <row r="50" spans="1:36" x14ac:dyDescent="0.2">
      <c r="A50" cm="1">
        <f t="array" ref="A50">INDEX($A$6:$S$41, COLUMN(A6), ROW(A6))</f>
        <v>0</v>
      </c>
      <c r="B50" cm="1">
        <f t="array" ref="B50">INDEX($A$6:$S$41, COLUMN(B6), ROW(B6))</f>
        <v>0</v>
      </c>
      <c r="C50" cm="1">
        <f t="array" ref="C50">INDEX($A$6:$S$41, COLUMN(C6), ROW(C6))</f>
        <v>0</v>
      </c>
      <c r="D50" cm="1">
        <f t="array" ref="D50">INDEX($A$6:$S$41, COLUMN(D6), ROW(D6))</f>
        <v>0</v>
      </c>
      <c r="E50" cm="1">
        <f t="array" ref="E50">INDEX($A$6:$S$41, COLUMN(E6), ROW(E6))</f>
        <v>0</v>
      </c>
      <c r="F50" cm="1">
        <f t="array" ref="F50">INDEX($A$6:$S$41, COLUMN(F6), ROW(F6))</f>
        <v>0</v>
      </c>
      <c r="G50" cm="1">
        <f t="array" ref="G50">INDEX($A$6:$S$41, COLUMN(G6), ROW(G6))</f>
        <v>0</v>
      </c>
      <c r="H50" cm="1">
        <f t="array" ref="H50">INDEX($A$6:$S$41, COLUMN(H6), ROW(H6))</f>
        <v>0</v>
      </c>
      <c r="I50" cm="1">
        <f t="array" ref="I50">INDEX($A$6:$S$41, COLUMN(I6), ROW(I6))</f>
        <v>0</v>
      </c>
      <c r="J50" cm="1">
        <f t="array" ref="J50">INDEX($A$6:$S$41, COLUMN(J6), ROW(J6))</f>
        <v>0</v>
      </c>
      <c r="K50" cm="1">
        <f t="array" ref="K50">INDEX($A$6:$S$41, COLUMN(K6), ROW(K6))</f>
        <v>0</v>
      </c>
      <c r="L50" cm="1">
        <f t="array" ref="L50">INDEX($A$6:$S$41, COLUMN(L6), ROW(L6))</f>
        <v>0</v>
      </c>
      <c r="M50" cm="1">
        <f t="array" ref="M50">INDEX($A$6:$S$41, COLUMN(M6), ROW(M6))</f>
        <v>0</v>
      </c>
      <c r="N50" cm="1">
        <f t="array" ref="N50">INDEX($A$6:$S$41, COLUMN(N6), ROW(N6))</f>
        <v>0</v>
      </c>
      <c r="O50" cm="1">
        <f t="array" ref="O50">INDEX($A$6:$S$41, COLUMN(O6), ROW(O6))</f>
        <v>0</v>
      </c>
      <c r="P50" cm="1">
        <f t="array" ref="P50">INDEX($A$6:$S$41, COLUMN(P6), ROW(P6))</f>
        <v>0</v>
      </c>
      <c r="Q50" cm="1">
        <f t="array" ref="Q50">INDEX($A$6:$S$41, COLUMN(Q6), ROW(Q6))</f>
        <v>0</v>
      </c>
      <c r="R50" cm="1">
        <f t="array" ref="R50">INDEX($A$6:$S$41, COLUMN(R6), ROW(R6))</f>
        <v>0</v>
      </c>
      <c r="S50" cm="1">
        <f t="array" ref="S50">INDEX($A$6:$S$41, COLUMN(S6), ROW(S6))</f>
        <v>0</v>
      </c>
      <c r="T50" cm="1">
        <f t="array" ref="T50">INDEX($A$6:$S$41, COLUMN(T6), ROW(T6))</f>
        <v>0</v>
      </c>
      <c r="U50" cm="1">
        <f t="array" ref="U50">INDEX($A$6:$S$41, COLUMN(U6), ROW(U6))</f>
        <v>0</v>
      </c>
      <c r="V50" cm="1">
        <f t="array" ref="V50">INDEX($A$6:$S$41, COLUMN(V6), ROW(V6))</f>
        <v>0</v>
      </c>
      <c r="W50" cm="1">
        <f t="array" ref="W50">INDEX($A$6:$S$41, COLUMN(W6), ROW(W6))</f>
        <v>0</v>
      </c>
      <c r="X50" cm="1">
        <f t="array" ref="X50">INDEX($A$6:$S$41, COLUMN(X6), ROW(X6))</f>
        <v>0</v>
      </c>
      <c r="Y50" cm="1">
        <f t="array" ref="Y50">INDEX($A$6:$S$41, COLUMN(Y6), ROW(Y6))</f>
        <v>0</v>
      </c>
      <c r="Z50" cm="1">
        <f t="array" ref="Z50">INDEX($A$6:$S$41, COLUMN(Z6), ROW(Z6))</f>
        <v>0</v>
      </c>
      <c r="AA50" cm="1">
        <f t="array" ref="AA50">INDEX($A$6:$S$41, COLUMN(AA6), ROW(AA6))</f>
        <v>0</v>
      </c>
      <c r="AB50" cm="1">
        <f t="array" ref="AB50">INDEX($A$6:$S$41, COLUMN(AB6), ROW(AB6))</f>
        <v>0</v>
      </c>
      <c r="AC50" cm="1">
        <f t="array" ref="AC50">INDEX($A$6:$S$41, COLUMN(AC6), ROW(AC6))</f>
        <v>0</v>
      </c>
      <c r="AD50" cm="1">
        <f t="array" ref="AD50">INDEX($A$6:$S$41, COLUMN(AD6), ROW(AD6))</f>
        <v>0</v>
      </c>
      <c r="AE50" cm="1">
        <f t="array" ref="AE50">INDEX($A$6:$S$41, COLUMN(AE6), ROW(AE6))</f>
        <v>0</v>
      </c>
      <c r="AF50" cm="1">
        <f t="array" ref="AF50">INDEX($A$6:$S$41, COLUMN(AF6), ROW(AF6))</f>
        <v>0</v>
      </c>
      <c r="AG50" cm="1">
        <f t="array" ref="AG50">INDEX($A$6:$S$41, COLUMN(AG6), ROW(AG6))</f>
        <v>0</v>
      </c>
      <c r="AH50" cm="1">
        <f t="array" ref="AH50">INDEX($A$6:$S$41, COLUMN(AH6), ROW(AH6))</f>
        <v>0</v>
      </c>
      <c r="AI50" cm="1">
        <f t="array" ref="AI50">INDEX($A$6:$S$41, COLUMN(AI6), ROW(AI6))</f>
        <v>0</v>
      </c>
      <c r="AJ50" cm="1">
        <f t="array" ref="AJ50">INDEX($A$6:$S$41, COLUMN(AJ6), ROW(AJ6))</f>
        <v>0</v>
      </c>
    </row>
    <row r="51" spans="1:36" x14ac:dyDescent="0.2">
      <c r="A51" cm="1">
        <f t="array" ref="A51">INDEX($A$6:$S$41, COLUMN(A7), ROW(A7))</f>
        <v>0</v>
      </c>
      <c r="B51" cm="1">
        <f t="array" ref="B51">INDEX($A$6:$S$41, COLUMN(B7), ROW(B7))</f>
        <v>2025</v>
      </c>
      <c r="C51" cm="1">
        <f t="array" ref="C51">INDEX($A$6:$S$41, COLUMN(C7), ROW(C7))</f>
        <v>0</v>
      </c>
      <c r="D51" cm="1">
        <f t="array" ref="D51">INDEX($A$6:$S$41, COLUMN(D7), ROW(D7))</f>
        <v>0</v>
      </c>
      <c r="E51" cm="1">
        <f t="array" ref="E51">INDEX($A$6:$S$41, COLUMN(E7), ROW(E7))</f>
        <v>0</v>
      </c>
      <c r="F51" cm="1">
        <f t="array" ref="F51">INDEX($A$6:$S$41, COLUMN(F7), ROW(F7))</f>
        <v>0</v>
      </c>
      <c r="G51" cm="1">
        <f t="array" ref="G51">INDEX($A$6:$S$41, COLUMN(G7), ROW(G7))</f>
        <v>0</v>
      </c>
      <c r="H51" cm="1">
        <f t="array" ref="H51">INDEX($A$6:$S$41, COLUMN(H7), ROW(H7))</f>
        <v>2030</v>
      </c>
      <c r="I51" cm="1">
        <f t="array" ref="I51">INDEX($A$6:$S$41, COLUMN(I7), ROW(I7))</f>
        <v>0</v>
      </c>
      <c r="J51" cm="1">
        <f t="array" ref="J51">INDEX($A$6:$S$41, COLUMN(J7), ROW(J7))</f>
        <v>0</v>
      </c>
      <c r="K51" cm="1">
        <f t="array" ref="K51">INDEX($A$6:$S$41, COLUMN(K7), ROW(K7))</f>
        <v>0</v>
      </c>
      <c r="L51" cm="1">
        <f t="array" ref="L51">INDEX($A$6:$S$41, COLUMN(L7), ROW(L7))</f>
        <v>0</v>
      </c>
      <c r="M51" cm="1">
        <f t="array" ref="M51">INDEX($A$6:$S$41, COLUMN(M7), ROW(M7))</f>
        <v>0</v>
      </c>
      <c r="N51" cm="1">
        <f t="array" ref="N51">INDEX($A$6:$S$41, COLUMN(N7), ROW(N7))</f>
        <v>2025</v>
      </c>
      <c r="O51" cm="1">
        <f t="array" ref="O51">INDEX($A$6:$S$41, COLUMN(O7), ROW(O7))</f>
        <v>2030</v>
      </c>
      <c r="P51" cm="1">
        <f t="array" ref="P51">INDEX($A$6:$S$41, COLUMN(P7), ROW(P7))</f>
        <v>0</v>
      </c>
      <c r="Q51" cm="1">
        <f t="array" ref="Q51">INDEX($A$6:$S$41, COLUMN(Q7), ROW(Q7))</f>
        <v>0</v>
      </c>
      <c r="R51" cm="1">
        <f t="array" ref="R51">INDEX($A$6:$S$41, COLUMN(R7), ROW(R7))</f>
        <v>0</v>
      </c>
      <c r="S51" cm="1">
        <f t="array" ref="S51">INDEX($A$6:$S$41, COLUMN(S7), ROW(S7))</f>
        <v>0</v>
      </c>
      <c r="T51" cm="1">
        <f t="array" ref="T51">INDEX($A$6:$S$41, COLUMN(T7), ROW(T7))</f>
        <v>0</v>
      </c>
      <c r="U51" cm="1">
        <f t="array" ref="U51">INDEX($A$6:$S$41, COLUMN(U7), ROW(U7))</f>
        <v>0</v>
      </c>
      <c r="V51" cm="1">
        <f t="array" ref="V51">INDEX($A$6:$S$41, COLUMN(V7), ROW(V7))</f>
        <v>2025</v>
      </c>
      <c r="W51" cm="1">
        <f t="array" ref="W51">INDEX($A$6:$S$41, COLUMN(W7), ROW(W7))</f>
        <v>0</v>
      </c>
      <c r="X51" cm="1">
        <f t="array" ref="X51">INDEX($A$6:$S$41, COLUMN(X7), ROW(X7))</f>
        <v>0</v>
      </c>
      <c r="Y51" cm="1">
        <f t="array" ref="Y51">INDEX($A$6:$S$41, COLUMN(Y7), ROW(Y7))</f>
        <v>0</v>
      </c>
      <c r="Z51" cm="1">
        <f t="array" ref="Z51">INDEX($A$6:$S$41, COLUMN(Z7), ROW(Z7))</f>
        <v>0</v>
      </c>
      <c r="AA51" cm="1">
        <f t="array" ref="AA51">INDEX($A$6:$S$41, COLUMN(AA7), ROW(AA7))</f>
        <v>0</v>
      </c>
      <c r="AB51" cm="1">
        <f t="array" ref="AB51">INDEX($A$6:$S$41, COLUMN(AB7), ROW(AB7))</f>
        <v>2030</v>
      </c>
      <c r="AC51" cm="1">
        <f t="array" ref="AC51">INDEX($A$6:$S$41, COLUMN(AC7), ROW(AC7))</f>
        <v>0</v>
      </c>
      <c r="AD51" cm="1">
        <f t="array" ref="AD51">INDEX($A$6:$S$41, COLUMN(AD7), ROW(AD7))</f>
        <v>0</v>
      </c>
      <c r="AE51" cm="1">
        <f t="array" ref="AE51">INDEX($A$6:$S$41, COLUMN(AE7), ROW(AE7))</f>
        <v>0</v>
      </c>
      <c r="AF51" cm="1">
        <f t="array" ref="AF51">INDEX($A$6:$S$41, COLUMN(AF7), ROW(AF7))</f>
        <v>0</v>
      </c>
      <c r="AG51" cm="1">
        <f t="array" ref="AG51">INDEX($A$6:$S$41, COLUMN(AG7), ROW(AG7))</f>
        <v>0</v>
      </c>
      <c r="AH51" cm="1">
        <f t="array" ref="AH51">INDEX($A$6:$S$41, COLUMN(AH7), ROW(AH7))</f>
        <v>2025</v>
      </c>
      <c r="AI51" cm="1">
        <f t="array" ref="AI51">INDEX($A$6:$S$41, COLUMN(AI7), ROW(AI7))</f>
        <v>2030</v>
      </c>
      <c r="AJ51" cm="1">
        <f t="array" ref="AJ51">INDEX($A$6:$S$41, COLUMN(AJ7), ROW(AJ7))</f>
        <v>0</v>
      </c>
    </row>
    <row r="52" spans="1:36" x14ac:dyDescent="0.2">
      <c r="A52" cm="1">
        <f t="array" ref="A52">INDEX($A$6:$S$41, COLUMN(A8), ROW(A8))</f>
        <v>0</v>
      </c>
      <c r="B52" t="str" cm="1">
        <f t="array" ref="B52">INDEX($A$6:$S$41, COLUMN(B8), ROW(B8))</f>
        <v>Gas</v>
      </c>
      <c r="C52" t="str" cm="1">
        <f t="array" ref="C52">INDEX($A$6:$S$41, COLUMN(C8), ROW(C8))</f>
        <v>Solid</v>
      </c>
      <c r="D52" t="str" cm="1">
        <f t="array" ref="D52">INDEX($A$6:$S$41, COLUMN(D8), ROW(D8))</f>
        <v>Solvent</v>
      </c>
      <c r="E52" t="str" cm="1">
        <f t="array" ref="E52">INDEX($A$6:$S$41, COLUMN(E8), ROW(E8))</f>
        <v>Water</v>
      </c>
      <c r="F52" cm="1">
        <f t="array" ref="F52">INDEX($A$6:$S$41, COLUMN(F8), ROW(F8))</f>
        <v>0</v>
      </c>
      <c r="G52" cm="1">
        <f t="array" ref="G52">INDEX($A$6:$S$41, COLUMN(G8), ROW(G8))</f>
        <v>0</v>
      </c>
      <c r="H52" t="str" cm="1">
        <f t="array" ref="H52">INDEX($A$6:$S$41, COLUMN(H8), ROW(H8))</f>
        <v>Gas</v>
      </c>
      <c r="I52" t="str" cm="1">
        <f t="array" ref="I52">INDEX($A$6:$S$41, COLUMN(I8), ROW(I8))</f>
        <v>Solid</v>
      </c>
      <c r="J52" t="str" cm="1">
        <f t="array" ref="J52">INDEX($A$6:$S$41, COLUMN(J8), ROW(J8))</f>
        <v>Solvent</v>
      </c>
      <c r="K52" t="str" cm="1">
        <f t="array" ref="K52">INDEX($A$6:$S$41, COLUMN(K8), ROW(K8))</f>
        <v>Water</v>
      </c>
      <c r="L52" cm="1">
        <f t="array" ref="L52">INDEX($A$6:$S$41, COLUMN(L8), ROW(L8))</f>
        <v>0</v>
      </c>
      <c r="M52" cm="1">
        <f t="array" ref="M52">INDEX($A$6:$S$41, COLUMN(M8), ROW(M8))</f>
        <v>0</v>
      </c>
      <c r="N52" cm="1">
        <f t="array" ref="N52">INDEX($A$6:$S$41, COLUMN(N8), ROW(N8))</f>
        <v>0</v>
      </c>
      <c r="O52" cm="1">
        <f t="array" ref="O52">INDEX($A$6:$S$41, COLUMN(O8), ROW(O8))</f>
        <v>0</v>
      </c>
      <c r="P52" cm="1">
        <f t="array" ref="P52">INDEX($A$6:$S$41, COLUMN(P8), ROW(P8))</f>
        <v>0</v>
      </c>
      <c r="Q52" cm="1">
        <f t="array" ref="Q52">INDEX($A$6:$S$41, COLUMN(Q8), ROW(Q8))</f>
        <v>0</v>
      </c>
      <c r="R52" cm="1">
        <f t="array" ref="R52">INDEX($A$6:$S$41, COLUMN(R8), ROW(R8))</f>
        <v>0</v>
      </c>
      <c r="S52" cm="1">
        <f t="array" ref="S52">INDEX($A$6:$S$41, COLUMN(S8), ROW(S8))</f>
        <v>0</v>
      </c>
      <c r="T52" cm="1">
        <f t="array" ref="T52">INDEX($A$6:$S$41, COLUMN(T8), ROW(T8))</f>
        <v>0</v>
      </c>
      <c r="U52" cm="1">
        <f t="array" ref="U52">INDEX($A$6:$S$41, COLUMN(U8), ROW(U8))</f>
        <v>0</v>
      </c>
      <c r="V52" t="str" cm="1">
        <f t="array" ref="V52">INDEX($A$6:$S$41, COLUMN(V8), ROW(V8))</f>
        <v>Gas</v>
      </c>
      <c r="W52" t="str" cm="1">
        <f t="array" ref="W52">INDEX($A$6:$S$41, COLUMN(W8), ROW(W8))</f>
        <v>Solid</v>
      </c>
      <c r="X52" t="str" cm="1">
        <f t="array" ref="X52">INDEX($A$6:$S$41, COLUMN(X8), ROW(X8))</f>
        <v>Solvent</v>
      </c>
      <c r="Y52" t="str" cm="1">
        <f t="array" ref="Y52">INDEX($A$6:$S$41, COLUMN(Y8), ROW(Y8))</f>
        <v>Water</v>
      </c>
      <c r="Z52" cm="1">
        <f t="array" ref="Z52">INDEX($A$6:$S$41, COLUMN(Z8), ROW(Z8))</f>
        <v>0</v>
      </c>
      <c r="AA52" cm="1">
        <f t="array" ref="AA52">INDEX($A$6:$S$41, COLUMN(AA8), ROW(AA8))</f>
        <v>0</v>
      </c>
      <c r="AB52" t="str" cm="1">
        <f t="array" ref="AB52">INDEX($A$6:$S$41, COLUMN(AB8), ROW(AB8))</f>
        <v>Gas</v>
      </c>
      <c r="AC52" t="str" cm="1">
        <f t="array" ref="AC52">INDEX($A$6:$S$41, COLUMN(AC8), ROW(AC8))</f>
        <v>Solid</v>
      </c>
      <c r="AD52" t="str" cm="1">
        <f t="array" ref="AD52">INDEX($A$6:$S$41, COLUMN(AD8), ROW(AD8))</f>
        <v>Solvent</v>
      </c>
      <c r="AE52" t="str" cm="1">
        <f t="array" ref="AE52">INDEX($A$6:$S$41, COLUMN(AE8), ROW(AE8))</f>
        <v>Water</v>
      </c>
      <c r="AF52" cm="1">
        <f t="array" ref="AF52">INDEX($A$6:$S$41, COLUMN(AF8), ROW(AF8))</f>
        <v>0</v>
      </c>
      <c r="AG52" cm="1">
        <f t="array" ref="AG52">INDEX($A$6:$S$41, COLUMN(AG8), ROW(AG8))</f>
        <v>0</v>
      </c>
      <c r="AH52" cm="1">
        <f t="array" ref="AH52">INDEX($A$6:$S$41, COLUMN(AH8), ROW(AH8))</f>
        <v>0</v>
      </c>
      <c r="AI52" cm="1">
        <f t="array" ref="AI52">INDEX($A$6:$S$41, COLUMN(AI8), ROW(AI8))</f>
        <v>0</v>
      </c>
      <c r="AJ52" cm="1">
        <f t="array" ref="AJ52">INDEX($A$6:$S$41, COLUMN(AJ8), ROW(AJ8))</f>
        <v>0</v>
      </c>
    </row>
    <row r="53" spans="1:36" x14ac:dyDescent="0.2">
      <c r="A53" t="str" cm="1">
        <f t="array" ref="A53">INDEX($A$6:$S$41, COLUMN(A9), ROW(A9))</f>
        <v>CC</v>
      </c>
      <c r="B53" cm="1">
        <f t="array" ref="B53">INDEX($A$6:$S$41, COLUMN(B9), ROW(B9))</f>
        <v>6.5047027620610542E-2</v>
      </c>
      <c r="C53" cm="1">
        <f t="array" ref="C53">INDEX($A$6:$S$41, COLUMN(C9), ROW(C9))</f>
        <v>7.7107401812720328E-2</v>
      </c>
      <c r="D53" cm="1">
        <f t="array" ref="D53">INDEX($A$6:$S$41, COLUMN(D9), ROW(D9))</f>
        <v>7.7711305474651402</v>
      </c>
      <c r="E53" cm="1">
        <f t="array" ref="E53">INDEX($A$6:$S$41, COLUMN(E9), ROW(E9))</f>
        <v>15.942794304054965</v>
      </c>
      <c r="F53" cm="1">
        <f t="array" ref="F53">INDEX($A$6:$S$41, COLUMN(F9), ROW(F9))</f>
        <v>23.856079280953438</v>
      </c>
      <c r="G53" cm="1">
        <f t="array" ref="G53">INDEX($A$6:$S$41, COLUMN(G9), ROW(G9))</f>
        <v>0</v>
      </c>
      <c r="H53" cm="1">
        <f t="array" ref="H53">INDEX($A$6:$S$41, COLUMN(H9), ROW(H9))</f>
        <v>0.45877704937651487</v>
      </c>
      <c r="I53" cm="1">
        <f t="array" ref="I53">INDEX($A$6:$S$41, COLUMN(I9), ROW(I9))</f>
        <v>0.59201998667365308</v>
      </c>
      <c r="J53" cm="1">
        <f t="array" ref="J53">INDEX($A$6:$S$41, COLUMN(J9), ROW(J9))</f>
        <v>60.689713385910096</v>
      </c>
      <c r="K53" cm="1">
        <f t="array" ref="K53">INDEX($A$6:$S$41, COLUMN(K9), ROW(K9))</f>
        <v>110.09132836975174</v>
      </c>
      <c r="L53" cm="1">
        <f t="array" ref="L53">INDEX($A$6:$S$41, COLUMN(L9), ROW(L9))</f>
        <v>171.83183879171202</v>
      </c>
      <c r="M53" cm="1">
        <f t="array" ref="M53">INDEX($A$6:$S$41, COLUMN(M9), ROW(M9))</f>
        <v>0</v>
      </c>
      <c r="N53" cm="1">
        <f t="array" ref="N53">INDEX($A$6:$S$41, COLUMN(N9), ROW(N9))</f>
        <v>23.856079280953438</v>
      </c>
      <c r="O53" cm="1">
        <f t="array" ref="O53">INDEX($A$6:$S$41, COLUMN(O9), ROW(O9))</f>
        <v>171.83183879171202</v>
      </c>
      <c r="P53" cm="1">
        <f t="array" ref="P53">INDEX($A$6:$S$41, COLUMN(P9), ROW(P9))</f>
        <v>0</v>
      </c>
      <c r="Q53" cm="1">
        <f t="array" ref="Q53">INDEX($A$6:$S$41, COLUMN(Q9), ROW(Q9))</f>
        <v>0</v>
      </c>
      <c r="R53" cm="1">
        <f t="array" ref="R53">INDEX($A$6:$S$41, COLUMN(R9), ROW(R9))</f>
        <v>0</v>
      </c>
      <c r="S53" cm="1">
        <f t="array" ref="S53">INDEX($A$6:$S$41, COLUMN(S9), ROW(S9))</f>
        <v>0</v>
      </c>
      <c r="T53" cm="1">
        <f t="array" ref="T53">INDEX($A$6:$S$41, COLUMN(T9), ROW(T9))</f>
        <v>0</v>
      </c>
      <c r="U53" t="str" cm="1">
        <f t="array" ref="U53">INDEX($A$6:$S$41, COLUMN(U9), ROW(U9))</f>
        <v>CC</v>
      </c>
      <c r="V53" cm="1">
        <f t="array" ref="V53">INDEX($A$6:$S$41, COLUMN(V9), ROW(V9))</f>
        <v>6.4946084138085877E-2</v>
      </c>
      <c r="W53" cm="1">
        <f t="array" ref="W53">INDEX($A$6:$S$41, COLUMN(W9), ROW(W9))</f>
        <v>7.6988335910213979E-2</v>
      </c>
      <c r="X53" cm="1">
        <f t="array" ref="X53">INDEX($A$6:$S$41, COLUMN(X9), ROW(X9))</f>
        <v>7.7591649019033371</v>
      </c>
      <c r="Y53" cm="1">
        <f t="array" ref="Y53">INDEX($A$6:$S$41, COLUMN(Y9), ROW(Y9))</f>
        <v>13.775293500511982</v>
      </c>
      <c r="Z53" cm="1">
        <f t="array" ref="Z53">INDEX($A$6:$S$41, COLUMN(Z9), ROW(Z9))</f>
        <v>21.676392822463619</v>
      </c>
      <c r="AA53" cm="1">
        <f t="array" ref="AA53">INDEX($A$6:$S$41, COLUMN(AA9), ROW(AA9))</f>
        <v>0</v>
      </c>
      <c r="AB53" cm="1">
        <f t="array" ref="AB53">INDEX($A$6:$S$41, COLUMN(AB9), ROW(AB9))</f>
        <v>0.45881366389006073</v>
      </c>
      <c r="AC53" cm="1">
        <f t="array" ref="AC53">INDEX($A$6:$S$41, COLUMN(AC9), ROW(AC9))</f>
        <v>0.59206574672782575</v>
      </c>
      <c r="AD53" cm="1">
        <f t="array" ref="AD53">INDEX($A$6:$S$41, COLUMN(AD9), ROW(AD9))</f>
        <v>60.694399575525146</v>
      </c>
      <c r="AE53" cm="1">
        <f t="array" ref="AE53">INDEX($A$6:$S$41, COLUMN(AE9), ROW(AE9))</f>
        <v>95.867975029303807</v>
      </c>
      <c r="AF53" cm="1">
        <f t="array" ref="AF53">INDEX($A$6:$S$41, COLUMN(AF9), ROW(AF9))</f>
        <v>157.61325401544684</v>
      </c>
      <c r="AG53" cm="1">
        <f t="array" ref="AG53">INDEX($A$6:$S$41, COLUMN(AG9), ROW(AG9))</f>
        <v>0</v>
      </c>
      <c r="AH53" cm="1">
        <f t="array" ref="AH53">INDEX($A$6:$S$41, COLUMN(AH9), ROW(AH9))</f>
        <v>21.676392822463619</v>
      </c>
      <c r="AI53" cm="1">
        <f t="array" ref="AI53">INDEX($A$6:$S$41, COLUMN(AI9), ROW(AI9))</f>
        <v>157.61325401544684</v>
      </c>
      <c r="AJ53" cm="1">
        <f t="array" ref="AJ53">INDEX($A$6:$S$41, COLUMN(AJ9), ROW(AJ9))</f>
        <v>0</v>
      </c>
    </row>
    <row r="54" spans="1:36" x14ac:dyDescent="0.2">
      <c r="A54" t="str" cm="1">
        <f t="array" ref="A54">INDEX($A$6:$S$41, COLUMN(A10), ROW(A10))</f>
        <v>CC</v>
      </c>
      <c r="B54" cm="1">
        <f t="array" ref="B54">INDEX($A$6:$S$41, COLUMN(B10), ROW(B10))</f>
        <v>6.3929235832451805E-3</v>
      </c>
      <c r="C54" cm="1">
        <f t="array" ref="C54">INDEX($A$6:$S$41, COLUMN(C10), ROW(C10))</f>
        <v>7.5800997049840536E-3</v>
      </c>
      <c r="D54" cm="1">
        <f t="array" ref="D54">INDEX($A$6:$S$41, COLUMN(D10), ROW(D10))</f>
        <v>0.76360160806749422</v>
      </c>
      <c r="E54" cm="1">
        <f t="array" ref="E54">INDEX($A$6:$S$41, COLUMN(E10), ROW(E10))</f>
        <v>1.5678221274253372</v>
      </c>
      <c r="F54" cm="1">
        <f t="array" ref="F54">INDEX($A$6:$S$41, COLUMN(F10), ROW(F10))</f>
        <v>2.3453967587810607</v>
      </c>
      <c r="G54" cm="1">
        <f t="array" ref="G54">INDEX($A$6:$S$41, COLUMN(G10), ROW(G10))</f>
        <v>0</v>
      </c>
      <c r="H54" cm="1">
        <f t="array" ref="H54">INDEX($A$6:$S$41, COLUMN(H10), ROW(H10))</f>
        <v>5.1149154593400775E-2</v>
      </c>
      <c r="I54" cm="1">
        <f t="array" ref="I54">INDEX($A$6:$S$41, COLUMN(I10), ROW(I10))</f>
        <v>6.6001954388998071E-2</v>
      </c>
      <c r="J54" cm="1">
        <f t="array" ref="J54">INDEX($A$6:$S$41, COLUMN(J10), ROW(J10))</f>
        <v>6.7136090562414621</v>
      </c>
      <c r="K54" cm="1">
        <f t="array" ref="K54">INDEX($A$6:$S$41, COLUMN(K10), ROW(K10))</f>
        <v>12.434547805050322</v>
      </c>
      <c r="L54" cm="1">
        <f t="array" ref="L54">INDEX($A$6:$S$41, COLUMN(L10), ROW(L10))</f>
        <v>19.265307970274183</v>
      </c>
      <c r="M54" cm="1">
        <f t="array" ref="M54">INDEX($A$6:$S$41, COLUMN(M10), ROW(M10))</f>
        <v>0</v>
      </c>
      <c r="N54" cm="1">
        <f t="array" ref="N54">INDEX($A$6:$S$41, COLUMN(N10), ROW(N10))</f>
        <v>2.3453967587810607</v>
      </c>
      <c r="O54" cm="1">
        <f t="array" ref="O54">INDEX($A$6:$S$41, COLUMN(O10), ROW(O10))</f>
        <v>19.265307970274183</v>
      </c>
      <c r="P54" cm="1">
        <f t="array" ref="P54">INDEX($A$6:$S$41, COLUMN(P10), ROW(P10))</f>
        <v>0</v>
      </c>
      <c r="Q54" cm="1">
        <f t="array" ref="Q54">INDEX($A$6:$S$41, COLUMN(Q10), ROW(Q10))</f>
        <v>0</v>
      </c>
      <c r="R54" cm="1">
        <f t="array" ref="R54">INDEX($A$6:$S$41, COLUMN(R10), ROW(R10))</f>
        <v>0</v>
      </c>
      <c r="S54" cm="1">
        <f t="array" ref="S54">INDEX($A$6:$S$41, COLUMN(S10), ROW(S10))</f>
        <v>0</v>
      </c>
      <c r="T54" cm="1">
        <f t="array" ref="T54">INDEX($A$6:$S$41, COLUMN(T10), ROW(T10))</f>
        <v>0</v>
      </c>
      <c r="U54" t="str" cm="1">
        <f t="array" ref="U54">INDEX($A$6:$S$41, COLUMN(U10), ROW(U10))</f>
        <v>CC</v>
      </c>
      <c r="V54" cm="1">
        <f t="array" ref="V54">INDEX($A$6:$S$41, COLUMN(V10), ROW(V10))</f>
        <v>6.2352594179679579E-3</v>
      </c>
      <c r="W54" cm="1">
        <f t="array" ref="W54">INDEX($A$6:$S$41, COLUMN(W10), ROW(W10))</f>
        <v>7.3937633512106441E-3</v>
      </c>
      <c r="X54" cm="1">
        <f t="array" ref="X54">INDEX($A$6:$S$41, COLUMN(X10), ROW(X10))</f>
        <v>0.7448608875431606</v>
      </c>
      <c r="Y54" cm="1">
        <f t="array" ref="Y54">INDEX($A$6:$S$41, COLUMN(Y10), ROW(Y10))</f>
        <v>1.3230637504146525</v>
      </c>
      <c r="Z54" cm="1">
        <f t="array" ref="Z54">INDEX($A$6:$S$41, COLUMN(Z10), ROW(Z10))</f>
        <v>2.0815536607269918</v>
      </c>
      <c r="AA54" cm="1">
        <f t="array" ref="AA54">INDEX($A$6:$S$41, COLUMN(AA10), ROW(AA10))</f>
        <v>0</v>
      </c>
      <c r="AB54" cm="1">
        <f t="array" ref="AB54">INDEX($A$6:$S$41, COLUMN(AB10), ROW(AB10))</f>
        <v>5.1420869640990373E-2</v>
      </c>
      <c r="AC54" cm="1">
        <f t="array" ref="AC54">INDEX($A$6:$S$41, COLUMN(AC10), ROW(AC10))</f>
        <v>6.6359849879092769E-2</v>
      </c>
      <c r="AD54" cm="1">
        <f t="array" ref="AD54">INDEX($A$6:$S$41, COLUMN(AD10), ROW(AD10))</f>
        <v>6.7499898439258317</v>
      </c>
      <c r="AE54" cm="1">
        <f t="array" ref="AE54">INDEX($A$6:$S$41, COLUMN(AE10), ROW(AE10))</f>
        <v>10.865668818387549</v>
      </c>
      <c r="AF54" cm="1">
        <f t="array" ref="AF54">INDEX($A$6:$S$41, COLUMN(AF10), ROW(AF10))</f>
        <v>17.733439381833463</v>
      </c>
      <c r="AG54" cm="1">
        <f t="array" ref="AG54">INDEX($A$6:$S$41, COLUMN(AG10), ROW(AG10))</f>
        <v>0</v>
      </c>
      <c r="AH54" cm="1">
        <f t="array" ref="AH54">INDEX($A$6:$S$41, COLUMN(AH10), ROW(AH10))</f>
        <v>2.0815536607269918</v>
      </c>
      <c r="AI54" cm="1">
        <f t="array" ref="AI54">INDEX($A$6:$S$41, COLUMN(AI10), ROW(AI10))</f>
        <v>17.733439381833463</v>
      </c>
      <c r="AJ54" cm="1">
        <f t="array" ref="AJ54">INDEX($A$6:$S$41, COLUMN(AJ10), ROW(AJ10))</f>
        <v>0</v>
      </c>
    </row>
    <row r="55" spans="1:36" x14ac:dyDescent="0.2">
      <c r="A55" cm="1">
        <f t="array" ref="A55">INDEX($A$6:$S$41, COLUMN(A11), ROW(A11))</f>
        <v>0</v>
      </c>
      <c r="B55" cm="1">
        <f t="array" ref="B55">INDEX($A$6:$S$41, COLUMN(B11), ROW(B11))</f>
        <v>2.7266436724388207E-3</v>
      </c>
      <c r="C55" cm="1">
        <f t="array" ref="C55">INDEX($A$6:$S$41, COLUMN(C11), ROW(C11))</f>
        <v>3.2321908769930379E-3</v>
      </c>
      <c r="D55" cm="1">
        <f t="array" ref="D55">INDEX($A$6:$S$41, COLUMN(D11), ROW(D11))</f>
        <v>0.32575053326845571</v>
      </c>
      <c r="E55" cm="1">
        <f t="array" ref="E55">INDEX($A$6:$S$41, COLUMN(E11), ROW(E11))</f>
        <v>0.66829063218211238</v>
      </c>
      <c r="F55" cm="1">
        <f t="array" ref="F55">INDEX($A$6:$S$41, COLUMN(F11), ROW(F11))</f>
        <v>0</v>
      </c>
      <c r="G55" cm="1">
        <f t="array" ref="G55">INDEX($A$6:$S$41, COLUMN(G11), ROW(G11))</f>
        <v>0</v>
      </c>
      <c r="H55" cm="1">
        <f t="array" ref="H55">INDEX($A$6:$S$41, COLUMN(H11), ROW(H11))</f>
        <v>2.6699187566317489E-3</v>
      </c>
      <c r="I55" cm="1">
        <f t="array" ref="I55">INDEX($A$6:$S$41, COLUMN(I11), ROW(I11))</f>
        <v>3.4453451166944508E-3</v>
      </c>
      <c r="J55" cm="1">
        <f t="array" ref="J55">INDEX($A$6:$S$41, COLUMN(J11), ROW(J11))</f>
        <v>0.35319248058257613</v>
      </c>
      <c r="K55" cm="1">
        <f t="array" ref="K55">INDEX($A$6:$S$41, COLUMN(K11), ROW(K11))</f>
        <v>0.64069225554409759</v>
      </c>
      <c r="L55" cm="1">
        <f t="array" ref="L55">INDEX($A$6:$S$41, COLUMN(L11), ROW(L11))</f>
        <v>0</v>
      </c>
      <c r="M55" cm="1">
        <f t="array" ref="M55">INDEX($A$6:$S$41, COLUMN(M11), ROW(M11))</f>
        <v>0</v>
      </c>
      <c r="N55" cm="1">
        <f t="array" ref="N55">INDEX($A$6:$S$41, COLUMN(N11), ROW(N11))</f>
        <v>0</v>
      </c>
      <c r="O55" cm="1">
        <f t="array" ref="O55">INDEX($A$6:$S$41, COLUMN(O11), ROW(O11))</f>
        <v>0</v>
      </c>
      <c r="P55" cm="1">
        <f t="array" ref="P55">INDEX($A$6:$S$41, COLUMN(P11), ROW(P11))</f>
        <v>0</v>
      </c>
      <c r="Q55" cm="1">
        <f t="array" ref="Q55">INDEX($A$6:$S$41, COLUMN(Q11), ROW(Q11))</f>
        <v>0</v>
      </c>
      <c r="R55" cm="1">
        <f t="array" ref="R55">INDEX($A$6:$S$41, COLUMN(R11), ROW(R11))</f>
        <v>0</v>
      </c>
      <c r="S55" cm="1">
        <f t="array" ref="S55">INDEX($A$6:$S$41, COLUMN(S11), ROW(S11))</f>
        <v>0</v>
      </c>
      <c r="T55" cm="1">
        <f t="array" ref="T55">INDEX($A$6:$S$41, COLUMN(T11), ROW(T11))</f>
        <v>0</v>
      </c>
      <c r="U55" cm="1">
        <f t="array" ref="U55">INDEX($A$6:$S$41, COLUMN(U11), ROW(U11))</f>
        <v>0</v>
      </c>
      <c r="V55" cm="1">
        <f t="array" ref="V55">INDEX($A$6:$S$41, COLUMN(V11), ROW(V11))</f>
        <v>2.9961665979212708E-3</v>
      </c>
      <c r="W55" cm="1">
        <f t="array" ref="W55">INDEX($A$6:$S$41, COLUMN(W11), ROW(W11))</f>
        <v>3.5517134488552747E-3</v>
      </c>
      <c r="X55" cm="1">
        <f t="array" ref="X55">INDEX($A$6:$S$41, COLUMN(X11), ROW(X11))</f>
        <v>0.35795461751654456</v>
      </c>
      <c r="Y55" cm="1">
        <f t="array" ref="Y55">INDEX($A$6:$S$41, COLUMN(Y11), ROW(Y11))</f>
        <v>0.63549750243667891</v>
      </c>
      <c r="Z55" cm="1">
        <f t="array" ref="Z55">INDEX($A$6:$S$41, COLUMN(Z11), ROW(Z11))</f>
        <v>0</v>
      </c>
      <c r="AA55" cm="1">
        <f t="array" ref="AA55">INDEX($A$6:$S$41, COLUMN(AA11), ROW(AA11))</f>
        <v>0</v>
      </c>
      <c r="AB55" cm="1">
        <f t="array" ref="AB55">INDEX($A$6:$S$41, COLUMN(AB11), ROW(AB11))</f>
        <v>2.9110093992799286E-3</v>
      </c>
      <c r="AC55" cm="1">
        <f t="array" ref="AC55">INDEX($A$6:$S$41, COLUMN(AC11), ROW(AC11))</f>
        <v>3.7564464386339014E-3</v>
      </c>
      <c r="AD55" cm="1">
        <f t="array" ref="AD55">INDEX($A$6:$S$41, COLUMN(AD11), ROW(AD11))</f>
        <v>0.3850843633339161</v>
      </c>
      <c r="AE55" cm="1">
        <f t="array" ref="AE55">INDEX($A$6:$S$41, COLUMN(AE11), ROW(AE11))</f>
        <v>0.60824818082817</v>
      </c>
      <c r="AF55" cm="1">
        <f t="array" ref="AF55">INDEX($A$6:$S$41, COLUMN(AF11), ROW(AF11))</f>
        <v>0</v>
      </c>
      <c r="AG55" cm="1">
        <f t="array" ref="AG55">INDEX($A$6:$S$41, COLUMN(AG11), ROW(AG11))</f>
        <v>0</v>
      </c>
      <c r="AH55" cm="1">
        <f t="array" ref="AH55">INDEX($A$6:$S$41, COLUMN(AH11), ROW(AH11))</f>
        <v>0</v>
      </c>
      <c r="AI55" cm="1">
        <f t="array" ref="AI55">INDEX($A$6:$S$41, COLUMN(AI11), ROW(AI11))</f>
        <v>0</v>
      </c>
      <c r="AJ55" cm="1">
        <f t="array" ref="AJ55">INDEX($A$6:$S$41, COLUMN(AJ11), ROW(AJ11))</f>
        <v>0</v>
      </c>
    </row>
    <row r="56" spans="1:36" x14ac:dyDescent="0.2">
      <c r="A56" cm="1">
        <f t="array" ref="A56">INDEX($A$6:$S$41, COLUMN(A12), ROW(A12))</f>
        <v>0</v>
      </c>
      <c r="B56" cm="1">
        <f t="array" ref="B56">INDEX($A$6:$S$41, COLUMN(B12), ROW(B12))</f>
        <v>0</v>
      </c>
      <c r="C56" cm="1">
        <f t="array" ref="C56">INDEX($A$6:$S$41, COLUMN(C12), ROW(C12))</f>
        <v>0</v>
      </c>
      <c r="D56" cm="1">
        <f t="array" ref="D56">INDEX($A$6:$S$41, COLUMN(D12), ROW(D12))</f>
        <v>0</v>
      </c>
      <c r="E56" cm="1">
        <f t="array" ref="E56">INDEX($A$6:$S$41, COLUMN(E12), ROW(E12))</f>
        <v>0</v>
      </c>
      <c r="F56" cm="1">
        <f t="array" ref="F56">INDEX($A$6:$S$41, COLUMN(F12), ROW(F12))</f>
        <v>0</v>
      </c>
      <c r="G56" cm="1">
        <f t="array" ref="G56">INDEX($A$6:$S$41, COLUMN(G12), ROW(G12))</f>
        <v>0</v>
      </c>
      <c r="H56" cm="1">
        <f t="array" ref="H56">INDEX($A$6:$S$41, COLUMN(H12), ROW(H12))</f>
        <v>0</v>
      </c>
      <c r="I56" cm="1">
        <f t="array" ref="I56">INDEX($A$6:$S$41, COLUMN(I12), ROW(I12))</f>
        <v>0</v>
      </c>
      <c r="J56" cm="1">
        <f t="array" ref="J56">INDEX($A$6:$S$41, COLUMN(J12), ROW(J12))</f>
        <v>0</v>
      </c>
      <c r="K56" cm="1">
        <f t="array" ref="K56">INDEX($A$6:$S$41, COLUMN(K12), ROW(K12))</f>
        <v>0</v>
      </c>
      <c r="L56" cm="1">
        <f t="array" ref="L56">INDEX($A$6:$S$41, COLUMN(L12), ROW(L12))</f>
        <v>0</v>
      </c>
      <c r="M56" cm="1">
        <f t="array" ref="M56">INDEX($A$6:$S$41, COLUMN(M12), ROW(M12))</f>
        <v>0</v>
      </c>
      <c r="N56" cm="1">
        <f t="array" ref="N56">INDEX($A$6:$S$41, COLUMN(N12), ROW(N12))</f>
        <v>0</v>
      </c>
      <c r="O56" cm="1">
        <f t="array" ref="O56">INDEX($A$6:$S$41, COLUMN(O12), ROW(O12))</f>
        <v>0</v>
      </c>
      <c r="P56" cm="1">
        <f t="array" ref="P56">INDEX($A$6:$S$41, COLUMN(P12), ROW(P12))</f>
        <v>0</v>
      </c>
      <c r="Q56" cm="1">
        <f t="array" ref="Q56">INDEX($A$6:$S$41, COLUMN(Q12), ROW(Q12))</f>
        <v>0</v>
      </c>
      <c r="R56" cm="1">
        <f t="array" ref="R56">INDEX($A$6:$S$41, COLUMN(R12), ROW(R12))</f>
        <v>0</v>
      </c>
      <c r="S56" cm="1">
        <f t="array" ref="S56">INDEX($A$6:$S$41, COLUMN(S12), ROW(S12))</f>
        <v>0</v>
      </c>
      <c r="T56" cm="1">
        <f t="array" ref="T56">INDEX($A$6:$S$41, COLUMN(T12), ROW(T12))</f>
        <v>0</v>
      </c>
      <c r="U56" cm="1">
        <f t="array" ref="U56">INDEX($A$6:$S$41, COLUMN(U12), ROW(U12))</f>
        <v>0</v>
      </c>
      <c r="V56" cm="1">
        <f t="array" ref="V56">INDEX($A$6:$S$41, COLUMN(V12), ROW(V12))</f>
        <v>0</v>
      </c>
      <c r="W56" cm="1">
        <f t="array" ref="W56">INDEX($A$6:$S$41, COLUMN(W12), ROW(W12))</f>
        <v>0</v>
      </c>
      <c r="X56" cm="1">
        <f t="array" ref="X56">INDEX($A$6:$S$41, COLUMN(X12), ROW(X12))</f>
        <v>0</v>
      </c>
      <c r="Y56" cm="1">
        <f t="array" ref="Y56">INDEX($A$6:$S$41, COLUMN(Y12), ROW(Y12))</f>
        <v>0</v>
      </c>
      <c r="Z56" cm="1">
        <f t="array" ref="Z56">INDEX($A$6:$S$41, COLUMN(Z12), ROW(Z12))</f>
        <v>0</v>
      </c>
      <c r="AA56" cm="1">
        <f t="array" ref="AA56">INDEX($A$6:$S$41, COLUMN(AA12), ROW(AA12))</f>
        <v>0</v>
      </c>
      <c r="AB56" cm="1">
        <f t="array" ref="AB56">INDEX($A$6:$S$41, COLUMN(AB12), ROW(AB12))</f>
        <v>0</v>
      </c>
      <c r="AC56" cm="1">
        <f t="array" ref="AC56">INDEX($A$6:$S$41, COLUMN(AC12), ROW(AC12))</f>
        <v>0</v>
      </c>
      <c r="AD56" cm="1">
        <f t="array" ref="AD56">INDEX($A$6:$S$41, COLUMN(AD12), ROW(AD12))</f>
        <v>0</v>
      </c>
      <c r="AE56" cm="1">
        <f t="array" ref="AE56">INDEX($A$6:$S$41, COLUMN(AE12), ROW(AE12))</f>
        <v>0</v>
      </c>
      <c r="AF56" cm="1">
        <f t="array" ref="AF56">INDEX($A$6:$S$41, COLUMN(AF12), ROW(AF12))</f>
        <v>0</v>
      </c>
      <c r="AG56" cm="1">
        <f t="array" ref="AG56">INDEX($A$6:$S$41, COLUMN(AG12), ROW(AG12))</f>
        <v>0</v>
      </c>
      <c r="AH56" cm="1">
        <f t="array" ref="AH56">INDEX($A$6:$S$41, COLUMN(AH12), ROW(AH12))</f>
        <v>0</v>
      </c>
      <c r="AI56" cm="1">
        <f t="array" ref="AI56">INDEX($A$6:$S$41, COLUMN(AI12), ROW(AI12))</f>
        <v>0</v>
      </c>
      <c r="AJ56" cm="1">
        <f t="array" ref="AJ56">INDEX($A$6:$S$41, COLUMN(AJ12), ROW(AJ12))</f>
        <v>0</v>
      </c>
    </row>
    <row r="57" spans="1:36" x14ac:dyDescent="0.2">
      <c r="A57" t="str" cm="1">
        <f t="array" ref="A57">INDEX($A$6:$S$41, COLUMN(A13), ROW(A13))</f>
        <v>HTC</v>
      </c>
      <c r="B57" cm="1">
        <f t="array" ref="B57">INDEX($A$6:$S$41, COLUMN(B13), ROW(B13))</f>
        <v>5.3157365372624764E-3</v>
      </c>
      <c r="C57" cm="1">
        <f t="array" ref="C57">INDEX($A$6:$S$41, COLUMN(C13), ROW(C13))</f>
        <v>6.3012437997305992E-3</v>
      </c>
      <c r="D57" cm="1">
        <f t="array" ref="D57">INDEX($A$6:$S$41, COLUMN(D13), ROW(D13))</f>
        <v>0.40965925390451885</v>
      </c>
      <c r="E57" cm="1">
        <f t="array" ref="E57">INDEX($A$6:$S$41, COLUMN(E13), ROW(E13))</f>
        <v>1.7485773735258312</v>
      </c>
      <c r="F57" cm="1">
        <f t="array" ref="F57">INDEX($A$6:$S$41, COLUMN(F13), ROW(F13))</f>
        <v>2.1698536077673429</v>
      </c>
      <c r="G57" cm="1">
        <f t="array" ref="G57">INDEX($A$6:$S$41, COLUMN(G13), ROW(G13))</f>
        <v>0</v>
      </c>
      <c r="H57" cm="1">
        <f t="array" ref="H57">INDEX($A$6:$S$41, COLUMN(H13), ROW(H13))</f>
        <v>3.5667165626665921E-2</v>
      </c>
      <c r="I57" cm="1">
        <f t="array" ref="I57">INDEX($A$6:$S$41, COLUMN(I13), ROW(I13))</f>
        <v>4.602447540191637E-2</v>
      </c>
      <c r="J57" cm="1">
        <f t="array" ref="J57">INDEX($A$6:$S$41, COLUMN(J13), ROW(J13))</f>
        <v>2.9768691722857623</v>
      </c>
      <c r="K57" cm="1">
        <f t="array" ref="K57">INDEX($A$6:$S$41, COLUMN(K13), ROW(K13))</f>
        <v>11.267858131752156</v>
      </c>
      <c r="L57" cm="1">
        <f t="array" ref="L57">INDEX($A$6:$S$41, COLUMN(L13), ROW(L13))</f>
        <v>14.3264189450665</v>
      </c>
      <c r="M57" cm="1">
        <f t="array" ref="M57">INDEX($A$6:$S$41, COLUMN(M13), ROW(M13))</f>
        <v>0</v>
      </c>
      <c r="N57" cm="1">
        <f t="array" ref="N57">INDEX($A$6:$S$41, COLUMN(N13), ROW(N13))</f>
        <v>2.1698536077673429</v>
      </c>
      <c r="O57" cm="1">
        <f t="array" ref="O57">INDEX($A$6:$S$41, COLUMN(O13), ROW(O13))</f>
        <v>14.3264189450665</v>
      </c>
      <c r="P57" cm="1">
        <f t="array" ref="P57">INDEX($A$6:$S$41, COLUMN(P13), ROW(P13))</f>
        <v>0</v>
      </c>
      <c r="Q57" cm="1">
        <f t="array" ref="Q57">INDEX($A$6:$S$41, COLUMN(Q13), ROW(Q13))</f>
        <v>0</v>
      </c>
      <c r="R57" cm="1">
        <f t="array" ref="R57">INDEX($A$6:$S$41, COLUMN(R13), ROW(R13))</f>
        <v>0</v>
      </c>
      <c r="S57" cm="1">
        <f t="array" ref="S57">INDEX($A$6:$S$41, COLUMN(S13), ROW(S13))</f>
        <v>0</v>
      </c>
      <c r="T57" cm="1">
        <f t="array" ref="T57">INDEX($A$6:$S$41, COLUMN(T13), ROW(T13))</f>
        <v>0</v>
      </c>
      <c r="U57" t="str" cm="1">
        <f t="array" ref="U57">INDEX($A$6:$S$41, COLUMN(U13), ROW(U13))</f>
        <v>HTC</v>
      </c>
      <c r="V57" cm="1">
        <f t="array" ref="V57">INDEX($A$6:$S$41, COLUMN(V13), ROW(V13))</f>
        <v>5.3074665384064065E-3</v>
      </c>
      <c r="W57" cm="1">
        <f t="array" ref="W57">INDEX($A$6:$S$41, COLUMN(W13), ROW(W13))</f>
        <v>6.2914890436052261E-3</v>
      </c>
      <c r="X57" cm="1">
        <f t="array" ref="X57">INDEX($A$6:$S$41, COLUMN(X13), ROW(X13))</f>
        <v>0.40902614349689659</v>
      </c>
      <c r="Y57" cm="1">
        <f t="array" ref="Y57">INDEX($A$6:$S$41, COLUMN(Y13), ROW(Y13))</f>
        <v>1.4603787284024536</v>
      </c>
      <c r="Z57" cm="1">
        <f t="array" ref="Z57">INDEX($A$6:$S$41, COLUMN(Z13), ROW(Z13))</f>
        <v>1.8810038274813619</v>
      </c>
      <c r="AA57" cm="1">
        <f t="array" ref="AA57">INDEX($A$6:$S$41, COLUMN(AA13), ROW(AA13))</f>
        <v>0</v>
      </c>
      <c r="AB57" cm="1">
        <f t="array" ref="AB57">INDEX($A$6:$S$41, COLUMN(AB13), ROW(AB13))</f>
        <v>3.5670038989867474E-2</v>
      </c>
      <c r="AC57" cm="1">
        <f t="array" ref="AC57">INDEX($A$6:$S$41, COLUMN(AC13), ROW(AC13))</f>
        <v>4.6028072425550043E-2</v>
      </c>
      <c r="AD57" cm="1">
        <f t="array" ref="AD57">INDEX($A$6:$S$41, COLUMN(AD13), ROW(AD13))</f>
        <v>2.9771026539724303</v>
      </c>
      <c r="AE57" cm="1">
        <f t="array" ref="AE57">INDEX($A$6:$S$41, COLUMN(AE13), ROW(AE13))</f>
        <v>9.4910861880912272</v>
      </c>
      <c r="AF57" cm="1">
        <f t="array" ref="AF57">INDEX($A$6:$S$41, COLUMN(AF13), ROW(AF13))</f>
        <v>12.549886953479074</v>
      </c>
      <c r="AG57" cm="1">
        <f t="array" ref="AG57">INDEX($A$6:$S$41, COLUMN(AG13), ROW(AG13))</f>
        <v>0</v>
      </c>
      <c r="AH57" cm="1">
        <f t="array" ref="AH57">INDEX($A$6:$S$41, COLUMN(AH13), ROW(AH13))</f>
        <v>1.8810038274813619</v>
      </c>
      <c r="AI57" cm="1">
        <f t="array" ref="AI57">INDEX($A$6:$S$41, COLUMN(AI13), ROW(AI13))</f>
        <v>12.549886953479074</v>
      </c>
      <c r="AJ57" cm="1">
        <f t="array" ref="AJ57">INDEX($A$6:$S$41, COLUMN(AJ13), ROW(AJ13))</f>
        <v>0</v>
      </c>
    </row>
    <row r="58" spans="1:36" x14ac:dyDescent="0.2">
      <c r="A58" t="str" cm="1">
        <f t="array" ref="A58">INDEX($A$6:$S$41, COLUMN(A14), ROW(A14))</f>
        <v>HTC</v>
      </c>
      <c r="B58" cm="1">
        <f t="array" ref="B58">INDEX($A$6:$S$41, COLUMN(B14), ROW(B14))</f>
        <v>5.2231300247839287E-4</v>
      </c>
      <c r="C58" cm="1">
        <f t="array" ref="C58">INDEX($A$6:$S$41, COLUMN(C14), ROW(C14))</f>
        <v>6.1929896901371866E-4</v>
      </c>
      <c r="D58" cm="1">
        <f t="array" ref="D58">INDEX($A$6:$S$41, COLUMN(D14), ROW(D14))</f>
        <v>4.0299644904374377E-2</v>
      </c>
      <c r="E58" cm="1">
        <f t="array" ref="E58">INDEX($A$6:$S$41, COLUMN(E14), ROW(E14))</f>
        <v>0.171703089170295</v>
      </c>
      <c r="F58" cm="1">
        <f t="array" ref="F58">INDEX($A$6:$S$41, COLUMN(F14), ROW(F14))</f>
        <v>0.2131443460461615</v>
      </c>
      <c r="G58" cm="1">
        <f t="array" ref="G58">INDEX($A$6:$S$41, COLUMN(G14), ROW(G14))</f>
        <v>0</v>
      </c>
      <c r="H58" cm="1">
        <f t="array" ref="H58">INDEX($A$6:$S$41, COLUMN(H14), ROW(H14))</f>
        <v>3.9733552295453042E-3</v>
      </c>
      <c r="I58" cm="1">
        <f t="array" ref="I58">INDEX($A$6:$S$41, COLUMN(I14), ROW(I14))</f>
        <v>5.126980860721283E-3</v>
      </c>
      <c r="J58" cm="1">
        <f t="array" ref="J58">INDEX($A$6:$S$41, COLUMN(J14), ROW(J14))</f>
        <v>0.33543964597595066</v>
      </c>
      <c r="K58" cm="1">
        <f t="array" ref="K58">INDEX($A$6:$S$41, COLUMN(K14), ROW(K14))</f>
        <v>1.2513754866838833</v>
      </c>
      <c r="L58" cm="1">
        <f t="array" ref="L58">INDEX($A$6:$S$41, COLUMN(L14), ROW(L14))</f>
        <v>1.5959154687501007</v>
      </c>
      <c r="M58" cm="1">
        <f t="array" ref="M58">INDEX($A$6:$S$41, COLUMN(M14), ROW(M14))</f>
        <v>0</v>
      </c>
      <c r="N58" cm="1">
        <f t="array" ref="N58">INDEX($A$6:$S$41, COLUMN(N14), ROW(N14))</f>
        <v>0.2131443460461615</v>
      </c>
      <c r="O58" cm="1">
        <f t="array" ref="O58">INDEX($A$6:$S$41, COLUMN(O14), ROW(O14))</f>
        <v>1.5959154687501007</v>
      </c>
      <c r="P58" cm="1">
        <f t="array" ref="P58">INDEX($A$6:$S$41, COLUMN(P14), ROW(P14))</f>
        <v>0</v>
      </c>
      <c r="Q58" cm="1">
        <f t="array" ref="Q58">INDEX($A$6:$S$41, COLUMN(Q14), ROW(Q14))</f>
        <v>0</v>
      </c>
      <c r="R58" cm="1">
        <f t="array" ref="R58">INDEX($A$6:$S$41, COLUMN(R14), ROW(R14))</f>
        <v>0</v>
      </c>
      <c r="S58" cm="1">
        <f t="array" ref="S58">INDEX($A$6:$S$41, COLUMN(S14), ROW(S14))</f>
        <v>0</v>
      </c>
      <c r="T58" cm="1">
        <f t="array" ref="T58">INDEX($A$6:$S$41, COLUMN(T14), ROW(T14))</f>
        <v>0</v>
      </c>
      <c r="U58" t="str" cm="1">
        <f t="array" ref="U58">INDEX($A$6:$S$41, COLUMN(U14), ROW(U14))</f>
        <v>HTC</v>
      </c>
      <c r="V58" cm="1">
        <f t="array" ref="V58">INDEX($A$6:$S$41, COLUMN(V14), ROW(V14))</f>
        <v>5.0940972197472594E-4</v>
      </c>
      <c r="W58" cm="1">
        <f t="array" ref="W58">INDEX($A$6:$S$41, COLUMN(W14), ROW(W14))</f>
        <v>6.0404921693867216E-4</v>
      </c>
      <c r="X58" cm="1">
        <f t="array" ref="X58">INDEX($A$6:$S$41, COLUMN(X14), ROW(X14))</f>
        <v>3.9308737346147267E-2</v>
      </c>
      <c r="Y58" cm="1">
        <f t="array" ref="Y58">INDEX($A$6:$S$41, COLUMN(Y14), ROW(Y14))</f>
        <v>0.1400682771964144</v>
      </c>
      <c r="Z58" cm="1">
        <f t="array" ref="Z58">INDEX($A$6:$S$41, COLUMN(Z14), ROW(Z14))</f>
        <v>0.18049047348147507</v>
      </c>
      <c r="AA58" cm="1">
        <f t="array" ref="AA58">INDEX($A$6:$S$41, COLUMN(AA14), ROW(AA14))</f>
        <v>0</v>
      </c>
      <c r="AB58" cm="1">
        <f t="array" ref="AB58">INDEX($A$6:$S$41, COLUMN(AB14), ROW(AB14))</f>
        <v>3.9943419018987764E-3</v>
      </c>
      <c r="AC58" cm="1">
        <f t="array" ref="AC58">INDEX($A$6:$S$41, COLUMN(AC14), ROW(AC14))</f>
        <v>5.1546287911254634E-3</v>
      </c>
      <c r="AD58" cm="1">
        <f t="array" ref="AD58">INDEX($A$6:$S$41, COLUMN(AD14), ROW(AD14))</f>
        <v>0.3372466043135009</v>
      </c>
      <c r="AE58" cm="1">
        <f t="array" ref="AE58">INDEX($A$6:$S$41, COLUMN(AE14), ROW(AE14))</f>
        <v>1.0597206050150922</v>
      </c>
      <c r="AF58" cm="1">
        <f t="array" ref="AF58">INDEX($A$6:$S$41, COLUMN(AF14), ROW(AF14))</f>
        <v>1.4061161800216173</v>
      </c>
      <c r="AG58" cm="1">
        <f t="array" ref="AG58">INDEX($A$6:$S$41, COLUMN(AG14), ROW(AG14))</f>
        <v>0</v>
      </c>
      <c r="AH58" cm="1">
        <f t="array" ref="AH58">INDEX($A$6:$S$41, COLUMN(AH14), ROW(AH14))</f>
        <v>0.18049047348147507</v>
      </c>
      <c r="AI58" cm="1">
        <f t="array" ref="AI58">INDEX($A$6:$S$41, COLUMN(AI14), ROW(AI14))</f>
        <v>1.4061161800216173</v>
      </c>
      <c r="AJ58" cm="1">
        <f t="array" ref="AJ58">INDEX($A$6:$S$41, COLUMN(AJ14), ROW(AJ14))</f>
        <v>0</v>
      </c>
    </row>
    <row r="59" spans="1:36" x14ac:dyDescent="0.2">
      <c r="A59" cm="1">
        <f t="array" ref="A59">INDEX($A$6:$S$41, COLUMN(A15), ROW(A15))</f>
        <v>0</v>
      </c>
      <c r="B59" cm="1">
        <f t="array" ref="B59">INDEX($A$6:$S$41, COLUMN(B15), ROW(B15))</f>
        <v>2.4498134428211815E-3</v>
      </c>
      <c r="C59" cm="1">
        <f t="array" ref="C59">INDEX($A$6:$S$41, COLUMN(C15), ROW(C15))</f>
        <v>2.9039948949432693E-3</v>
      </c>
      <c r="D59" cm="1">
        <f t="array" ref="D59">INDEX($A$6:$S$41, COLUMN(D15), ROW(D15))</f>
        <v>0.18879580283115741</v>
      </c>
      <c r="E59" cm="1">
        <f t="array" ref="E59">INDEX($A$6:$S$41, COLUMN(E15), ROW(E15))</f>
        <v>0.80585038883107818</v>
      </c>
      <c r="F59" cm="1">
        <f t="array" ref="F59">INDEX($A$6:$S$41, COLUMN(F15), ROW(F15))</f>
        <v>0</v>
      </c>
      <c r="G59" cm="1">
        <f t="array" ref="G59">INDEX($A$6:$S$41, COLUMN(G15), ROW(G15))</f>
        <v>0</v>
      </c>
      <c r="H59" cm="1">
        <f t="array" ref="H59">INDEX($A$6:$S$41, COLUMN(H15), ROW(H15))</f>
        <v>2.4896078889936695E-3</v>
      </c>
      <c r="I59" cm="1">
        <f t="array" ref="I59">INDEX($A$6:$S$41, COLUMN(I15), ROW(I15))</f>
        <v>3.2125596479059782E-3</v>
      </c>
      <c r="J59" cm="1">
        <f t="array" ref="J59">INDEX($A$6:$S$41, COLUMN(J15), ROW(J15))</f>
        <v>0.20778878404298573</v>
      </c>
      <c r="K59" cm="1">
        <f t="array" ref="K59">INDEX($A$6:$S$41, COLUMN(K15), ROW(K15))</f>
        <v>0.78650904842011471</v>
      </c>
      <c r="L59" cm="1">
        <f t="array" ref="L59">INDEX($A$6:$S$41, COLUMN(L15), ROW(L15))</f>
        <v>0</v>
      </c>
      <c r="M59" cm="1">
        <f t="array" ref="M59">INDEX($A$6:$S$41, COLUMN(M15), ROW(M15))</f>
        <v>0</v>
      </c>
      <c r="N59" cm="1">
        <f t="array" ref="N59">INDEX($A$6:$S$41, COLUMN(N15), ROW(N15))</f>
        <v>0</v>
      </c>
      <c r="O59" cm="1">
        <f t="array" ref="O59">INDEX($A$6:$S$41, COLUMN(O15), ROW(O15))</f>
        <v>0</v>
      </c>
      <c r="P59" cm="1">
        <f t="array" ref="P59">INDEX($A$6:$S$41, COLUMN(P15), ROW(P15))</f>
        <v>0</v>
      </c>
      <c r="Q59" cm="1">
        <f t="array" ref="Q59">INDEX($A$6:$S$41, COLUMN(Q15), ROW(Q15))</f>
        <v>0</v>
      </c>
      <c r="R59" cm="1">
        <f t="array" ref="R59">INDEX($A$6:$S$41, COLUMN(R15), ROW(R15))</f>
        <v>0</v>
      </c>
      <c r="S59" cm="1">
        <f t="array" ref="S59">INDEX($A$6:$S$41, COLUMN(S15), ROW(S15))</f>
        <v>0</v>
      </c>
      <c r="T59" cm="1">
        <f t="array" ref="T59">INDEX($A$6:$S$41, COLUMN(T15), ROW(T15))</f>
        <v>0</v>
      </c>
      <c r="U59" cm="1">
        <f t="array" ref="U59">INDEX($A$6:$S$41, COLUMN(U15), ROW(U15))</f>
        <v>0</v>
      </c>
      <c r="V59" cm="1">
        <f t="array" ref="V59">INDEX($A$6:$S$41, COLUMN(V15), ROW(V15))</f>
        <v>2.8216138961891591E-3</v>
      </c>
      <c r="W59" cm="1">
        <f t="array" ref="W59">INDEX($A$6:$S$41, COLUMN(W15), ROW(W15))</f>
        <v>3.3447507930004818E-3</v>
      </c>
      <c r="X59" cm="1">
        <f t="array" ref="X59">INDEX($A$6:$S$41, COLUMN(X15), ROW(X15))</f>
        <v>0.21745098947755834</v>
      </c>
      <c r="Y59" cm="1">
        <f t="array" ref="Y59">INDEX($A$6:$S$41, COLUMN(Y15), ROW(Y15))</f>
        <v>0.77638264583325201</v>
      </c>
      <c r="Z59" cm="1">
        <f t="array" ref="Z59">INDEX($A$6:$S$41, COLUMN(Z15), ROW(Z15))</f>
        <v>0</v>
      </c>
      <c r="AA59" cm="1">
        <f t="array" ref="AA59">INDEX($A$6:$S$41, COLUMN(AA15), ROW(AA15))</f>
        <v>0</v>
      </c>
      <c r="AB59" cm="1">
        <f t="array" ref="AB59">INDEX($A$6:$S$41, COLUMN(AB15), ROW(AB15))</f>
        <v>2.8422597846571871E-3</v>
      </c>
      <c r="AC59" cm="1">
        <f t="array" ref="AC59">INDEX($A$6:$S$41, COLUMN(AC15), ROW(AC15))</f>
        <v>3.667608528759708E-3</v>
      </c>
      <c r="AD59" cm="1">
        <f t="array" ref="AD59">INDEX($A$6:$S$41, COLUMN(AD15), ROW(AD15))</f>
        <v>0.23722147179557815</v>
      </c>
      <c r="AE59" cm="1">
        <f t="array" ref="AE59">INDEX($A$6:$S$41, COLUMN(AE15), ROW(AE15))</f>
        <v>0.756268659891005</v>
      </c>
      <c r="AF59" cm="1">
        <f t="array" ref="AF59">INDEX($A$6:$S$41, COLUMN(AF15), ROW(AF15))</f>
        <v>0</v>
      </c>
      <c r="AG59" cm="1">
        <f t="array" ref="AG59">INDEX($A$6:$S$41, COLUMN(AG15), ROW(AG15))</f>
        <v>0</v>
      </c>
      <c r="AH59" cm="1">
        <f t="array" ref="AH59">INDEX($A$6:$S$41, COLUMN(AH15), ROW(AH15))</f>
        <v>0</v>
      </c>
      <c r="AI59" cm="1">
        <f t="array" ref="AI59">INDEX($A$6:$S$41, COLUMN(AI15), ROW(AI15))</f>
        <v>0</v>
      </c>
      <c r="AJ59" cm="1">
        <f t="array" ref="AJ59">INDEX($A$6:$S$41, COLUMN(AJ15), ROW(AJ15))</f>
        <v>0</v>
      </c>
    </row>
    <row r="60" spans="1:36" x14ac:dyDescent="0.2">
      <c r="A60" cm="1">
        <f t="array" ref="A60">INDEX($A$6:$S$41, COLUMN(A16), ROW(A16))</f>
        <v>0</v>
      </c>
      <c r="B60" cm="1">
        <f t="array" ref="B60">INDEX($A$6:$S$41, COLUMN(B16), ROW(B16))</f>
        <v>0</v>
      </c>
      <c r="C60" cm="1">
        <f t="array" ref="C60">INDEX($A$6:$S$41, COLUMN(C16), ROW(C16))</f>
        <v>0</v>
      </c>
      <c r="D60" cm="1">
        <f t="array" ref="D60">INDEX($A$6:$S$41, COLUMN(D16), ROW(D16))</f>
        <v>0</v>
      </c>
      <c r="E60" cm="1">
        <f t="array" ref="E60">INDEX($A$6:$S$41, COLUMN(E16), ROW(E16))</f>
        <v>0</v>
      </c>
      <c r="F60" cm="1">
        <f t="array" ref="F60">INDEX($A$6:$S$41, COLUMN(F16), ROW(F16))</f>
        <v>0</v>
      </c>
      <c r="G60" cm="1">
        <f t="array" ref="G60">INDEX($A$6:$S$41, COLUMN(G16), ROW(G16))</f>
        <v>0</v>
      </c>
      <c r="H60" cm="1">
        <f t="array" ref="H60">INDEX($A$6:$S$41, COLUMN(H16), ROW(H16))</f>
        <v>0</v>
      </c>
      <c r="I60" cm="1">
        <f t="array" ref="I60">INDEX($A$6:$S$41, COLUMN(I16), ROW(I16))</f>
        <v>0</v>
      </c>
      <c r="J60" cm="1">
        <f t="array" ref="J60">INDEX($A$6:$S$41, COLUMN(J16), ROW(J16))</f>
        <v>0</v>
      </c>
      <c r="K60" cm="1">
        <f t="array" ref="K60">INDEX($A$6:$S$41, COLUMN(K16), ROW(K16))</f>
        <v>0</v>
      </c>
      <c r="L60" cm="1">
        <f t="array" ref="L60">INDEX($A$6:$S$41, COLUMN(L16), ROW(L16))</f>
        <v>0</v>
      </c>
      <c r="M60" cm="1">
        <f t="array" ref="M60">INDEX($A$6:$S$41, COLUMN(M16), ROW(M16))</f>
        <v>0</v>
      </c>
      <c r="N60" cm="1">
        <f t="array" ref="N60">INDEX($A$6:$S$41, COLUMN(N16), ROW(N16))</f>
        <v>0</v>
      </c>
      <c r="O60" cm="1">
        <f t="array" ref="O60">INDEX($A$6:$S$41, COLUMN(O16), ROW(O16))</f>
        <v>0</v>
      </c>
      <c r="P60" cm="1">
        <f t="array" ref="P60">INDEX($A$6:$S$41, COLUMN(P16), ROW(P16))</f>
        <v>0</v>
      </c>
      <c r="Q60" cm="1">
        <f t="array" ref="Q60">INDEX($A$6:$S$41, COLUMN(Q16), ROW(Q16))</f>
        <v>0</v>
      </c>
      <c r="R60" cm="1">
        <f t="array" ref="R60">INDEX($A$6:$S$41, COLUMN(R16), ROW(R16))</f>
        <v>0</v>
      </c>
      <c r="S60" cm="1">
        <f t="array" ref="S60">INDEX($A$6:$S$41, COLUMN(S16), ROW(S16))</f>
        <v>0</v>
      </c>
      <c r="T60" cm="1">
        <f t="array" ref="T60">INDEX($A$6:$S$41, COLUMN(T16), ROW(T16))</f>
        <v>0</v>
      </c>
      <c r="U60" cm="1">
        <f t="array" ref="U60">INDEX($A$6:$S$41, COLUMN(U16), ROW(U16))</f>
        <v>0</v>
      </c>
      <c r="V60" cm="1">
        <f t="array" ref="V60">INDEX($A$6:$S$41, COLUMN(V16), ROW(V16))</f>
        <v>0</v>
      </c>
      <c r="W60" cm="1">
        <f t="array" ref="W60">INDEX($A$6:$S$41, COLUMN(W16), ROW(W16))</f>
        <v>0</v>
      </c>
      <c r="X60" cm="1">
        <f t="array" ref="X60">INDEX($A$6:$S$41, COLUMN(X16), ROW(X16))</f>
        <v>0</v>
      </c>
      <c r="Y60" cm="1">
        <f t="array" ref="Y60">INDEX($A$6:$S$41, COLUMN(Y16), ROW(Y16))</f>
        <v>0</v>
      </c>
      <c r="Z60" cm="1">
        <f t="array" ref="Z60">INDEX($A$6:$S$41, COLUMN(Z16), ROW(Z16))</f>
        <v>0</v>
      </c>
      <c r="AA60" cm="1">
        <f t="array" ref="AA60">INDEX($A$6:$S$41, COLUMN(AA16), ROW(AA16))</f>
        <v>0</v>
      </c>
      <c r="AB60" cm="1">
        <f t="array" ref="AB60">INDEX($A$6:$S$41, COLUMN(AB16), ROW(AB16))</f>
        <v>0</v>
      </c>
      <c r="AC60" cm="1">
        <f t="array" ref="AC60">INDEX($A$6:$S$41, COLUMN(AC16), ROW(AC16))</f>
        <v>0</v>
      </c>
      <c r="AD60" cm="1">
        <f t="array" ref="AD60">INDEX($A$6:$S$41, COLUMN(AD16), ROW(AD16))</f>
        <v>0</v>
      </c>
      <c r="AE60" cm="1">
        <f t="array" ref="AE60">INDEX($A$6:$S$41, COLUMN(AE16), ROW(AE16))</f>
        <v>0</v>
      </c>
      <c r="AF60" cm="1">
        <f t="array" ref="AF60">INDEX($A$6:$S$41, COLUMN(AF16), ROW(AF16))</f>
        <v>0</v>
      </c>
      <c r="AG60" cm="1">
        <f t="array" ref="AG60">INDEX($A$6:$S$41, COLUMN(AG16), ROW(AG16))</f>
        <v>0</v>
      </c>
      <c r="AH60" cm="1">
        <f t="array" ref="AH60">INDEX($A$6:$S$41, COLUMN(AH16), ROW(AH16))</f>
        <v>0</v>
      </c>
      <c r="AI60" cm="1">
        <f t="array" ref="AI60">INDEX($A$6:$S$41, COLUMN(AI16), ROW(AI16))</f>
        <v>0</v>
      </c>
      <c r="AJ60" cm="1">
        <f t="array" ref="AJ60">INDEX($A$6:$S$41, COLUMN(AJ16), ROW(AJ16))</f>
        <v>0</v>
      </c>
    </row>
    <row r="61" spans="1:36" x14ac:dyDescent="0.2">
      <c r="A61" t="str" cm="1">
        <f t="array" ref="A61">INDEX($A$6:$S$41, COLUMN(A17), ROW(A17))</f>
        <v>CED</v>
      </c>
      <c r="B61" cm="1">
        <f t="array" ref="B61">INDEX($A$6:$S$41, COLUMN(B17), ROW(B17))</f>
        <v>0.49290581147937418</v>
      </c>
      <c r="C61" cm="1">
        <f t="array" ref="C61">INDEX($A$6:$S$41, COLUMN(C17), ROW(C17))</f>
        <v>0.58429460485130513</v>
      </c>
      <c r="D61" cm="1">
        <f t="array" ref="D61">INDEX($A$6:$S$41, COLUMN(D17), ROW(D17))</f>
        <v>54.081231144465072</v>
      </c>
      <c r="E61" cm="1">
        <f t="array" ref="E61">INDEX($A$6:$S$41, COLUMN(E17), ROW(E17))</f>
        <v>160.40672205716942</v>
      </c>
      <c r="F61" cm="1">
        <f t="array" ref="F61">INDEX($A$6:$S$41, COLUMN(F17), ROW(F17))</f>
        <v>215.56515361796517</v>
      </c>
      <c r="G61" cm="1">
        <f t="array" ref="G61">INDEX($A$6:$S$41, COLUMN(G17), ROW(G17))</f>
        <v>0</v>
      </c>
      <c r="H61" cm="1">
        <f t="array" ref="H61">INDEX($A$6:$S$41, COLUMN(H17), ROW(H17))</f>
        <v>3.4566724076641373</v>
      </c>
      <c r="I61" cm="1">
        <f t="array" ref="I61">INDEX($A$6:$S$41, COLUMN(I17), ROW(I17))</f>
        <v>4.4605795806571304</v>
      </c>
      <c r="J61" cm="1">
        <f t="array" ref="J61">INDEX($A$6:$S$41, COLUMN(J17), ROW(J17))</f>
        <v>421.02298308704161</v>
      </c>
      <c r="K61" cm="1">
        <f t="array" ref="K61">INDEX($A$6:$S$41, COLUMN(K17), ROW(K17))</f>
        <v>1110.1147550911437</v>
      </c>
      <c r="L61" cm="1">
        <f t="array" ref="L61">INDEX($A$6:$S$41, COLUMN(L17), ROW(L17))</f>
        <v>1539.0549901665065</v>
      </c>
      <c r="M61" cm="1">
        <f t="array" ref="M61">INDEX($A$6:$S$41, COLUMN(M17), ROW(M17))</f>
        <v>0</v>
      </c>
      <c r="N61" cm="1">
        <f t="array" ref="N61">INDEX($A$6:$S$41, COLUMN(N17), ROW(N17))</f>
        <v>215.56515361796517</v>
      </c>
      <c r="O61" cm="1">
        <f t="array" ref="O61">INDEX($A$6:$S$41, COLUMN(O17), ROW(O17))</f>
        <v>1539.0549901665065</v>
      </c>
      <c r="P61" cm="1">
        <f t="array" ref="P61">INDEX($A$6:$S$41, COLUMN(P17), ROW(P17))</f>
        <v>0</v>
      </c>
      <c r="Q61" cm="1">
        <f t="array" ref="Q61">INDEX($A$6:$S$41, COLUMN(Q17), ROW(Q17))</f>
        <v>0</v>
      </c>
      <c r="R61" cm="1">
        <f t="array" ref="R61">INDEX($A$6:$S$41, COLUMN(R17), ROW(R17))</f>
        <v>0</v>
      </c>
      <c r="S61" cm="1">
        <f t="array" ref="S61">INDEX($A$6:$S$41, COLUMN(S17), ROW(S17))</f>
        <v>0</v>
      </c>
      <c r="T61" cm="1">
        <f t="array" ref="T61">INDEX($A$6:$S$41, COLUMN(T17), ROW(T17))</f>
        <v>0</v>
      </c>
      <c r="U61" t="str" cm="1">
        <f t="array" ref="U61">INDEX($A$6:$S$41, COLUMN(U17), ROW(U17))</f>
        <v>CED</v>
      </c>
      <c r="V61" cm="1">
        <f t="array" ref="V61">INDEX($A$6:$S$41, COLUMN(V17), ROW(V17))</f>
        <v>0.49214066855698752</v>
      </c>
      <c r="W61" cm="1">
        <f t="array" ref="W61">INDEX($A$6:$S$41, COLUMN(W17), ROW(W17))</f>
        <v>0.58339209509402756</v>
      </c>
      <c r="X61" cm="1">
        <f t="array" ref="X61">INDEX($A$6:$S$41, COLUMN(X17), ROW(X17))</f>
        <v>53.997945257436335</v>
      </c>
      <c r="Y61" cm="1">
        <f t="array" ref="Y61">INDEX($A$6:$S$41, COLUMN(Y17), ROW(Y17))</f>
        <v>134.07893201107939</v>
      </c>
      <c r="Z61" cm="1">
        <f t="array" ref="Z61">INDEX($A$6:$S$41, COLUMN(Z17), ROW(Z17))</f>
        <v>189.15241003216673</v>
      </c>
      <c r="AA61" cm="1">
        <f t="array" ref="AA61">INDEX($A$6:$S$41, COLUMN(AA17), ROW(AA17))</f>
        <v>0</v>
      </c>
      <c r="AB61" cm="1">
        <f t="array" ref="AB61">INDEX($A$6:$S$41, COLUMN(AB17), ROW(AB17))</f>
        <v>3.4569485718255835</v>
      </c>
      <c r="AC61" cm="1">
        <f t="array" ref="AC61">INDEX($A$6:$S$41, COLUMN(AC17), ROW(AC17))</f>
        <v>4.4609247894500772</v>
      </c>
      <c r="AD61" cm="1">
        <f t="array" ref="AD61">INDEX($A$6:$S$41, COLUMN(AD17), ROW(AD17))</f>
        <v>421.05551429108385</v>
      </c>
      <c r="AE61" cm="1">
        <f t="array" ref="AE61">INDEX($A$6:$S$41, COLUMN(AE17), ROW(AE17))</f>
        <v>933.11966683192111</v>
      </c>
      <c r="AF61" cm="1">
        <f t="array" ref="AF61">INDEX($A$6:$S$41, COLUMN(AF17), ROW(AF17))</f>
        <v>1362.0930544842806</v>
      </c>
      <c r="AG61" cm="1">
        <f t="array" ref="AG61">INDEX($A$6:$S$41, COLUMN(AG17), ROW(AG17))</f>
        <v>0</v>
      </c>
      <c r="AH61" cm="1">
        <f t="array" ref="AH61">INDEX($A$6:$S$41, COLUMN(AH17), ROW(AH17))</f>
        <v>189.15241003216673</v>
      </c>
      <c r="AI61" cm="1">
        <f t="array" ref="AI61">INDEX($A$6:$S$41, COLUMN(AI17), ROW(AI17))</f>
        <v>1362.0930544842806</v>
      </c>
      <c r="AJ61" cm="1">
        <f t="array" ref="AJ61">INDEX($A$6:$S$41, COLUMN(AJ17), ROW(AJ17))</f>
        <v>0</v>
      </c>
    </row>
    <row r="62" spans="1:36" x14ac:dyDescent="0.2">
      <c r="A62" t="str" cm="1">
        <f t="array" ref="A62">INDEX($A$6:$S$41, COLUMN(A18), ROW(A18))</f>
        <v>CED</v>
      </c>
      <c r="B62" cm="1">
        <f t="array" ref="B62">INDEX($A$6:$S$41, COLUMN(B18), ROW(B18))</f>
        <v>4.8407801497256396E-2</v>
      </c>
      <c r="C62" cm="1">
        <f t="array" ref="C62">INDEX($A$6:$S$41, COLUMN(C18), ROW(C18))</f>
        <v>5.739698285778002E-2</v>
      </c>
      <c r="D62" cm="1">
        <f t="array" ref="D62">INDEX($A$6:$S$41, COLUMN(D18), ROW(D18))</f>
        <v>5.312046262446998</v>
      </c>
      <c r="E62" cm="1">
        <f t="array" ref="E62">INDEX($A$6:$S$41, COLUMN(E18), ROW(E18))</f>
        <v>15.751216729464954</v>
      </c>
      <c r="F62" cm="1">
        <f t="array" ref="F62">INDEX($A$6:$S$41, COLUMN(F18), ROW(F18))</f>
        <v>21.169067776266989</v>
      </c>
      <c r="G62" cm="1">
        <f t="array" ref="G62">INDEX($A$6:$S$41, COLUMN(G18), ROW(G18))</f>
        <v>0</v>
      </c>
      <c r="H62" cm="1">
        <f t="array" ref="H62">INDEX($A$6:$S$41, COLUMN(H18), ROW(H18))</f>
        <v>0.38180060065283838</v>
      </c>
      <c r="I62" cm="1">
        <f t="array" ref="I62">INDEX($A$6:$S$41, COLUMN(I18), ROW(I18))</f>
        <v>0.49266423148661492</v>
      </c>
      <c r="J62" cm="1">
        <f t="array" ref="J62">INDEX($A$6:$S$41, COLUMN(J18), ROW(J18))</f>
        <v>46.351787881446164</v>
      </c>
      <c r="K62" cm="1">
        <f t="array" ref="K62">INDEX($A$6:$S$41, COLUMN(K18), ROW(K18))</f>
        <v>122.90037404051435</v>
      </c>
      <c r="L62" cm="1">
        <f t="array" ref="L62">INDEX($A$6:$S$41, COLUMN(L18), ROW(L18))</f>
        <v>170.12662675409996</v>
      </c>
      <c r="M62" cm="1">
        <f t="array" ref="M62">INDEX($A$6:$S$41, COLUMN(M18), ROW(M18))</f>
        <v>0</v>
      </c>
      <c r="N62" cm="1">
        <f t="array" ref="N62">INDEX($A$6:$S$41, COLUMN(N18), ROW(N18))</f>
        <v>21.169067776266989</v>
      </c>
      <c r="O62" cm="1">
        <f t="array" ref="O62">INDEX($A$6:$S$41, COLUMN(O18), ROW(O18))</f>
        <v>170.12662675409996</v>
      </c>
      <c r="P62" cm="1">
        <f t="array" ref="P62">INDEX($A$6:$S$41, COLUMN(P18), ROW(P18))</f>
        <v>0</v>
      </c>
      <c r="Q62" cm="1">
        <f t="array" ref="Q62">INDEX($A$6:$S$41, COLUMN(Q18), ROW(Q18))</f>
        <v>0</v>
      </c>
      <c r="R62" cm="1">
        <f t="array" ref="R62">INDEX($A$6:$S$41, COLUMN(R18), ROW(R18))</f>
        <v>0</v>
      </c>
      <c r="S62" cm="1">
        <f t="array" ref="S62">INDEX($A$6:$S$41, COLUMN(S18), ROW(S18))</f>
        <v>0</v>
      </c>
      <c r="T62" cm="1">
        <f t="array" ref="T62">INDEX($A$6:$S$41, COLUMN(T18), ROW(T18))</f>
        <v>0</v>
      </c>
      <c r="U62" t="str" cm="1">
        <f t="array" ref="U62">INDEX($A$6:$S$41, COLUMN(U18), ROW(U18))</f>
        <v>CED</v>
      </c>
      <c r="V62" cm="1">
        <f t="array" ref="V62">INDEX($A$6:$S$41, COLUMN(V18), ROW(V18))</f>
        <v>4.7213369177067019E-2</v>
      </c>
      <c r="W62" cm="1">
        <f t="array" ref="W62">INDEX($A$6:$S$41, COLUMN(W18), ROW(W18))</f>
        <v>5.5985337582734065E-2</v>
      </c>
      <c r="X62" cm="1">
        <f t="array" ref="X62">INDEX($A$6:$S$41, COLUMN(X18), ROW(X18))</f>
        <v>5.1816406460971667</v>
      </c>
      <c r="Y62" cm="1">
        <f t="array" ref="Y62">INDEX($A$6:$S$41, COLUMN(Y18), ROW(Y18))</f>
        <v>12.859878636265364</v>
      </c>
      <c r="Z62" cm="1">
        <f t="array" ref="Z62">INDEX($A$6:$S$41, COLUMN(Z18), ROW(Z18))</f>
        <v>18.144717989122331</v>
      </c>
      <c r="AA62" cm="1">
        <f t="array" ref="AA62">INDEX($A$6:$S$41, COLUMN(AA18), ROW(AA18))</f>
        <v>0</v>
      </c>
      <c r="AB62" cm="1">
        <f t="array" ref="AB62">INDEX($A$6:$S$41, COLUMN(AB18), ROW(AB18))</f>
        <v>0.38382557587108351</v>
      </c>
      <c r="AC62" cm="1">
        <f t="array" ref="AC62">INDEX($A$6:$S$41, COLUMN(AC18), ROW(AC18))</f>
        <v>0.49533160282642996</v>
      </c>
      <c r="AD62" cm="1">
        <f t="array" ref="AD62">INDEX($A$6:$S$41, COLUMN(AD18), ROW(AD18))</f>
        <v>46.602765537893639</v>
      </c>
      <c r="AE62" cm="1">
        <f t="array" ref="AE62">INDEX($A$6:$S$41, COLUMN(AE18), ROW(AE18))</f>
        <v>103.82258023523814</v>
      </c>
      <c r="AF62" cm="1">
        <f t="array" ref="AF62">INDEX($A$6:$S$41, COLUMN(AF18), ROW(AF18))</f>
        <v>151.30450295182928</v>
      </c>
      <c r="AG62" cm="1">
        <f t="array" ref="AG62">INDEX($A$6:$S$41, COLUMN(AG18), ROW(AG18))</f>
        <v>0</v>
      </c>
      <c r="AH62" cm="1">
        <f t="array" ref="AH62">INDEX($A$6:$S$41, COLUMN(AH18), ROW(AH18))</f>
        <v>18.144717989122331</v>
      </c>
      <c r="AI62" cm="1">
        <f t="array" ref="AI62">INDEX($A$6:$S$41, COLUMN(AI18), ROW(AI18))</f>
        <v>151.30450295182928</v>
      </c>
      <c r="AJ62" cm="1">
        <f t="array" ref="AJ62">INDEX($A$6:$S$41, COLUMN(AJ18), ROW(AJ18))</f>
        <v>0</v>
      </c>
    </row>
    <row r="63" spans="1:36" x14ac:dyDescent="0.2">
      <c r="A63" cm="1">
        <f t="array" ref="A63">INDEX($A$6:$S$41, COLUMN(A19), ROW(A19))</f>
        <v>0</v>
      </c>
      <c r="B63" cm="1">
        <f t="array" ref="B63">INDEX($A$6:$S$41, COLUMN(B19), ROW(B19))</f>
        <v>2.28657463048469E-3</v>
      </c>
      <c r="C63" cm="1">
        <f t="array" ref="C63">INDEX($A$6:$S$41, COLUMN(C19), ROW(C19))</f>
        <v>2.7105243822794283E-3</v>
      </c>
      <c r="D63" cm="1">
        <f t="array" ref="D63">INDEX($A$6:$S$41, COLUMN(D19), ROW(D19))</f>
        <v>0.25088113842513898</v>
      </c>
      <c r="E63" cm="1">
        <f t="array" ref="E63">INDEX($A$6:$S$41, COLUMN(E19), ROW(E19))</f>
        <v>0.74412176256209694</v>
      </c>
      <c r="F63" cm="1">
        <f t="array" ref="F63">INDEX($A$6:$S$41, COLUMN(F19), ROW(F19))</f>
        <v>0</v>
      </c>
      <c r="G63" cm="1">
        <f t="array" ref="G63">INDEX($A$6:$S$41, COLUMN(G19), ROW(G19))</f>
        <v>0</v>
      </c>
      <c r="H63" cm="1">
        <f t="array" ref="H63">INDEX($A$6:$S$41, COLUMN(H19), ROW(H19))</f>
        <v>2.2459706961413827E-3</v>
      </c>
      <c r="I63" cm="1">
        <f t="array" ref="I63">INDEX($A$6:$S$41, COLUMN(I19), ROW(I19))</f>
        <v>2.898258742642166E-3</v>
      </c>
      <c r="J63" cm="1">
        <f t="array" ref="J63">INDEX($A$6:$S$41, COLUMN(J19), ROW(J19))</f>
        <v>0.27355941521068861</v>
      </c>
      <c r="K63" cm="1">
        <f t="array" ref="K63">INDEX($A$6:$S$41, COLUMN(K19), ROW(K19))</f>
        <v>0.72129635535052794</v>
      </c>
      <c r="L63" cm="1">
        <f t="array" ref="L63">INDEX($A$6:$S$41, COLUMN(L19), ROW(L19))</f>
        <v>0</v>
      </c>
      <c r="M63" cm="1">
        <f t="array" ref="M63">INDEX($A$6:$S$41, COLUMN(M19), ROW(M19))</f>
        <v>0</v>
      </c>
      <c r="N63" cm="1">
        <f t="array" ref="N63">INDEX($A$6:$S$41, COLUMN(N19), ROW(N19))</f>
        <v>0</v>
      </c>
      <c r="O63" cm="1">
        <f t="array" ref="O63">INDEX($A$6:$S$41, COLUMN(O19), ROW(O19))</f>
        <v>0</v>
      </c>
      <c r="P63" cm="1">
        <f t="array" ref="P63">INDEX($A$6:$S$41, COLUMN(P19), ROW(P19))</f>
        <v>0</v>
      </c>
      <c r="Q63" cm="1">
        <f t="array" ref="Q63">INDEX($A$6:$S$41, COLUMN(Q19), ROW(Q19))</f>
        <v>0</v>
      </c>
      <c r="R63" cm="1">
        <f t="array" ref="R63">INDEX($A$6:$S$41, COLUMN(R19), ROW(R19))</f>
        <v>0</v>
      </c>
      <c r="S63" cm="1">
        <f t="array" ref="S63">INDEX($A$6:$S$41, COLUMN(S19), ROW(S19))</f>
        <v>0</v>
      </c>
      <c r="T63" cm="1">
        <f t="array" ref="T63">INDEX($A$6:$S$41, COLUMN(T19), ROW(T19))</f>
        <v>0</v>
      </c>
      <c r="U63" cm="1">
        <f t="array" ref="U63">INDEX($A$6:$S$41, COLUMN(U19), ROW(U19))</f>
        <v>0</v>
      </c>
      <c r="V63" cm="1">
        <f t="array" ref="V63">INDEX($A$6:$S$41, COLUMN(V19), ROW(V19))</f>
        <v>2.6018207670380484E-3</v>
      </c>
      <c r="W63" cm="1">
        <f t="array" ref="W63">INDEX($A$6:$S$41, COLUMN(W19), ROW(W19))</f>
        <v>3.0842435208455316E-3</v>
      </c>
      <c r="X63" cm="1">
        <f t="array" ref="X63">INDEX($A$6:$S$41, COLUMN(X19), ROW(X19))</f>
        <v>0.28547320781296731</v>
      </c>
      <c r="Y63" cm="1">
        <f t="array" ref="Y63">INDEX($A$6:$S$41, COLUMN(Y19), ROW(Y19))</f>
        <v>0.7088407278991492</v>
      </c>
      <c r="Z63" cm="1">
        <f t="array" ref="Z63">INDEX($A$6:$S$41, COLUMN(Z19), ROW(Z19))</f>
        <v>0</v>
      </c>
      <c r="AA63" cm="1">
        <f t="array" ref="AA63">INDEX($A$6:$S$41, COLUMN(AA19), ROW(AA19))</f>
        <v>0</v>
      </c>
      <c r="AB63" cm="1">
        <f t="array" ref="AB63">INDEX($A$6:$S$41, COLUMN(AB19), ROW(AB19))</f>
        <v>2.5379679901050981E-3</v>
      </c>
      <c r="AC63" cm="1">
        <f t="array" ref="AC63">INDEX($A$6:$S$41, COLUMN(AC19), ROW(AC19))</f>
        <v>3.2750514179364087E-3</v>
      </c>
      <c r="AD63" cm="1">
        <f t="array" ref="AD63">INDEX($A$6:$S$41, COLUMN(AD19), ROW(AD19))</f>
        <v>0.30912389789000505</v>
      </c>
      <c r="AE63" cm="1">
        <f t="array" ref="AE63">INDEX($A$6:$S$41, COLUMN(AE19), ROW(AE19))</f>
        <v>0.68506308270195349</v>
      </c>
      <c r="AF63" cm="1">
        <f t="array" ref="AF63">INDEX($A$6:$S$41, COLUMN(AF19), ROW(AF19))</f>
        <v>0</v>
      </c>
      <c r="AG63" cm="1">
        <f t="array" ref="AG63">INDEX($A$6:$S$41, COLUMN(AG19), ROW(AG19))</f>
        <v>0</v>
      </c>
      <c r="AH63" cm="1">
        <f t="array" ref="AH63">INDEX($A$6:$S$41, COLUMN(AH19), ROW(AH19))</f>
        <v>0</v>
      </c>
      <c r="AI63" cm="1">
        <f t="array" ref="AI63">INDEX($A$6:$S$41, COLUMN(AI19), ROW(AI19))</f>
        <v>0</v>
      </c>
      <c r="AJ63" cm="1">
        <f t="array" ref="AJ63">INDEX($A$6:$S$41, COLUMN(AJ19), ROW(AJ19))</f>
        <v>0</v>
      </c>
    </row>
    <row r="67" spans="1:17" x14ac:dyDescent="0.2">
      <c r="A67" s="4" t="s">
        <v>35</v>
      </c>
      <c r="B67" s="5">
        <v>2025</v>
      </c>
      <c r="C67" s="4"/>
      <c r="D67" s="4"/>
      <c r="E67" s="4"/>
      <c r="F67" s="4"/>
      <c r="G67" s="4"/>
      <c r="H67" s="4"/>
      <c r="I67" s="4"/>
      <c r="J67" s="6">
        <v>2030</v>
      </c>
      <c r="K67" s="1"/>
      <c r="L67" s="1"/>
      <c r="M67" s="1"/>
      <c r="N67" s="1"/>
      <c r="O67" s="1"/>
      <c r="P67" s="1"/>
      <c r="Q67" s="1"/>
    </row>
    <row r="68" spans="1:17" x14ac:dyDescent="0.2">
      <c r="A68" s="4"/>
      <c r="B68" s="4" t="s">
        <v>11</v>
      </c>
      <c r="C68" s="4" t="s">
        <v>12</v>
      </c>
      <c r="D68" s="4" t="s">
        <v>13</v>
      </c>
      <c r="E68" s="4" t="s">
        <v>14</v>
      </c>
      <c r="F68" s="4" t="s">
        <v>15</v>
      </c>
      <c r="G68" s="4" t="s">
        <v>16</v>
      </c>
      <c r="H68" s="4" t="s">
        <v>40</v>
      </c>
      <c r="I68" s="4" t="s">
        <v>0</v>
      </c>
      <c r="J68" s="1" t="s">
        <v>11</v>
      </c>
      <c r="K68" s="1" t="s">
        <v>12</v>
      </c>
      <c r="L68" s="1" t="s">
        <v>13</v>
      </c>
      <c r="M68" s="1" t="s">
        <v>14</v>
      </c>
      <c r="N68" s="1" t="s">
        <v>15</v>
      </c>
      <c r="O68" s="1" t="s">
        <v>16</v>
      </c>
      <c r="P68" s="1" t="s">
        <v>40</v>
      </c>
      <c r="Q68" s="1" t="s">
        <v>0</v>
      </c>
    </row>
    <row r="69" spans="1:17" x14ac:dyDescent="0.2">
      <c r="A69" s="4" t="s">
        <v>36</v>
      </c>
      <c r="B69" s="4">
        <f>(B47+V47)/2</f>
        <v>4205472.3598437877</v>
      </c>
      <c r="C69" s="4">
        <f t="shared" ref="C69:P69" si="0">(C47+W47)/2</f>
        <v>192430.3083479596</v>
      </c>
      <c r="D69" s="4">
        <f t="shared" si="0"/>
        <v>10154092.583937433</v>
      </c>
      <c r="E69" s="4">
        <f t="shared" si="0"/>
        <v>283788.61579383793</v>
      </c>
      <c r="F69" s="4">
        <f t="shared" si="0"/>
        <v>5387694.7560937461</v>
      </c>
      <c r="G69" s="4">
        <f t="shared" si="0"/>
        <v>2542757.4276917623</v>
      </c>
      <c r="H69" s="4">
        <f t="shared" si="0"/>
        <v>22766236.051708527</v>
      </c>
      <c r="I69" s="4">
        <f>H47-H69</f>
        <v>1089843.2292449102</v>
      </c>
      <c r="J69" s="1">
        <f t="shared" si="0"/>
        <v>30151934.621016268</v>
      </c>
      <c r="K69" s="1">
        <f t="shared" si="0"/>
        <v>1302732.2819494796</v>
      </c>
      <c r="L69" s="1">
        <f t="shared" si="0"/>
        <v>70819581.019871846</v>
      </c>
      <c r="M69" s="1">
        <f t="shared" si="0"/>
        <v>2036409.9245898589</v>
      </c>
      <c r="N69" s="1">
        <f t="shared" si="0"/>
        <v>37373775.831362881</v>
      </c>
      <c r="O69" s="1">
        <f t="shared" si="0"/>
        <v>23038112.724789083</v>
      </c>
      <c r="P69" s="1">
        <f t="shared" si="0"/>
        <v>164722546.40357941</v>
      </c>
      <c r="Q69" s="1">
        <f>P47-P69</f>
        <v>7109292.3881325722</v>
      </c>
    </row>
    <row r="70" spans="1:17" x14ac:dyDescent="0.2">
      <c r="A70" s="4" t="s">
        <v>33</v>
      </c>
      <c r="B70" s="4">
        <f t="shared" ref="B70:B71" si="1">(B48+V48)/2</f>
        <v>0.23752688461234839</v>
      </c>
      <c r="C70" s="4">
        <f t="shared" ref="C70:C71" si="2">(C48+W48)/2</f>
        <v>2.0661408290601334E-2</v>
      </c>
      <c r="D70" s="4">
        <f t="shared" ref="D70:D71" si="3">(D48+X48)/2</f>
        <v>1.0663879753848717</v>
      </c>
      <c r="E70" s="4">
        <f t="shared" ref="E70:E71" si="4">(E48+Y48)/2</f>
        <v>1.5808306971422624E-2</v>
      </c>
      <c r="F70" s="4">
        <f t="shared" ref="F70:F71" si="5">(F48+Z48)/2</f>
        <v>0.54707740623224244</v>
      </c>
      <c r="G70" s="4">
        <f t="shared" ref="G70:G71" si="6">(G48+AA48)/2</f>
        <v>0.1379667361328662</v>
      </c>
      <c r="H70" s="4">
        <f t="shared" ref="H70:H71" si="7">(H48+AB48)/2</f>
        <v>2.0254287176243526</v>
      </c>
      <c r="I70" s="4">
        <f t="shared" ref="I70:I71" si="8">H48-H70</f>
        <v>0.14442489014299031</v>
      </c>
      <c r="J70" s="1">
        <f t="shared" ref="J70:J71" si="9">(J48+AD48)/2</f>
        <v>1.580988551259312</v>
      </c>
      <c r="K70" s="1">
        <f t="shared" ref="K70:K71" si="10">(K48+AE48)/2</f>
        <v>0.13052384495549002</v>
      </c>
      <c r="L70" s="1">
        <f t="shared" ref="L70:L71" si="11">(L48+AF48)/2</f>
        <v>6.9299555680232094</v>
      </c>
      <c r="M70" s="1">
        <f t="shared" ref="M70:M71" si="12">(M48+AG48)/2</f>
        <v>0.10537904177082905</v>
      </c>
      <c r="N70" s="1">
        <f t="shared" ref="N70:N71" si="13">(N48+AH48)/2</f>
        <v>3.5293759291168527</v>
      </c>
      <c r="O70" s="1">
        <f t="shared" ref="O70:O71" si="14">(O48+AI48)/2</f>
        <v>1.1619300141470958</v>
      </c>
      <c r="P70" s="1">
        <f>(P48+AJ48)/2</f>
        <v>13.438152949272789</v>
      </c>
      <c r="Q70" s="1">
        <f>P48-P70</f>
        <v>0.88826599579371468</v>
      </c>
    </row>
    <row r="71" spans="1:17" x14ac:dyDescent="0.2">
      <c r="A71" s="4" t="s">
        <v>34</v>
      </c>
      <c r="B71" s="4">
        <f t="shared" si="1"/>
        <v>30027970.857459418</v>
      </c>
      <c r="C71" s="4">
        <f t="shared" si="2"/>
        <v>1900333.7652676124</v>
      </c>
      <c r="D71" s="4">
        <f t="shared" si="3"/>
        <v>98998811.533065736</v>
      </c>
      <c r="E71" s="4">
        <f t="shared" si="4"/>
        <v>2014439.0624570558</v>
      </c>
      <c r="F71" s="4">
        <f t="shared" si="5"/>
        <v>51534074.507452667</v>
      </c>
      <c r="G71" s="4">
        <f t="shared" si="6"/>
        <v>17883152.099363461</v>
      </c>
      <c r="H71" s="4">
        <f t="shared" si="7"/>
        <v>202358781.82506597</v>
      </c>
      <c r="I71" s="4">
        <f t="shared" si="8"/>
        <v>13206371.792899191</v>
      </c>
      <c r="J71" s="1">
        <f t="shared" si="9"/>
        <v>214378335.92664841</v>
      </c>
      <c r="K71" s="1">
        <f t="shared" si="10"/>
        <v>12876447.965339035</v>
      </c>
      <c r="L71" s="1">
        <f t="shared" si="11"/>
        <v>690449454.65522313</v>
      </c>
      <c r="M71" s="1">
        <f t="shared" si="12"/>
        <v>14397224.004047655</v>
      </c>
      <c r="N71" s="1">
        <f t="shared" si="13"/>
        <v>357033660.09305263</v>
      </c>
      <c r="O71" s="1">
        <f t="shared" si="14"/>
        <v>161438899.6810827</v>
      </c>
      <c r="P71" s="1">
        <f t="shared" ref="P71" si="15">(P49+AJ49)/2</f>
        <v>1450574022.3253937</v>
      </c>
      <c r="Q71" s="1">
        <f>P49-P71</f>
        <v>88480967.841112852</v>
      </c>
    </row>
    <row r="72" spans="1:17" x14ac:dyDescent="0.2">
      <c r="A72" s="4"/>
      <c r="B72" s="4"/>
      <c r="C72" s="4"/>
      <c r="D72" s="4"/>
      <c r="E72" s="4"/>
      <c r="F72" s="4"/>
      <c r="G72" s="4"/>
      <c r="H72" s="4"/>
      <c r="I72" s="4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4" t="s">
        <v>37</v>
      </c>
      <c r="B73" s="4">
        <f>(B55+V55)/2</f>
        <v>2.861405135180046E-3</v>
      </c>
      <c r="C73" s="4">
        <f t="shared" ref="C73:E73" si="16">(C55+W55)/2</f>
        <v>3.3919521629241561E-3</v>
      </c>
      <c r="D73" s="4">
        <f t="shared" si="16"/>
        <v>0.34185257539250014</v>
      </c>
      <c r="E73" s="4">
        <f t="shared" si="16"/>
        <v>0.65189406730939559</v>
      </c>
      <c r="F73" s="4"/>
      <c r="G73" s="4"/>
      <c r="H73" s="4"/>
      <c r="I73" s="4"/>
      <c r="J73" s="1">
        <f>(H55+AB55)/2</f>
        <v>2.7904640779558387E-3</v>
      </c>
      <c r="K73" s="1">
        <f>(I55+AC55)/2</f>
        <v>3.6008957776641759E-3</v>
      </c>
      <c r="L73" s="1">
        <f>(J55+AD55)/2</f>
        <v>0.36913842195824609</v>
      </c>
      <c r="M73" s="1">
        <f>(K55+AE55)/2</f>
        <v>0.6244702181861338</v>
      </c>
      <c r="N73" s="1"/>
      <c r="O73" s="1"/>
      <c r="P73" s="1"/>
      <c r="Q73" s="1"/>
    </row>
    <row r="74" spans="1:17" x14ac:dyDescent="0.2">
      <c r="A74" s="4" t="s">
        <v>38</v>
      </c>
      <c r="B74" s="4">
        <f>(B59+V59)/2</f>
        <v>2.6357136695051705E-3</v>
      </c>
      <c r="C74" s="4">
        <f t="shared" ref="C74:E74" si="17">(C59+W59)/2</f>
        <v>3.1243728439718753E-3</v>
      </c>
      <c r="D74" s="4">
        <f t="shared" si="17"/>
        <v>0.20312339615435787</v>
      </c>
      <c r="E74" s="4">
        <f t="shared" si="17"/>
        <v>0.79111651733216504</v>
      </c>
      <c r="F74" s="4"/>
      <c r="G74" s="4"/>
      <c r="H74" s="4"/>
      <c r="I74" s="4"/>
      <c r="J74" s="1">
        <f>(H59+AB59)/2</f>
        <v>2.6659338368254281E-3</v>
      </c>
      <c r="K74" s="1">
        <f>(I59+AC59)/2</f>
        <v>3.4400840883328431E-3</v>
      </c>
      <c r="L74" s="1">
        <f>(J59+AD59)/2</f>
        <v>0.22250512791928195</v>
      </c>
      <c r="M74" s="1">
        <f>(K59+AE59)/2</f>
        <v>0.7713888541555598</v>
      </c>
      <c r="N74" s="1"/>
      <c r="O74" s="1"/>
      <c r="P74" s="1"/>
      <c r="Q74" s="1"/>
    </row>
    <row r="75" spans="1:17" x14ac:dyDescent="0.2">
      <c r="A75" s="4" t="s">
        <v>39</v>
      </c>
      <c r="B75" s="4">
        <f>(B63+V63)/2</f>
        <v>2.4441976987613695E-3</v>
      </c>
      <c r="C75" s="4">
        <f t="shared" ref="C75:E75" si="18">(C63+W63)/2</f>
        <v>2.8973839515624798E-3</v>
      </c>
      <c r="D75" s="4">
        <f t="shared" si="18"/>
        <v>0.26817717311905315</v>
      </c>
      <c r="E75" s="4">
        <f t="shared" si="18"/>
        <v>0.72648124523062307</v>
      </c>
      <c r="F75" s="4"/>
      <c r="G75" s="4"/>
      <c r="H75" s="4"/>
      <c r="I75" s="4"/>
      <c r="J75" s="1">
        <f>(H63+AB63)/2</f>
        <v>2.3919693431232406E-3</v>
      </c>
      <c r="K75" s="1">
        <f>(I63+AC63)/2</f>
        <v>3.0866550802892872E-3</v>
      </c>
      <c r="L75" s="1">
        <f>(J63+AD63)/2</f>
        <v>0.29134165655034683</v>
      </c>
      <c r="M75" s="1">
        <f>(K63+AE63)/2</f>
        <v>0.70317971902624077</v>
      </c>
      <c r="N75" s="1"/>
      <c r="O75" s="1"/>
      <c r="P75" s="1"/>
      <c r="Q75" s="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8A6C-4F82-D84C-BBB7-BBC28AFD3E40}">
  <dimension ref="A5:AJ75"/>
  <sheetViews>
    <sheetView workbookViewId="0">
      <selection activeCell="D2" sqref="D2"/>
    </sheetView>
  </sheetViews>
  <sheetFormatPr baseColWidth="10" defaultRowHeight="16" x14ac:dyDescent="0.2"/>
  <sheetData>
    <row r="5" spans="1:19" x14ac:dyDescent="0.2">
      <c r="A5">
        <v>2.5</v>
      </c>
    </row>
    <row r="6" spans="1:19" x14ac:dyDescent="0.2">
      <c r="A6" t="str">
        <f>'[9]data summary'!A35</f>
        <v>yearly</v>
      </c>
      <c r="B6">
        <f>'[9]data summary'!B35</f>
        <v>0</v>
      </c>
      <c r="C6" t="str">
        <f>'[9]data summary'!C35</f>
        <v>CC</v>
      </c>
      <c r="D6" t="str">
        <f>'[9]data summary'!D35</f>
        <v>HTC</v>
      </c>
      <c r="E6" t="str">
        <f>'[9]data summary'!E35</f>
        <v>CED</v>
      </c>
      <c r="G6" s="4">
        <f>'[10]data summary'!M25</f>
        <v>0</v>
      </c>
      <c r="H6" s="4">
        <f>'[10]data summary'!N25</f>
        <v>0</v>
      </c>
      <c r="I6" s="4" t="str">
        <f>'[10]data summary'!O25</f>
        <v>CC</v>
      </c>
      <c r="J6" s="4" t="str">
        <f>'[10]data summary'!P25</f>
        <v>CC</v>
      </c>
      <c r="K6" s="4">
        <f>'[10]data summary'!Q25</f>
        <v>0</v>
      </c>
      <c r="L6" s="4">
        <f>'[10]data summary'!R25</f>
        <v>0</v>
      </c>
      <c r="M6" s="4" t="str">
        <f>'[10]data summary'!S25</f>
        <v>HTC</v>
      </c>
      <c r="N6" s="4" t="str">
        <f>'[10]data summary'!T25</f>
        <v>HTC</v>
      </c>
      <c r="O6" s="4">
        <f>'[10]data summary'!U25</f>
        <v>0</v>
      </c>
      <c r="P6" s="4">
        <f>'[10]data summary'!V25</f>
        <v>0</v>
      </c>
      <c r="Q6" s="4" t="str">
        <f>'[10]data summary'!W25</f>
        <v>CED</v>
      </c>
      <c r="R6" s="4" t="str">
        <f>'[10]data summary'!X25</f>
        <v>CED</v>
      </c>
      <c r="S6" s="4">
        <f>'[10]data summary'!Y25</f>
        <v>0</v>
      </c>
    </row>
    <row r="7" spans="1:19" x14ac:dyDescent="0.2">
      <c r="A7">
        <f>'[9]data summary'!A36</f>
        <v>2025</v>
      </c>
      <c r="B7" t="str">
        <f>'[9]data summary'!B36</f>
        <v>PAG</v>
      </c>
      <c r="C7">
        <f>'[9]data summary'!C36</f>
        <v>4167207.4290073765</v>
      </c>
      <c r="D7">
        <f>'[9]data summary'!D36</f>
        <v>0.23245329536709863</v>
      </c>
      <c r="E7">
        <f>'[9]data summary'!E36</f>
        <v>29563812.407481752</v>
      </c>
      <c r="G7" s="4">
        <f>'[10]data summary'!M26</f>
        <v>2025</v>
      </c>
      <c r="H7" s="4" t="str">
        <f>'[10]data summary'!N26</f>
        <v>Gas</v>
      </c>
      <c r="I7" s="4">
        <f>'[10]data summary'!O26</f>
        <v>6.4991821291500385E-2</v>
      </c>
      <c r="J7" s="4">
        <f>'[10]data summary'!P26</f>
        <v>6.4867851551608383E-3</v>
      </c>
      <c r="K7" s="4">
        <f>'[10]data summary'!Q26</f>
        <v>3.1850602695863007E-3</v>
      </c>
      <c r="L7" s="4">
        <f>'[10]data summary'!R26</f>
        <v>0</v>
      </c>
      <c r="M7" s="4">
        <f>'[10]data summary'!S26</f>
        <v>5.3112250159305886E-3</v>
      </c>
      <c r="N7" s="4">
        <f>'[10]data summary'!T26</f>
        <v>5.2998555868496262E-4</v>
      </c>
      <c r="O7" s="4">
        <f>'[10]data summary'!U26</f>
        <v>3.1042583884743425E-3</v>
      </c>
      <c r="P7" s="4">
        <f>'[10]data summary'!V26</f>
        <v>0</v>
      </c>
      <c r="Q7" s="4">
        <f>'[10]data summary'!W26</f>
        <v>0.49248747557833034</v>
      </c>
      <c r="R7" s="4">
        <f>'[10]data summary'!X26</f>
        <v>4.9118634375724585E-2</v>
      </c>
      <c r="S7" s="4">
        <f>'[10]data summary'!Y26</f>
        <v>2.8364412400492907E-3</v>
      </c>
    </row>
    <row r="8" spans="1:19" x14ac:dyDescent="0.2">
      <c r="A8">
        <f>'[9]data summary'!A37</f>
        <v>0</v>
      </c>
      <c r="B8" t="str">
        <f>'[9]data summary'!B37</f>
        <v>Sur</v>
      </c>
      <c r="C8">
        <f>'[9]data summary'!C37</f>
        <v>162222.69852422303</v>
      </c>
      <c r="D8">
        <f>'[9]data summary'!D37</f>
        <v>1.6637285352594622E-2</v>
      </c>
      <c r="E8">
        <f>'[9]data summary'!E37</f>
        <v>1532711.7625076296</v>
      </c>
      <c r="G8" s="4">
        <f>'[10]data summary'!M27</f>
        <v>0</v>
      </c>
      <c r="H8" s="4" t="str">
        <f>'[10]data summary'!N27</f>
        <v>Solid</v>
      </c>
      <c r="I8" s="4">
        <f>'[10]data summary'!O27</f>
        <v>7.7041955152503908E-2</v>
      </c>
      <c r="J8" s="4">
        <f>'[10]data summary'!P27</f>
        <v>7.6912794953428723E-3</v>
      </c>
      <c r="K8" s="4">
        <f>'[10]data summary'!Q27</f>
        <v>3.7756023076642256E-3</v>
      </c>
      <c r="L8" s="4">
        <f>'[10]data summary'!R27</f>
        <v>0</v>
      </c>
      <c r="M8" s="4">
        <f>'[10]data summary'!S27</f>
        <v>6.2958954536165186E-3</v>
      </c>
      <c r="N8" s="4">
        <f>'[10]data summary'!T27</f>
        <v>6.2838701979056459E-4</v>
      </c>
      <c r="O8" s="4">
        <f>'[10]data summary'!U27</f>
        <v>3.6797699619627584E-3</v>
      </c>
      <c r="P8" s="4">
        <f>'[10]data summary'!V27</f>
        <v>0</v>
      </c>
      <c r="Q8" s="4">
        <f>'[10]data summary'!W27</f>
        <v>0.58379867128161556</v>
      </c>
      <c r="R8" s="4">
        <f>'[10]data summary'!X27</f>
        <v>5.8238966021450345E-2</v>
      </c>
      <c r="S8" s="4">
        <f>'[10]data summary'!Y27</f>
        <v>3.3623405857471002E-3</v>
      </c>
    </row>
    <row r="9" spans="1:19" x14ac:dyDescent="0.2">
      <c r="A9">
        <f>'[9]data summary'!A38</f>
        <v>0</v>
      </c>
      <c r="B9" t="str">
        <f>'[9]data summary'!B38</f>
        <v>TARC</v>
      </c>
      <c r="C9">
        <f>'[9]data summary'!C38</f>
        <v>8628927.6713460907</v>
      </c>
      <c r="D9">
        <f>'[9]data summary'!D38</f>
        <v>0.86320622639430777</v>
      </c>
      <c r="E9">
        <f>'[9]data summary'!E38</f>
        <v>80437971.475377589</v>
      </c>
      <c r="G9" s="4">
        <f>'[10]data summary'!M28</f>
        <v>0</v>
      </c>
      <c r="H9" s="4" t="str">
        <f>'[10]data summary'!N28</f>
        <v>Solvent</v>
      </c>
      <c r="I9" s="4">
        <f>'[10]data summary'!O28</f>
        <v>7.764534475857154</v>
      </c>
      <c r="J9" s="4">
        <f>'[10]data summary'!P28</f>
        <v>0.77479605786491379</v>
      </c>
      <c r="K9" s="4">
        <f>'[10]data summary'!Q28</f>
        <v>0.38051726785690132</v>
      </c>
      <c r="L9" s="4">
        <f>'[10]data summary'!R28</f>
        <v>0</v>
      </c>
      <c r="M9" s="4">
        <f>'[10]data summary'!S28</f>
        <v>0.40931153484295646</v>
      </c>
      <c r="N9" s="4">
        <f>'[10]data summary'!T28</f>
        <v>4.0890766796254197E-2</v>
      </c>
      <c r="O9" s="4">
        <f>'[10]data summary'!U28</f>
        <v>0.23923082937071349</v>
      </c>
      <c r="P9" s="4">
        <f>'[10]data summary'!V28</f>
        <v>0</v>
      </c>
      <c r="Q9" s="4">
        <f>'[10]data summary'!W28</f>
        <v>54.035327418946693</v>
      </c>
      <c r="R9" s="4">
        <f>'[10]data summary'!X28</f>
        <v>5.3899272956588034</v>
      </c>
      <c r="S9" s="4">
        <f>'[10]data summary'!Y28</f>
        <v>0.31121203829738664</v>
      </c>
    </row>
    <row r="10" spans="1:19" x14ac:dyDescent="0.2">
      <c r="A10">
        <f>'[9]data summary'!A39</f>
        <v>0</v>
      </c>
      <c r="B10" t="str">
        <f>'[9]data summary'!B39</f>
        <v>Polymer</v>
      </c>
      <c r="C10">
        <f>'[9]data summary'!C39</f>
        <v>281849.67175183725</v>
      </c>
      <c r="D10">
        <f>'[9]data summary'!D39</f>
        <v>1.5551646515797995E-2</v>
      </c>
      <c r="E10">
        <f>'[9]data summary'!E39</f>
        <v>1990946.5447631539</v>
      </c>
      <c r="G10" s="4">
        <f>'[10]data summary'!M29</f>
        <v>0</v>
      </c>
      <c r="H10" s="4" t="str">
        <f>'[10]data summary'!N29</f>
        <v>Water</v>
      </c>
      <c r="I10" s="4">
        <f>'[10]data summary'!O29</f>
        <v>12.498641002951651</v>
      </c>
      <c r="J10" s="4">
        <f>'[10]data summary'!P29</f>
        <v>1.2480132554408203</v>
      </c>
      <c r="K10" s="4">
        <f>'[10]data summary'!Q29</f>
        <v>0.61252206956584831</v>
      </c>
      <c r="L10" s="4">
        <f>'[10]data summary'!R29</f>
        <v>0</v>
      </c>
      <c r="M10" s="4">
        <f>'[10]data summary'!S29</f>
        <v>1.2900294525030027</v>
      </c>
      <c r="N10" s="4">
        <f>'[10]data summary'!T29</f>
        <v>0.12865590363342294</v>
      </c>
      <c r="O10" s="4">
        <f>'[10]data summary'!U29</f>
        <v>0.7539851422788495</v>
      </c>
      <c r="P10" s="4">
        <f>'[10]data summary'!V29</f>
        <v>0</v>
      </c>
      <c r="Q10" s="4">
        <f>'[10]data summary'!W29</f>
        <v>118.51704075800798</v>
      </c>
      <c r="R10" s="4">
        <f>'[10]data summary'!X29</f>
        <v>11.8188179249622</v>
      </c>
      <c r="S10" s="4">
        <f>'[10]data summary'!Y29</f>
        <v>0.68258917987681711</v>
      </c>
    </row>
    <row r="11" spans="1:19" x14ac:dyDescent="0.2">
      <c r="A11">
        <f>'[9]data summary'!A40</f>
        <v>0</v>
      </c>
      <c r="B11" t="str">
        <f>'[9]data summary'!B40</f>
        <v>ITC</v>
      </c>
      <c r="C11">
        <f>'[9]data summary'!C40</f>
        <v>4631765.2079750132</v>
      </c>
      <c r="D11">
        <f>'[9]data summary'!D40</f>
        <v>0.4463826833789219</v>
      </c>
      <c r="E11">
        <f>'[9]data summary'!E40</f>
        <v>42334752.690423079</v>
      </c>
      <c r="G11" s="4">
        <f>'[10]data summary'!M30</f>
        <v>0</v>
      </c>
      <c r="H11" s="4">
        <f>'[10]data summary'!N30</f>
        <v>0</v>
      </c>
      <c r="I11" s="4">
        <f>'[10]data summary'!O30</f>
        <v>20.405209255252807</v>
      </c>
      <c r="J11" s="4">
        <f>'[10]data summary'!P30</f>
        <v>2.0369873779562377</v>
      </c>
      <c r="K11" s="4">
        <f>'[10]data summary'!Q30</f>
        <v>0</v>
      </c>
      <c r="L11" s="4">
        <f>'[10]data summary'!R30</f>
        <v>0</v>
      </c>
      <c r="M11" s="4">
        <f>'[10]data summary'!S30</f>
        <v>1.7109481078155062</v>
      </c>
      <c r="N11" s="4">
        <f>'[10]data summary'!T30</f>
        <v>0.17070504300815267</v>
      </c>
      <c r="O11" s="4">
        <f>'[10]data summary'!U30</f>
        <v>0</v>
      </c>
      <c r="P11" s="4">
        <f>'[10]data summary'!V30</f>
        <v>0</v>
      </c>
      <c r="Q11" s="4">
        <f>'[10]data summary'!W30</f>
        <v>173.6286543238146</v>
      </c>
      <c r="R11" s="4">
        <f>'[10]data summary'!X30</f>
        <v>17.316102821018177</v>
      </c>
      <c r="S11" s="4">
        <f>'[10]data summary'!Y30</f>
        <v>0</v>
      </c>
    </row>
    <row r="12" spans="1:19" x14ac:dyDescent="0.2">
      <c r="A12">
        <f>'[9]data summary'!A41</f>
        <v>0</v>
      </c>
      <c r="B12" t="str">
        <f>'[9]data summary'!B41</f>
        <v>PBO</v>
      </c>
      <c r="C12">
        <f>'[9]data summary'!C41</f>
        <v>2533236.5766482656</v>
      </c>
      <c r="D12">
        <f>'[9]data summary'!D41</f>
        <v>0.13671697080678563</v>
      </c>
      <c r="E12">
        <f>'[9]data summary'!E41</f>
        <v>17768459.443261433</v>
      </c>
      <c r="G12" s="4">
        <f>'[10]data summary'!M31</f>
        <v>0</v>
      </c>
      <c r="H12" s="4">
        <f>'[10]data summary'!N31</f>
        <v>0</v>
      </c>
      <c r="I12" s="4">
        <f>'[10]data summary'!O31</f>
        <v>0</v>
      </c>
      <c r="J12" s="4">
        <f>'[10]data summary'!P31</f>
        <v>0</v>
      </c>
      <c r="K12" s="4">
        <f>'[10]data summary'!Q31</f>
        <v>0</v>
      </c>
      <c r="L12" s="4">
        <f>'[10]data summary'!R31</f>
        <v>0</v>
      </c>
      <c r="M12" s="4">
        <f>'[10]data summary'!S31</f>
        <v>0</v>
      </c>
      <c r="N12" s="4">
        <f>'[10]data summary'!T31</f>
        <v>0</v>
      </c>
      <c r="O12" s="4">
        <f>'[10]data summary'!U31</f>
        <v>0</v>
      </c>
      <c r="P12" s="4">
        <f>'[10]data summary'!V31</f>
        <v>0</v>
      </c>
      <c r="Q12" s="4">
        <f>'[10]data summary'!W31</f>
        <v>0</v>
      </c>
      <c r="R12" s="4">
        <f>'[10]data summary'!X31</f>
        <v>0</v>
      </c>
      <c r="S12" s="4">
        <f>'[10]data summary'!Y31</f>
        <v>0</v>
      </c>
    </row>
    <row r="13" spans="1:19" x14ac:dyDescent="0.2">
      <c r="A13">
        <f>'[9]data summary'!A42</f>
        <v>0</v>
      </c>
      <c r="B13">
        <f>'[9]data summary'!B42</f>
        <v>0</v>
      </c>
      <c r="C13">
        <f>'[9]data summary'!C42</f>
        <v>20405209.255252808</v>
      </c>
      <c r="D13">
        <f>'[9]data summary'!D42</f>
        <v>1.7109481078155069</v>
      </c>
      <c r="E13">
        <f>'[9]data summary'!E42</f>
        <v>173628654.32381463</v>
      </c>
      <c r="G13" s="4">
        <f>'[10]data summary'!M32</f>
        <v>2030</v>
      </c>
      <c r="H13" s="4" t="str">
        <f>'[10]data summary'!N32</f>
        <v>Gas</v>
      </c>
      <c r="I13" s="4">
        <f>'[10]data summary'!O32</f>
        <v>0.45995226293170671</v>
      </c>
      <c r="J13" s="4">
        <f>'[10]data summary'!P32</f>
        <v>5.1469389861982615E-2</v>
      </c>
      <c r="K13" s="4">
        <f>'[10]data summary'!Q32</f>
        <v>3.0777703032126482E-3</v>
      </c>
      <c r="L13" s="4">
        <f>'[10]data summary'!R32</f>
        <v>0</v>
      </c>
      <c r="M13" s="4">
        <f>'[10]data summary'!S32</f>
        <v>3.5758626411231682E-2</v>
      </c>
      <c r="N13" s="4">
        <f>'[10]data summary'!T32</f>
        <v>3.9981388891250011E-3</v>
      </c>
      <c r="O13" s="4">
        <f>'[10]data summary'!U32</f>
        <v>3.1062669742219547E-3</v>
      </c>
      <c r="P13" s="4">
        <f>'[10]data summary'!V32</f>
        <v>0</v>
      </c>
      <c r="Q13" s="4">
        <f>'[10]data summary'!W32</f>
        <v>3.4655281273439162</v>
      </c>
      <c r="R13" s="4">
        <f>'[10]data summary'!X32</f>
        <v>0.38418849865385346</v>
      </c>
      <c r="S13" s="4">
        <f>'[10]data summary'!Y32</f>
        <v>2.7527018942472442E-3</v>
      </c>
    </row>
    <row r="14" spans="1:19" x14ac:dyDescent="0.2">
      <c r="A14">
        <f>'[9]data summary'!A43</f>
        <v>0</v>
      </c>
      <c r="B14">
        <f>'[9]data summary'!B43</f>
        <v>0</v>
      </c>
      <c r="C14">
        <f>'[9]data summary'!C43</f>
        <v>0</v>
      </c>
      <c r="D14">
        <f>'[9]data summary'!D43</f>
        <v>0</v>
      </c>
      <c r="E14">
        <f>'[9]data summary'!E43</f>
        <v>0</v>
      </c>
      <c r="G14" s="4">
        <f>'[10]data summary'!M33</f>
        <v>0</v>
      </c>
      <c r="H14" s="4" t="str">
        <f>'[10]data summary'!N33</f>
        <v>Solid</v>
      </c>
      <c r="I14" s="4">
        <f>'[10]data summary'!O33</f>
        <v>0.59353088826068334</v>
      </c>
      <c r="J14" s="4">
        <f>'[10]data summary'!P33</f>
        <v>6.6420811504035379E-2</v>
      </c>
      <c r="K14" s="4">
        <f>'[10]data summary'!Q33</f>
        <v>3.9716115978744304E-3</v>
      </c>
      <c r="L14" s="4">
        <f>'[10]data summary'!R33</f>
        <v>0</v>
      </c>
      <c r="M14" s="4">
        <f>'[10]data summary'!S33</f>
        <v>4.6142059939252647E-2</v>
      </c>
      <c r="N14" s="4">
        <f>'[10]data summary'!T33</f>
        <v>5.1594012695232554E-3</v>
      </c>
      <c r="O14" s="4">
        <f>'[10]data summary'!U33</f>
        <v>4.0082511912943892E-3</v>
      </c>
      <c r="P14" s="4">
        <f>'[10]data summary'!V33</f>
        <v>0</v>
      </c>
      <c r="Q14" s="4">
        <f>'[10]data summary'!W33</f>
        <v>4.4719648363248616</v>
      </c>
      <c r="R14" s="4">
        <f>'[10]data summary'!X33</f>
        <v>0.49578763546331572</v>
      </c>
      <c r="S14" s="4">
        <f>'[10]data summary'!Y33</f>
        <v>3.5521241275837667E-3</v>
      </c>
    </row>
    <row r="15" spans="1:19" x14ac:dyDescent="0.2">
      <c r="A15">
        <f>'[9]data summary'!A44</f>
        <v>2030</v>
      </c>
      <c r="B15" t="str">
        <f>'[9]data summary'!B44</f>
        <v>PAG</v>
      </c>
      <c r="C15">
        <f>'[9]data summary'!C44</f>
        <v>29981494.57143531</v>
      </c>
      <c r="D15">
        <f>'[9]data summary'!D44</f>
        <v>1.554195412555321</v>
      </c>
      <c r="E15">
        <f>'[9]data summary'!E44</f>
        <v>211852362.01064795</v>
      </c>
      <c r="G15" s="4">
        <f>'[10]data summary'!M34</f>
        <v>0</v>
      </c>
      <c r="H15" s="4" t="str">
        <f>'[10]data summary'!N34</f>
        <v>Solvent</v>
      </c>
      <c r="I15" s="4">
        <f>'[10]data summary'!O34</f>
        <v>60.84459367876066</v>
      </c>
      <c r="J15" s="4">
        <f>'[10]data summary'!P34</f>
        <v>6.7561954600445278</v>
      </c>
      <c r="K15" s="4">
        <f>'[10]data summary'!Q34</f>
        <v>0.40714156365251891</v>
      </c>
      <c r="L15" s="4">
        <f>'[10]data summary'!R34</f>
        <v>0</v>
      </c>
      <c r="M15" s="4">
        <f>'[10]data summary'!S34</f>
        <v>2.9844776971402229</v>
      </c>
      <c r="N15" s="4">
        <f>'[10]data summary'!T34</f>
        <v>0.33755925701260847</v>
      </c>
      <c r="O15" s="4">
        <f>'[10]data summary'!U34</f>
        <v>0.25925449147053375</v>
      </c>
      <c r="P15" s="4">
        <f>'[10]data summary'!V34</f>
        <v>0</v>
      </c>
      <c r="Q15" s="4">
        <f>'[10]data summary'!W34</f>
        <v>422.09750388692783</v>
      </c>
      <c r="R15" s="4">
        <f>'[10]data summary'!X34</f>
        <v>46.645658430791187</v>
      </c>
      <c r="S15" s="4">
        <f>'[10]data summary'!Y34</f>
        <v>0.33527605484971229</v>
      </c>
    </row>
    <row r="16" spans="1:19" x14ac:dyDescent="0.2">
      <c r="A16">
        <f>'[9]data summary'!A45</f>
        <v>0</v>
      </c>
      <c r="B16" t="str">
        <f>'[9]data summary'!B45</f>
        <v>Sur</v>
      </c>
      <c r="C16">
        <f>'[9]data summary'!C45</f>
        <v>1109968.3347304619</v>
      </c>
      <c r="D16">
        <f>'[9]data summary'!D45</f>
        <v>0.10636496778817774</v>
      </c>
      <c r="E16">
        <f>'[9]data summary'!E45</f>
        <v>10469586.44746376</v>
      </c>
      <c r="G16" s="4">
        <f>'[10]data summary'!M35</f>
        <v>0</v>
      </c>
      <c r="H16" s="4" t="str">
        <f>'[10]data summary'!N35</f>
        <v>Water</v>
      </c>
      <c r="I16" s="4">
        <f>'[10]data summary'!O35</f>
        <v>87.545259617733706</v>
      </c>
      <c r="J16" s="4">
        <f>'[10]data summary'!P35</f>
        <v>9.8937045958901635</v>
      </c>
      <c r="K16" s="4">
        <f>'[10]data summary'!Q35</f>
        <v>0.58580905444639397</v>
      </c>
      <c r="L16" s="4">
        <f>'[10]data summary'!R35</f>
        <v>0</v>
      </c>
      <c r="M16" s="4">
        <f>'[10]data summary'!S35</f>
        <v>8.4453901502453075</v>
      </c>
      <c r="N16" s="4">
        <f>'[10]data summary'!T35</f>
        <v>0.94167784620161077</v>
      </c>
      <c r="O16" s="4">
        <f>'[10]data summary'!U35</f>
        <v>0.73363099036394985</v>
      </c>
      <c r="P16" s="4">
        <f>'[10]data summary'!V35</f>
        <v>0</v>
      </c>
      <c r="Q16" s="4">
        <f>'[10]data summary'!W35</f>
        <v>828.92011724525878</v>
      </c>
      <c r="R16" s="4">
        <f>'[10]data summary'!X35</f>
        <v>92.068719105547061</v>
      </c>
      <c r="S16" s="4">
        <f>'[10]data summary'!Y35</f>
        <v>0.65841911912845663</v>
      </c>
    </row>
    <row r="17" spans="1:19" x14ac:dyDescent="0.2">
      <c r="A17">
        <f>'[9]data summary'!A46</f>
        <v>0</v>
      </c>
      <c r="B17" t="str">
        <f>'[9]data summary'!B46</f>
        <v>TARC</v>
      </c>
      <c r="C17">
        <f>'[9]data summary'!C46</f>
        <v>60828198.416236743</v>
      </c>
      <c r="D17">
        <f>'[9]data summary'!D46</f>
        <v>5.6771817476427815</v>
      </c>
      <c r="E17">
        <f>'[9]data summary'!E46</f>
        <v>565650891.45904028</v>
      </c>
      <c r="G17" s="4">
        <f>'[10]data summary'!M36</f>
        <v>0</v>
      </c>
      <c r="H17" s="4">
        <f>'[10]data summary'!N36</f>
        <v>0</v>
      </c>
      <c r="I17" s="4">
        <f>'[10]data summary'!O36</f>
        <v>149.44333644768676</v>
      </c>
      <c r="J17" s="4">
        <f>'[10]data summary'!P36</f>
        <v>16.76779025730071</v>
      </c>
      <c r="K17" s="4">
        <f>'[10]data summary'!Q36</f>
        <v>0</v>
      </c>
      <c r="L17" s="4">
        <f>'[10]data summary'!R36</f>
        <v>0</v>
      </c>
      <c r="M17" s="4">
        <f>'[10]data summary'!S36</f>
        <v>11.511768533736015</v>
      </c>
      <c r="N17" s="4">
        <f>'[10]data summary'!T36</f>
        <v>1.2883946433728675</v>
      </c>
      <c r="O17" s="4">
        <f>'[10]data summary'!U36</f>
        <v>0</v>
      </c>
      <c r="P17" s="4">
        <f>'[10]data summary'!V36</f>
        <v>0</v>
      </c>
      <c r="Q17" s="4">
        <f>'[10]data summary'!W36</f>
        <v>1258.9551140958554</v>
      </c>
      <c r="R17" s="4">
        <f>'[10]data summary'!X36</f>
        <v>139.5943536704554</v>
      </c>
      <c r="S17" s="4">
        <f>'[10]data summary'!Y36</f>
        <v>0</v>
      </c>
    </row>
    <row r="18" spans="1:19" x14ac:dyDescent="0.2">
      <c r="A18">
        <f>'[9]data summary'!A47</f>
        <v>0</v>
      </c>
      <c r="B18" t="str">
        <f>'[9]data summary'!B47</f>
        <v>Polymer</v>
      </c>
      <c r="C18">
        <f>'[9]data summary'!C47</f>
        <v>2029089.2256973051</v>
      </c>
      <c r="D18">
        <f>'[9]data summary'!D47</f>
        <v>0.1040893887655156</v>
      </c>
      <c r="E18">
        <f>'[9]data summary'!E47</f>
        <v>14278559.145531882</v>
      </c>
      <c r="G18" s="4">
        <f>'[10]data summary'!M37</f>
        <v>0</v>
      </c>
      <c r="H18" s="4">
        <f>'[10]data summary'!N37</f>
        <v>0</v>
      </c>
      <c r="I18" s="4">
        <f>'[10]data summary'!O37</f>
        <v>0</v>
      </c>
      <c r="J18" s="4">
        <f>'[10]data summary'!P37</f>
        <v>0</v>
      </c>
      <c r="K18" s="4">
        <f>'[10]data summary'!Q37</f>
        <v>0</v>
      </c>
      <c r="L18" s="4">
        <f>'[10]data summary'!R37</f>
        <v>0</v>
      </c>
      <c r="M18" s="4">
        <f>'[10]data summary'!S37</f>
        <v>0</v>
      </c>
      <c r="N18" s="4">
        <f>'[10]data summary'!T37</f>
        <v>0</v>
      </c>
      <c r="O18" s="4">
        <f>'[10]data summary'!U37</f>
        <v>0</v>
      </c>
      <c r="P18" s="4">
        <f>'[10]data summary'!V37</f>
        <v>0</v>
      </c>
      <c r="Q18" s="4">
        <f>'[10]data summary'!W37</f>
        <v>0</v>
      </c>
      <c r="R18" s="4">
        <f>'[10]data summary'!X37</f>
        <v>0</v>
      </c>
      <c r="S18" s="4">
        <f>'[10]data summary'!Y37</f>
        <v>0</v>
      </c>
    </row>
    <row r="19" spans="1:19" x14ac:dyDescent="0.2">
      <c r="A19">
        <f>'[9]data summary'!A48</f>
        <v>0</v>
      </c>
      <c r="B19" t="str">
        <f>'[9]data summary'!B48</f>
        <v>ITC</v>
      </c>
      <c r="C19">
        <f>'[9]data summary'!C48</f>
        <v>32474895.961088825</v>
      </c>
      <c r="D19">
        <f>'[9]data summary'!D48</f>
        <v>2.9145953132467453</v>
      </c>
      <c r="E19">
        <f>'[9]data summary'!E48</f>
        <v>295807269.06415057</v>
      </c>
      <c r="G19" s="4">
        <f>'[10]data summary'!M38</f>
        <v>2025</v>
      </c>
      <c r="H19" s="4">
        <f>'[10]data summary'!N38</f>
        <v>0</v>
      </c>
      <c r="I19" s="4">
        <f>'[10]data summary'!O38</f>
        <v>20.405209255252807</v>
      </c>
      <c r="J19" s="4">
        <f>'[10]data summary'!P38</f>
        <v>2.0369873779562377</v>
      </c>
      <c r="K19" s="4">
        <f>'[10]data summary'!Q38</f>
        <v>0</v>
      </c>
      <c r="L19" s="4">
        <f>'[10]data summary'!R38</f>
        <v>0</v>
      </c>
      <c r="M19" s="4">
        <f>'[10]data summary'!S38</f>
        <v>1.7109481078155062</v>
      </c>
      <c r="N19" s="4">
        <f>'[10]data summary'!T38</f>
        <v>0.17070504300815267</v>
      </c>
      <c r="O19" s="4">
        <f>'[10]data summary'!U38</f>
        <v>0</v>
      </c>
      <c r="P19" s="4">
        <f>'[10]data summary'!V38</f>
        <v>0</v>
      </c>
      <c r="Q19" s="4">
        <f>'[10]data summary'!W38</f>
        <v>173.6286543238146</v>
      </c>
      <c r="R19" s="4">
        <f>'[10]data summary'!X38</f>
        <v>17.316102821018177</v>
      </c>
      <c r="S19" s="4">
        <f>'[10]data summary'!Y38</f>
        <v>0</v>
      </c>
    </row>
    <row r="20" spans="1:19" x14ac:dyDescent="0.2">
      <c r="A20">
        <f>'[9]data summary'!A49</f>
        <v>0</v>
      </c>
      <c r="B20" t="str">
        <f>'[9]data summary'!B49</f>
        <v>PBO</v>
      </c>
      <c r="C20">
        <f>'[9]data summary'!C49</f>
        <v>23019689.93849811</v>
      </c>
      <c r="D20">
        <f>'[9]data summary'!D49</f>
        <v>1.1553417037374754</v>
      </c>
      <c r="E20">
        <f>'[9]data summary'!E49</f>
        <v>160896445.9690209</v>
      </c>
      <c r="G20" s="4">
        <f>'[10]data summary'!M39</f>
        <v>2030</v>
      </c>
      <c r="H20" s="4">
        <f>'[10]data summary'!N39</f>
        <v>0</v>
      </c>
      <c r="I20" s="4">
        <f>'[10]data summary'!O39</f>
        <v>149.44333644768676</v>
      </c>
      <c r="J20" s="4">
        <f>'[10]data summary'!P39</f>
        <v>16.76779025730071</v>
      </c>
      <c r="K20" s="4">
        <f>'[10]data summary'!Q39</f>
        <v>0</v>
      </c>
      <c r="L20" s="4">
        <f>'[10]data summary'!R39</f>
        <v>0</v>
      </c>
      <c r="M20" s="4">
        <f>'[10]data summary'!S39</f>
        <v>11.511768533736015</v>
      </c>
      <c r="N20" s="4">
        <f>'[10]data summary'!T39</f>
        <v>1.2883946433728675</v>
      </c>
      <c r="O20" s="4">
        <f>'[10]data summary'!U39</f>
        <v>0</v>
      </c>
      <c r="P20" s="4">
        <f>'[10]data summary'!V39</f>
        <v>0</v>
      </c>
      <c r="Q20" s="4">
        <f>'[10]data summary'!W39</f>
        <v>1258.9551140958554</v>
      </c>
      <c r="R20" s="4">
        <f>'[10]data summary'!X39</f>
        <v>139.5943536704554</v>
      </c>
      <c r="S20" s="4">
        <f>'[10]data summary'!Y39</f>
        <v>0</v>
      </c>
    </row>
    <row r="21" spans="1:19" x14ac:dyDescent="0.2">
      <c r="A21">
        <f>'[9]data summary'!A50</f>
        <v>0</v>
      </c>
      <c r="B21">
        <f>'[9]data summary'!B50</f>
        <v>0</v>
      </c>
      <c r="C21">
        <f>'[9]data summary'!C50</f>
        <v>149443336.44768673</v>
      </c>
      <c r="D21">
        <f>'[9]data summary'!D50</f>
        <v>11.511768533736015</v>
      </c>
      <c r="E21">
        <f>'[9]data summary'!E50</f>
        <v>1258955114.0958552</v>
      </c>
    </row>
    <row r="25" spans="1:19" x14ac:dyDescent="0.2">
      <c r="A25">
        <v>3</v>
      </c>
    </row>
    <row r="26" spans="1:19" x14ac:dyDescent="0.2">
      <c r="A26" t="str">
        <f>'[11]data summary'!A35</f>
        <v>yearly</v>
      </c>
      <c r="B26">
        <f>'[11]data summary'!B35</f>
        <v>0</v>
      </c>
      <c r="C26" t="str">
        <f>'[11]data summary'!C35</f>
        <v>CC</v>
      </c>
      <c r="D26" t="str">
        <f>'[11]data summary'!D35</f>
        <v>HTC</v>
      </c>
      <c r="E26" t="str">
        <f>'[11]data summary'!E35</f>
        <v>CED</v>
      </c>
      <c r="G26" s="4">
        <f>'[12]data summary'!M25</f>
        <v>0</v>
      </c>
      <c r="H26" s="4">
        <f>'[12]data summary'!N25</f>
        <v>0</v>
      </c>
      <c r="I26" s="4" t="str">
        <f>'[12]data summary'!O25</f>
        <v>CC</v>
      </c>
      <c r="J26" s="4" t="str">
        <f>'[12]data summary'!P25</f>
        <v>CC</v>
      </c>
      <c r="K26" s="4">
        <f>'[12]data summary'!Q25</f>
        <v>0</v>
      </c>
      <c r="L26" s="4">
        <f>'[12]data summary'!R25</f>
        <v>0</v>
      </c>
      <c r="M26" s="4" t="str">
        <f>'[12]data summary'!S25</f>
        <v>HTC</v>
      </c>
      <c r="N26" s="4" t="str">
        <f>'[12]data summary'!T25</f>
        <v>HTC</v>
      </c>
      <c r="O26" s="4">
        <f>'[12]data summary'!U25</f>
        <v>0</v>
      </c>
      <c r="P26" s="4">
        <f>'[12]data summary'!V25</f>
        <v>0</v>
      </c>
      <c r="Q26" s="4" t="str">
        <f>'[12]data summary'!W25</f>
        <v>CED</v>
      </c>
      <c r="R26" s="4" t="str">
        <f>'[12]data summary'!X25</f>
        <v>CED</v>
      </c>
      <c r="S26" s="4">
        <f>'[12]data summary'!Y25</f>
        <v>0</v>
      </c>
    </row>
    <row r="27" spans="1:19" x14ac:dyDescent="0.2">
      <c r="A27">
        <f>'[11]data summary'!A36</f>
        <v>2025</v>
      </c>
      <c r="B27" t="str">
        <f>'[11]data summary'!B36</f>
        <v>PAG</v>
      </c>
      <c r="C27">
        <f>'[11]data summary'!C36</f>
        <v>4158056.809298398</v>
      </c>
      <c r="D27">
        <f>'[11]data summary'!D36</f>
        <v>0.23087281461262152</v>
      </c>
      <c r="E27">
        <f>'[11]data summary'!E36</f>
        <v>29428772.137407832</v>
      </c>
      <c r="G27" s="4">
        <f>'[12]data summary'!M26</f>
        <v>2025</v>
      </c>
      <c r="H27" s="4" t="str">
        <f>'[12]data summary'!N26</f>
        <v>Gas</v>
      </c>
      <c r="I27" s="4">
        <f>'[12]data summary'!O26</f>
        <v>6.506451195981218E-2</v>
      </c>
      <c r="J27" s="4">
        <f>'[12]data summary'!P26</f>
        <v>6.4989236478086689E-3</v>
      </c>
      <c r="K27" s="4">
        <f>'[12]data summary'!Q26</f>
        <v>3.3248061806007622E-3</v>
      </c>
      <c r="L27" s="4">
        <f>'[12]data summary'!R26</f>
        <v>0</v>
      </c>
      <c r="M27" s="4">
        <f>'[12]data summary'!S26</f>
        <v>5.3171608877584028E-3</v>
      </c>
      <c r="N27" s="4">
        <f>'[12]data summary'!T26</f>
        <v>5.3098222018495495E-4</v>
      </c>
      <c r="O27" s="4">
        <f>'[12]data summary'!U26</f>
        <v>3.3264168602338343E-3</v>
      </c>
      <c r="P27" s="4">
        <f>'[12]data summary'!V26</f>
        <v>0</v>
      </c>
      <c r="Q27" s="4">
        <f>'[12]data summary'!W26</f>
        <v>0.49303825351431602</v>
      </c>
      <c r="R27" s="4">
        <f>'[12]data summary'!X26</f>
        <v>4.9210680031073789E-2</v>
      </c>
      <c r="S27" s="4">
        <f>'[12]data summary'!Y26</f>
        <v>3.017873842014086E-3</v>
      </c>
    </row>
    <row r="28" spans="1:19" x14ac:dyDescent="0.2">
      <c r="A28">
        <f>'[11]data summary'!A37</f>
        <v>0</v>
      </c>
      <c r="B28" t="str">
        <f>'[11]data summary'!B37</f>
        <v>Sur</v>
      </c>
      <c r="C28">
        <f>'[11]data summary'!C37</f>
        <v>151416.07114959456</v>
      </c>
      <c r="D28">
        <f>'[11]data summary'!D37</f>
        <v>1.519195145897209E-2</v>
      </c>
      <c r="E28">
        <f>'[11]data summary'!E37</f>
        <v>1400691.639949189</v>
      </c>
      <c r="G28" s="4">
        <f>'[12]data summary'!M27</f>
        <v>0</v>
      </c>
      <c r="H28" s="4" t="str">
        <f>'[12]data summary'!N27</f>
        <v>Solid</v>
      </c>
      <c r="I28" s="4">
        <f>'[12]data summary'!O27</f>
        <v>7.7128252038666703E-2</v>
      </c>
      <c r="J28" s="4">
        <f>'[12]data summary'!P27</f>
        <v>7.7055424303839482E-3</v>
      </c>
      <c r="K28" s="4">
        <f>'[12]data summary'!Q27</f>
        <v>3.9412650821923209E-3</v>
      </c>
      <c r="L28" s="4">
        <f>'[12]data summary'!R27</f>
        <v>0</v>
      </c>
      <c r="M28" s="4">
        <f>'[12]data summary'!S27</f>
        <v>6.3029422984573428E-3</v>
      </c>
      <c r="N28" s="4">
        <f>'[12]data summary'!T27</f>
        <v>6.2955824837604966E-4</v>
      </c>
      <c r="O28" s="4">
        <f>'[12]data summary'!U27</f>
        <v>3.9431218978044488E-3</v>
      </c>
      <c r="P28" s="4">
        <f>'[12]data summary'!V27</f>
        <v>0</v>
      </c>
      <c r="Q28" s="4">
        <f>'[12]data summary'!W27</f>
        <v>0.5844525425656657</v>
      </c>
      <c r="R28" s="4">
        <f>'[12]data summary'!X27</f>
        <v>5.8347124828339481E-2</v>
      </c>
      <c r="S28" s="4">
        <f>'[12]data summary'!Y27</f>
        <v>3.5774182379062244E-3</v>
      </c>
    </row>
    <row r="29" spans="1:19" x14ac:dyDescent="0.2">
      <c r="A29">
        <f>'[11]data summary'!A38</f>
        <v>0</v>
      </c>
      <c r="B29" t="str">
        <f>'[11]data summary'!B38</f>
        <v>TARC</v>
      </c>
      <c r="C29">
        <f>'[11]data summary'!C38</f>
        <v>8083754.6402261704</v>
      </c>
      <c r="D29">
        <f>'[11]data summary'!D38</f>
        <v>0.79025095342782936</v>
      </c>
      <c r="E29">
        <f>'[11]data summary'!E38</f>
        <v>73775401.776840717</v>
      </c>
      <c r="G29" s="4">
        <f>'[12]data summary'!M28</f>
        <v>0</v>
      </c>
      <c r="H29" s="4" t="str">
        <f>'[12]data summary'!N28</f>
        <v>Solvent</v>
      </c>
      <c r="I29" s="4">
        <f>'[12]data summary'!O28</f>
        <v>7.7732391768212645</v>
      </c>
      <c r="J29" s="4">
        <f>'[12]data summary'!P28</f>
        <v>0.77622624790817996</v>
      </c>
      <c r="K29" s="4">
        <f>'[12]data summary'!Q28</f>
        <v>0.39721367116910788</v>
      </c>
      <c r="L29" s="4">
        <f>'[12]data summary'!R28</f>
        <v>0</v>
      </c>
      <c r="M29" s="4">
        <f>'[12]data summary'!S28</f>
        <v>0.40976989915579393</v>
      </c>
      <c r="N29" s="4">
        <f>'[12]data summary'!T28</f>
        <v>4.0966672089751119E-2</v>
      </c>
      <c r="O29" s="4">
        <f>'[12]data summary'!U28</f>
        <v>0.25635212665960705</v>
      </c>
      <c r="P29" s="4">
        <f>'[12]data summary'!V28</f>
        <v>0</v>
      </c>
      <c r="Q29" s="4">
        <f>'[12]data summary'!W28</f>
        <v>54.095902553482532</v>
      </c>
      <c r="R29" s="4">
        <f>'[12]data summary'!X28</f>
        <v>5.3998844499702141</v>
      </c>
      <c r="S29" s="4">
        <f>'[12]data summary'!Y28</f>
        <v>0.33111955941073368</v>
      </c>
    </row>
    <row r="30" spans="1:19" x14ac:dyDescent="0.2">
      <c r="A30">
        <f>'[11]data summary'!A39</f>
        <v>0</v>
      </c>
      <c r="B30" t="str">
        <f>'[11]data summary'!B39</f>
        <v>Polymer</v>
      </c>
      <c r="C30">
        <f>'[11]data summary'!C39</f>
        <v>281466.97762888926</v>
      </c>
      <c r="D30">
        <f>'[11]data summary'!D39</f>
        <v>1.5476029818181549E-2</v>
      </c>
      <c r="E30">
        <f>'[11]data summary'!E39</f>
        <v>1984678.318430528</v>
      </c>
      <c r="G30" s="4">
        <f>'[12]data summary'!M29</f>
        <v>0</v>
      </c>
      <c r="H30" s="4" t="str">
        <f>'[12]data summary'!N29</f>
        <v>Water</v>
      </c>
      <c r="I30" s="4">
        <f>'[12]data summary'!O29</f>
        <v>11.653983064314666</v>
      </c>
      <c r="J30" s="4">
        <f>'[12]data summary'!P29</f>
        <v>1.1644954318889005</v>
      </c>
      <c r="K30" s="4">
        <f>'[12]data summary'!Q29</f>
        <v>0.59552025756809901</v>
      </c>
      <c r="L30" s="4">
        <f>'[12]data summary'!R29</f>
        <v>0</v>
      </c>
      <c r="M30" s="4">
        <f>'[12]data summary'!S29</f>
        <v>1.1770749860132463</v>
      </c>
      <c r="N30" s="4">
        <f>'[12]data summary'!T29</f>
        <v>0.11748606075820361</v>
      </c>
      <c r="O30" s="4">
        <f>'[12]data summary'!U29</f>
        <v>0.73637833458235469</v>
      </c>
      <c r="P30" s="4">
        <f>'[12]data summary'!V29</f>
        <v>0</v>
      </c>
      <c r="Q30" s="4">
        <f>'[12]data summary'!W29</f>
        <v>108.19932510220328</v>
      </c>
      <c r="R30" s="4">
        <f>'[12]data summary'!X29</f>
        <v>10.79822223295778</v>
      </c>
      <c r="S30" s="4">
        <f>'[12]data summary'!Y29</f>
        <v>0.66228514850934594</v>
      </c>
    </row>
    <row r="31" spans="1:19" x14ac:dyDescent="0.2">
      <c r="A31">
        <f>'[11]data summary'!A40</f>
        <v>0</v>
      </c>
      <c r="B31" t="str">
        <f>'[11]data summary'!B40</f>
        <v>ITC</v>
      </c>
      <c r="C31">
        <f>'[11]data summary'!C40</f>
        <v>4362012.1761726877</v>
      </c>
      <c r="D31">
        <f>'[11]data summary'!D40</f>
        <v>0.4102528876812977</v>
      </c>
      <c r="E31">
        <f>'[11]data summary'!E40</f>
        <v>39035856.990338802</v>
      </c>
      <c r="G31" s="4">
        <f>'[12]data summary'!M30</f>
        <v>0</v>
      </c>
      <c r="H31" s="4">
        <f>'[12]data summary'!N30</f>
        <v>0</v>
      </c>
      <c r="I31" s="4">
        <f>'[12]data summary'!O30</f>
        <v>19.56941500513441</v>
      </c>
      <c r="J31" s="4">
        <f>'[12]data summary'!P30</f>
        <v>1.9549261458752731</v>
      </c>
      <c r="K31" s="4">
        <f>'[12]data summary'!Q30</f>
        <v>0</v>
      </c>
      <c r="L31" s="4">
        <f>'[12]data summary'!R30</f>
        <v>0</v>
      </c>
      <c r="M31" s="4">
        <f>'[12]data summary'!S30</f>
        <v>1.598464988355256</v>
      </c>
      <c r="N31" s="4">
        <f>'[12]data summary'!T30</f>
        <v>0.15961327331651573</v>
      </c>
      <c r="O31" s="4">
        <f>'[12]data summary'!U30</f>
        <v>0</v>
      </c>
      <c r="P31" s="4">
        <f>'[12]data summary'!V30</f>
        <v>0</v>
      </c>
      <c r="Q31" s="4">
        <f>'[12]data summary'!W30</f>
        <v>163.37271845176579</v>
      </c>
      <c r="R31" s="4">
        <f>'[12]data summary'!X30</f>
        <v>16.305664487787407</v>
      </c>
      <c r="S31" s="4">
        <f>'[12]data summary'!Y30</f>
        <v>0</v>
      </c>
    </row>
    <row r="32" spans="1:19" x14ac:dyDescent="0.2">
      <c r="A32">
        <f>'[11]data summary'!A41</f>
        <v>0</v>
      </c>
      <c r="B32" t="str">
        <f>'[11]data summary'!B41</f>
        <v>PBO</v>
      </c>
      <c r="C32">
        <f>'[11]data summary'!C41</f>
        <v>2532708.3306586663</v>
      </c>
      <c r="D32">
        <f>'[11]data summary'!D41</f>
        <v>0.13642035135635383</v>
      </c>
      <c r="E32">
        <f>'[11]data summary'!E41</f>
        <v>17747317.588798743</v>
      </c>
      <c r="G32" s="4">
        <f>'[12]data summary'!M31</f>
        <v>0</v>
      </c>
      <c r="H32" s="4">
        <f>'[12]data summary'!N31</f>
        <v>0</v>
      </c>
      <c r="I32" s="4">
        <f>'[12]data summary'!O31</f>
        <v>0</v>
      </c>
      <c r="J32" s="4">
        <f>'[12]data summary'!P31</f>
        <v>0</v>
      </c>
      <c r="K32" s="4">
        <f>'[12]data summary'!Q31</f>
        <v>0</v>
      </c>
      <c r="L32" s="4">
        <f>'[12]data summary'!R31</f>
        <v>0</v>
      </c>
      <c r="M32" s="4">
        <f>'[12]data summary'!S31</f>
        <v>0</v>
      </c>
      <c r="N32" s="4">
        <f>'[12]data summary'!T31</f>
        <v>0</v>
      </c>
      <c r="O32" s="4">
        <f>'[12]data summary'!U31</f>
        <v>0</v>
      </c>
      <c r="P32" s="4">
        <f>'[12]data summary'!V31</f>
        <v>0</v>
      </c>
      <c r="Q32" s="4">
        <f>'[12]data summary'!W31</f>
        <v>0</v>
      </c>
      <c r="R32" s="4">
        <f>'[12]data summary'!X31</f>
        <v>0</v>
      </c>
      <c r="S32" s="4">
        <f>'[12]data summary'!Y31</f>
        <v>0</v>
      </c>
    </row>
    <row r="33" spans="1:36" x14ac:dyDescent="0.2">
      <c r="A33">
        <f>'[11]data summary'!A42</f>
        <v>0</v>
      </c>
      <c r="B33">
        <f>'[11]data summary'!B42</f>
        <v>0</v>
      </c>
      <c r="C33">
        <f>'[11]data summary'!C42</f>
        <v>19569415.005134404</v>
      </c>
      <c r="D33">
        <f>'[11]data summary'!D42</f>
        <v>1.598464988355256</v>
      </c>
      <c r="E33">
        <f>'[11]data summary'!E42</f>
        <v>163372718.45176581</v>
      </c>
      <c r="G33" s="4">
        <f>'[12]data summary'!M32</f>
        <v>2030</v>
      </c>
      <c r="H33" s="4" t="str">
        <f>'[12]data summary'!N32</f>
        <v>Gas</v>
      </c>
      <c r="I33" s="4">
        <f>'[12]data summary'!O32</f>
        <v>0.45935377867786958</v>
      </c>
      <c r="J33" s="4">
        <f>'[12]data summary'!P32</f>
        <v>5.155041217932485E-2</v>
      </c>
      <c r="K33" s="4">
        <f>'[12]data summary'!Q32</f>
        <v>3.1998908445116316E-3</v>
      </c>
      <c r="L33" s="4">
        <f>'[12]data summary'!R32</f>
        <v>0</v>
      </c>
      <c r="M33" s="4">
        <f>'[12]data summary'!S32</f>
        <v>3.5711686770796086E-2</v>
      </c>
      <c r="N33" s="4">
        <f>'[12]data summary'!T32</f>
        <v>4.0048201739207564E-3</v>
      </c>
      <c r="O33" s="4">
        <f>'[12]data summary'!U32</f>
        <v>3.3112581266501353E-3</v>
      </c>
      <c r="P33" s="4">
        <f>'[12]data summary'!V32</f>
        <v>0</v>
      </c>
      <c r="Q33" s="4">
        <f>'[12]data summary'!W32</f>
        <v>3.4610143665218862</v>
      </c>
      <c r="R33" s="4">
        <f>'[12]data summary'!X32</f>
        <v>0.38480365692474233</v>
      </c>
      <c r="S33" s="4">
        <f>'[12]data summary'!Y32</f>
        <v>2.9171740211720431E-3</v>
      </c>
    </row>
    <row r="34" spans="1:36" x14ac:dyDescent="0.2">
      <c r="A34">
        <f>'[11]data summary'!A43</f>
        <v>0</v>
      </c>
      <c r="B34">
        <f>'[11]data summary'!B43</f>
        <v>0</v>
      </c>
      <c r="C34">
        <f>'[11]data summary'!C43</f>
        <v>0</v>
      </c>
      <c r="D34">
        <f>'[11]data summary'!D43</f>
        <v>0</v>
      </c>
      <c r="E34">
        <f>'[11]data summary'!E43</f>
        <v>0</v>
      </c>
      <c r="G34" s="4">
        <f>'[12]data summary'!M33</f>
        <v>0</v>
      </c>
      <c r="H34" s="4" t="str">
        <f>'[12]data summary'!N33</f>
        <v>Solid</v>
      </c>
      <c r="I34" s="4">
        <f>'[12]data summary'!O33</f>
        <v>0.59278313179513042</v>
      </c>
      <c r="J34" s="4">
        <f>'[12]data summary'!P33</f>
        <v>6.650210230990658E-2</v>
      </c>
      <c r="K34" s="4">
        <f>'[12]data summary'!Q33</f>
        <v>4.1293691360757591E-3</v>
      </c>
      <c r="L34" s="4">
        <f>'[12]data summary'!R33</f>
        <v>0</v>
      </c>
      <c r="M34" s="4">
        <f>'[12]data summary'!S33</f>
        <v>4.6083395326185203E-2</v>
      </c>
      <c r="N34" s="4">
        <f>'[12]data summary'!T33</f>
        <v>5.166213401834048E-3</v>
      </c>
      <c r="O34" s="4">
        <f>'[12]data summary'!U33</f>
        <v>4.2729434276470041E-3</v>
      </c>
      <c r="P34" s="4">
        <f>'[12]data summary'!V33</f>
        <v>0</v>
      </c>
      <c r="Q34" s="4">
        <f>'[12]data summary'!W33</f>
        <v>4.4663250773242211</v>
      </c>
      <c r="R34" s="4">
        <f>'[12]data summary'!X33</f>
        <v>0.49640774285981154</v>
      </c>
      <c r="S34" s="4">
        <f>'[12]data summary'!Y33</f>
        <v>3.764517018972346E-3</v>
      </c>
    </row>
    <row r="35" spans="1:36" x14ac:dyDescent="0.2">
      <c r="A35">
        <f>'[11]data summary'!A44</f>
        <v>2030</v>
      </c>
      <c r="B35" t="str">
        <f>'[11]data summary'!B44</f>
        <v>PAG</v>
      </c>
      <c r="C35">
        <f>'[11]data summary'!C44</f>
        <v>29853091.334213495</v>
      </c>
      <c r="D35">
        <f>'[11]data summary'!D44</f>
        <v>1.5409732539822965</v>
      </c>
      <c r="E35">
        <f>'[11]data summary'!E44</f>
        <v>210463668.13888243</v>
      </c>
      <c r="G35" s="4">
        <f>'[12]data summary'!M34</f>
        <v>0</v>
      </c>
      <c r="H35" s="4" t="str">
        <f>'[12]data summary'!N34</f>
        <v>Solvent</v>
      </c>
      <c r="I35" s="4">
        <f>'[12]data summary'!O34</f>
        <v>60.767962712612956</v>
      </c>
      <c r="J35" s="4">
        <f>'[12]data summary'!P34</f>
        <v>6.7645377324280327</v>
      </c>
      <c r="K35" s="4">
        <f>'[12]data summary'!Q34</f>
        <v>0.42331391739802515</v>
      </c>
      <c r="L35" s="4">
        <f>'[12]data summary'!R34</f>
        <v>0</v>
      </c>
      <c r="M35" s="4">
        <f>'[12]data summary'!S34</f>
        <v>2.9806695578920825</v>
      </c>
      <c r="N35" s="4">
        <f>'[12]data summary'!T34</f>
        <v>0.33801104683372674</v>
      </c>
      <c r="O35" s="4">
        <f>'[12]data summary'!U34</f>
        <v>0.27637356812000308</v>
      </c>
      <c r="P35" s="4">
        <f>'[12]data summary'!V34</f>
        <v>0</v>
      </c>
      <c r="Q35" s="4">
        <f>'[12]data summary'!W34</f>
        <v>421.56559613822668</v>
      </c>
      <c r="R35" s="4">
        <f>'[12]data summary'!X34</f>
        <v>46.703906772101568</v>
      </c>
      <c r="S35" s="4">
        <f>'[12]data summary'!Y34</f>
        <v>0.35532363493486341</v>
      </c>
    </row>
    <row r="36" spans="1:36" x14ac:dyDescent="0.2">
      <c r="A36">
        <f>'[11]data summary'!A45</f>
        <v>0</v>
      </c>
      <c r="B36" t="str">
        <f>'[11]data summary'!B45</f>
        <v>Sur</v>
      </c>
      <c r="C36">
        <f>'[11]data summary'!C45</f>
        <v>1037316.9591292139</v>
      </c>
      <c r="D36">
        <f>'[11]data summary'!D45</f>
        <v>9.7330777009369346E-2</v>
      </c>
      <c r="E36">
        <f>'[11]data summary'!E45</f>
        <v>9569991.611408243</v>
      </c>
      <c r="G36" s="4">
        <f>'[12]data summary'!M35</f>
        <v>0</v>
      </c>
      <c r="H36" s="4" t="str">
        <f>'[12]data summary'!N35</f>
        <v>Water</v>
      </c>
      <c r="I36" s="4">
        <f>'[12]data summary'!O35</f>
        <v>81.732852961450178</v>
      </c>
      <c r="J36" s="4">
        <f>'[12]data summary'!P35</f>
        <v>9.2523399319357917</v>
      </c>
      <c r="K36" s="4">
        <f>'[12]data summary'!Q35</f>
        <v>0.56935682262138743</v>
      </c>
      <c r="L36" s="4">
        <f>'[12]data summary'!R35</f>
        <v>0</v>
      </c>
      <c r="M36" s="4">
        <f>'[12]data summary'!S35</f>
        <v>7.7224652582197919</v>
      </c>
      <c r="N36" s="4">
        <f>'[12]data summary'!T35</f>
        <v>0.86371532450315647</v>
      </c>
      <c r="O36" s="4">
        <f>'[12]data summary'!U35</f>
        <v>0.71604223032569991</v>
      </c>
      <c r="P36" s="4">
        <f>'[12]data summary'!V35</f>
        <v>0</v>
      </c>
      <c r="Q36" s="4">
        <f>'[12]data summary'!W35</f>
        <v>756.93418237619778</v>
      </c>
      <c r="R36" s="4">
        <f>'[12]data summary'!X35</f>
        <v>84.292733741754105</v>
      </c>
      <c r="S36" s="4">
        <f>'[12]data summary'!Y35</f>
        <v>0.6379946740249921</v>
      </c>
    </row>
    <row r="37" spans="1:36" x14ac:dyDescent="0.2">
      <c r="A37">
        <f>'[11]data summary'!A46</f>
        <v>0</v>
      </c>
      <c r="B37" t="str">
        <f>'[11]data summary'!B46</f>
        <v>TARC</v>
      </c>
      <c r="C37">
        <f>'[11]data summary'!C46</f>
        <v>57057152.790361397</v>
      </c>
      <c r="D37">
        <f>'[11]data summary'!D46</f>
        <v>5.2085246521078599</v>
      </c>
      <c r="E37">
        <f>'[11]data summary'!E46</f>
        <v>518973065.95492363</v>
      </c>
      <c r="G37" s="4">
        <f>'[12]data summary'!M36</f>
        <v>0</v>
      </c>
      <c r="H37" s="4">
        <f>'[12]data summary'!N36</f>
        <v>0</v>
      </c>
      <c r="I37" s="4">
        <f>'[12]data summary'!O36</f>
        <v>143.55295258453614</v>
      </c>
      <c r="J37" s="4">
        <f>'[12]data summary'!P36</f>
        <v>16.134930178853054</v>
      </c>
      <c r="K37" s="4">
        <f>'[12]data summary'!Q36</f>
        <v>0</v>
      </c>
      <c r="L37" s="4">
        <f>'[12]data summary'!R36</f>
        <v>0</v>
      </c>
      <c r="M37" s="4">
        <f>'[12]data summary'!S36</f>
        <v>10.784929898208855</v>
      </c>
      <c r="N37" s="4">
        <f>'[12]data summary'!T36</f>
        <v>1.210897404912638</v>
      </c>
      <c r="O37" s="4">
        <f>'[12]data summary'!U36</f>
        <v>0</v>
      </c>
      <c r="P37" s="4">
        <f>'[12]data summary'!V36</f>
        <v>0</v>
      </c>
      <c r="Q37" s="4">
        <f>'[12]data summary'!W36</f>
        <v>1186.4271179582706</v>
      </c>
      <c r="R37" s="4">
        <f>'[12]data summary'!X36</f>
        <v>131.87785191364023</v>
      </c>
      <c r="S37" s="4">
        <f>'[12]data summary'!Y36</f>
        <v>0</v>
      </c>
    </row>
    <row r="38" spans="1:36" x14ac:dyDescent="0.2">
      <c r="A38">
        <f>'[11]data summary'!A47</f>
        <v>0</v>
      </c>
      <c r="B38" t="str">
        <f>'[11]data summary'!B47</f>
        <v>Polymer</v>
      </c>
      <c r="C38">
        <f>'[11]data summary'!C47</f>
        <v>2021933.8096289458</v>
      </c>
      <c r="D38">
        <f>'[11]data summary'!D47</f>
        <v>0.10338766062782132</v>
      </c>
      <c r="E38">
        <f>'[11]data summary'!E47</f>
        <v>14203745.992089894</v>
      </c>
      <c r="G38" s="4">
        <f>'[12]data summary'!M37</f>
        <v>0</v>
      </c>
      <c r="H38" s="4">
        <f>'[12]data summary'!N37</f>
        <v>0</v>
      </c>
      <c r="I38" s="4">
        <f>'[12]data summary'!O37</f>
        <v>0</v>
      </c>
      <c r="J38" s="4">
        <f>'[12]data summary'!P37</f>
        <v>0</v>
      </c>
      <c r="K38" s="4">
        <f>'[12]data summary'!Q37</f>
        <v>0</v>
      </c>
      <c r="L38" s="4">
        <f>'[12]data summary'!R37</f>
        <v>0</v>
      </c>
      <c r="M38" s="4">
        <f>'[12]data summary'!S37</f>
        <v>0</v>
      </c>
      <c r="N38" s="4">
        <f>'[12]data summary'!T37</f>
        <v>0</v>
      </c>
      <c r="O38" s="4">
        <f>'[12]data summary'!U37</f>
        <v>0</v>
      </c>
      <c r="P38" s="4">
        <f>'[12]data summary'!V37</f>
        <v>0</v>
      </c>
      <c r="Q38" s="4">
        <f>'[12]data summary'!W37</f>
        <v>0</v>
      </c>
      <c r="R38" s="4">
        <f>'[12]data summary'!X37</f>
        <v>0</v>
      </c>
      <c r="S38" s="4">
        <f>'[12]data summary'!Y37</f>
        <v>0</v>
      </c>
    </row>
    <row r="39" spans="1:36" x14ac:dyDescent="0.2">
      <c r="A39">
        <f>'[11]data summary'!A48</f>
        <v>0</v>
      </c>
      <c r="B39" t="str">
        <f>'[11]data summary'!B48</f>
        <v>ITC</v>
      </c>
      <c r="C39">
        <f>'[11]data summary'!C48</f>
        <v>30619023.939331651</v>
      </c>
      <c r="D39">
        <f>'[11]data summary'!D48</f>
        <v>2.6842280345125591</v>
      </c>
      <c r="E39">
        <f>'[11]data summary'!E48</f>
        <v>272857177.59925526</v>
      </c>
      <c r="G39" s="4">
        <f>'[12]data summary'!M38</f>
        <v>2025</v>
      </c>
      <c r="H39" s="4">
        <f>'[12]data summary'!N38</f>
        <v>0</v>
      </c>
      <c r="I39" s="4">
        <f>'[12]data summary'!O38</f>
        <v>19.56941500513441</v>
      </c>
      <c r="J39" s="4">
        <f>'[12]data summary'!P38</f>
        <v>1.9549261458752731</v>
      </c>
      <c r="K39" s="4">
        <f>'[12]data summary'!Q38</f>
        <v>0</v>
      </c>
      <c r="L39" s="4">
        <f>'[12]data summary'!R38</f>
        <v>0</v>
      </c>
      <c r="M39" s="4">
        <f>'[12]data summary'!S38</f>
        <v>1.598464988355256</v>
      </c>
      <c r="N39" s="4">
        <f>'[12]data summary'!T38</f>
        <v>0.15961327331651573</v>
      </c>
      <c r="O39" s="4">
        <f>'[12]data summary'!U38</f>
        <v>0</v>
      </c>
      <c r="P39" s="4">
        <f>'[12]data summary'!V38</f>
        <v>0</v>
      </c>
      <c r="Q39" s="4">
        <f>'[12]data summary'!W38</f>
        <v>163.37271845176579</v>
      </c>
      <c r="R39" s="4">
        <f>'[12]data summary'!X38</f>
        <v>16.305664487787407</v>
      </c>
      <c r="S39" s="4">
        <f>'[12]data summary'!Y38</f>
        <v>0</v>
      </c>
    </row>
    <row r="40" spans="1:36" x14ac:dyDescent="0.2">
      <c r="A40">
        <f>'[11]data summary'!A49</f>
        <v>0</v>
      </c>
      <c r="B40" t="str">
        <f>'[11]data summary'!B49</f>
        <v>PBO</v>
      </c>
      <c r="C40">
        <f>'[11]data summary'!C49</f>
        <v>22964433.751871437</v>
      </c>
      <c r="D40">
        <f>'[11]data summary'!D49</f>
        <v>1.1504855199689508</v>
      </c>
      <c r="E40">
        <f>'[11]data summary'!E49</f>
        <v>160359468.66171128</v>
      </c>
      <c r="G40" s="4">
        <f>'[12]data summary'!M39</f>
        <v>2030</v>
      </c>
      <c r="H40" s="4">
        <f>'[12]data summary'!N39</f>
        <v>0</v>
      </c>
      <c r="I40" s="4">
        <f>'[12]data summary'!O39</f>
        <v>143.55295258453614</v>
      </c>
      <c r="J40" s="4">
        <f>'[12]data summary'!P39</f>
        <v>16.134930178853054</v>
      </c>
      <c r="K40" s="4">
        <f>'[12]data summary'!Q39</f>
        <v>0</v>
      </c>
      <c r="L40" s="4">
        <f>'[12]data summary'!R39</f>
        <v>0</v>
      </c>
      <c r="M40" s="4">
        <f>'[12]data summary'!S39</f>
        <v>10.784929898208855</v>
      </c>
      <c r="N40" s="4">
        <f>'[12]data summary'!T39</f>
        <v>1.210897404912638</v>
      </c>
      <c r="O40" s="4">
        <f>'[12]data summary'!U39</f>
        <v>0</v>
      </c>
      <c r="P40" s="4">
        <f>'[12]data summary'!V39</f>
        <v>0</v>
      </c>
      <c r="Q40" s="4">
        <f>'[12]data summary'!W39</f>
        <v>1186.4271179582706</v>
      </c>
      <c r="R40" s="4">
        <f>'[12]data summary'!X39</f>
        <v>131.87785191364023</v>
      </c>
      <c r="S40" s="4">
        <f>'[12]data summary'!Y39</f>
        <v>0</v>
      </c>
    </row>
    <row r="41" spans="1:36" x14ac:dyDescent="0.2">
      <c r="A41">
        <f>'[11]data summary'!A50</f>
        <v>0</v>
      </c>
      <c r="B41">
        <f>'[11]data summary'!B50</f>
        <v>0</v>
      </c>
      <c r="C41">
        <f>'[11]data summary'!C50</f>
        <v>143552952.58453614</v>
      </c>
      <c r="D41">
        <f>'[11]data summary'!D50</f>
        <v>10.784929898208857</v>
      </c>
      <c r="E41">
        <f>'[11]data summary'!E50</f>
        <v>1186427117.9582705</v>
      </c>
    </row>
    <row r="45" spans="1:36" x14ac:dyDescent="0.2">
      <c r="A45" t="str" cm="1">
        <f t="array" ref="A45">INDEX($A$6:$S$41, COLUMN(A1), ROW(A1))</f>
        <v>yearly</v>
      </c>
      <c r="B45" cm="1">
        <f t="array" ref="B45">INDEX($A$6:$S$41, COLUMN(B1), ROW(B1))</f>
        <v>2025</v>
      </c>
      <c r="C45" cm="1">
        <f t="array" ref="C45">INDEX($A$6:$S$41, COLUMN(C1), ROW(C1))</f>
        <v>0</v>
      </c>
      <c r="D45" cm="1">
        <f t="array" ref="D45">INDEX($A$6:$S$41, COLUMN(D1), ROW(D1))</f>
        <v>0</v>
      </c>
      <c r="E45" cm="1">
        <f t="array" ref="E45">INDEX($A$6:$S$41, COLUMN(E1), ROW(E1))</f>
        <v>0</v>
      </c>
      <c r="F45" cm="1">
        <f t="array" ref="F45">INDEX($A$6:$S$41, COLUMN(F1), ROW(F1))</f>
        <v>0</v>
      </c>
      <c r="G45" cm="1">
        <f t="array" ref="G45">INDEX($A$6:$S$41, COLUMN(G1), ROW(G1))</f>
        <v>0</v>
      </c>
      <c r="H45" cm="1">
        <f t="array" ref="H45">INDEX($A$6:$S$41, COLUMN(H1), ROW(H1))</f>
        <v>0</v>
      </c>
      <c r="I45" cm="1">
        <f t="array" ref="I45">INDEX($A$6:$S$41, COLUMN(I1), ROW(I1))</f>
        <v>0</v>
      </c>
      <c r="J45" cm="1">
        <f t="array" ref="J45">INDEX($A$6:$S$41, COLUMN(J1), ROW(J1))</f>
        <v>2030</v>
      </c>
      <c r="K45" cm="1">
        <f t="array" ref="K45">INDEX($A$6:$S$41, COLUMN(K1), ROW(K1))</f>
        <v>0</v>
      </c>
      <c r="L45" cm="1">
        <f t="array" ref="L45">INDEX($A$6:$S$41, COLUMN(L1), ROW(L1))</f>
        <v>0</v>
      </c>
      <c r="M45" cm="1">
        <f t="array" ref="M45">INDEX($A$6:$S$41, COLUMN(M1), ROW(M1))</f>
        <v>0</v>
      </c>
      <c r="N45" cm="1">
        <f t="array" ref="N45">INDEX($A$6:$S$41, COLUMN(N1), ROW(N1))</f>
        <v>0</v>
      </c>
      <c r="O45" cm="1">
        <f t="array" ref="O45">INDEX($A$6:$S$41, COLUMN(O1), ROW(O1))</f>
        <v>0</v>
      </c>
      <c r="P45" cm="1">
        <f t="array" ref="P45">INDEX($A$6:$S$41, COLUMN(P1), ROW(P1))</f>
        <v>0</v>
      </c>
      <c r="Q45" cm="1">
        <f t="array" ref="Q45">INDEX($A$6:$S$41, COLUMN(Q1), ROW(Q1))</f>
        <v>0</v>
      </c>
      <c r="R45" cm="1">
        <f t="array" ref="R45">INDEX($A$6:$S$41, COLUMN(R1), ROW(R1))</f>
        <v>0</v>
      </c>
      <c r="S45" cm="1">
        <f t="array" ref="S45">INDEX($A$6:$S$41, COLUMN(S1), ROW(S1))</f>
        <v>0</v>
      </c>
      <c r="T45" cm="1">
        <f t="array" ref="T45">INDEX($A$6:$S$41, COLUMN(T1), ROW(T1))</f>
        <v>3</v>
      </c>
      <c r="U45" t="str" cm="1">
        <f t="array" ref="U45">INDEX($A$6:$S$41, COLUMN(U1), ROW(U1))</f>
        <v>yearly</v>
      </c>
      <c r="V45" cm="1">
        <f t="array" ref="V45">INDEX($A$6:$S$41, COLUMN(V1), ROW(V1))</f>
        <v>2025</v>
      </c>
      <c r="W45" cm="1">
        <f t="array" ref="W45">INDEX($A$6:$S$41, COLUMN(W1), ROW(W1))</f>
        <v>0</v>
      </c>
      <c r="X45" cm="1">
        <f t="array" ref="X45">INDEX($A$6:$S$41, COLUMN(X1), ROW(X1))</f>
        <v>0</v>
      </c>
      <c r="Y45" cm="1">
        <f t="array" ref="Y45">INDEX($A$6:$S$41, COLUMN(Y1), ROW(Y1))</f>
        <v>0</v>
      </c>
      <c r="Z45" cm="1">
        <f t="array" ref="Z45">INDEX($A$6:$S$41, COLUMN(Z1), ROW(Z1))</f>
        <v>0</v>
      </c>
      <c r="AA45" cm="1">
        <f t="array" ref="AA45">INDEX($A$6:$S$41, COLUMN(AA1), ROW(AA1))</f>
        <v>0</v>
      </c>
      <c r="AB45" cm="1">
        <f t="array" ref="AB45">INDEX($A$6:$S$41, COLUMN(AB1), ROW(AB1))</f>
        <v>0</v>
      </c>
      <c r="AC45" cm="1">
        <f t="array" ref="AC45">INDEX($A$6:$S$41, COLUMN(AC1), ROW(AC1))</f>
        <v>0</v>
      </c>
      <c r="AD45" cm="1">
        <f t="array" ref="AD45">INDEX($A$6:$S$41, COLUMN(AD1), ROW(AD1))</f>
        <v>2030</v>
      </c>
      <c r="AE45" cm="1">
        <f t="array" ref="AE45">INDEX($A$6:$S$41, COLUMN(AE1), ROW(AE1))</f>
        <v>0</v>
      </c>
      <c r="AF45" cm="1">
        <f t="array" ref="AF45">INDEX($A$6:$S$41, COLUMN(AF1), ROW(AF1))</f>
        <v>0</v>
      </c>
      <c r="AG45" cm="1">
        <f t="array" ref="AG45">INDEX($A$6:$S$41, COLUMN(AG1), ROW(AG1))</f>
        <v>0</v>
      </c>
      <c r="AH45" cm="1">
        <f t="array" ref="AH45">INDEX($A$6:$S$41, COLUMN(AH1), ROW(AH1))</f>
        <v>0</v>
      </c>
      <c r="AI45" cm="1">
        <f t="array" ref="AI45">INDEX($A$6:$S$41, COLUMN(AI1), ROW(AI1))</f>
        <v>0</v>
      </c>
      <c r="AJ45" cm="1">
        <f t="array" ref="AJ45">INDEX($A$6:$S$41, COLUMN(AJ1), ROW(AJ1))</f>
        <v>0</v>
      </c>
    </row>
    <row r="46" spans="1:36" x14ac:dyDescent="0.2">
      <c r="A46" cm="1">
        <f t="array" ref="A46">INDEX($A$6:$S$41, COLUMN(A2), ROW(A2))</f>
        <v>0</v>
      </c>
      <c r="B46" t="str" cm="1">
        <f t="array" ref="B46">INDEX($A$6:$S$41, COLUMN(B2), ROW(B2))</f>
        <v>PAG</v>
      </c>
      <c r="C46" t="str" cm="1">
        <f t="array" ref="C46">INDEX($A$6:$S$41, COLUMN(C2), ROW(C2))</f>
        <v>Sur</v>
      </c>
      <c r="D46" t="str" cm="1">
        <f t="array" ref="D46">INDEX($A$6:$S$41, COLUMN(D2), ROW(D2))</f>
        <v>TARC</v>
      </c>
      <c r="E46" t="str" cm="1">
        <f t="array" ref="E46">INDEX($A$6:$S$41, COLUMN(E2), ROW(E2))</f>
        <v>Polymer</v>
      </c>
      <c r="F46" t="str" cm="1">
        <f t="array" ref="F46">INDEX($A$6:$S$41, COLUMN(F2), ROW(F2))</f>
        <v>ITC</v>
      </c>
      <c r="G46" t="str" cm="1">
        <f t="array" ref="G46">INDEX($A$6:$S$41, COLUMN(G2), ROW(G2))</f>
        <v>PBO</v>
      </c>
      <c r="H46" cm="1">
        <f t="array" ref="H46">INDEX($A$6:$S$41, COLUMN(H2), ROW(H2))</f>
        <v>0</v>
      </c>
      <c r="I46" cm="1">
        <f t="array" ref="I46">INDEX($A$6:$S$41, COLUMN(I2), ROW(I2))</f>
        <v>0</v>
      </c>
      <c r="J46" t="str" cm="1">
        <f t="array" ref="J46">INDEX($A$6:$S$41, COLUMN(J2), ROW(J2))</f>
        <v>PAG</v>
      </c>
      <c r="K46" t="str" cm="1">
        <f t="array" ref="K46">INDEX($A$6:$S$41, COLUMN(K2), ROW(K2))</f>
        <v>Sur</v>
      </c>
      <c r="L46" t="str" cm="1">
        <f t="array" ref="L46">INDEX($A$6:$S$41, COLUMN(L2), ROW(L2))</f>
        <v>TARC</v>
      </c>
      <c r="M46" t="str" cm="1">
        <f t="array" ref="M46">INDEX($A$6:$S$41, COLUMN(M2), ROW(M2))</f>
        <v>Polymer</v>
      </c>
      <c r="N46" t="str" cm="1">
        <f t="array" ref="N46">INDEX($A$6:$S$41, COLUMN(N2), ROW(N2))</f>
        <v>ITC</v>
      </c>
      <c r="O46" t="str" cm="1">
        <f t="array" ref="O46">INDEX($A$6:$S$41, COLUMN(O2), ROW(O2))</f>
        <v>PBO</v>
      </c>
      <c r="P46" cm="1">
        <f t="array" ref="P46">INDEX($A$6:$S$41, COLUMN(P2), ROW(P2))</f>
        <v>0</v>
      </c>
      <c r="Q46" cm="1">
        <f t="array" ref="Q46">INDEX($A$6:$S$41, COLUMN(Q2), ROW(Q2))</f>
        <v>0</v>
      </c>
      <c r="R46" cm="1">
        <f t="array" ref="R46">INDEX($A$6:$S$41, COLUMN(R2), ROW(R2))</f>
        <v>0</v>
      </c>
      <c r="S46" cm="1">
        <f t="array" ref="S46">INDEX($A$6:$S$41, COLUMN(S2), ROW(S2))</f>
        <v>0</v>
      </c>
      <c r="T46" cm="1">
        <f t="array" ref="T46">INDEX($A$6:$S$41, COLUMN(T2), ROW(T2))</f>
        <v>0</v>
      </c>
      <c r="U46" cm="1">
        <f t="array" ref="U46">INDEX($A$6:$S$41, COLUMN(U2), ROW(U2))</f>
        <v>0</v>
      </c>
      <c r="V46" t="str" cm="1">
        <f t="array" ref="V46">INDEX($A$6:$S$41, COLUMN(V2), ROW(V2))</f>
        <v>PAG</v>
      </c>
      <c r="W46" t="str" cm="1">
        <f t="array" ref="W46">INDEX($A$6:$S$41, COLUMN(W2), ROW(W2))</f>
        <v>Sur</v>
      </c>
      <c r="X46" t="str" cm="1">
        <f t="array" ref="X46">INDEX($A$6:$S$41, COLUMN(X2), ROW(X2))</f>
        <v>TARC</v>
      </c>
      <c r="Y46" t="str" cm="1">
        <f t="array" ref="Y46">INDEX($A$6:$S$41, COLUMN(Y2), ROW(Y2))</f>
        <v>Polymer</v>
      </c>
      <c r="Z46" t="str" cm="1">
        <f t="array" ref="Z46">INDEX($A$6:$S$41, COLUMN(Z2), ROW(Z2))</f>
        <v>ITC</v>
      </c>
      <c r="AA46" t="str" cm="1">
        <f t="array" ref="AA46">INDEX($A$6:$S$41, COLUMN(AA2), ROW(AA2))</f>
        <v>PBO</v>
      </c>
      <c r="AB46" cm="1">
        <f t="array" ref="AB46">INDEX($A$6:$S$41, COLUMN(AB2), ROW(AB2))</f>
        <v>0</v>
      </c>
      <c r="AC46" cm="1">
        <f t="array" ref="AC46">INDEX($A$6:$S$41, COLUMN(AC2), ROW(AC2))</f>
        <v>0</v>
      </c>
      <c r="AD46" t="str" cm="1">
        <f t="array" ref="AD46">INDEX($A$6:$S$41, COLUMN(AD2), ROW(AD2))</f>
        <v>PAG</v>
      </c>
      <c r="AE46" t="str" cm="1">
        <f t="array" ref="AE46">INDEX($A$6:$S$41, COLUMN(AE2), ROW(AE2))</f>
        <v>Sur</v>
      </c>
      <c r="AF46" t="str" cm="1">
        <f t="array" ref="AF46">INDEX($A$6:$S$41, COLUMN(AF2), ROW(AF2))</f>
        <v>TARC</v>
      </c>
      <c r="AG46" t="str" cm="1">
        <f t="array" ref="AG46">INDEX($A$6:$S$41, COLUMN(AG2), ROW(AG2))</f>
        <v>Polymer</v>
      </c>
      <c r="AH46" t="str" cm="1">
        <f t="array" ref="AH46">INDEX($A$6:$S$41, COLUMN(AH2), ROW(AH2))</f>
        <v>ITC</v>
      </c>
      <c r="AI46" t="str" cm="1">
        <f t="array" ref="AI46">INDEX($A$6:$S$41, COLUMN(AI2), ROW(AI2))</f>
        <v>PBO</v>
      </c>
      <c r="AJ46" cm="1">
        <f t="array" ref="AJ46">INDEX($A$6:$S$41, COLUMN(AJ2), ROW(AJ2))</f>
        <v>0</v>
      </c>
    </row>
    <row r="47" spans="1:36" x14ac:dyDescent="0.2">
      <c r="A47" t="str" cm="1">
        <f t="array" ref="A47">INDEX($A$6:$S$41, COLUMN(A3), ROW(A3))</f>
        <v>CC</v>
      </c>
      <c r="B47" cm="1">
        <f t="array" ref="B47">INDEX($A$6:$S$41, COLUMN(B3), ROW(B3))</f>
        <v>4167207.4290073765</v>
      </c>
      <c r="C47" cm="1">
        <f t="array" ref="C47">INDEX($A$6:$S$41, COLUMN(C3), ROW(C3))</f>
        <v>162222.69852422303</v>
      </c>
      <c r="D47" cm="1">
        <f t="array" ref="D47">INDEX($A$6:$S$41, COLUMN(D3), ROW(D3))</f>
        <v>8628927.6713460907</v>
      </c>
      <c r="E47" cm="1">
        <f t="array" ref="E47">INDEX($A$6:$S$41, COLUMN(E3), ROW(E3))</f>
        <v>281849.67175183725</v>
      </c>
      <c r="F47" cm="1">
        <f t="array" ref="F47">INDEX($A$6:$S$41, COLUMN(F3), ROW(F3))</f>
        <v>4631765.2079750132</v>
      </c>
      <c r="G47" cm="1">
        <f t="array" ref="G47">INDEX($A$6:$S$41, COLUMN(G3), ROW(G3))</f>
        <v>2533236.5766482656</v>
      </c>
      <c r="H47" cm="1">
        <f t="array" ref="H47">INDEX($A$6:$S$41, COLUMN(H3), ROW(H3))</f>
        <v>20405209.255252808</v>
      </c>
      <c r="I47" cm="1">
        <f t="array" ref="I47">INDEX($A$6:$S$41, COLUMN(I3), ROW(I3))</f>
        <v>0</v>
      </c>
      <c r="J47" cm="1">
        <f t="array" ref="J47">INDEX($A$6:$S$41, COLUMN(J3), ROW(J3))</f>
        <v>29981494.57143531</v>
      </c>
      <c r="K47" cm="1">
        <f t="array" ref="K47">INDEX($A$6:$S$41, COLUMN(K3), ROW(K3))</f>
        <v>1109968.3347304619</v>
      </c>
      <c r="L47" cm="1">
        <f t="array" ref="L47">INDEX($A$6:$S$41, COLUMN(L3), ROW(L3))</f>
        <v>60828198.416236743</v>
      </c>
      <c r="M47" cm="1">
        <f t="array" ref="M47">INDEX($A$6:$S$41, COLUMN(M3), ROW(M3))</f>
        <v>2029089.2256973051</v>
      </c>
      <c r="N47" cm="1">
        <f t="array" ref="N47">INDEX($A$6:$S$41, COLUMN(N3), ROW(N3))</f>
        <v>32474895.961088825</v>
      </c>
      <c r="O47" cm="1">
        <f t="array" ref="O47">INDEX($A$6:$S$41, COLUMN(O3), ROW(O3))</f>
        <v>23019689.93849811</v>
      </c>
      <c r="P47" cm="1">
        <f t="array" ref="P47">INDEX($A$6:$S$41, COLUMN(P3), ROW(P3))</f>
        <v>149443336.44768673</v>
      </c>
      <c r="Q47" cm="1">
        <f t="array" ref="Q47">INDEX($A$6:$S$41, COLUMN(Q3), ROW(Q3))</f>
        <v>0</v>
      </c>
      <c r="R47" cm="1">
        <f t="array" ref="R47">INDEX($A$6:$S$41, COLUMN(R3), ROW(R3))</f>
        <v>0</v>
      </c>
      <c r="S47" cm="1">
        <f t="array" ref="S47">INDEX($A$6:$S$41, COLUMN(S3), ROW(S3))</f>
        <v>0</v>
      </c>
      <c r="T47" cm="1">
        <f t="array" ref="T47">INDEX($A$6:$S$41, COLUMN(T3), ROW(T3))</f>
        <v>0</v>
      </c>
      <c r="U47" t="str" cm="1">
        <f t="array" ref="U47">INDEX($A$6:$S$41, COLUMN(U3), ROW(U3))</f>
        <v>CC</v>
      </c>
      <c r="V47" cm="1">
        <f t="array" ref="V47">INDEX($A$6:$S$41, COLUMN(V3), ROW(V3))</f>
        <v>4158056.809298398</v>
      </c>
      <c r="W47" cm="1">
        <f t="array" ref="W47">INDEX($A$6:$S$41, COLUMN(W3), ROW(W3))</f>
        <v>151416.07114959456</v>
      </c>
      <c r="X47" cm="1">
        <f t="array" ref="X47">INDEX($A$6:$S$41, COLUMN(X3), ROW(X3))</f>
        <v>8083754.6402261704</v>
      </c>
      <c r="Y47" cm="1">
        <f t="array" ref="Y47">INDEX($A$6:$S$41, COLUMN(Y3), ROW(Y3))</f>
        <v>281466.97762888926</v>
      </c>
      <c r="Z47" cm="1">
        <f t="array" ref="Z47">INDEX($A$6:$S$41, COLUMN(Z3), ROW(Z3))</f>
        <v>4362012.1761726877</v>
      </c>
      <c r="AA47" cm="1">
        <f t="array" ref="AA47">INDEX($A$6:$S$41, COLUMN(AA3), ROW(AA3))</f>
        <v>2532708.3306586663</v>
      </c>
      <c r="AB47" cm="1">
        <f t="array" ref="AB47">INDEX($A$6:$S$41, COLUMN(AB3), ROW(AB3))</f>
        <v>19569415.005134404</v>
      </c>
      <c r="AC47" cm="1">
        <f t="array" ref="AC47">INDEX($A$6:$S$41, COLUMN(AC3), ROW(AC3))</f>
        <v>0</v>
      </c>
      <c r="AD47" cm="1">
        <f t="array" ref="AD47">INDEX($A$6:$S$41, COLUMN(AD3), ROW(AD3))</f>
        <v>29853091.334213495</v>
      </c>
      <c r="AE47" cm="1">
        <f t="array" ref="AE47">INDEX($A$6:$S$41, COLUMN(AE3), ROW(AE3))</f>
        <v>1037316.9591292139</v>
      </c>
      <c r="AF47" cm="1">
        <f t="array" ref="AF47">INDEX($A$6:$S$41, COLUMN(AF3), ROW(AF3))</f>
        <v>57057152.790361397</v>
      </c>
      <c r="AG47" cm="1">
        <f t="array" ref="AG47">INDEX($A$6:$S$41, COLUMN(AG3), ROW(AG3))</f>
        <v>2021933.8096289458</v>
      </c>
      <c r="AH47" cm="1">
        <f t="array" ref="AH47">INDEX($A$6:$S$41, COLUMN(AH3), ROW(AH3))</f>
        <v>30619023.939331651</v>
      </c>
      <c r="AI47" cm="1">
        <f t="array" ref="AI47">INDEX($A$6:$S$41, COLUMN(AI3), ROW(AI3))</f>
        <v>22964433.751871437</v>
      </c>
      <c r="AJ47" cm="1">
        <f t="array" ref="AJ47">INDEX($A$6:$S$41, COLUMN(AJ3), ROW(AJ3))</f>
        <v>143552952.58453614</v>
      </c>
    </row>
    <row r="48" spans="1:36" x14ac:dyDescent="0.2">
      <c r="A48" t="str" cm="1">
        <f t="array" ref="A48">INDEX($A$6:$S$41, COLUMN(A4), ROW(A4))</f>
        <v>HTC</v>
      </c>
      <c r="B48" cm="1">
        <f t="array" ref="B48">INDEX($A$6:$S$41, COLUMN(B4), ROW(B4))</f>
        <v>0.23245329536709863</v>
      </c>
      <c r="C48" cm="1">
        <f t="array" ref="C48">INDEX($A$6:$S$41, COLUMN(C4), ROW(C4))</f>
        <v>1.6637285352594622E-2</v>
      </c>
      <c r="D48" cm="1">
        <f t="array" ref="D48">INDEX($A$6:$S$41, COLUMN(D4), ROW(D4))</f>
        <v>0.86320622639430777</v>
      </c>
      <c r="E48" cm="1">
        <f t="array" ref="E48">INDEX($A$6:$S$41, COLUMN(E4), ROW(E4))</f>
        <v>1.5551646515797995E-2</v>
      </c>
      <c r="F48" cm="1">
        <f t="array" ref="F48">INDEX($A$6:$S$41, COLUMN(F4), ROW(F4))</f>
        <v>0.4463826833789219</v>
      </c>
      <c r="G48" cm="1">
        <f t="array" ref="G48">INDEX($A$6:$S$41, COLUMN(G4), ROW(G4))</f>
        <v>0.13671697080678563</v>
      </c>
      <c r="H48" cm="1">
        <f t="array" ref="H48">INDEX($A$6:$S$41, COLUMN(H4), ROW(H4))</f>
        <v>1.7109481078155069</v>
      </c>
      <c r="I48" cm="1">
        <f t="array" ref="I48">INDEX($A$6:$S$41, COLUMN(I4), ROW(I4))</f>
        <v>0</v>
      </c>
      <c r="J48" cm="1">
        <f t="array" ref="J48">INDEX($A$6:$S$41, COLUMN(J4), ROW(J4))</f>
        <v>1.554195412555321</v>
      </c>
      <c r="K48" cm="1">
        <f t="array" ref="K48">INDEX($A$6:$S$41, COLUMN(K4), ROW(K4))</f>
        <v>0.10636496778817774</v>
      </c>
      <c r="L48" cm="1">
        <f t="array" ref="L48">INDEX($A$6:$S$41, COLUMN(L4), ROW(L4))</f>
        <v>5.6771817476427815</v>
      </c>
      <c r="M48" cm="1">
        <f t="array" ref="M48">INDEX($A$6:$S$41, COLUMN(M4), ROW(M4))</f>
        <v>0.1040893887655156</v>
      </c>
      <c r="N48" cm="1">
        <f t="array" ref="N48">INDEX($A$6:$S$41, COLUMN(N4), ROW(N4))</f>
        <v>2.9145953132467453</v>
      </c>
      <c r="O48" cm="1">
        <f t="array" ref="O48">INDEX($A$6:$S$41, COLUMN(O4), ROW(O4))</f>
        <v>1.1553417037374754</v>
      </c>
      <c r="P48" cm="1">
        <f t="array" ref="P48">INDEX($A$6:$S$41, COLUMN(P4), ROW(P4))</f>
        <v>11.511768533736015</v>
      </c>
      <c r="Q48" cm="1">
        <f t="array" ref="Q48">INDEX($A$6:$S$41, COLUMN(Q4), ROW(Q4))</f>
        <v>0</v>
      </c>
      <c r="R48" cm="1">
        <f t="array" ref="R48">INDEX($A$6:$S$41, COLUMN(R4), ROW(R4))</f>
        <v>0</v>
      </c>
      <c r="S48" cm="1">
        <f t="array" ref="S48">INDEX($A$6:$S$41, COLUMN(S4), ROW(S4))</f>
        <v>0</v>
      </c>
      <c r="T48" cm="1">
        <f t="array" ref="T48">INDEX($A$6:$S$41, COLUMN(T4), ROW(T4))</f>
        <v>0</v>
      </c>
      <c r="U48" t="str" cm="1">
        <f t="array" ref="U48">INDEX($A$6:$S$41, COLUMN(U4), ROW(U4))</f>
        <v>HTC</v>
      </c>
      <c r="V48" cm="1">
        <f t="array" ref="V48">INDEX($A$6:$S$41, COLUMN(V4), ROW(V4))</f>
        <v>0.23087281461262152</v>
      </c>
      <c r="W48" cm="1">
        <f t="array" ref="W48">INDEX($A$6:$S$41, COLUMN(W4), ROW(W4))</f>
        <v>1.519195145897209E-2</v>
      </c>
      <c r="X48" cm="1">
        <f t="array" ref="X48">INDEX($A$6:$S$41, COLUMN(X4), ROW(X4))</f>
        <v>0.79025095342782936</v>
      </c>
      <c r="Y48" cm="1">
        <f t="array" ref="Y48">INDEX($A$6:$S$41, COLUMN(Y4), ROW(Y4))</f>
        <v>1.5476029818181549E-2</v>
      </c>
      <c r="Z48" cm="1">
        <f t="array" ref="Z48">INDEX($A$6:$S$41, COLUMN(Z4), ROW(Z4))</f>
        <v>0.4102528876812977</v>
      </c>
      <c r="AA48" cm="1">
        <f t="array" ref="AA48">INDEX($A$6:$S$41, COLUMN(AA4), ROW(AA4))</f>
        <v>0.13642035135635383</v>
      </c>
      <c r="AB48" cm="1">
        <f t="array" ref="AB48">INDEX($A$6:$S$41, COLUMN(AB4), ROW(AB4))</f>
        <v>1.598464988355256</v>
      </c>
      <c r="AC48" cm="1">
        <f t="array" ref="AC48">INDEX($A$6:$S$41, COLUMN(AC4), ROW(AC4))</f>
        <v>0</v>
      </c>
      <c r="AD48" cm="1">
        <f t="array" ref="AD48">INDEX($A$6:$S$41, COLUMN(AD4), ROW(AD4))</f>
        <v>1.5409732539822965</v>
      </c>
      <c r="AE48" cm="1">
        <f t="array" ref="AE48">INDEX($A$6:$S$41, COLUMN(AE4), ROW(AE4))</f>
        <v>9.7330777009369346E-2</v>
      </c>
      <c r="AF48" cm="1">
        <f t="array" ref="AF48">INDEX($A$6:$S$41, COLUMN(AF4), ROW(AF4))</f>
        <v>5.2085246521078599</v>
      </c>
      <c r="AG48" cm="1">
        <f t="array" ref="AG48">INDEX($A$6:$S$41, COLUMN(AG4), ROW(AG4))</f>
        <v>0.10338766062782132</v>
      </c>
      <c r="AH48" cm="1">
        <f t="array" ref="AH48">INDEX($A$6:$S$41, COLUMN(AH4), ROW(AH4))</f>
        <v>2.6842280345125591</v>
      </c>
      <c r="AI48" cm="1">
        <f t="array" ref="AI48">INDEX($A$6:$S$41, COLUMN(AI4), ROW(AI4))</f>
        <v>1.1504855199689508</v>
      </c>
      <c r="AJ48" cm="1">
        <f t="array" ref="AJ48">INDEX($A$6:$S$41, COLUMN(AJ4), ROW(AJ4))</f>
        <v>10.784929898208857</v>
      </c>
    </row>
    <row r="49" spans="1:36" x14ac:dyDescent="0.2">
      <c r="A49" t="str" cm="1">
        <f t="array" ref="A49">INDEX($A$6:$S$41, COLUMN(A5), ROW(A5))</f>
        <v>CED</v>
      </c>
      <c r="B49" cm="1">
        <f t="array" ref="B49">INDEX($A$6:$S$41, COLUMN(B5), ROW(B5))</f>
        <v>29563812.407481752</v>
      </c>
      <c r="C49" cm="1">
        <f t="array" ref="C49">INDEX($A$6:$S$41, COLUMN(C5), ROW(C5))</f>
        <v>1532711.7625076296</v>
      </c>
      <c r="D49" cm="1">
        <f t="array" ref="D49">INDEX($A$6:$S$41, COLUMN(D5), ROW(D5))</f>
        <v>80437971.475377589</v>
      </c>
      <c r="E49" cm="1">
        <f t="array" ref="E49">INDEX($A$6:$S$41, COLUMN(E5), ROW(E5))</f>
        <v>1990946.5447631539</v>
      </c>
      <c r="F49" cm="1">
        <f t="array" ref="F49">INDEX($A$6:$S$41, COLUMN(F5), ROW(F5))</f>
        <v>42334752.690423079</v>
      </c>
      <c r="G49" cm="1">
        <f t="array" ref="G49">INDEX($A$6:$S$41, COLUMN(G5), ROW(G5))</f>
        <v>17768459.443261433</v>
      </c>
      <c r="H49" cm="1">
        <f t="array" ref="H49">INDEX($A$6:$S$41, COLUMN(H5), ROW(H5))</f>
        <v>173628654.32381463</v>
      </c>
      <c r="I49" cm="1">
        <f t="array" ref="I49">INDEX($A$6:$S$41, COLUMN(I5), ROW(I5))</f>
        <v>0</v>
      </c>
      <c r="J49" cm="1">
        <f t="array" ref="J49">INDEX($A$6:$S$41, COLUMN(J5), ROW(J5))</f>
        <v>211852362.01064795</v>
      </c>
      <c r="K49" cm="1">
        <f t="array" ref="K49">INDEX($A$6:$S$41, COLUMN(K5), ROW(K5))</f>
        <v>10469586.44746376</v>
      </c>
      <c r="L49" cm="1">
        <f t="array" ref="L49">INDEX($A$6:$S$41, COLUMN(L5), ROW(L5))</f>
        <v>565650891.45904028</v>
      </c>
      <c r="M49" cm="1">
        <f t="array" ref="M49">INDEX($A$6:$S$41, COLUMN(M5), ROW(M5))</f>
        <v>14278559.145531882</v>
      </c>
      <c r="N49" cm="1">
        <f t="array" ref="N49">INDEX($A$6:$S$41, COLUMN(N5), ROW(N5))</f>
        <v>295807269.06415057</v>
      </c>
      <c r="O49" cm="1">
        <f t="array" ref="O49">INDEX($A$6:$S$41, COLUMN(O5), ROW(O5))</f>
        <v>160896445.9690209</v>
      </c>
      <c r="P49" cm="1">
        <f t="array" ref="P49">INDEX($A$6:$S$41, COLUMN(P5), ROW(P5))</f>
        <v>1258955114.0958552</v>
      </c>
      <c r="Q49" cm="1">
        <f t="array" ref="Q49">INDEX($A$6:$S$41, COLUMN(Q5), ROW(Q5))</f>
        <v>0</v>
      </c>
      <c r="R49" cm="1">
        <f t="array" ref="R49">INDEX($A$6:$S$41, COLUMN(R5), ROW(R5))</f>
        <v>0</v>
      </c>
      <c r="S49" cm="1">
        <f t="array" ref="S49">INDEX($A$6:$S$41, COLUMN(S5), ROW(S5))</f>
        <v>0</v>
      </c>
      <c r="T49" cm="1">
        <f t="array" ref="T49">INDEX($A$6:$S$41, COLUMN(T5), ROW(T5))</f>
        <v>0</v>
      </c>
      <c r="U49" t="str" cm="1">
        <f t="array" ref="U49">INDEX($A$6:$S$41, COLUMN(U5), ROW(U5))</f>
        <v>CED</v>
      </c>
      <c r="V49" cm="1">
        <f t="array" ref="V49">INDEX($A$6:$S$41, COLUMN(V5), ROW(V5))</f>
        <v>29428772.137407832</v>
      </c>
      <c r="W49" cm="1">
        <f t="array" ref="W49">INDEX($A$6:$S$41, COLUMN(W5), ROW(W5))</f>
        <v>1400691.639949189</v>
      </c>
      <c r="X49" cm="1">
        <f t="array" ref="X49">INDEX($A$6:$S$41, COLUMN(X5), ROW(X5))</f>
        <v>73775401.776840717</v>
      </c>
      <c r="Y49" cm="1">
        <f t="array" ref="Y49">INDEX($A$6:$S$41, COLUMN(Y5), ROW(Y5))</f>
        <v>1984678.318430528</v>
      </c>
      <c r="Z49" cm="1">
        <f t="array" ref="Z49">INDEX($A$6:$S$41, COLUMN(Z5), ROW(Z5))</f>
        <v>39035856.990338802</v>
      </c>
      <c r="AA49" cm="1">
        <f t="array" ref="AA49">INDEX($A$6:$S$41, COLUMN(AA5), ROW(AA5))</f>
        <v>17747317.588798743</v>
      </c>
      <c r="AB49" cm="1">
        <f t="array" ref="AB49">INDEX($A$6:$S$41, COLUMN(AB5), ROW(AB5))</f>
        <v>163372718.45176581</v>
      </c>
      <c r="AC49" cm="1">
        <f t="array" ref="AC49">INDEX($A$6:$S$41, COLUMN(AC5), ROW(AC5))</f>
        <v>0</v>
      </c>
      <c r="AD49" cm="1">
        <f t="array" ref="AD49">INDEX($A$6:$S$41, COLUMN(AD5), ROW(AD5))</f>
        <v>210463668.13888243</v>
      </c>
      <c r="AE49" cm="1">
        <f t="array" ref="AE49">INDEX($A$6:$S$41, COLUMN(AE5), ROW(AE5))</f>
        <v>9569991.611408243</v>
      </c>
      <c r="AF49" cm="1">
        <f t="array" ref="AF49">INDEX($A$6:$S$41, COLUMN(AF5), ROW(AF5))</f>
        <v>518973065.95492363</v>
      </c>
      <c r="AG49" cm="1">
        <f t="array" ref="AG49">INDEX($A$6:$S$41, COLUMN(AG5), ROW(AG5))</f>
        <v>14203745.992089894</v>
      </c>
      <c r="AH49" cm="1">
        <f t="array" ref="AH49">INDEX($A$6:$S$41, COLUMN(AH5), ROW(AH5))</f>
        <v>272857177.59925526</v>
      </c>
      <c r="AI49" cm="1">
        <f t="array" ref="AI49">INDEX($A$6:$S$41, COLUMN(AI5), ROW(AI5))</f>
        <v>160359468.66171128</v>
      </c>
      <c r="AJ49" cm="1">
        <f t="array" ref="AJ49">INDEX($A$6:$S$41, COLUMN(AJ5), ROW(AJ5))</f>
        <v>1186427117.9582705</v>
      </c>
    </row>
    <row r="50" spans="1:36" x14ac:dyDescent="0.2">
      <c r="A50" cm="1">
        <f t="array" ref="A50">INDEX($A$6:$S$41, COLUMN(A6), ROW(A6))</f>
        <v>0</v>
      </c>
      <c r="B50" cm="1">
        <f t="array" ref="B50">INDEX($A$6:$S$41, COLUMN(B6), ROW(B6))</f>
        <v>0</v>
      </c>
      <c r="C50" cm="1">
        <f t="array" ref="C50">INDEX($A$6:$S$41, COLUMN(C6), ROW(C6))</f>
        <v>0</v>
      </c>
      <c r="D50" cm="1">
        <f t="array" ref="D50">INDEX($A$6:$S$41, COLUMN(D6), ROW(D6))</f>
        <v>0</v>
      </c>
      <c r="E50" cm="1">
        <f t="array" ref="E50">INDEX($A$6:$S$41, COLUMN(E6), ROW(E6))</f>
        <v>0</v>
      </c>
      <c r="F50" cm="1">
        <f t="array" ref="F50">INDEX($A$6:$S$41, COLUMN(F6), ROW(F6))</f>
        <v>0</v>
      </c>
      <c r="G50" cm="1">
        <f t="array" ref="G50">INDEX($A$6:$S$41, COLUMN(G6), ROW(G6))</f>
        <v>0</v>
      </c>
      <c r="H50" cm="1">
        <f t="array" ref="H50">INDEX($A$6:$S$41, COLUMN(H6), ROW(H6))</f>
        <v>0</v>
      </c>
      <c r="I50" cm="1">
        <f t="array" ref="I50">INDEX($A$6:$S$41, COLUMN(I6), ROW(I6))</f>
        <v>0</v>
      </c>
      <c r="J50" cm="1">
        <f t="array" ref="J50">INDEX($A$6:$S$41, COLUMN(J6), ROW(J6))</f>
        <v>0</v>
      </c>
      <c r="K50" cm="1">
        <f t="array" ref="K50">INDEX($A$6:$S$41, COLUMN(K6), ROW(K6))</f>
        <v>0</v>
      </c>
      <c r="L50" cm="1">
        <f t="array" ref="L50">INDEX($A$6:$S$41, COLUMN(L6), ROW(L6))</f>
        <v>0</v>
      </c>
      <c r="M50" cm="1">
        <f t="array" ref="M50">INDEX($A$6:$S$41, COLUMN(M6), ROW(M6))</f>
        <v>0</v>
      </c>
      <c r="N50" cm="1">
        <f t="array" ref="N50">INDEX($A$6:$S$41, COLUMN(N6), ROW(N6))</f>
        <v>0</v>
      </c>
      <c r="O50" cm="1">
        <f t="array" ref="O50">INDEX($A$6:$S$41, COLUMN(O6), ROW(O6))</f>
        <v>0</v>
      </c>
      <c r="P50" cm="1">
        <f t="array" ref="P50">INDEX($A$6:$S$41, COLUMN(P6), ROW(P6))</f>
        <v>0</v>
      </c>
      <c r="Q50" cm="1">
        <f t="array" ref="Q50">INDEX($A$6:$S$41, COLUMN(Q6), ROW(Q6))</f>
        <v>0</v>
      </c>
      <c r="R50" cm="1">
        <f t="array" ref="R50">INDEX($A$6:$S$41, COLUMN(R6), ROW(R6))</f>
        <v>0</v>
      </c>
      <c r="S50" cm="1">
        <f t="array" ref="S50">INDEX($A$6:$S$41, COLUMN(S6), ROW(S6))</f>
        <v>0</v>
      </c>
      <c r="T50" cm="1">
        <f t="array" ref="T50">INDEX($A$6:$S$41, COLUMN(T6), ROW(T6))</f>
        <v>0</v>
      </c>
      <c r="U50" cm="1">
        <f t="array" ref="U50">INDEX($A$6:$S$41, COLUMN(U6), ROW(U6))</f>
        <v>0</v>
      </c>
      <c r="V50" cm="1">
        <f t="array" ref="V50">INDEX($A$6:$S$41, COLUMN(V6), ROW(V6))</f>
        <v>0</v>
      </c>
      <c r="W50" cm="1">
        <f t="array" ref="W50">INDEX($A$6:$S$41, COLUMN(W6), ROW(W6))</f>
        <v>0</v>
      </c>
      <c r="X50" cm="1">
        <f t="array" ref="X50">INDEX($A$6:$S$41, COLUMN(X6), ROW(X6))</f>
        <v>0</v>
      </c>
      <c r="Y50" cm="1">
        <f t="array" ref="Y50">INDEX($A$6:$S$41, COLUMN(Y6), ROW(Y6))</f>
        <v>0</v>
      </c>
      <c r="Z50" cm="1">
        <f t="array" ref="Z50">INDEX($A$6:$S$41, COLUMN(Z6), ROW(Z6))</f>
        <v>0</v>
      </c>
      <c r="AA50" cm="1">
        <f t="array" ref="AA50">INDEX($A$6:$S$41, COLUMN(AA6), ROW(AA6))</f>
        <v>0</v>
      </c>
      <c r="AB50" cm="1">
        <f t="array" ref="AB50">INDEX($A$6:$S$41, COLUMN(AB6), ROW(AB6))</f>
        <v>0</v>
      </c>
      <c r="AC50" cm="1">
        <f t="array" ref="AC50">INDEX($A$6:$S$41, COLUMN(AC6), ROW(AC6))</f>
        <v>0</v>
      </c>
      <c r="AD50" cm="1">
        <f t="array" ref="AD50">INDEX($A$6:$S$41, COLUMN(AD6), ROW(AD6))</f>
        <v>0</v>
      </c>
      <c r="AE50" cm="1">
        <f t="array" ref="AE50">INDEX($A$6:$S$41, COLUMN(AE6), ROW(AE6))</f>
        <v>0</v>
      </c>
      <c r="AF50" cm="1">
        <f t="array" ref="AF50">INDEX($A$6:$S$41, COLUMN(AF6), ROW(AF6))</f>
        <v>0</v>
      </c>
      <c r="AG50" cm="1">
        <f t="array" ref="AG50">INDEX($A$6:$S$41, COLUMN(AG6), ROW(AG6))</f>
        <v>0</v>
      </c>
      <c r="AH50" cm="1">
        <f t="array" ref="AH50">INDEX($A$6:$S$41, COLUMN(AH6), ROW(AH6))</f>
        <v>0</v>
      </c>
      <c r="AI50" cm="1">
        <f t="array" ref="AI50">INDEX($A$6:$S$41, COLUMN(AI6), ROW(AI6))</f>
        <v>0</v>
      </c>
      <c r="AJ50" cm="1">
        <f t="array" ref="AJ50">INDEX($A$6:$S$41, COLUMN(AJ6), ROW(AJ6))</f>
        <v>0</v>
      </c>
    </row>
    <row r="51" spans="1:36" x14ac:dyDescent="0.2">
      <c r="A51" cm="1">
        <f t="array" ref="A51">INDEX($A$6:$S$41, COLUMN(A7), ROW(A7))</f>
        <v>0</v>
      </c>
      <c r="B51" cm="1">
        <f t="array" ref="B51">INDEX($A$6:$S$41, COLUMN(B7), ROW(B7))</f>
        <v>2025</v>
      </c>
      <c r="C51" cm="1">
        <f t="array" ref="C51">INDEX($A$6:$S$41, COLUMN(C7), ROW(C7))</f>
        <v>0</v>
      </c>
      <c r="D51" cm="1">
        <f t="array" ref="D51">INDEX($A$6:$S$41, COLUMN(D7), ROW(D7))</f>
        <v>0</v>
      </c>
      <c r="E51" cm="1">
        <f t="array" ref="E51">INDEX($A$6:$S$41, COLUMN(E7), ROW(E7))</f>
        <v>0</v>
      </c>
      <c r="F51" cm="1">
        <f t="array" ref="F51">INDEX($A$6:$S$41, COLUMN(F7), ROW(F7))</f>
        <v>0</v>
      </c>
      <c r="G51" cm="1">
        <f t="array" ref="G51">INDEX($A$6:$S$41, COLUMN(G7), ROW(G7))</f>
        <v>0</v>
      </c>
      <c r="H51" cm="1">
        <f t="array" ref="H51">INDEX($A$6:$S$41, COLUMN(H7), ROW(H7))</f>
        <v>2030</v>
      </c>
      <c r="I51" cm="1">
        <f t="array" ref="I51">INDEX($A$6:$S$41, COLUMN(I7), ROW(I7))</f>
        <v>0</v>
      </c>
      <c r="J51" cm="1">
        <f t="array" ref="J51">INDEX($A$6:$S$41, COLUMN(J7), ROW(J7))</f>
        <v>0</v>
      </c>
      <c r="K51" cm="1">
        <f t="array" ref="K51">INDEX($A$6:$S$41, COLUMN(K7), ROW(K7))</f>
        <v>0</v>
      </c>
      <c r="L51" cm="1">
        <f t="array" ref="L51">INDEX($A$6:$S$41, COLUMN(L7), ROW(L7))</f>
        <v>0</v>
      </c>
      <c r="M51" cm="1">
        <f t="array" ref="M51">INDEX($A$6:$S$41, COLUMN(M7), ROW(M7))</f>
        <v>0</v>
      </c>
      <c r="N51" cm="1">
        <f t="array" ref="N51">INDEX($A$6:$S$41, COLUMN(N7), ROW(N7))</f>
        <v>2025</v>
      </c>
      <c r="O51" cm="1">
        <f t="array" ref="O51">INDEX($A$6:$S$41, COLUMN(O7), ROW(O7))</f>
        <v>2030</v>
      </c>
      <c r="P51" cm="1">
        <f t="array" ref="P51">INDEX($A$6:$S$41, COLUMN(P7), ROW(P7))</f>
        <v>0</v>
      </c>
      <c r="Q51" cm="1">
        <f t="array" ref="Q51">INDEX($A$6:$S$41, COLUMN(Q7), ROW(Q7))</f>
        <v>0</v>
      </c>
      <c r="R51" cm="1">
        <f t="array" ref="R51">INDEX($A$6:$S$41, COLUMN(R7), ROW(R7))</f>
        <v>0</v>
      </c>
      <c r="S51" cm="1">
        <f t="array" ref="S51">INDEX($A$6:$S$41, COLUMN(S7), ROW(S7))</f>
        <v>0</v>
      </c>
      <c r="T51" cm="1">
        <f t="array" ref="T51">INDEX($A$6:$S$41, COLUMN(T7), ROW(T7))</f>
        <v>0</v>
      </c>
      <c r="U51" cm="1">
        <f t="array" ref="U51">INDEX($A$6:$S$41, COLUMN(U7), ROW(U7))</f>
        <v>0</v>
      </c>
      <c r="V51" cm="1">
        <f t="array" ref="V51">INDEX($A$6:$S$41, COLUMN(V7), ROW(V7))</f>
        <v>2025</v>
      </c>
      <c r="W51" cm="1">
        <f t="array" ref="W51">INDEX($A$6:$S$41, COLUMN(W7), ROW(W7))</f>
        <v>0</v>
      </c>
      <c r="X51" cm="1">
        <f t="array" ref="X51">INDEX($A$6:$S$41, COLUMN(X7), ROW(X7))</f>
        <v>0</v>
      </c>
      <c r="Y51" cm="1">
        <f t="array" ref="Y51">INDEX($A$6:$S$41, COLUMN(Y7), ROW(Y7))</f>
        <v>0</v>
      </c>
      <c r="Z51" cm="1">
        <f t="array" ref="Z51">INDEX($A$6:$S$41, COLUMN(Z7), ROW(Z7))</f>
        <v>0</v>
      </c>
      <c r="AA51" cm="1">
        <f t="array" ref="AA51">INDEX($A$6:$S$41, COLUMN(AA7), ROW(AA7))</f>
        <v>0</v>
      </c>
      <c r="AB51" cm="1">
        <f t="array" ref="AB51">INDEX($A$6:$S$41, COLUMN(AB7), ROW(AB7))</f>
        <v>2030</v>
      </c>
      <c r="AC51" cm="1">
        <f t="array" ref="AC51">INDEX($A$6:$S$41, COLUMN(AC7), ROW(AC7))</f>
        <v>0</v>
      </c>
      <c r="AD51" cm="1">
        <f t="array" ref="AD51">INDEX($A$6:$S$41, COLUMN(AD7), ROW(AD7))</f>
        <v>0</v>
      </c>
      <c r="AE51" cm="1">
        <f t="array" ref="AE51">INDEX($A$6:$S$41, COLUMN(AE7), ROW(AE7))</f>
        <v>0</v>
      </c>
      <c r="AF51" cm="1">
        <f t="array" ref="AF51">INDEX($A$6:$S$41, COLUMN(AF7), ROW(AF7))</f>
        <v>0</v>
      </c>
      <c r="AG51" cm="1">
        <f t="array" ref="AG51">INDEX($A$6:$S$41, COLUMN(AG7), ROW(AG7))</f>
        <v>0</v>
      </c>
      <c r="AH51" cm="1">
        <f t="array" ref="AH51">INDEX($A$6:$S$41, COLUMN(AH7), ROW(AH7))</f>
        <v>2025</v>
      </c>
      <c r="AI51" cm="1">
        <f t="array" ref="AI51">INDEX($A$6:$S$41, COLUMN(AI7), ROW(AI7))</f>
        <v>2030</v>
      </c>
      <c r="AJ51" cm="1">
        <f t="array" ref="AJ51">INDEX($A$6:$S$41, COLUMN(AJ7), ROW(AJ7))</f>
        <v>0</v>
      </c>
    </row>
    <row r="52" spans="1:36" x14ac:dyDescent="0.2">
      <c r="A52" cm="1">
        <f t="array" ref="A52">INDEX($A$6:$S$41, COLUMN(A8), ROW(A8))</f>
        <v>0</v>
      </c>
      <c r="B52" t="str" cm="1">
        <f t="array" ref="B52">INDEX($A$6:$S$41, COLUMN(B8), ROW(B8))</f>
        <v>Gas</v>
      </c>
      <c r="C52" t="str" cm="1">
        <f t="array" ref="C52">INDEX($A$6:$S$41, COLUMN(C8), ROW(C8))</f>
        <v>Solid</v>
      </c>
      <c r="D52" t="str" cm="1">
        <f t="array" ref="D52">INDEX($A$6:$S$41, COLUMN(D8), ROW(D8))</f>
        <v>Solvent</v>
      </c>
      <c r="E52" t="str" cm="1">
        <f t="array" ref="E52">INDEX($A$6:$S$41, COLUMN(E8), ROW(E8))</f>
        <v>Water</v>
      </c>
      <c r="F52" cm="1">
        <f t="array" ref="F52">INDEX($A$6:$S$41, COLUMN(F8), ROW(F8))</f>
        <v>0</v>
      </c>
      <c r="G52" cm="1">
        <f t="array" ref="G52">INDEX($A$6:$S$41, COLUMN(G8), ROW(G8))</f>
        <v>0</v>
      </c>
      <c r="H52" t="str" cm="1">
        <f t="array" ref="H52">INDEX($A$6:$S$41, COLUMN(H8), ROW(H8))</f>
        <v>Gas</v>
      </c>
      <c r="I52" t="str" cm="1">
        <f t="array" ref="I52">INDEX($A$6:$S$41, COLUMN(I8), ROW(I8))</f>
        <v>Solid</v>
      </c>
      <c r="J52" t="str" cm="1">
        <f t="array" ref="J52">INDEX($A$6:$S$41, COLUMN(J8), ROW(J8))</f>
        <v>Solvent</v>
      </c>
      <c r="K52" t="str" cm="1">
        <f t="array" ref="K52">INDEX($A$6:$S$41, COLUMN(K8), ROW(K8))</f>
        <v>Water</v>
      </c>
      <c r="L52" cm="1">
        <f t="array" ref="L52">INDEX($A$6:$S$41, COLUMN(L8), ROW(L8))</f>
        <v>0</v>
      </c>
      <c r="M52" cm="1">
        <f t="array" ref="M52">INDEX($A$6:$S$41, COLUMN(M8), ROW(M8))</f>
        <v>0</v>
      </c>
      <c r="N52" cm="1">
        <f t="array" ref="N52">INDEX($A$6:$S$41, COLUMN(N8), ROW(N8))</f>
        <v>0</v>
      </c>
      <c r="O52" cm="1">
        <f t="array" ref="O52">INDEX($A$6:$S$41, COLUMN(O8), ROW(O8))</f>
        <v>0</v>
      </c>
      <c r="P52" cm="1">
        <f t="array" ref="P52">INDEX($A$6:$S$41, COLUMN(P8), ROW(P8))</f>
        <v>0</v>
      </c>
      <c r="Q52" cm="1">
        <f t="array" ref="Q52">INDEX($A$6:$S$41, COLUMN(Q8), ROW(Q8))</f>
        <v>0</v>
      </c>
      <c r="R52" cm="1">
        <f t="array" ref="R52">INDEX($A$6:$S$41, COLUMN(R8), ROW(R8))</f>
        <v>0</v>
      </c>
      <c r="S52" cm="1">
        <f t="array" ref="S52">INDEX($A$6:$S$41, COLUMN(S8), ROW(S8))</f>
        <v>0</v>
      </c>
      <c r="T52" cm="1">
        <f t="array" ref="T52">INDEX($A$6:$S$41, COLUMN(T8), ROW(T8))</f>
        <v>0</v>
      </c>
      <c r="U52" cm="1">
        <f t="array" ref="U52">INDEX($A$6:$S$41, COLUMN(U8), ROW(U8))</f>
        <v>0</v>
      </c>
      <c r="V52" t="str" cm="1">
        <f t="array" ref="V52">INDEX($A$6:$S$41, COLUMN(V8), ROW(V8))</f>
        <v>Gas</v>
      </c>
      <c r="W52" t="str" cm="1">
        <f t="array" ref="W52">INDEX($A$6:$S$41, COLUMN(W8), ROW(W8))</f>
        <v>Solid</v>
      </c>
      <c r="X52" t="str" cm="1">
        <f t="array" ref="X52">INDEX($A$6:$S$41, COLUMN(X8), ROW(X8))</f>
        <v>Solvent</v>
      </c>
      <c r="Y52" t="str" cm="1">
        <f t="array" ref="Y52">INDEX($A$6:$S$41, COLUMN(Y8), ROW(Y8))</f>
        <v>Water</v>
      </c>
      <c r="Z52" cm="1">
        <f t="array" ref="Z52">INDEX($A$6:$S$41, COLUMN(Z8), ROW(Z8))</f>
        <v>0</v>
      </c>
      <c r="AA52" cm="1">
        <f t="array" ref="AA52">INDEX($A$6:$S$41, COLUMN(AA8), ROW(AA8))</f>
        <v>0</v>
      </c>
      <c r="AB52" t="str" cm="1">
        <f t="array" ref="AB52">INDEX($A$6:$S$41, COLUMN(AB8), ROW(AB8))</f>
        <v>Gas</v>
      </c>
      <c r="AC52" t="str" cm="1">
        <f t="array" ref="AC52">INDEX($A$6:$S$41, COLUMN(AC8), ROW(AC8))</f>
        <v>Solid</v>
      </c>
      <c r="AD52" t="str" cm="1">
        <f t="array" ref="AD52">INDEX($A$6:$S$41, COLUMN(AD8), ROW(AD8))</f>
        <v>Solvent</v>
      </c>
      <c r="AE52" t="str" cm="1">
        <f t="array" ref="AE52">INDEX($A$6:$S$41, COLUMN(AE8), ROW(AE8))</f>
        <v>Water</v>
      </c>
      <c r="AF52" cm="1">
        <f t="array" ref="AF52">INDEX($A$6:$S$41, COLUMN(AF8), ROW(AF8))</f>
        <v>0</v>
      </c>
      <c r="AG52" cm="1">
        <f t="array" ref="AG52">INDEX($A$6:$S$41, COLUMN(AG8), ROW(AG8))</f>
        <v>0</v>
      </c>
      <c r="AH52" cm="1">
        <f t="array" ref="AH52">INDEX($A$6:$S$41, COLUMN(AH8), ROW(AH8))</f>
        <v>0</v>
      </c>
      <c r="AI52" cm="1">
        <f t="array" ref="AI52">INDEX($A$6:$S$41, COLUMN(AI8), ROW(AI8))</f>
        <v>0</v>
      </c>
      <c r="AJ52" cm="1">
        <f t="array" ref="AJ52">INDEX($A$6:$S$41, COLUMN(AJ8), ROW(AJ8))</f>
        <v>0</v>
      </c>
    </row>
    <row r="53" spans="1:36" x14ac:dyDescent="0.2">
      <c r="A53" t="str" cm="1">
        <f t="array" ref="A53">INDEX($A$6:$S$41, COLUMN(A9), ROW(A9))</f>
        <v>CC</v>
      </c>
      <c r="B53" cm="1">
        <f t="array" ref="B53">INDEX($A$6:$S$41, COLUMN(B9), ROW(B9))</f>
        <v>6.4991821291500385E-2</v>
      </c>
      <c r="C53" cm="1">
        <f t="array" ref="C53">INDEX($A$6:$S$41, COLUMN(C9), ROW(C9))</f>
        <v>7.7041955152503908E-2</v>
      </c>
      <c r="D53" cm="1">
        <f t="array" ref="D53">INDEX($A$6:$S$41, COLUMN(D9), ROW(D9))</f>
        <v>7.764534475857154</v>
      </c>
      <c r="E53" cm="1">
        <f t="array" ref="E53">INDEX($A$6:$S$41, COLUMN(E9), ROW(E9))</f>
        <v>12.498641002951651</v>
      </c>
      <c r="F53" cm="1">
        <f t="array" ref="F53">INDEX($A$6:$S$41, COLUMN(F9), ROW(F9))</f>
        <v>20.405209255252807</v>
      </c>
      <c r="G53" cm="1">
        <f t="array" ref="G53">INDEX($A$6:$S$41, COLUMN(G9), ROW(G9))</f>
        <v>0</v>
      </c>
      <c r="H53" cm="1">
        <f t="array" ref="H53">INDEX($A$6:$S$41, COLUMN(H9), ROW(H9))</f>
        <v>0.45995226293170671</v>
      </c>
      <c r="I53" cm="1">
        <f t="array" ref="I53">INDEX($A$6:$S$41, COLUMN(I9), ROW(I9))</f>
        <v>0.59353088826068334</v>
      </c>
      <c r="J53" cm="1">
        <f t="array" ref="J53">INDEX($A$6:$S$41, COLUMN(J9), ROW(J9))</f>
        <v>60.84459367876066</v>
      </c>
      <c r="K53" cm="1">
        <f t="array" ref="K53">INDEX($A$6:$S$41, COLUMN(K9), ROW(K9))</f>
        <v>87.545259617733706</v>
      </c>
      <c r="L53" cm="1">
        <f t="array" ref="L53">INDEX($A$6:$S$41, COLUMN(L9), ROW(L9))</f>
        <v>149.44333644768676</v>
      </c>
      <c r="M53" cm="1">
        <f t="array" ref="M53">INDEX($A$6:$S$41, COLUMN(M9), ROW(M9))</f>
        <v>0</v>
      </c>
      <c r="N53" cm="1">
        <f t="array" ref="N53">INDEX($A$6:$S$41, COLUMN(N9), ROW(N9))</f>
        <v>20.405209255252807</v>
      </c>
      <c r="O53" cm="1">
        <f t="array" ref="O53">INDEX($A$6:$S$41, COLUMN(O9), ROW(O9))</f>
        <v>149.44333644768676</v>
      </c>
      <c r="P53" cm="1">
        <f t="array" ref="P53">INDEX($A$6:$S$41, COLUMN(P9), ROW(P9))</f>
        <v>0</v>
      </c>
      <c r="Q53" cm="1">
        <f t="array" ref="Q53">INDEX($A$6:$S$41, COLUMN(Q9), ROW(Q9))</f>
        <v>0</v>
      </c>
      <c r="R53" cm="1">
        <f t="array" ref="R53">INDEX($A$6:$S$41, COLUMN(R9), ROW(R9))</f>
        <v>0</v>
      </c>
      <c r="S53" cm="1">
        <f t="array" ref="S53">INDEX($A$6:$S$41, COLUMN(S9), ROW(S9))</f>
        <v>0</v>
      </c>
      <c r="T53" cm="1">
        <f t="array" ref="T53">INDEX($A$6:$S$41, COLUMN(T9), ROW(T9))</f>
        <v>0</v>
      </c>
      <c r="U53" t="str" cm="1">
        <f t="array" ref="U53">INDEX($A$6:$S$41, COLUMN(U9), ROW(U9))</f>
        <v>CC</v>
      </c>
      <c r="V53" cm="1">
        <f t="array" ref="V53">INDEX($A$6:$S$41, COLUMN(V9), ROW(V9))</f>
        <v>6.506451195981218E-2</v>
      </c>
      <c r="W53" cm="1">
        <f t="array" ref="W53">INDEX($A$6:$S$41, COLUMN(W9), ROW(W9))</f>
        <v>7.7128252038666703E-2</v>
      </c>
      <c r="X53" cm="1">
        <f t="array" ref="X53">INDEX($A$6:$S$41, COLUMN(X9), ROW(X9))</f>
        <v>7.7732391768212645</v>
      </c>
      <c r="Y53" cm="1">
        <f t="array" ref="Y53">INDEX($A$6:$S$41, COLUMN(Y9), ROW(Y9))</f>
        <v>11.653983064314666</v>
      </c>
      <c r="Z53" cm="1">
        <f t="array" ref="Z53">INDEX($A$6:$S$41, COLUMN(Z9), ROW(Z9))</f>
        <v>19.56941500513441</v>
      </c>
      <c r="AA53" cm="1">
        <f t="array" ref="AA53">INDEX($A$6:$S$41, COLUMN(AA9), ROW(AA9))</f>
        <v>0</v>
      </c>
      <c r="AB53" cm="1">
        <f t="array" ref="AB53">INDEX($A$6:$S$41, COLUMN(AB9), ROW(AB9))</f>
        <v>0.45935377867786958</v>
      </c>
      <c r="AC53" cm="1">
        <f t="array" ref="AC53">INDEX($A$6:$S$41, COLUMN(AC9), ROW(AC9))</f>
        <v>0.59278313179513042</v>
      </c>
      <c r="AD53" cm="1">
        <f t="array" ref="AD53">INDEX($A$6:$S$41, COLUMN(AD9), ROW(AD9))</f>
        <v>60.767962712612956</v>
      </c>
      <c r="AE53" cm="1">
        <f t="array" ref="AE53">INDEX($A$6:$S$41, COLUMN(AE9), ROW(AE9))</f>
        <v>81.732852961450178</v>
      </c>
      <c r="AF53" cm="1">
        <f t="array" ref="AF53">INDEX($A$6:$S$41, COLUMN(AF9), ROW(AF9))</f>
        <v>143.55295258453614</v>
      </c>
      <c r="AG53" cm="1">
        <f t="array" ref="AG53">INDEX($A$6:$S$41, COLUMN(AG9), ROW(AG9))</f>
        <v>0</v>
      </c>
      <c r="AH53" cm="1">
        <f t="array" ref="AH53">INDEX($A$6:$S$41, COLUMN(AH9), ROW(AH9))</f>
        <v>19.56941500513441</v>
      </c>
      <c r="AI53" cm="1">
        <f t="array" ref="AI53">INDEX($A$6:$S$41, COLUMN(AI9), ROW(AI9))</f>
        <v>143.55295258453614</v>
      </c>
      <c r="AJ53" cm="1">
        <f t="array" ref="AJ53">INDEX($A$6:$S$41, COLUMN(AJ9), ROW(AJ9))</f>
        <v>0</v>
      </c>
    </row>
    <row r="54" spans="1:36" x14ac:dyDescent="0.2">
      <c r="A54" t="str" cm="1">
        <f t="array" ref="A54">INDEX($A$6:$S$41, COLUMN(A10), ROW(A10))</f>
        <v>CC</v>
      </c>
      <c r="B54" cm="1">
        <f t="array" ref="B54">INDEX($A$6:$S$41, COLUMN(B10), ROW(B10))</f>
        <v>6.4867851551608383E-3</v>
      </c>
      <c r="C54" cm="1">
        <f t="array" ref="C54">INDEX($A$6:$S$41, COLUMN(C10), ROW(C10))</f>
        <v>7.6912794953428723E-3</v>
      </c>
      <c r="D54" cm="1">
        <f t="array" ref="D54">INDEX($A$6:$S$41, COLUMN(D10), ROW(D10))</f>
        <v>0.77479605786491379</v>
      </c>
      <c r="E54" cm="1">
        <f t="array" ref="E54">INDEX($A$6:$S$41, COLUMN(E10), ROW(E10))</f>
        <v>1.2480132554408203</v>
      </c>
      <c r="F54" cm="1">
        <f t="array" ref="F54">INDEX($A$6:$S$41, COLUMN(F10), ROW(F10))</f>
        <v>2.0369873779562377</v>
      </c>
      <c r="G54" cm="1">
        <f t="array" ref="G54">INDEX($A$6:$S$41, COLUMN(G10), ROW(G10))</f>
        <v>0</v>
      </c>
      <c r="H54" cm="1">
        <f t="array" ref="H54">INDEX($A$6:$S$41, COLUMN(H10), ROW(H10))</f>
        <v>5.1469389861982615E-2</v>
      </c>
      <c r="I54" cm="1">
        <f t="array" ref="I54">INDEX($A$6:$S$41, COLUMN(I10), ROW(I10))</f>
        <v>6.6420811504035379E-2</v>
      </c>
      <c r="J54" cm="1">
        <f t="array" ref="J54">INDEX($A$6:$S$41, COLUMN(J10), ROW(J10))</f>
        <v>6.7561954600445278</v>
      </c>
      <c r="K54" cm="1">
        <f t="array" ref="K54">INDEX($A$6:$S$41, COLUMN(K10), ROW(K10))</f>
        <v>9.8937045958901635</v>
      </c>
      <c r="L54" cm="1">
        <f t="array" ref="L54">INDEX($A$6:$S$41, COLUMN(L10), ROW(L10))</f>
        <v>16.76779025730071</v>
      </c>
      <c r="M54" cm="1">
        <f t="array" ref="M54">INDEX($A$6:$S$41, COLUMN(M10), ROW(M10))</f>
        <v>0</v>
      </c>
      <c r="N54" cm="1">
        <f t="array" ref="N54">INDEX($A$6:$S$41, COLUMN(N10), ROW(N10))</f>
        <v>2.0369873779562377</v>
      </c>
      <c r="O54" cm="1">
        <f t="array" ref="O54">INDEX($A$6:$S$41, COLUMN(O10), ROW(O10))</f>
        <v>16.76779025730071</v>
      </c>
      <c r="P54" cm="1">
        <f t="array" ref="P54">INDEX($A$6:$S$41, COLUMN(P10), ROW(P10))</f>
        <v>0</v>
      </c>
      <c r="Q54" cm="1">
        <f t="array" ref="Q54">INDEX($A$6:$S$41, COLUMN(Q10), ROW(Q10))</f>
        <v>0</v>
      </c>
      <c r="R54" cm="1">
        <f t="array" ref="R54">INDEX($A$6:$S$41, COLUMN(R10), ROW(R10))</f>
        <v>0</v>
      </c>
      <c r="S54" cm="1">
        <f t="array" ref="S54">INDEX($A$6:$S$41, COLUMN(S10), ROW(S10))</f>
        <v>0</v>
      </c>
      <c r="T54" cm="1">
        <f t="array" ref="T54">INDEX($A$6:$S$41, COLUMN(T10), ROW(T10))</f>
        <v>0</v>
      </c>
      <c r="U54" t="str" cm="1">
        <f t="array" ref="U54">INDEX($A$6:$S$41, COLUMN(U10), ROW(U10))</f>
        <v>CC</v>
      </c>
      <c r="V54" cm="1">
        <f t="array" ref="V54">INDEX($A$6:$S$41, COLUMN(V10), ROW(V10))</f>
        <v>6.4989236478086689E-3</v>
      </c>
      <c r="W54" cm="1">
        <f t="array" ref="W54">INDEX($A$6:$S$41, COLUMN(W10), ROW(W10))</f>
        <v>7.7055424303839482E-3</v>
      </c>
      <c r="X54" cm="1">
        <f t="array" ref="X54">INDEX($A$6:$S$41, COLUMN(X10), ROW(X10))</f>
        <v>0.77622624790817996</v>
      </c>
      <c r="Y54" cm="1">
        <f t="array" ref="Y54">INDEX($A$6:$S$41, COLUMN(Y10), ROW(Y10))</f>
        <v>1.1644954318889005</v>
      </c>
      <c r="Z54" cm="1">
        <f t="array" ref="Z54">INDEX($A$6:$S$41, COLUMN(Z10), ROW(Z10))</f>
        <v>1.9549261458752731</v>
      </c>
      <c r="AA54" cm="1">
        <f t="array" ref="AA54">INDEX($A$6:$S$41, COLUMN(AA10), ROW(AA10))</f>
        <v>0</v>
      </c>
      <c r="AB54" cm="1">
        <f t="array" ref="AB54">INDEX($A$6:$S$41, COLUMN(AB10), ROW(AB10))</f>
        <v>5.155041217932485E-2</v>
      </c>
      <c r="AC54" cm="1">
        <f t="array" ref="AC54">INDEX($A$6:$S$41, COLUMN(AC10), ROW(AC10))</f>
        <v>6.650210230990658E-2</v>
      </c>
      <c r="AD54" cm="1">
        <f t="array" ref="AD54">INDEX($A$6:$S$41, COLUMN(AD10), ROW(AD10))</f>
        <v>6.7645377324280327</v>
      </c>
      <c r="AE54" cm="1">
        <f t="array" ref="AE54">INDEX($A$6:$S$41, COLUMN(AE10), ROW(AE10))</f>
        <v>9.2523399319357917</v>
      </c>
      <c r="AF54" cm="1">
        <f t="array" ref="AF54">INDEX($A$6:$S$41, COLUMN(AF10), ROW(AF10))</f>
        <v>16.134930178853054</v>
      </c>
      <c r="AG54" cm="1">
        <f t="array" ref="AG54">INDEX($A$6:$S$41, COLUMN(AG10), ROW(AG10))</f>
        <v>0</v>
      </c>
      <c r="AH54" cm="1">
        <f t="array" ref="AH54">INDEX($A$6:$S$41, COLUMN(AH10), ROW(AH10))</f>
        <v>1.9549261458752731</v>
      </c>
      <c r="AI54" cm="1">
        <f t="array" ref="AI54">INDEX($A$6:$S$41, COLUMN(AI10), ROW(AI10))</f>
        <v>16.134930178853054</v>
      </c>
      <c r="AJ54" cm="1">
        <f t="array" ref="AJ54">INDEX($A$6:$S$41, COLUMN(AJ10), ROW(AJ10))</f>
        <v>0</v>
      </c>
    </row>
    <row r="55" spans="1:36" x14ac:dyDescent="0.2">
      <c r="A55" cm="1">
        <f t="array" ref="A55">INDEX($A$6:$S$41, COLUMN(A11), ROW(A11))</f>
        <v>0</v>
      </c>
      <c r="B55" cm="1">
        <f t="array" ref="B55">INDEX($A$6:$S$41, COLUMN(B11), ROW(B11))</f>
        <v>3.1850602695863007E-3</v>
      </c>
      <c r="C55" cm="1">
        <f t="array" ref="C55">INDEX($A$6:$S$41, COLUMN(C11), ROW(C11))</f>
        <v>3.7756023076642256E-3</v>
      </c>
      <c r="D55" cm="1">
        <f t="array" ref="D55">INDEX($A$6:$S$41, COLUMN(D11), ROW(D11))</f>
        <v>0.38051726785690132</v>
      </c>
      <c r="E55" cm="1">
        <f t="array" ref="E55">INDEX($A$6:$S$41, COLUMN(E11), ROW(E11))</f>
        <v>0.61252206956584831</v>
      </c>
      <c r="F55" cm="1">
        <f t="array" ref="F55">INDEX($A$6:$S$41, COLUMN(F11), ROW(F11))</f>
        <v>0</v>
      </c>
      <c r="G55" cm="1">
        <f t="array" ref="G55">INDEX($A$6:$S$41, COLUMN(G11), ROW(G11))</f>
        <v>0</v>
      </c>
      <c r="H55" cm="1">
        <f t="array" ref="H55">INDEX($A$6:$S$41, COLUMN(H11), ROW(H11))</f>
        <v>3.0777703032126482E-3</v>
      </c>
      <c r="I55" cm="1">
        <f t="array" ref="I55">INDEX($A$6:$S$41, COLUMN(I11), ROW(I11))</f>
        <v>3.9716115978744304E-3</v>
      </c>
      <c r="J55" cm="1">
        <f t="array" ref="J55">INDEX($A$6:$S$41, COLUMN(J11), ROW(J11))</f>
        <v>0.40714156365251891</v>
      </c>
      <c r="K55" cm="1">
        <f t="array" ref="K55">INDEX($A$6:$S$41, COLUMN(K11), ROW(K11))</f>
        <v>0.58580905444639397</v>
      </c>
      <c r="L55" cm="1">
        <f t="array" ref="L55">INDEX($A$6:$S$41, COLUMN(L11), ROW(L11))</f>
        <v>0</v>
      </c>
      <c r="M55" cm="1">
        <f t="array" ref="M55">INDEX($A$6:$S$41, COLUMN(M11), ROW(M11))</f>
        <v>0</v>
      </c>
      <c r="N55" cm="1">
        <f t="array" ref="N55">INDEX($A$6:$S$41, COLUMN(N11), ROW(N11))</f>
        <v>0</v>
      </c>
      <c r="O55" cm="1">
        <f t="array" ref="O55">INDEX($A$6:$S$41, COLUMN(O11), ROW(O11))</f>
        <v>0</v>
      </c>
      <c r="P55" cm="1">
        <f t="array" ref="P55">INDEX($A$6:$S$41, COLUMN(P11), ROW(P11))</f>
        <v>0</v>
      </c>
      <c r="Q55" cm="1">
        <f t="array" ref="Q55">INDEX($A$6:$S$41, COLUMN(Q11), ROW(Q11))</f>
        <v>0</v>
      </c>
      <c r="R55" cm="1">
        <f t="array" ref="R55">INDEX($A$6:$S$41, COLUMN(R11), ROW(R11))</f>
        <v>0</v>
      </c>
      <c r="S55" cm="1">
        <f t="array" ref="S55">INDEX($A$6:$S$41, COLUMN(S11), ROW(S11))</f>
        <v>0</v>
      </c>
      <c r="T55" cm="1">
        <f t="array" ref="T55">INDEX($A$6:$S$41, COLUMN(T11), ROW(T11))</f>
        <v>0</v>
      </c>
      <c r="U55" cm="1">
        <f t="array" ref="U55">INDEX($A$6:$S$41, COLUMN(U11), ROW(U11))</f>
        <v>0</v>
      </c>
      <c r="V55" cm="1">
        <f t="array" ref="V55">INDEX($A$6:$S$41, COLUMN(V11), ROW(V11))</f>
        <v>3.3248061806007622E-3</v>
      </c>
      <c r="W55" cm="1">
        <f t="array" ref="W55">INDEX($A$6:$S$41, COLUMN(W11), ROW(W11))</f>
        <v>3.9412650821923209E-3</v>
      </c>
      <c r="X55" cm="1">
        <f t="array" ref="X55">INDEX($A$6:$S$41, COLUMN(X11), ROW(X11))</f>
        <v>0.39721367116910788</v>
      </c>
      <c r="Y55" cm="1">
        <f t="array" ref="Y55">INDEX($A$6:$S$41, COLUMN(Y11), ROW(Y11))</f>
        <v>0.59552025756809901</v>
      </c>
      <c r="Z55" cm="1">
        <f t="array" ref="Z55">INDEX($A$6:$S$41, COLUMN(Z11), ROW(Z11))</f>
        <v>0</v>
      </c>
      <c r="AA55" cm="1">
        <f t="array" ref="AA55">INDEX($A$6:$S$41, COLUMN(AA11), ROW(AA11))</f>
        <v>0</v>
      </c>
      <c r="AB55" cm="1">
        <f t="array" ref="AB55">INDEX($A$6:$S$41, COLUMN(AB11), ROW(AB11))</f>
        <v>3.1998908445116316E-3</v>
      </c>
      <c r="AC55" cm="1">
        <f t="array" ref="AC55">INDEX($A$6:$S$41, COLUMN(AC11), ROW(AC11))</f>
        <v>4.1293691360757591E-3</v>
      </c>
      <c r="AD55" cm="1">
        <f t="array" ref="AD55">INDEX($A$6:$S$41, COLUMN(AD11), ROW(AD11))</f>
        <v>0.42331391739802515</v>
      </c>
      <c r="AE55" cm="1">
        <f t="array" ref="AE55">INDEX($A$6:$S$41, COLUMN(AE11), ROW(AE11))</f>
        <v>0.56935682262138743</v>
      </c>
      <c r="AF55" cm="1">
        <f t="array" ref="AF55">INDEX($A$6:$S$41, COLUMN(AF11), ROW(AF11))</f>
        <v>0</v>
      </c>
      <c r="AG55" cm="1">
        <f t="array" ref="AG55">INDEX($A$6:$S$41, COLUMN(AG11), ROW(AG11))</f>
        <v>0</v>
      </c>
      <c r="AH55" cm="1">
        <f t="array" ref="AH55">INDEX($A$6:$S$41, COLUMN(AH11), ROW(AH11))</f>
        <v>0</v>
      </c>
      <c r="AI55" cm="1">
        <f t="array" ref="AI55">INDEX($A$6:$S$41, COLUMN(AI11), ROW(AI11))</f>
        <v>0</v>
      </c>
      <c r="AJ55" cm="1">
        <f t="array" ref="AJ55">INDEX($A$6:$S$41, COLUMN(AJ11), ROW(AJ11))</f>
        <v>0</v>
      </c>
    </row>
    <row r="56" spans="1:36" x14ac:dyDescent="0.2">
      <c r="A56" cm="1">
        <f t="array" ref="A56">INDEX($A$6:$S$41, COLUMN(A12), ROW(A12))</f>
        <v>0</v>
      </c>
      <c r="B56" cm="1">
        <f t="array" ref="B56">INDEX($A$6:$S$41, COLUMN(B12), ROW(B12))</f>
        <v>0</v>
      </c>
      <c r="C56" cm="1">
        <f t="array" ref="C56">INDEX($A$6:$S$41, COLUMN(C12), ROW(C12))</f>
        <v>0</v>
      </c>
      <c r="D56" cm="1">
        <f t="array" ref="D56">INDEX($A$6:$S$41, COLUMN(D12), ROW(D12))</f>
        <v>0</v>
      </c>
      <c r="E56" cm="1">
        <f t="array" ref="E56">INDEX($A$6:$S$41, COLUMN(E12), ROW(E12))</f>
        <v>0</v>
      </c>
      <c r="F56" cm="1">
        <f t="array" ref="F56">INDEX($A$6:$S$41, COLUMN(F12), ROW(F12))</f>
        <v>0</v>
      </c>
      <c r="G56" cm="1">
        <f t="array" ref="G56">INDEX($A$6:$S$41, COLUMN(G12), ROW(G12))</f>
        <v>0</v>
      </c>
      <c r="H56" cm="1">
        <f t="array" ref="H56">INDEX($A$6:$S$41, COLUMN(H12), ROW(H12))</f>
        <v>0</v>
      </c>
      <c r="I56" cm="1">
        <f t="array" ref="I56">INDEX($A$6:$S$41, COLUMN(I12), ROW(I12))</f>
        <v>0</v>
      </c>
      <c r="J56" cm="1">
        <f t="array" ref="J56">INDEX($A$6:$S$41, COLUMN(J12), ROW(J12))</f>
        <v>0</v>
      </c>
      <c r="K56" cm="1">
        <f t="array" ref="K56">INDEX($A$6:$S$41, COLUMN(K12), ROW(K12))</f>
        <v>0</v>
      </c>
      <c r="L56" cm="1">
        <f t="array" ref="L56">INDEX($A$6:$S$41, COLUMN(L12), ROW(L12))</f>
        <v>0</v>
      </c>
      <c r="M56" cm="1">
        <f t="array" ref="M56">INDEX($A$6:$S$41, COLUMN(M12), ROW(M12))</f>
        <v>0</v>
      </c>
      <c r="N56" cm="1">
        <f t="array" ref="N56">INDEX($A$6:$S$41, COLUMN(N12), ROW(N12))</f>
        <v>0</v>
      </c>
      <c r="O56" cm="1">
        <f t="array" ref="O56">INDEX($A$6:$S$41, COLUMN(O12), ROW(O12))</f>
        <v>0</v>
      </c>
      <c r="P56" cm="1">
        <f t="array" ref="P56">INDEX($A$6:$S$41, COLUMN(P12), ROW(P12))</f>
        <v>0</v>
      </c>
      <c r="Q56" cm="1">
        <f t="array" ref="Q56">INDEX($A$6:$S$41, COLUMN(Q12), ROW(Q12))</f>
        <v>0</v>
      </c>
      <c r="R56" cm="1">
        <f t="array" ref="R56">INDEX($A$6:$S$41, COLUMN(R12), ROW(R12))</f>
        <v>0</v>
      </c>
      <c r="S56" cm="1">
        <f t="array" ref="S56">INDEX($A$6:$S$41, COLUMN(S12), ROW(S12))</f>
        <v>0</v>
      </c>
      <c r="T56" cm="1">
        <f t="array" ref="T56">INDEX($A$6:$S$41, COLUMN(T12), ROW(T12))</f>
        <v>0</v>
      </c>
      <c r="U56" cm="1">
        <f t="array" ref="U56">INDEX($A$6:$S$41, COLUMN(U12), ROW(U12))</f>
        <v>0</v>
      </c>
      <c r="V56" cm="1">
        <f t="array" ref="V56">INDEX($A$6:$S$41, COLUMN(V12), ROW(V12))</f>
        <v>0</v>
      </c>
      <c r="W56" cm="1">
        <f t="array" ref="W56">INDEX($A$6:$S$41, COLUMN(W12), ROW(W12))</f>
        <v>0</v>
      </c>
      <c r="X56" cm="1">
        <f t="array" ref="X56">INDEX($A$6:$S$41, COLUMN(X12), ROW(X12))</f>
        <v>0</v>
      </c>
      <c r="Y56" cm="1">
        <f t="array" ref="Y56">INDEX($A$6:$S$41, COLUMN(Y12), ROW(Y12))</f>
        <v>0</v>
      </c>
      <c r="Z56" cm="1">
        <f t="array" ref="Z56">INDEX($A$6:$S$41, COLUMN(Z12), ROW(Z12))</f>
        <v>0</v>
      </c>
      <c r="AA56" cm="1">
        <f t="array" ref="AA56">INDEX($A$6:$S$41, COLUMN(AA12), ROW(AA12))</f>
        <v>0</v>
      </c>
      <c r="AB56" cm="1">
        <f t="array" ref="AB56">INDEX($A$6:$S$41, COLUMN(AB12), ROW(AB12))</f>
        <v>0</v>
      </c>
      <c r="AC56" cm="1">
        <f t="array" ref="AC56">INDEX($A$6:$S$41, COLUMN(AC12), ROW(AC12))</f>
        <v>0</v>
      </c>
      <c r="AD56" cm="1">
        <f t="array" ref="AD56">INDEX($A$6:$S$41, COLUMN(AD12), ROW(AD12))</f>
        <v>0</v>
      </c>
      <c r="AE56" cm="1">
        <f t="array" ref="AE56">INDEX($A$6:$S$41, COLUMN(AE12), ROW(AE12))</f>
        <v>0</v>
      </c>
      <c r="AF56" cm="1">
        <f t="array" ref="AF56">INDEX($A$6:$S$41, COLUMN(AF12), ROW(AF12))</f>
        <v>0</v>
      </c>
      <c r="AG56" cm="1">
        <f t="array" ref="AG56">INDEX($A$6:$S$41, COLUMN(AG12), ROW(AG12))</f>
        <v>0</v>
      </c>
      <c r="AH56" cm="1">
        <f t="array" ref="AH56">INDEX($A$6:$S$41, COLUMN(AH12), ROW(AH12))</f>
        <v>0</v>
      </c>
      <c r="AI56" cm="1">
        <f t="array" ref="AI56">INDEX($A$6:$S$41, COLUMN(AI12), ROW(AI12))</f>
        <v>0</v>
      </c>
      <c r="AJ56" cm="1">
        <f t="array" ref="AJ56">INDEX($A$6:$S$41, COLUMN(AJ12), ROW(AJ12))</f>
        <v>0</v>
      </c>
    </row>
    <row r="57" spans="1:36" x14ac:dyDescent="0.2">
      <c r="A57" t="str" cm="1">
        <f t="array" ref="A57">INDEX($A$6:$S$41, COLUMN(A13), ROW(A13))</f>
        <v>HTC</v>
      </c>
      <c r="B57" cm="1">
        <f t="array" ref="B57">INDEX($A$6:$S$41, COLUMN(B13), ROW(B13))</f>
        <v>5.3112250159305886E-3</v>
      </c>
      <c r="C57" cm="1">
        <f t="array" ref="C57">INDEX($A$6:$S$41, COLUMN(C13), ROW(C13))</f>
        <v>6.2958954536165186E-3</v>
      </c>
      <c r="D57" cm="1">
        <f t="array" ref="D57">INDEX($A$6:$S$41, COLUMN(D13), ROW(D13))</f>
        <v>0.40931153484295646</v>
      </c>
      <c r="E57" cm="1">
        <f t="array" ref="E57">INDEX($A$6:$S$41, COLUMN(E13), ROW(E13))</f>
        <v>1.2900294525030027</v>
      </c>
      <c r="F57" cm="1">
        <f t="array" ref="F57">INDEX($A$6:$S$41, COLUMN(F13), ROW(F13))</f>
        <v>1.7109481078155062</v>
      </c>
      <c r="G57" cm="1">
        <f t="array" ref="G57">INDEX($A$6:$S$41, COLUMN(G13), ROW(G13))</f>
        <v>0</v>
      </c>
      <c r="H57" cm="1">
        <f t="array" ref="H57">INDEX($A$6:$S$41, COLUMN(H13), ROW(H13))</f>
        <v>3.5758626411231682E-2</v>
      </c>
      <c r="I57" cm="1">
        <f t="array" ref="I57">INDEX($A$6:$S$41, COLUMN(I13), ROW(I13))</f>
        <v>4.6142059939252647E-2</v>
      </c>
      <c r="J57" cm="1">
        <f t="array" ref="J57">INDEX($A$6:$S$41, COLUMN(J13), ROW(J13))</f>
        <v>2.9844776971402229</v>
      </c>
      <c r="K57" cm="1">
        <f t="array" ref="K57">INDEX($A$6:$S$41, COLUMN(K13), ROW(K13))</f>
        <v>8.4453901502453075</v>
      </c>
      <c r="L57" cm="1">
        <f t="array" ref="L57">INDEX($A$6:$S$41, COLUMN(L13), ROW(L13))</f>
        <v>11.511768533736015</v>
      </c>
      <c r="M57" cm="1">
        <f t="array" ref="M57">INDEX($A$6:$S$41, COLUMN(M13), ROW(M13))</f>
        <v>0</v>
      </c>
      <c r="N57" cm="1">
        <f t="array" ref="N57">INDEX($A$6:$S$41, COLUMN(N13), ROW(N13))</f>
        <v>1.7109481078155062</v>
      </c>
      <c r="O57" cm="1">
        <f t="array" ref="O57">INDEX($A$6:$S$41, COLUMN(O13), ROW(O13))</f>
        <v>11.511768533736015</v>
      </c>
      <c r="P57" cm="1">
        <f t="array" ref="P57">INDEX($A$6:$S$41, COLUMN(P13), ROW(P13))</f>
        <v>0</v>
      </c>
      <c r="Q57" cm="1">
        <f t="array" ref="Q57">INDEX($A$6:$S$41, COLUMN(Q13), ROW(Q13))</f>
        <v>0</v>
      </c>
      <c r="R57" cm="1">
        <f t="array" ref="R57">INDEX($A$6:$S$41, COLUMN(R13), ROW(R13))</f>
        <v>0</v>
      </c>
      <c r="S57" cm="1">
        <f t="array" ref="S57">INDEX($A$6:$S$41, COLUMN(S13), ROW(S13))</f>
        <v>0</v>
      </c>
      <c r="T57" cm="1">
        <f t="array" ref="T57">INDEX($A$6:$S$41, COLUMN(T13), ROW(T13))</f>
        <v>0</v>
      </c>
      <c r="U57" t="str" cm="1">
        <f t="array" ref="U57">INDEX($A$6:$S$41, COLUMN(U13), ROW(U13))</f>
        <v>HTC</v>
      </c>
      <c r="V57" cm="1">
        <f t="array" ref="V57">INDEX($A$6:$S$41, COLUMN(V13), ROW(V13))</f>
        <v>5.3171608877584028E-3</v>
      </c>
      <c r="W57" cm="1">
        <f t="array" ref="W57">INDEX($A$6:$S$41, COLUMN(W13), ROW(W13))</f>
        <v>6.3029422984573428E-3</v>
      </c>
      <c r="X57" cm="1">
        <f t="array" ref="X57">INDEX($A$6:$S$41, COLUMN(X13), ROW(X13))</f>
        <v>0.40976989915579393</v>
      </c>
      <c r="Y57" cm="1">
        <f t="array" ref="Y57">INDEX($A$6:$S$41, COLUMN(Y13), ROW(Y13))</f>
        <v>1.1770749860132463</v>
      </c>
      <c r="Z57" cm="1">
        <f t="array" ref="Z57">INDEX($A$6:$S$41, COLUMN(Z13), ROW(Z13))</f>
        <v>1.598464988355256</v>
      </c>
      <c r="AA57" cm="1">
        <f t="array" ref="AA57">INDEX($A$6:$S$41, COLUMN(AA13), ROW(AA13))</f>
        <v>0</v>
      </c>
      <c r="AB57" cm="1">
        <f t="array" ref="AB57">INDEX($A$6:$S$41, COLUMN(AB13), ROW(AB13))</f>
        <v>3.5711686770796086E-2</v>
      </c>
      <c r="AC57" cm="1">
        <f t="array" ref="AC57">INDEX($A$6:$S$41, COLUMN(AC13), ROW(AC13))</f>
        <v>4.6083395326185203E-2</v>
      </c>
      <c r="AD57" cm="1">
        <f t="array" ref="AD57">INDEX($A$6:$S$41, COLUMN(AD13), ROW(AD13))</f>
        <v>2.9806695578920825</v>
      </c>
      <c r="AE57" cm="1">
        <f t="array" ref="AE57">INDEX($A$6:$S$41, COLUMN(AE13), ROW(AE13))</f>
        <v>7.7224652582197919</v>
      </c>
      <c r="AF57" cm="1">
        <f t="array" ref="AF57">INDEX($A$6:$S$41, COLUMN(AF13), ROW(AF13))</f>
        <v>10.784929898208855</v>
      </c>
      <c r="AG57" cm="1">
        <f t="array" ref="AG57">INDEX($A$6:$S$41, COLUMN(AG13), ROW(AG13))</f>
        <v>0</v>
      </c>
      <c r="AH57" cm="1">
        <f t="array" ref="AH57">INDEX($A$6:$S$41, COLUMN(AH13), ROW(AH13))</f>
        <v>1.598464988355256</v>
      </c>
      <c r="AI57" cm="1">
        <f t="array" ref="AI57">INDEX($A$6:$S$41, COLUMN(AI13), ROW(AI13))</f>
        <v>10.784929898208855</v>
      </c>
      <c r="AJ57" cm="1">
        <f t="array" ref="AJ57">INDEX($A$6:$S$41, COLUMN(AJ13), ROW(AJ13))</f>
        <v>0</v>
      </c>
    </row>
    <row r="58" spans="1:36" x14ac:dyDescent="0.2">
      <c r="A58" t="str" cm="1">
        <f t="array" ref="A58">INDEX($A$6:$S$41, COLUMN(A14), ROW(A14))</f>
        <v>HTC</v>
      </c>
      <c r="B58" cm="1">
        <f t="array" ref="B58">INDEX($A$6:$S$41, COLUMN(B14), ROW(B14))</f>
        <v>5.2998555868496262E-4</v>
      </c>
      <c r="C58" cm="1">
        <f t="array" ref="C58">INDEX($A$6:$S$41, COLUMN(C14), ROW(C14))</f>
        <v>6.2838701979056459E-4</v>
      </c>
      <c r="D58" cm="1">
        <f t="array" ref="D58">INDEX($A$6:$S$41, COLUMN(D14), ROW(D14))</f>
        <v>4.0890766796254197E-2</v>
      </c>
      <c r="E58" cm="1">
        <f t="array" ref="E58">INDEX($A$6:$S$41, COLUMN(E14), ROW(E14))</f>
        <v>0.12865590363342294</v>
      </c>
      <c r="F58" cm="1">
        <f t="array" ref="F58">INDEX($A$6:$S$41, COLUMN(F14), ROW(F14))</f>
        <v>0.17070504300815267</v>
      </c>
      <c r="G58" cm="1">
        <f t="array" ref="G58">INDEX($A$6:$S$41, COLUMN(G14), ROW(G14))</f>
        <v>0</v>
      </c>
      <c r="H58" cm="1">
        <f t="array" ref="H58">INDEX($A$6:$S$41, COLUMN(H14), ROW(H14))</f>
        <v>3.9981388891250011E-3</v>
      </c>
      <c r="I58" cm="1">
        <f t="array" ref="I58">INDEX($A$6:$S$41, COLUMN(I14), ROW(I14))</f>
        <v>5.1594012695232554E-3</v>
      </c>
      <c r="J58" cm="1">
        <f t="array" ref="J58">INDEX($A$6:$S$41, COLUMN(J14), ROW(J14))</f>
        <v>0.33755925701260847</v>
      </c>
      <c r="K58" cm="1">
        <f t="array" ref="K58">INDEX($A$6:$S$41, COLUMN(K14), ROW(K14))</f>
        <v>0.94167784620161077</v>
      </c>
      <c r="L58" cm="1">
        <f t="array" ref="L58">INDEX($A$6:$S$41, COLUMN(L14), ROW(L14))</f>
        <v>1.2883946433728675</v>
      </c>
      <c r="M58" cm="1">
        <f t="array" ref="M58">INDEX($A$6:$S$41, COLUMN(M14), ROW(M14))</f>
        <v>0</v>
      </c>
      <c r="N58" cm="1">
        <f t="array" ref="N58">INDEX($A$6:$S$41, COLUMN(N14), ROW(N14))</f>
        <v>0.17070504300815267</v>
      </c>
      <c r="O58" cm="1">
        <f t="array" ref="O58">INDEX($A$6:$S$41, COLUMN(O14), ROW(O14))</f>
        <v>1.2883946433728675</v>
      </c>
      <c r="P58" cm="1">
        <f t="array" ref="P58">INDEX($A$6:$S$41, COLUMN(P14), ROW(P14))</f>
        <v>0</v>
      </c>
      <c r="Q58" cm="1">
        <f t="array" ref="Q58">INDEX($A$6:$S$41, COLUMN(Q14), ROW(Q14))</f>
        <v>0</v>
      </c>
      <c r="R58" cm="1">
        <f t="array" ref="R58">INDEX($A$6:$S$41, COLUMN(R14), ROW(R14))</f>
        <v>0</v>
      </c>
      <c r="S58" cm="1">
        <f t="array" ref="S58">INDEX($A$6:$S$41, COLUMN(S14), ROW(S14))</f>
        <v>0</v>
      </c>
      <c r="T58" cm="1">
        <f t="array" ref="T58">INDEX($A$6:$S$41, COLUMN(T14), ROW(T14))</f>
        <v>0</v>
      </c>
      <c r="U58" t="str" cm="1">
        <f t="array" ref="U58">INDEX($A$6:$S$41, COLUMN(U14), ROW(U14))</f>
        <v>HTC</v>
      </c>
      <c r="V58" cm="1">
        <f t="array" ref="V58">INDEX($A$6:$S$41, COLUMN(V14), ROW(V14))</f>
        <v>5.3098222018495495E-4</v>
      </c>
      <c r="W58" cm="1">
        <f t="array" ref="W58">INDEX($A$6:$S$41, COLUMN(W14), ROW(W14))</f>
        <v>6.2955824837604966E-4</v>
      </c>
      <c r="X58" cm="1">
        <f t="array" ref="X58">INDEX($A$6:$S$41, COLUMN(X14), ROW(X14))</f>
        <v>4.0966672089751119E-2</v>
      </c>
      <c r="Y58" cm="1">
        <f t="array" ref="Y58">INDEX($A$6:$S$41, COLUMN(Y14), ROW(Y14))</f>
        <v>0.11748606075820361</v>
      </c>
      <c r="Z58" cm="1">
        <f t="array" ref="Z58">INDEX($A$6:$S$41, COLUMN(Z14), ROW(Z14))</f>
        <v>0.15961327331651573</v>
      </c>
      <c r="AA58" cm="1">
        <f t="array" ref="AA58">INDEX($A$6:$S$41, COLUMN(AA14), ROW(AA14))</f>
        <v>0</v>
      </c>
      <c r="AB58" cm="1">
        <f t="array" ref="AB58">INDEX($A$6:$S$41, COLUMN(AB14), ROW(AB14))</f>
        <v>4.0048201739207564E-3</v>
      </c>
      <c r="AC58" cm="1">
        <f t="array" ref="AC58">INDEX($A$6:$S$41, COLUMN(AC14), ROW(AC14))</f>
        <v>5.166213401834048E-3</v>
      </c>
      <c r="AD58" cm="1">
        <f t="array" ref="AD58">INDEX($A$6:$S$41, COLUMN(AD14), ROW(AD14))</f>
        <v>0.33801104683372674</v>
      </c>
      <c r="AE58" cm="1">
        <f t="array" ref="AE58">INDEX($A$6:$S$41, COLUMN(AE14), ROW(AE14))</f>
        <v>0.86371532450315647</v>
      </c>
      <c r="AF58" cm="1">
        <f t="array" ref="AF58">INDEX($A$6:$S$41, COLUMN(AF14), ROW(AF14))</f>
        <v>1.210897404912638</v>
      </c>
      <c r="AG58" cm="1">
        <f t="array" ref="AG58">INDEX($A$6:$S$41, COLUMN(AG14), ROW(AG14))</f>
        <v>0</v>
      </c>
      <c r="AH58" cm="1">
        <f t="array" ref="AH58">INDEX($A$6:$S$41, COLUMN(AH14), ROW(AH14))</f>
        <v>0.15961327331651573</v>
      </c>
      <c r="AI58" cm="1">
        <f t="array" ref="AI58">INDEX($A$6:$S$41, COLUMN(AI14), ROW(AI14))</f>
        <v>1.210897404912638</v>
      </c>
      <c r="AJ58" cm="1">
        <f t="array" ref="AJ58">INDEX($A$6:$S$41, COLUMN(AJ14), ROW(AJ14))</f>
        <v>0</v>
      </c>
    </row>
    <row r="59" spans="1:36" x14ac:dyDescent="0.2">
      <c r="A59" cm="1">
        <f t="array" ref="A59">INDEX($A$6:$S$41, COLUMN(A15), ROW(A15))</f>
        <v>0</v>
      </c>
      <c r="B59" cm="1">
        <f t="array" ref="B59">INDEX($A$6:$S$41, COLUMN(B15), ROW(B15))</f>
        <v>3.1042583884743425E-3</v>
      </c>
      <c r="C59" cm="1">
        <f t="array" ref="C59">INDEX($A$6:$S$41, COLUMN(C15), ROW(C15))</f>
        <v>3.6797699619627584E-3</v>
      </c>
      <c r="D59" cm="1">
        <f t="array" ref="D59">INDEX($A$6:$S$41, COLUMN(D15), ROW(D15))</f>
        <v>0.23923082937071349</v>
      </c>
      <c r="E59" cm="1">
        <f t="array" ref="E59">INDEX($A$6:$S$41, COLUMN(E15), ROW(E15))</f>
        <v>0.7539851422788495</v>
      </c>
      <c r="F59" cm="1">
        <f t="array" ref="F59">INDEX($A$6:$S$41, COLUMN(F15), ROW(F15))</f>
        <v>0</v>
      </c>
      <c r="G59" cm="1">
        <f t="array" ref="G59">INDEX($A$6:$S$41, COLUMN(G15), ROW(G15))</f>
        <v>0</v>
      </c>
      <c r="H59" cm="1">
        <f t="array" ref="H59">INDEX($A$6:$S$41, COLUMN(H15), ROW(H15))</f>
        <v>3.1062669742219547E-3</v>
      </c>
      <c r="I59" cm="1">
        <f t="array" ref="I59">INDEX($A$6:$S$41, COLUMN(I15), ROW(I15))</f>
        <v>4.0082511912943892E-3</v>
      </c>
      <c r="J59" cm="1">
        <f t="array" ref="J59">INDEX($A$6:$S$41, COLUMN(J15), ROW(J15))</f>
        <v>0.25925449147053375</v>
      </c>
      <c r="K59" cm="1">
        <f t="array" ref="K59">INDEX($A$6:$S$41, COLUMN(K15), ROW(K15))</f>
        <v>0.73363099036394985</v>
      </c>
      <c r="L59" cm="1">
        <f t="array" ref="L59">INDEX($A$6:$S$41, COLUMN(L15), ROW(L15))</f>
        <v>0</v>
      </c>
      <c r="M59" cm="1">
        <f t="array" ref="M59">INDEX($A$6:$S$41, COLUMN(M15), ROW(M15))</f>
        <v>0</v>
      </c>
      <c r="N59" cm="1">
        <f t="array" ref="N59">INDEX($A$6:$S$41, COLUMN(N15), ROW(N15))</f>
        <v>0</v>
      </c>
      <c r="O59" cm="1">
        <f t="array" ref="O59">INDEX($A$6:$S$41, COLUMN(O15), ROW(O15))</f>
        <v>0</v>
      </c>
      <c r="P59" cm="1">
        <f t="array" ref="P59">INDEX($A$6:$S$41, COLUMN(P15), ROW(P15))</f>
        <v>0</v>
      </c>
      <c r="Q59" cm="1">
        <f t="array" ref="Q59">INDEX($A$6:$S$41, COLUMN(Q15), ROW(Q15))</f>
        <v>0</v>
      </c>
      <c r="R59" cm="1">
        <f t="array" ref="R59">INDEX($A$6:$S$41, COLUMN(R15), ROW(R15))</f>
        <v>0</v>
      </c>
      <c r="S59" cm="1">
        <f t="array" ref="S59">INDEX($A$6:$S$41, COLUMN(S15), ROW(S15))</f>
        <v>0</v>
      </c>
      <c r="T59" cm="1">
        <f t="array" ref="T59">INDEX($A$6:$S$41, COLUMN(T15), ROW(T15))</f>
        <v>0</v>
      </c>
      <c r="U59" cm="1">
        <f t="array" ref="U59">INDEX($A$6:$S$41, COLUMN(U15), ROW(U15))</f>
        <v>0</v>
      </c>
      <c r="V59" cm="1">
        <f t="array" ref="V59">INDEX($A$6:$S$41, COLUMN(V15), ROW(V15))</f>
        <v>3.3264168602338343E-3</v>
      </c>
      <c r="W59" cm="1">
        <f t="array" ref="W59">INDEX($A$6:$S$41, COLUMN(W15), ROW(W15))</f>
        <v>3.9431218978044488E-3</v>
      </c>
      <c r="X59" cm="1">
        <f t="array" ref="X59">INDEX($A$6:$S$41, COLUMN(X15), ROW(X15))</f>
        <v>0.25635212665960705</v>
      </c>
      <c r="Y59" cm="1">
        <f t="array" ref="Y59">INDEX($A$6:$S$41, COLUMN(Y15), ROW(Y15))</f>
        <v>0.73637833458235469</v>
      </c>
      <c r="Z59" cm="1">
        <f t="array" ref="Z59">INDEX($A$6:$S$41, COLUMN(Z15), ROW(Z15))</f>
        <v>0</v>
      </c>
      <c r="AA59" cm="1">
        <f t="array" ref="AA59">INDEX($A$6:$S$41, COLUMN(AA15), ROW(AA15))</f>
        <v>0</v>
      </c>
      <c r="AB59" cm="1">
        <f t="array" ref="AB59">INDEX($A$6:$S$41, COLUMN(AB15), ROW(AB15))</f>
        <v>3.3112581266501353E-3</v>
      </c>
      <c r="AC59" cm="1">
        <f t="array" ref="AC59">INDEX($A$6:$S$41, COLUMN(AC15), ROW(AC15))</f>
        <v>4.2729434276470041E-3</v>
      </c>
      <c r="AD59" cm="1">
        <f t="array" ref="AD59">INDEX($A$6:$S$41, COLUMN(AD15), ROW(AD15))</f>
        <v>0.27637356812000308</v>
      </c>
      <c r="AE59" cm="1">
        <f t="array" ref="AE59">INDEX($A$6:$S$41, COLUMN(AE15), ROW(AE15))</f>
        <v>0.71604223032569991</v>
      </c>
      <c r="AF59" cm="1">
        <f t="array" ref="AF59">INDEX($A$6:$S$41, COLUMN(AF15), ROW(AF15))</f>
        <v>0</v>
      </c>
      <c r="AG59" cm="1">
        <f t="array" ref="AG59">INDEX($A$6:$S$41, COLUMN(AG15), ROW(AG15))</f>
        <v>0</v>
      </c>
      <c r="AH59" cm="1">
        <f t="array" ref="AH59">INDEX($A$6:$S$41, COLUMN(AH15), ROW(AH15))</f>
        <v>0</v>
      </c>
      <c r="AI59" cm="1">
        <f t="array" ref="AI59">INDEX($A$6:$S$41, COLUMN(AI15), ROW(AI15))</f>
        <v>0</v>
      </c>
      <c r="AJ59" cm="1">
        <f t="array" ref="AJ59">INDEX($A$6:$S$41, COLUMN(AJ15), ROW(AJ15))</f>
        <v>0</v>
      </c>
    </row>
    <row r="60" spans="1:36" x14ac:dyDescent="0.2">
      <c r="A60" cm="1">
        <f t="array" ref="A60">INDEX($A$6:$S$41, COLUMN(A16), ROW(A16))</f>
        <v>0</v>
      </c>
      <c r="B60" cm="1">
        <f t="array" ref="B60">INDEX($A$6:$S$41, COLUMN(B16), ROW(B16))</f>
        <v>0</v>
      </c>
      <c r="C60" cm="1">
        <f t="array" ref="C60">INDEX($A$6:$S$41, COLUMN(C16), ROW(C16))</f>
        <v>0</v>
      </c>
      <c r="D60" cm="1">
        <f t="array" ref="D60">INDEX($A$6:$S$41, COLUMN(D16), ROW(D16))</f>
        <v>0</v>
      </c>
      <c r="E60" cm="1">
        <f t="array" ref="E60">INDEX($A$6:$S$41, COLUMN(E16), ROW(E16))</f>
        <v>0</v>
      </c>
      <c r="F60" cm="1">
        <f t="array" ref="F60">INDEX($A$6:$S$41, COLUMN(F16), ROW(F16))</f>
        <v>0</v>
      </c>
      <c r="G60" cm="1">
        <f t="array" ref="G60">INDEX($A$6:$S$41, COLUMN(G16), ROW(G16))</f>
        <v>0</v>
      </c>
      <c r="H60" cm="1">
        <f t="array" ref="H60">INDEX($A$6:$S$41, COLUMN(H16), ROW(H16))</f>
        <v>0</v>
      </c>
      <c r="I60" cm="1">
        <f t="array" ref="I60">INDEX($A$6:$S$41, COLUMN(I16), ROW(I16))</f>
        <v>0</v>
      </c>
      <c r="J60" cm="1">
        <f t="array" ref="J60">INDEX($A$6:$S$41, COLUMN(J16), ROW(J16))</f>
        <v>0</v>
      </c>
      <c r="K60" cm="1">
        <f t="array" ref="K60">INDEX($A$6:$S$41, COLUMN(K16), ROW(K16))</f>
        <v>0</v>
      </c>
      <c r="L60" cm="1">
        <f t="array" ref="L60">INDEX($A$6:$S$41, COLUMN(L16), ROW(L16))</f>
        <v>0</v>
      </c>
      <c r="M60" cm="1">
        <f t="array" ref="M60">INDEX($A$6:$S$41, COLUMN(M16), ROW(M16))</f>
        <v>0</v>
      </c>
      <c r="N60" cm="1">
        <f t="array" ref="N60">INDEX($A$6:$S$41, COLUMN(N16), ROW(N16))</f>
        <v>0</v>
      </c>
      <c r="O60" cm="1">
        <f t="array" ref="O60">INDEX($A$6:$S$41, COLUMN(O16), ROW(O16))</f>
        <v>0</v>
      </c>
      <c r="P60" cm="1">
        <f t="array" ref="P60">INDEX($A$6:$S$41, COLUMN(P16), ROW(P16))</f>
        <v>0</v>
      </c>
      <c r="Q60" cm="1">
        <f t="array" ref="Q60">INDEX($A$6:$S$41, COLUMN(Q16), ROW(Q16))</f>
        <v>0</v>
      </c>
      <c r="R60" cm="1">
        <f t="array" ref="R60">INDEX($A$6:$S$41, COLUMN(R16), ROW(R16))</f>
        <v>0</v>
      </c>
      <c r="S60" cm="1">
        <f t="array" ref="S60">INDEX($A$6:$S$41, COLUMN(S16), ROW(S16))</f>
        <v>0</v>
      </c>
      <c r="T60" cm="1">
        <f t="array" ref="T60">INDEX($A$6:$S$41, COLUMN(T16), ROW(T16))</f>
        <v>0</v>
      </c>
      <c r="U60" cm="1">
        <f t="array" ref="U60">INDEX($A$6:$S$41, COLUMN(U16), ROW(U16))</f>
        <v>0</v>
      </c>
      <c r="V60" cm="1">
        <f t="array" ref="V60">INDEX($A$6:$S$41, COLUMN(V16), ROW(V16))</f>
        <v>0</v>
      </c>
      <c r="W60" cm="1">
        <f t="array" ref="W60">INDEX($A$6:$S$41, COLUMN(W16), ROW(W16))</f>
        <v>0</v>
      </c>
      <c r="X60" cm="1">
        <f t="array" ref="X60">INDEX($A$6:$S$41, COLUMN(X16), ROW(X16))</f>
        <v>0</v>
      </c>
      <c r="Y60" cm="1">
        <f t="array" ref="Y60">INDEX($A$6:$S$41, COLUMN(Y16), ROW(Y16))</f>
        <v>0</v>
      </c>
      <c r="Z60" cm="1">
        <f t="array" ref="Z60">INDEX($A$6:$S$41, COLUMN(Z16), ROW(Z16))</f>
        <v>0</v>
      </c>
      <c r="AA60" cm="1">
        <f t="array" ref="AA60">INDEX($A$6:$S$41, COLUMN(AA16), ROW(AA16))</f>
        <v>0</v>
      </c>
      <c r="AB60" cm="1">
        <f t="array" ref="AB60">INDEX($A$6:$S$41, COLUMN(AB16), ROW(AB16))</f>
        <v>0</v>
      </c>
      <c r="AC60" cm="1">
        <f t="array" ref="AC60">INDEX($A$6:$S$41, COLUMN(AC16), ROW(AC16))</f>
        <v>0</v>
      </c>
      <c r="AD60" cm="1">
        <f t="array" ref="AD60">INDEX($A$6:$S$41, COLUMN(AD16), ROW(AD16))</f>
        <v>0</v>
      </c>
      <c r="AE60" cm="1">
        <f t="array" ref="AE60">INDEX($A$6:$S$41, COLUMN(AE16), ROW(AE16))</f>
        <v>0</v>
      </c>
      <c r="AF60" cm="1">
        <f t="array" ref="AF60">INDEX($A$6:$S$41, COLUMN(AF16), ROW(AF16))</f>
        <v>0</v>
      </c>
      <c r="AG60" cm="1">
        <f t="array" ref="AG60">INDEX($A$6:$S$41, COLUMN(AG16), ROW(AG16))</f>
        <v>0</v>
      </c>
      <c r="AH60" cm="1">
        <f t="array" ref="AH60">INDEX($A$6:$S$41, COLUMN(AH16), ROW(AH16))</f>
        <v>0</v>
      </c>
      <c r="AI60" cm="1">
        <f t="array" ref="AI60">INDEX($A$6:$S$41, COLUMN(AI16), ROW(AI16))</f>
        <v>0</v>
      </c>
      <c r="AJ60" cm="1">
        <f t="array" ref="AJ60">INDEX($A$6:$S$41, COLUMN(AJ16), ROW(AJ16))</f>
        <v>0</v>
      </c>
    </row>
    <row r="61" spans="1:36" x14ac:dyDescent="0.2">
      <c r="A61" t="str" cm="1">
        <f t="array" ref="A61">INDEX($A$6:$S$41, COLUMN(A17), ROW(A17))</f>
        <v>CED</v>
      </c>
      <c r="B61" cm="1">
        <f t="array" ref="B61">INDEX($A$6:$S$41, COLUMN(B17), ROW(B17))</f>
        <v>0.49248747557833034</v>
      </c>
      <c r="C61" cm="1">
        <f t="array" ref="C61">INDEX($A$6:$S$41, COLUMN(C17), ROW(C17))</f>
        <v>0.58379867128161556</v>
      </c>
      <c r="D61" cm="1">
        <f t="array" ref="D61">INDEX($A$6:$S$41, COLUMN(D17), ROW(D17))</f>
        <v>54.035327418946693</v>
      </c>
      <c r="E61" cm="1">
        <f t="array" ref="E61">INDEX($A$6:$S$41, COLUMN(E17), ROW(E17))</f>
        <v>118.51704075800798</v>
      </c>
      <c r="F61" cm="1">
        <f t="array" ref="F61">INDEX($A$6:$S$41, COLUMN(F17), ROW(F17))</f>
        <v>173.6286543238146</v>
      </c>
      <c r="G61" cm="1">
        <f t="array" ref="G61">INDEX($A$6:$S$41, COLUMN(G17), ROW(G17))</f>
        <v>0</v>
      </c>
      <c r="H61" cm="1">
        <f t="array" ref="H61">INDEX($A$6:$S$41, COLUMN(H17), ROW(H17))</f>
        <v>3.4655281273439162</v>
      </c>
      <c r="I61" cm="1">
        <f t="array" ref="I61">INDEX($A$6:$S$41, COLUMN(I17), ROW(I17))</f>
        <v>4.4719648363248616</v>
      </c>
      <c r="J61" cm="1">
        <f t="array" ref="J61">INDEX($A$6:$S$41, COLUMN(J17), ROW(J17))</f>
        <v>422.09750388692783</v>
      </c>
      <c r="K61" cm="1">
        <f t="array" ref="K61">INDEX($A$6:$S$41, COLUMN(K17), ROW(K17))</f>
        <v>828.92011724525878</v>
      </c>
      <c r="L61" cm="1">
        <f t="array" ref="L61">INDEX($A$6:$S$41, COLUMN(L17), ROW(L17))</f>
        <v>1258.9551140958554</v>
      </c>
      <c r="M61" cm="1">
        <f t="array" ref="M61">INDEX($A$6:$S$41, COLUMN(M17), ROW(M17))</f>
        <v>0</v>
      </c>
      <c r="N61" cm="1">
        <f t="array" ref="N61">INDEX($A$6:$S$41, COLUMN(N17), ROW(N17))</f>
        <v>173.6286543238146</v>
      </c>
      <c r="O61" cm="1">
        <f t="array" ref="O61">INDEX($A$6:$S$41, COLUMN(O17), ROW(O17))</f>
        <v>1258.9551140958554</v>
      </c>
      <c r="P61" cm="1">
        <f t="array" ref="P61">INDEX($A$6:$S$41, COLUMN(P17), ROW(P17))</f>
        <v>0</v>
      </c>
      <c r="Q61" cm="1">
        <f t="array" ref="Q61">INDEX($A$6:$S$41, COLUMN(Q17), ROW(Q17))</f>
        <v>0</v>
      </c>
      <c r="R61" cm="1">
        <f t="array" ref="R61">INDEX($A$6:$S$41, COLUMN(R17), ROW(R17))</f>
        <v>0</v>
      </c>
      <c r="S61" cm="1">
        <f t="array" ref="S61">INDEX($A$6:$S$41, COLUMN(S17), ROW(S17))</f>
        <v>0</v>
      </c>
      <c r="T61" cm="1">
        <f t="array" ref="T61">INDEX($A$6:$S$41, COLUMN(T17), ROW(T17))</f>
        <v>0</v>
      </c>
      <c r="U61" t="str" cm="1">
        <f t="array" ref="U61">INDEX($A$6:$S$41, COLUMN(U17), ROW(U17))</f>
        <v>CED</v>
      </c>
      <c r="V61" cm="1">
        <f t="array" ref="V61">INDEX($A$6:$S$41, COLUMN(V17), ROW(V17))</f>
        <v>0.49303825351431602</v>
      </c>
      <c r="W61" cm="1">
        <f t="array" ref="W61">INDEX($A$6:$S$41, COLUMN(W17), ROW(W17))</f>
        <v>0.5844525425656657</v>
      </c>
      <c r="X61" cm="1">
        <f t="array" ref="X61">INDEX($A$6:$S$41, COLUMN(X17), ROW(X17))</f>
        <v>54.095902553482532</v>
      </c>
      <c r="Y61" cm="1">
        <f t="array" ref="Y61">INDEX($A$6:$S$41, COLUMN(Y17), ROW(Y17))</f>
        <v>108.19932510220328</v>
      </c>
      <c r="Z61" cm="1">
        <f t="array" ref="Z61">INDEX($A$6:$S$41, COLUMN(Z17), ROW(Z17))</f>
        <v>163.37271845176579</v>
      </c>
      <c r="AA61" cm="1">
        <f t="array" ref="AA61">INDEX($A$6:$S$41, COLUMN(AA17), ROW(AA17))</f>
        <v>0</v>
      </c>
      <c r="AB61" cm="1">
        <f t="array" ref="AB61">INDEX($A$6:$S$41, COLUMN(AB17), ROW(AB17))</f>
        <v>3.4610143665218862</v>
      </c>
      <c r="AC61" cm="1">
        <f t="array" ref="AC61">INDEX($A$6:$S$41, COLUMN(AC17), ROW(AC17))</f>
        <v>4.4663250773242211</v>
      </c>
      <c r="AD61" cm="1">
        <f t="array" ref="AD61">INDEX($A$6:$S$41, COLUMN(AD17), ROW(AD17))</f>
        <v>421.56559613822668</v>
      </c>
      <c r="AE61" cm="1">
        <f t="array" ref="AE61">INDEX($A$6:$S$41, COLUMN(AE17), ROW(AE17))</f>
        <v>756.93418237619778</v>
      </c>
      <c r="AF61" cm="1">
        <f t="array" ref="AF61">INDEX($A$6:$S$41, COLUMN(AF17), ROW(AF17))</f>
        <v>1186.4271179582706</v>
      </c>
      <c r="AG61" cm="1">
        <f t="array" ref="AG61">INDEX($A$6:$S$41, COLUMN(AG17), ROW(AG17))</f>
        <v>0</v>
      </c>
      <c r="AH61" cm="1">
        <f t="array" ref="AH61">INDEX($A$6:$S$41, COLUMN(AH17), ROW(AH17))</f>
        <v>163.37271845176579</v>
      </c>
      <c r="AI61" cm="1">
        <f t="array" ref="AI61">INDEX($A$6:$S$41, COLUMN(AI17), ROW(AI17))</f>
        <v>1186.4271179582706</v>
      </c>
      <c r="AJ61" cm="1">
        <f t="array" ref="AJ61">INDEX($A$6:$S$41, COLUMN(AJ17), ROW(AJ17))</f>
        <v>0</v>
      </c>
    </row>
    <row r="62" spans="1:36" x14ac:dyDescent="0.2">
      <c r="A62" t="str" cm="1">
        <f t="array" ref="A62">INDEX($A$6:$S$41, COLUMN(A18), ROW(A18))</f>
        <v>CED</v>
      </c>
      <c r="B62" cm="1">
        <f t="array" ref="B62">INDEX($A$6:$S$41, COLUMN(B18), ROW(B18))</f>
        <v>4.9118634375724585E-2</v>
      </c>
      <c r="C62" cm="1">
        <f t="array" ref="C62">INDEX($A$6:$S$41, COLUMN(C18), ROW(C18))</f>
        <v>5.8238966021450345E-2</v>
      </c>
      <c r="D62" cm="1">
        <f t="array" ref="D62">INDEX($A$6:$S$41, COLUMN(D18), ROW(D18))</f>
        <v>5.3899272956588034</v>
      </c>
      <c r="E62" cm="1">
        <f t="array" ref="E62">INDEX($A$6:$S$41, COLUMN(E18), ROW(E18))</f>
        <v>11.8188179249622</v>
      </c>
      <c r="F62" cm="1">
        <f t="array" ref="F62">INDEX($A$6:$S$41, COLUMN(F18), ROW(F18))</f>
        <v>17.316102821018177</v>
      </c>
      <c r="G62" cm="1">
        <f t="array" ref="G62">INDEX($A$6:$S$41, COLUMN(G18), ROW(G18))</f>
        <v>0</v>
      </c>
      <c r="H62" cm="1">
        <f t="array" ref="H62">INDEX($A$6:$S$41, COLUMN(H18), ROW(H18))</f>
        <v>0.38418849865385346</v>
      </c>
      <c r="I62" cm="1">
        <f t="array" ref="I62">INDEX($A$6:$S$41, COLUMN(I18), ROW(I18))</f>
        <v>0.49578763546331572</v>
      </c>
      <c r="J62" cm="1">
        <f t="array" ref="J62">INDEX($A$6:$S$41, COLUMN(J18), ROW(J18))</f>
        <v>46.645658430791187</v>
      </c>
      <c r="K62" cm="1">
        <f t="array" ref="K62">INDEX($A$6:$S$41, COLUMN(K18), ROW(K18))</f>
        <v>92.068719105547061</v>
      </c>
      <c r="L62" cm="1">
        <f t="array" ref="L62">INDEX($A$6:$S$41, COLUMN(L18), ROW(L18))</f>
        <v>139.5943536704554</v>
      </c>
      <c r="M62" cm="1">
        <f t="array" ref="M62">INDEX($A$6:$S$41, COLUMN(M18), ROW(M18))</f>
        <v>0</v>
      </c>
      <c r="N62" cm="1">
        <f t="array" ref="N62">INDEX($A$6:$S$41, COLUMN(N18), ROW(N18))</f>
        <v>17.316102821018177</v>
      </c>
      <c r="O62" cm="1">
        <f t="array" ref="O62">INDEX($A$6:$S$41, COLUMN(O18), ROW(O18))</f>
        <v>139.5943536704554</v>
      </c>
      <c r="P62" cm="1">
        <f t="array" ref="P62">INDEX($A$6:$S$41, COLUMN(P18), ROW(P18))</f>
        <v>0</v>
      </c>
      <c r="Q62" cm="1">
        <f t="array" ref="Q62">INDEX($A$6:$S$41, COLUMN(Q18), ROW(Q18))</f>
        <v>0</v>
      </c>
      <c r="R62" cm="1">
        <f t="array" ref="R62">INDEX($A$6:$S$41, COLUMN(R18), ROW(R18))</f>
        <v>0</v>
      </c>
      <c r="S62" cm="1">
        <f t="array" ref="S62">INDEX($A$6:$S$41, COLUMN(S18), ROW(S18))</f>
        <v>0</v>
      </c>
      <c r="T62" cm="1">
        <f t="array" ref="T62">INDEX($A$6:$S$41, COLUMN(T18), ROW(T18))</f>
        <v>0</v>
      </c>
      <c r="U62" t="str" cm="1">
        <f t="array" ref="U62">INDEX($A$6:$S$41, COLUMN(U18), ROW(U18))</f>
        <v>CED</v>
      </c>
      <c r="V62" cm="1">
        <f t="array" ref="V62">INDEX($A$6:$S$41, COLUMN(V18), ROW(V18))</f>
        <v>4.9210680031073789E-2</v>
      </c>
      <c r="W62" cm="1">
        <f t="array" ref="W62">INDEX($A$6:$S$41, COLUMN(W18), ROW(W18))</f>
        <v>5.8347124828339481E-2</v>
      </c>
      <c r="X62" cm="1">
        <f t="array" ref="X62">INDEX($A$6:$S$41, COLUMN(X18), ROW(X18))</f>
        <v>5.3998844499702141</v>
      </c>
      <c r="Y62" cm="1">
        <f t="array" ref="Y62">INDEX($A$6:$S$41, COLUMN(Y18), ROW(Y18))</f>
        <v>10.79822223295778</v>
      </c>
      <c r="Z62" cm="1">
        <f t="array" ref="Z62">INDEX($A$6:$S$41, COLUMN(Z18), ROW(Z18))</f>
        <v>16.305664487787407</v>
      </c>
      <c r="AA62" cm="1">
        <f t="array" ref="AA62">INDEX($A$6:$S$41, COLUMN(AA18), ROW(AA18))</f>
        <v>0</v>
      </c>
      <c r="AB62" cm="1">
        <f t="array" ref="AB62">INDEX($A$6:$S$41, COLUMN(AB18), ROW(AB18))</f>
        <v>0.38480365692474233</v>
      </c>
      <c r="AC62" cm="1">
        <f t="array" ref="AC62">INDEX($A$6:$S$41, COLUMN(AC18), ROW(AC18))</f>
        <v>0.49640774285981154</v>
      </c>
      <c r="AD62" cm="1">
        <f t="array" ref="AD62">INDEX($A$6:$S$41, COLUMN(AD18), ROW(AD18))</f>
        <v>46.703906772101568</v>
      </c>
      <c r="AE62" cm="1">
        <f t="array" ref="AE62">INDEX($A$6:$S$41, COLUMN(AE18), ROW(AE18))</f>
        <v>84.292733741754105</v>
      </c>
      <c r="AF62" cm="1">
        <f t="array" ref="AF62">INDEX($A$6:$S$41, COLUMN(AF18), ROW(AF18))</f>
        <v>131.87785191364023</v>
      </c>
      <c r="AG62" cm="1">
        <f t="array" ref="AG62">INDEX($A$6:$S$41, COLUMN(AG18), ROW(AG18))</f>
        <v>0</v>
      </c>
      <c r="AH62" cm="1">
        <f t="array" ref="AH62">INDEX($A$6:$S$41, COLUMN(AH18), ROW(AH18))</f>
        <v>16.305664487787407</v>
      </c>
      <c r="AI62" cm="1">
        <f t="array" ref="AI62">INDEX($A$6:$S$41, COLUMN(AI18), ROW(AI18))</f>
        <v>131.87785191364023</v>
      </c>
      <c r="AJ62" cm="1">
        <f t="array" ref="AJ62">INDEX($A$6:$S$41, COLUMN(AJ18), ROW(AJ18))</f>
        <v>0</v>
      </c>
    </row>
    <row r="63" spans="1:36" x14ac:dyDescent="0.2">
      <c r="A63" cm="1">
        <f t="array" ref="A63">INDEX($A$6:$S$41, COLUMN(A19), ROW(A19))</f>
        <v>0</v>
      </c>
      <c r="B63" cm="1">
        <f t="array" ref="B63">INDEX($A$6:$S$41, COLUMN(B19), ROW(B19))</f>
        <v>2.8364412400492907E-3</v>
      </c>
      <c r="C63" cm="1">
        <f t="array" ref="C63">INDEX($A$6:$S$41, COLUMN(C19), ROW(C19))</f>
        <v>3.3623405857471002E-3</v>
      </c>
      <c r="D63" cm="1">
        <f t="array" ref="D63">INDEX($A$6:$S$41, COLUMN(D19), ROW(D19))</f>
        <v>0.31121203829738664</v>
      </c>
      <c r="E63" cm="1">
        <f t="array" ref="E63">INDEX($A$6:$S$41, COLUMN(E19), ROW(E19))</f>
        <v>0.68258917987681711</v>
      </c>
      <c r="F63" cm="1">
        <f t="array" ref="F63">INDEX($A$6:$S$41, COLUMN(F19), ROW(F19))</f>
        <v>0</v>
      </c>
      <c r="G63" cm="1">
        <f t="array" ref="G63">INDEX($A$6:$S$41, COLUMN(G19), ROW(G19))</f>
        <v>0</v>
      </c>
      <c r="H63" cm="1">
        <f t="array" ref="H63">INDEX($A$6:$S$41, COLUMN(H19), ROW(H19))</f>
        <v>2.7527018942472442E-3</v>
      </c>
      <c r="I63" cm="1">
        <f t="array" ref="I63">INDEX($A$6:$S$41, COLUMN(I19), ROW(I19))</f>
        <v>3.5521241275837667E-3</v>
      </c>
      <c r="J63" cm="1">
        <f t="array" ref="J63">INDEX($A$6:$S$41, COLUMN(J19), ROW(J19))</f>
        <v>0.33527605484971229</v>
      </c>
      <c r="K63" cm="1">
        <f t="array" ref="K63">INDEX($A$6:$S$41, COLUMN(K19), ROW(K19))</f>
        <v>0.65841911912845663</v>
      </c>
      <c r="L63" cm="1">
        <f t="array" ref="L63">INDEX($A$6:$S$41, COLUMN(L19), ROW(L19))</f>
        <v>0</v>
      </c>
      <c r="M63" cm="1">
        <f t="array" ref="M63">INDEX($A$6:$S$41, COLUMN(M19), ROW(M19))</f>
        <v>0</v>
      </c>
      <c r="N63" cm="1">
        <f t="array" ref="N63">INDEX($A$6:$S$41, COLUMN(N19), ROW(N19))</f>
        <v>0</v>
      </c>
      <c r="O63" cm="1">
        <f t="array" ref="O63">INDEX($A$6:$S$41, COLUMN(O19), ROW(O19))</f>
        <v>0</v>
      </c>
      <c r="P63" cm="1">
        <f t="array" ref="P63">INDEX($A$6:$S$41, COLUMN(P19), ROW(P19))</f>
        <v>0</v>
      </c>
      <c r="Q63" cm="1">
        <f t="array" ref="Q63">INDEX($A$6:$S$41, COLUMN(Q19), ROW(Q19))</f>
        <v>0</v>
      </c>
      <c r="R63" cm="1">
        <f t="array" ref="R63">INDEX($A$6:$S$41, COLUMN(R19), ROW(R19))</f>
        <v>0</v>
      </c>
      <c r="S63" cm="1">
        <f t="array" ref="S63">INDEX($A$6:$S$41, COLUMN(S19), ROW(S19))</f>
        <v>0</v>
      </c>
      <c r="T63" cm="1">
        <f t="array" ref="T63">INDEX($A$6:$S$41, COLUMN(T19), ROW(T19))</f>
        <v>0</v>
      </c>
      <c r="U63" cm="1">
        <f t="array" ref="U63">INDEX($A$6:$S$41, COLUMN(U19), ROW(U19))</f>
        <v>0</v>
      </c>
      <c r="V63" cm="1">
        <f t="array" ref="V63">INDEX($A$6:$S$41, COLUMN(V19), ROW(V19))</f>
        <v>3.017873842014086E-3</v>
      </c>
      <c r="W63" cm="1">
        <f t="array" ref="W63">INDEX($A$6:$S$41, COLUMN(W19), ROW(W19))</f>
        <v>3.5774182379062244E-3</v>
      </c>
      <c r="X63" cm="1">
        <f t="array" ref="X63">INDEX($A$6:$S$41, COLUMN(X19), ROW(X19))</f>
        <v>0.33111955941073368</v>
      </c>
      <c r="Y63" cm="1">
        <f t="array" ref="Y63">INDEX($A$6:$S$41, COLUMN(Y19), ROW(Y19))</f>
        <v>0.66228514850934594</v>
      </c>
      <c r="Z63" cm="1">
        <f t="array" ref="Z63">INDEX($A$6:$S$41, COLUMN(Z19), ROW(Z19))</f>
        <v>0</v>
      </c>
      <c r="AA63" cm="1">
        <f t="array" ref="AA63">INDEX($A$6:$S$41, COLUMN(AA19), ROW(AA19))</f>
        <v>0</v>
      </c>
      <c r="AB63" cm="1">
        <f t="array" ref="AB63">INDEX($A$6:$S$41, COLUMN(AB19), ROW(AB19))</f>
        <v>2.9171740211720431E-3</v>
      </c>
      <c r="AC63" cm="1">
        <f t="array" ref="AC63">INDEX($A$6:$S$41, COLUMN(AC19), ROW(AC19))</f>
        <v>3.764517018972346E-3</v>
      </c>
      <c r="AD63" cm="1">
        <f t="array" ref="AD63">INDEX($A$6:$S$41, COLUMN(AD19), ROW(AD19))</f>
        <v>0.35532363493486341</v>
      </c>
      <c r="AE63" cm="1">
        <f t="array" ref="AE63">INDEX($A$6:$S$41, COLUMN(AE19), ROW(AE19))</f>
        <v>0.6379946740249921</v>
      </c>
      <c r="AF63" cm="1">
        <f t="array" ref="AF63">INDEX($A$6:$S$41, COLUMN(AF19), ROW(AF19))</f>
        <v>0</v>
      </c>
      <c r="AG63" cm="1">
        <f t="array" ref="AG63">INDEX($A$6:$S$41, COLUMN(AG19), ROW(AG19))</f>
        <v>0</v>
      </c>
      <c r="AH63" cm="1">
        <f t="array" ref="AH63">INDEX($A$6:$S$41, COLUMN(AH19), ROW(AH19))</f>
        <v>0</v>
      </c>
      <c r="AI63" cm="1">
        <f t="array" ref="AI63">INDEX($A$6:$S$41, COLUMN(AI19), ROW(AI19))</f>
        <v>0</v>
      </c>
      <c r="AJ63" cm="1">
        <f t="array" ref="AJ63">INDEX($A$6:$S$41, COLUMN(AJ19), ROW(AJ19))</f>
        <v>0</v>
      </c>
    </row>
    <row r="67" spans="1:17" x14ac:dyDescent="0.2">
      <c r="A67" s="4" t="s">
        <v>35</v>
      </c>
      <c r="B67" s="5">
        <v>2025</v>
      </c>
      <c r="C67" s="4"/>
      <c r="D67" s="4"/>
      <c r="E67" s="4"/>
      <c r="F67" s="4"/>
      <c r="G67" s="4"/>
      <c r="H67" s="4"/>
      <c r="I67" s="4"/>
      <c r="J67" s="6">
        <v>2030</v>
      </c>
      <c r="K67" s="1"/>
      <c r="L67" s="1"/>
      <c r="M67" s="1"/>
      <c r="N67" s="1"/>
      <c r="O67" s="1"/>
      <c r="P67" s="1"/>
      <c r="Q67" s="1"/>
    </row>
    <row r="68" spans="1:17" x14ac:dyDescent="0.2">
      <c r="A68" s="4"/>
      <c r="B68" s="4" t="s">
        <v>11</v>
      </c>
      <c r="C68" s="4" t="s">
        <v>12</v>
      </c>
      <c r="D68" s="4" t="s">
        <v>13</v>
      </c>
      <c r="E68" s="4" t="s">
        <v>14</v>
      </c>
      <c r="F68" s="4" t="s">
        <v>15</v>
      </c>
      <c r="G68" s="4" t="s">
        <v>16</v>
      </c>
      <c r="H68" s="4" t="s">
        <v>40</v>
      </c>
      <c r="I68" s="4" t="s">
        <v>0</v>
      </c>
      <c r="J68" s="1" t="s">
        <v>11</v>
      </c>
      <c r="K68" s="1" t="s">
        <v>12</v>
      </c>
      <c r="L68" s="1" t="s">
        <v>13</v>
      </c>
      <c r="M68" s="1" t="s">
        <v>14</v>
      </c>
      <c r="N68" s="1" t="s">
        <v>15</v>
      </c>
      <c r="O68" s="1" t="s">
        <v>16</v>
      </c>
      <c r="P68" s="1" t="s">
        <v>40</v>
      </c>
      <c r="Q68" s="1" t="s">
        <v>0</v>
      </c>
    </row>
    <row r="69" spans="1:17" x14ac:dyDescent="0.2">
      <c r="A69" s="4" t="s">
        <v>36</v>
      </c>
      <c r="B69" s="4">
        <f>(B47+V47)/2</f>
        <v>4162632.1191528873</v>
      </c>
      <c r="C69" s="4">
        <f t="shared" ref="C69:P71" si="0">(C47+W47)/2</f>
        <v>156819.38483690878</v>
      </c>
      <c r="D69" s="4">
        <f t="shared" si="0"/>
        <v>8356341.1557861306</v>
      </c>
      <c r="E69" s="4">
        <f t="shared" si="0"/>
        <v>281658.32469036325</v>
      </c>
      <c r="F69" s="4">
        <f t="shared" si="0"/>
        <v>4496888.69207385</v>
      </c>
      <c r="G69" s="4">
        <f t="shared" si="0"/>
        <v>2532972.453653466</v>
      </c>
      <c r="H69" s="4">
        <f t="shared" si="0"/>
        <v>19987312.130193606</v>
      </c>
      <c r="I69" s="4">
        <f>H47-H69</f>
        <v>417897.12505920231</v>
      </c>
      <c r="J69" s="1">
        <f t="shared" si="0"/>
        <v>29917292.952824403</v>
      </c>
      <c r="K69" s="1">
        <f t="shared" si="0"/>
        <v>1073642.646929838</v>
      </c>
      <c r="L69" s="1">
        <f t="shared" si="0"/>
        <v>58942675.603299066</v>
      </c>
      <c r="M69" s="1">
        <f t="shared" si="0"/>
        <v>2025511.5176631254</v>
      </c>
      <c r="N69" s="1">
        <f t="shared" si="0"/>
        <v>31546959.950210236</v>
      </c>
      <c r="O69" s="1">
        <f t="shared" si="0"/>
        <v>22992061.845184773</v>
      </c>
      <c r="P69" s="1">
        <f t="shared" si="0"/>
        <v>146498144.51611143</v>
      </c>
      <c r="Q69" s="1">
        <f>P47-P69</f>
        <v>2945191.9315752983</v>
      </c>
    </row>
    <row r="70" spans="1:17" x14ac:dyDescent="0.2">
      <c r="A70" s="4" t="s">
        <v>33</v>
      </c>
      <c r="B70" s="4">
        <f t="shared" ref="B70:B71" si="1">(B48+V48)/2</f>
        <v>0.23166305498986006</v>
      </c>
      <c r="C70" s="4">
        <f t="shared" si="0"/>
        <v>1.5914618405783357E-2</v>
      </c>
      <c r="D70" s="4">
        <f t="shared" si="0"/>
        <v>0.82672858991106857</v>
      </c>
      <c r="E70" s="4">
        <f t="shared" si="0"/>
        <v>1.5513838166989771E-2</v>
      </c>
      <c r="F70" s="4">
        <f t="shared" si="0"/>
        <v>0.4283177855301098</v>
      </c>
      <c r="G70" s="4">
        <f t="shared" si="0"/>
        <v>0.13656866108156973</v>
      </c>
      <c r="H70" s="4">
        <f t="shared" si="0"/>
        <v>1.6547065480853815</v>
      </c>
      <c r="I70" s="4">
        <f t="shared" ref="I70:I71" si="2">H48-H70</f>
        <v>5.6241559730125346E-2</v>
      </c>
      <c r="J70" s="1">
        <f t="shared" si="0"/>
        <v>1.5475843332688086</v>
      </c>
      <c r="K70" s="1">
        <f t="shared" si="0"/>
        <v>0.10184787239877355</v>
      </c>
      <c r="L70" s="1">
        <f t="shared" si="0"/>
        <v>5.4428531998753211</v>
      </c>
      <c r="M70" s="1">
        <f t="shared" si="0"/>
        <v>0.10373852469666846</v>
      </c>
      <c r="N70" s="1">
        <f t="shared" si="0"/>
        <v>2.7994116738796522</v>
      </c>
      <c r="O70" s="1">
        <f t="shared" si="0"/>
        <v>1.1529136118532131</v>
      </c>
      <c r="P70" s="1">
        <f>(P48+AJ48)/2</f>
        <v>11.148349215972436</v>
      </c>
      <c r="Q70" s="1">
        <f>P48-P70</f>
        <v>0.36341931776357939</v>
      </c>
    </row>
    <row r="71" spans="1:17" x14ac:dyDescent="0.2">
      <c r="A71" s="4" t="s">
        <v>34</v>
      </c>
      <c r="B71" s="4">
        <f t="shared" si="1"/>
        <v>29496292.272444792</v>
      </c>
      <c r="C71" s="4">
        <f t="shared" si="0"/>
        <v>1466701.7012284093</v>
      </c>
      <c r="D71" s="4">
        <f t="shared" si="0"/>
        <v>77106686.626109153</v>
      </c>
      <c r="E71" s="4">
        <f t="shared" si="0"/>
        <v>1987812.431596841</v>
      </c>
      <c r="F71" s="4">
        <f t="shared" si="0"/>
        <v>40685304.840380937</v>
      </c>
      <c r="G71" s="4">
        <f t="shared" si="0"/>
        <v>17757888.516030088</v>
      </c>
      <c r="H71" s="4">
        <f t="shared" si="0"/>
        <v>168500686.3877902</v>
      </c>
      <c r="I71" s="4">
        <f t="shared" si="2"/>
        <v>5127967.9360244274</v>
      </c>
      <c r="J71" s="1">
        <f t="shared" si="0"/>
        <v>211158015.07476521</v>
      </c>
      <c r="K71" s="1">
        <f t="shared" si="0"/>
        <v>10019789.029436002</v>
      </c>
      <c r="L71" s="1">
        <f t="shared" si="0"/>
        <v>542311978.7069819</v>
      </c>
      <c r="M71" s="1">
        <f t="shared" si="0"/>
        <v>14241152.568810888</v>
      </c>
      <c r="N71" s="1">
        <f t="shared" si="0"/>
        <v>284332223.33170295</v>
      </c>
      <c r="O71" s="1">
        <f t="shared" si="0"/>
        <v>160627957.31536609</v>
      </c>
      <c r="P71" s="1">
        <f t="shared" si="0"/>
        <v>1222691116.0270629</v>
      </c>
      <c r="Q71" s="1">
        <f>P49-P71</f>
        <v>36263998.068792343</v>
      </c>
    </row>
    <row r="72" spans="1:17" x14ac:dyDescent="0.2">
      <c r="A72" s="4"/>
      <c r="B72" s="4"/>
      <c r="C72" s="4"/>
      <c r="D72" s="4"/>
      <c r="E72" s="4"/>
      <c r="F72" s="4"/>
      <c r="G72" s="4"/>
      <c r="H72" s="4"/>
      <c r="I72" s="4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4" t="s">
        <v>37</v>
      </c>
      <c r="B73" s="4">
        <f>(B55+V55)/2</f>
        <v>3.2549332250935313E-3</v>
      </c>
      <c r="C73" s="4">
        <f t="shared" ref="C73:E73" si="3">(C55+W55)/2</f>
        <v>3.8584336949282734E-3</v>
      </c>
      <c r="D73" s="4">
        <f t="shared" si="3"/>
        <v>0.3888654695130046</v>
      </c>
      <c r="E73" s="4">
        <f t="shared" si="3"/>
        <v>0.60402116356697366</v>
      </c>
      <c r="F73" s="4"/>
      <c r="G73" s="4"/>
      <c r="H73" s="4"/>
      <c r="I73" s="4"/>
      <c r="J73" s="1">
        <f>(H55+AB55)/2</f>
        <v>3.1388305738621397E-3</v>
      </c>
      <c r="K73" s="1">
        <f>(I55+AC55)/2</f>
        <v>4.0504903669750947E-3</v>
      </c>
      <c r="L73" s="1">
        <f>(J55+AD55)/2</f>
        <v>0.415227740525272</v>
      </c>
      <c r="M73" s="1">
        <f>(K55+AE55)/2</f>
        <v>0.57758293853389064</v>
      </c>
      <c r="N73" s="1"/>
      <c r="O73" s="1"/>
      <c r="P73" s="1"/>
      <c r="Q73" s="1"/>
    </row>
    <row r="74" spans="1:17" x14ac:dyDescent="0.2">
      <c r="A74" s="4" t="s">
        <v>38</v>
      </c>
      <c r="B74" s="4">
        <f>(B59+V59)/2</f>
        <v>3.2153376243540884E-3</v>
      </c>
      <c r="C74" s="4">
        <f t="shared" ref="C74:E74" si="4">(C59+W59)/2</f>
        <v>3.8114459298836034E-3</v>
      </c>
      <c r="D74" s="4">
        <f t="shared" si="4"/>
        <v>0.24779147801516027</v>
      </c>
      <c r="E74" s="4">
        <f t="shared" si="4"/>
        <v>0.74518173843060209</v>
      </c>
      <c r="F74" s="4"/>
      <c r="G74" s="4"/>
      <c r="H74" s="4"/>
      <c r="I74" s="4"/>
      <c r="J74" s="1">
        <f>(H59+AB59)/2</f>
        <v>3.2087625504360453E-3</v>
      </c>
      <c r="K74" s="1">
        <f>(I59+AC59)/2</f>
        <v>4.1405973094706967E-3</v>
      </c>
      <c r="L74" s="1">
        <f>(J59+AD59)/2</f>
        <v>0.26781402979526842</v>
      </c>
      <c r="M74" s="1">
        <f>(K59+AE59)/2</f>
        <v>0.72483661034482494</v>
      </c>
      <c r="N74" s="1"/>
      <c r="O74" s="1"/>
      <c r="P74" s="1"/>
      <c r="Q74" s="1"/>
    </row>
    <row r="75" spans="1:17" x14ac:dyDescent="0.2">
      <c r="A75" s="4" t="s">
        <v>39</v>
      </c>
      <c r="B75" s="4">
        <f>(B63+V63)/2</f>
        <v>2.9271575410316883E-3</v>
      </c>
      <c r="C75" s="4">
        <f t="shared" ref="C75:E75" si="5">(C63+W63)/2</f>
        <v>3.4698794118266625E-3</v>
      </c>
      <c r="D75" s="4">
        <f t="shared" si="5"/>
        <v>0.32116579885406016</v>
      </c>
      <c r="E75" s="4">
        <f t="shared" si="5"/>
        <v>0.67243716419308153</v>
      </c>
      <c r="F75" s="4"/>
      <c r="G75" s="4"/>
      <c r="H75" s="4"/>
      <c r="I75" s="4"/>
      <c r="J75" s="1">
        <f>(H63+AB63)/2</f>
        <v>2.8349379577096434E-3</v>
      </c>
      <c r="K75" s="1">
        <f>(I63+AC63)/2</f>
        <v>3.6583205732780566E-3</v>
      </c>
      <c r="L75" s="1">
        <f>(J63+AD63)/2</f>
        <v>0.34529984489228782</v>
      </c>
      <c r="M75" s="1">
        <f>(K63+AE63)/2</f>
        <v>0.64820689657672437</v>
      </c>
      <c r="N75" s="1"/>
      <c r="O75" s="1"/>
      <c r="P75" s="1"/>
      <c r="Q7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3F47-092A-FA4B-AA53-C20C8DC91F5B}">
  <dimension ref="A4:AJ79"/>
  <sheetViews>
    <sheetView zoomScale="85" workbookViewId="0">
      <selection activeCell="I20" sqref="I20"/>
    </sheetView>
  </sheetViews>
  <sheetFormatPr baseColWidth="10" defaultRowHeight="16" x14ac:dyDescent="0.2"/>
  <sheetData>
    <row r="4" spans="1:24" x14ac:dyDescent="0.2">
      <c r="A4" t="s">
        <v>3</v>
      </c>
      <c r="G4" t="s">
        <v>4</v>
      </c>
    </row>
    <row r="5" spans="1:24" x14ac:dyDescent="0.2">
      <c r="A5" s="1" t="s">
        <v>1</v>
      </c>
      <c r="B5" s="1"/>
      <c r="C5" s="1"/>
      <c r="D5" s="1"/>
      <c r="E5" s="1"/>
      <c r="F5" s="1"/>
      <c r="G5" s="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4" x14ac:dyDescent="0.2">
      <c r="A6" s="1" t="str">
        <f>'[13]data summary'!A35</f>
        <v>yearly</v>
      </c>
      <c r="B6" s="1">
        <f>'[13]data summary'!B35</f>
        <v>0</v>
      </c>
      <c r="C6" s="1" t="str">
        <f>'[13]data summary'!C35</f>
        <v>CC</v>
      </c>
      <c r="D6" s="1" t="str">
        <f>'[13]data summary'!D35</f>
        <v>HTC</v>
      </c>
      <c r="E6" s="1" t="str">
        <f>'[13]data summary'!E35</f>
        <v>CED</v>
      </c>
      <c r="F6" s="1"/>
      <c r="G6" s="1" t="s">
        <v>5</v>
      </c>
      <c r="I6" s="4">
        <f>'[14]data summary'!M25</f>
        <v>0</v>
      </c>
      <c r="J6" s="4">
        <f>'[14]data summary'!N25</f>
        <v>0</v>
      </c>
      <c r="K6" s="4" t="str">
        <f>'[14]data summary'!O25</f>
        <v>CC</v>
      </c>
      <c r="L6" s="4" t="str">
        <f>'[14]data summary'!P25</f>
        <v>CC</v>
      </c>
      <c r="M6" s="4">
        <f>'[14]data summary'!Q25</f>
        <v>0</v>
      </c>
      <c r="N6" s="4">
        <f>'[14]data summary'!R25</f>
        <v>0</v>
      </c>
      <c r="O6" s="4" t="str">
        <f>'[14]data summary'!S25</f>
        <v>HTC</v>
      </c>
      <c r="P6" s="4" t="str">
        <f>'[14]data summary'!T25</f>
        <v>HTC</v>
      </c>
      <c r="Q6" s="4">
        <f>'[14]data summary'!U25</f>
        <v>0</v>
      </c>
      <c r="R6" s="4">
        <f>'[14]data summary'!V25</f>
        <v>0</v>
      </c>
      <c r="S6" s="4" t="str">
        <f>'[14]data summary'!W25</f>
        <v>CED</v>
      </c>
      <c r="T6" s="4" t="str">
        <f>'[14]data summary'!X25</f>
        <v>CED</v>
      </c>
      <c r="U6" s="4">
        <f>'[14]data summary'!Y25</f>
        <v>0</v>
      </c>
    </row>
    <row r="7" spans="1:24" x14ac:dyDescent="0.2">
      <c r="A7" s="1">
        <f>'[13]data summary'!A36</f>
        <v>2025</v>
      </c>
      <c r="B7" s="1" t="str">
        <f>'[13]data summary'!B36</f>
        <v>PAG</v>
      </c>
      <c r="C7" s="1">
        <f>'[13]data summary'!C36</f>
        <v>4100113.8266692851</v>
      </c>
      <c r="D7" s="1">
        <f>'[13]data summary'!D36</f>
        <v>0.23711406302372079</v>
      </c>
      <c r="E7" s="1">
        <f>'[13]data summary'!E36</f>
        <v>29637899.380303647</v>
      </c>
      <c r="F7" s="1"/>
      <c r="G7" s="1">
        <f>SUM([15]Usage!B$22:B$25)</f>
        <v>760.15422385085503</v>
      </c>
      <c r="I7" s="4">
        <f>'[14]data summary'!M26</f>
        <v>2025</v>
      </c>
      <c r="J7" s="4" t="str">
        <f>'[14]data summary'!N26</f>
        <v>Gas</v>
      </c>
      <c r="K7" s="4">
        <f>'[14]data summary'!O26</f>
        <v>6.221858662847294E-2</v>
      </c>
      <c r="L7" s="4">
        <f>'[14]data summary'!P26</f>
        <v>6.423550850641428E-3</v>
      </c>
      <c r="M7" s="4">
        <f>'[14]data summary'!Q26</f>
        <v>2.3671037900002529E-3</v>
      </c>
      <c r="N7" s="4">
        <f>'[14]data summary'!R26</f>
        <v>0</v>
      </c>
      <c r="O7" s="4">
        <f>'[14]data summary'!S26</f>
        <v>5.0847202615982318E-3</v>
      </c>
      <c r="P7" s="4">
        <f>'[14]data summary'!T26</f>
        <v>5.2483460011368017E-4</v>
      </c>
      <c r="Q7" s="4">
        <f>'[14]data summary'!U26</f>
        <v>2.0048863173998148E-3</v>
      </c>
      <c r="R7" s="4">
        <f>'[14]data summary'!V26</f>
        <v>0</v>
      </c>
      <c r="S7" s="4">
        <f>'[14]data summary'!W26</f>
        <v>0.47147416820992849</v>
      </c>
      <c r="T7" s="4">
        <f>'[14]data summary'!X26</f>
        <v>4.8640230627914081E-2</v>
      </c>
      <c r="U7" s="4">
        <f>'[14]data summary'!Y26</f>
        <v>1.8989343494042218E-3</v>
      </c>
      <c r="V7" t="s">
        <v>29</v>
      </c>
      <c r="W7">
        <f>SUM([16]Manu_gas!$B$22:$M$25)</f>
        <v>13.156199594842374</v>
      </c>
      <c r="X7">
        <f>W7/SUM($W$7:$W$10)</f>
        <v>4.2064198808890191E-3</v>
      </c>
    </row>
    <row r="8" spans="1:24" x14ac:dyDescent="0.2">
      <c r="A8" s="1">
        <f>'[13]data summary'!A37</f>
        <v>0</v>
      </c>
      <c r="B8" s="1" t="str">
        <f>'[13]data summary'!B37</f>
        <v>Sur</v>
      </c>
      <c r="C8" s="1">
        <f>'[13]data summary'!C37</f>
        <v>241809.39784250906</v>
      </c>
      <c r="D8" s="1">
        <f>'[13]data summary'!D37</f>
        <v>2.7435517702539616E-2</v>
      </c>
      <c r="E8" s="1">
        <f>'[13]data summary'!E37</f>
        <v>2518775.2548354804</v>
      </c>
      <c r="F8" s="1"/>
      <c r="G8" s="1">
        <f>SUM([15]Usage!C$22:C$25)</f>
        <v>17.897935149274709</v>
      </c>
      <c r="I8" s="4">
        <f>'[14]data summary'!M27</f>
        <v>0</v>
      </c>
      <c r="J8" s="4" t="str">
        <f>'[14]data summary'!N27</f>
        <v>Solid</v>
      </c>
      <c r="K8" s="4">
        <f>'[14]data summary'!O27</f>
        <v>7.3750852720805726E-2</v>
      </c>
      <c r="L8" s="4">
        <f>'[14]data summary'!P27</f>
        <v>7.6158763148139186E-3</v>
      </c>
      <c r="M8" s="4">
        <f>'[14]data summary'!Q27</f>
        <v>2.8058484200809367E-3</v>
      </c>
      <c r="N8" s="4">
        <f>'[14]data summary'!R27</f>
        <v>0</v>
      </c>
      <c r="O8" s="4">
        <f>'[14]data summary'!S27</f>
        <v>6.0270971545567037E-3</v>
      </c>
      <c r="P8" s="4">
        <f>'[14]data summary'!T27</f>
        <v>6.2224483672956323E-4</v>
      </c>
      <c r="Q8" s="4">
        <f>'[14]data summary'!U27</f>
        <v>2.3764620268435289E-3</v>
      </c>
      <c r="R8" s="4">
        <f>'[14]data summary'!V27</f>
        <v>0</v>
      </c>
      <c r="S8" s="4">
        <f>'[14]data summary'!W27</f>
        <v>0.55886142240943992</v>
      </c>
      <c r="T8" s="4">
        <f>'[14]data summary'!X27</f>
        <v>5.7668498594174881E-2</v>
      </c>
      <c r="U8" s="4">
        <f>'[14]data summary'!Y27</f>
        <v>2.250899886200467E-3</v>
      </c>
      <c r="V8" t="s">
        <v>30</v>
      </c>
      <c r="W8">
        <f>SUM([16]Manu_solid!$B$22:$M$25)</f>
        <v>15.595200912200118</v>
      </c>
      <c r="X8">
        <f t="shared" ref="X8:X10" si="0">W8/SUM($W$7:$W$10)</f>
        <v>4.9862395816231237E-3</v>
      </c>
    </row>
    <row r="9" spans="1:24" x14ac:dyDescent="0.2">
      <c r="A9" s="1">
        <f>'[13]data summary'!A38</f>
        <v>0</v>
      </c>
      <c r="B9" s="1" t="str">
        <f>'[13]data summary'!B38</f>
        <v>TARC</v>
      </c>
      <c r="C9" s="1">
        <f>'[13]data summary'!C38</f>
        <v>12630424.150880726</v>
      </c>
      <c r="D9" s="1">
        <f>'[13]data summary'!D38</f>
        <v>1.407646651180452</v>
      </c>
      <c r="E9" s="1">
        <f>'[13]data summary'!E38</f>
        <v>130113024.51446465</v>
      </c>
      <c r="F9" s="1"/>
      <c r="G9" s="1">
        <f>SUM([15]Usage!D$22:D$25)</f>
        <v>985.31269163631487</v>
      </c>
      <c r="I9" s="4">
        <f>'[14]data summary'!M28</f>
        <v>0</v>
      </c>
      <c r="J9" s="4" t="str">
        <f>'[14]data summary'!N28</f>
        <v>Solvent</v>
      </c>
      <c r="K9" s="4">
        <f>'[14]data summary'!O28</f>
        <v>7.4326351263817045</v>
      </c>
      <c r="L9" s="4">
        <f>'[14]data summary'!P28</f>
        <v>0.76717874912727435</v>
      </c>
      <c r="M9" s="4">
        <f>'[14]data summary'!Q28</f>
        <v>0.28277432405215908</v>
      </c>
      <c r="N9" s="4">
        <f>'[14]data summary'!R28</f>
        <v>0</v>
      </c>
      <c r="O9" s="4">
        <f>'[14]data summary'!S28</f>
        <v>0.39182965136237424</v>
      </c>
      <c r="P9" s="4">
        <f>'[14]data summary'!T28</f>
        <v>4.0490064233819921E-2</v>
      </c>
      <c r="Q9" s="4">
        <f>'[14]data summary'!U28</f>
        <v>0.15449697650054042</v>
      </c>
      <c r="R9" s="4">
        <f>'[14]data summary'!V28</f>
        <v>0</v>
      </c>
      <c r="S9" s="4">
        <f>'[14]data summary'!W28</f>
        <v>51.725643283402192</v>
      </c>
      <c r="T9" s="4">
        <f>'[14]data summary'!X28</f>
        <v>5.3369613294248515</v>
      </c>
      <c r="U9" s="4">
        <f>'[14]data summary'!Y28</f>
        <v>0.20833294249993178</v>
      </c>
      <c r="V9" t="s">
        <v>31</v>
      </c>
      <c r="W9">
        <f>SUM([16]Manu_solvent!$B$22:$M$25)</f>
        <v>1593.2850230000181</v>
      </c>
      <c r="X9">
        <f t="shared" si="0"/>
        <v>0.50941958947608168</v>
      </c>
    </row>
    <row r="10" spans="1:24" x14ac:dyDescent="0.2">
      <c r="A10" s="1">
        <f>'[13]data summary'!A39</f>
        <v>0</v>
      </c>
      <c r="B10" s="1" t="str">
        <f>'[13]data summary'!B39</f>
        <v>Polymer</v>
      </c>
      <c r="C10" s="1">
        <f>'[13]data summary'!C39</f>
        <v>275453.86257621524</v>
      </c>
      <c r="D10" s="1">
        <f>'[13]data summary'!D39</f>
        <v>1.5626859496084226E-2</v>
      </c>
      <c r="E10" s="1">
        <f>'[13]data summary'!E39</f>
        <v>1973733.7066026274</v>
      </c>
      <c r="F10" s="1"/>
      <c r="G10" s="1">
        <f>SUM([15]Usage!E$22:E$25)</f>
        <v>51.661725474544028</v>
      </c>
      <c r="I10" s="4">
        <f>'[14]data summary'!M29</f>
        <v>0</v>
      </c>
      <c r="J10" s="4" t="str">
        <f>'[14]data summary'!N29</f>
        <v>Water</v>
      </c>
      <c r="K10" s="4">
        <f>'[14]data summary'!O29</f>
        <v>18.716084298066704</v>
      </c>
      <c r="L10" s="4">
        <f>'[14]data summary'!P29</f>
        <v>1.9407460647540469</v>
      </c>
      <c r="M10" s="4">
        <f>'[14]data summary'!Q29</f>
        <v>0.71205272373775974</v>
      </c>
      <c r="N10" s="4">
        <f>'[14]data summary'!R29</f>
        <v>0</v>
      </c>
      <c r="O10" s="4">
        <f>'[14]data summary'!S29</f>
        <v>2.1332224111728926</v>
      </c>
      <c r="P10" s="4">
        <f>'[14]data summary'!T29</f>
        <v>0.22145622245259478</v>
      </c>
      <c r="Q10" s="4">
        <f>'[14]data summary'!U29</f>
        <v>0.8411216751552163</v>
      </c>
      <c r="R10" s="4">
        <f>'[14]data summary'!V29</f>
        <v>0</v>
      </c>
      <c r="S10" s="4">
        <f>'[14]data summary'!W29</f>
        <v>195.5275746663367</v>
      </c>
      <c r="T10" s="4">
        <f>'[14]data summary'!X29</f>
        <v>20.311327165994733</v>
      </c>
      <c r="U10" s="4">
        <f>'[14]data summary'!Y29</f>
        <v>0.7875172232644635</v>
      </c>
      <c r="V10" t="s">
        <v>32</v>
      </c>
      <c r="W10">
        <f>SUM([16]Manu_water!$B$22:$M$25)</f>
        <v>1505.6113071949526</v>
      </c>
      <c r="X10">
        <f t="shared" si="0"/>
        <v>0.48138775106140613</v>
      </c>
    </row>
    <row r="11" spans="1:24" x14ac:dyDescent="0.2">
      <c r="A11" s="1">
        <f>'[13]data summary'!A40</f>
        <v>0</v>
      </c>
      <c r="B11" s="1" t="str">
        <f>'[13]data summary'!B40</f>
        <v>ITC</v>
      </c>
      <c r="C11" s="1">
        <f>'[13]data summary'!C40</f>
        <v>6598444.1229046686</v>
      </c>
      <c r="D11" s="1">
        <f>'[13]data summary'!D40</f>
        <v>0.71523363383704042</v>
      </c>
      <c r="E11" s="1">
        <f>'[13]data summary'!E40</f>
        <v>66833982.667025536</v>
      </c>
      <c r="F11" s="1"/>
      <c r="G11" s="1">
        <f>SUM([15]Usage!F$22:F$25)</f>
        <v>554.39303087486633</v>
      </c>
      <c r="I11" s="4">
        <f>'[14]data summary'!M30</f>
        <v>0</v>
      </c>
      <c r="J11" s="4">
        <f>'[14]data summary'!N30</f>
        <v>0</v>
      </c>
      <c r="K11" s="4">
        <f>'[14]data summary'!O30</f>
        <v>26.284688863797687</v>
      </c>
      <c r="L11" s="4">
        <f>'[14]data summary'!P30</f>
        <v>2.7219642410467766</v>
      </c>
      <c r="M11" s="4">
        <f>'[14]data summary'!Q30</f>
        <v>0</v>
      </c>
      <c r="N11" s="4">
        <f>'[14]data summary'!R30</f>
        <v>0</v>
      </c>
      <c r="O11" s="4">
        <f>'[14]data summary'!S30</f>
        <v>2.5361638799514217</v>
      </c>
      <c r="P11" s="4">
        <f>'[14]data summary'!T30</f>
        <v>0.26309336612325795</v>
      </c>
      <c r="Q11" s="4">
        <f>'[14]data summary'!U30</f>
        <v>0</v>
      </c>
      <c r="R11" s="4">
        <f>'[14]data summary'!V30</f>
        <v>0</v>
      </c>
      <c r="S11" s="4">
        <f>'[14]data summary'!W30</f>
        <v>248.28355354035827</v>
      </c>
      <c r="T11" s="4">
        <f>'[14]data summary'!X30</f>
        <v>25.754597224641675</v>
      </c>
      <c r="U11" s="4">
        <f>'[14]data summary'!Y30</f>
        <v>0</v>
      </c>
    </row>
    <row r="12" spans="1:24" x14ac:dyDescent="0.2">
      <c r="A12" s="1">
        <f>'[13]data summary'!A41</f>
        <v>0</v>
      </c>
      <c r="B12" s="1" t="str">
        <f>'[13]data summary'!B41</f>
        <v>PBO</v>
      </c>
      <c r="C12" s="1">
        <f>'[13]data summary'!C41</f>
        <v>2452437.9277177248</v>
      </c>
      <c r="D12" s="1">
        <f>'[13]data summary'!D41</f>
        <v>0.13446324594994447</v>
      </c>
      <c r="E12" s="1">
        <f>'[13]data summary'!E41</f>
        <v>17338473.87379675</v>
      </c>
      <c r="F12" s="1"/>
      <c r="G12" s="1">
        <f>SUM([15]Usage!G$22:G$25)</f>
        <v>499.84753383532336</v>
      </c>
      <c r="I12" s="4">
        <f>'[14]data summary'!M31</f>
        <v>0</v>
      </c>
      <c r="J12" s="4">
        <f>'[14]data summary'!N31</f>
        <v>0</v>
      </c>
      <c r="K12" s="4">
        <f>'[14]data summary'!O31</f>
        <v>0</v>
      </c>
      <c r="L12" s="4">
        <f>'[14]data summary'!P31</f>
        <v>0</v>
      </c>
      <c r="M12" s="4">
        <f>'[14]data summary'!Q31</f>
        <v>0</v>
      </c>
      <c r="N12" s="4">
        <f>'[14]data summary'!R31</f>
        <v>0</v>
      </c>
      <c r="O12" s="4">
        <f>'[14]data summary'!S31</f>
        <v>0</v>
      </c>
      <c r="P12" s="4">
        <f>'[14]data summary'!T31</f>
        <v>0</v>
      </c>
      <c r="Q12" s="4">
        <f>'[14]data summary'!U31</f>
        <v>0</v>
      </c>
      <c r="R12" s="4">
        <f>'[14]data summary'!V31</f>
        <v>0</v>
      </c>
      <c r="S12" s="4">
        <f>'[14]data summary'!W31</f>
        <v>0</v>
      </c>
      <c r="T12" s="4">
        <f>'[14]data summary'!X31</f>
        <v>0</v>
      </c>
      <c r="U12" s="4">
        <f>'[14]data summary'!Y31</f>
        <v>0</v>
      </c>
    </row>
    <row r="13" spans="1:24" x14ac:dyDescent="0.2">
      <c r="A13" s="1">
        <f>'[13]data summary'!A42</f>
        <v>0</v>
      </c>
      <c r="B13" s="1">
        <f>'[13]data summary'!B42</f>
        <v>0</v>
      </c>
      <c r="C13" s="1">
        <f>'[13]data summary'!C42</f>
        <v>26298683.288591132</v>
      </c>
      <c r="D13" s="1">
        <f>'[13]data summary'!D42</f>
        <v>2.5375199711897816</v>
      </c>
      <c r="E13" s="1">
        <f>'[13]data summary'!E42</f>
        <v>248415889.39702871</v>
      </c>
      <c r="F13" s="1"/>
      <c r="G13" s="1">
        <f>SUM(G7:G12)</f>
        <v>2869.2671408211786</v>
      </c>
      <c r="I13" s="4">
        <f>'[14]data summary'!M32</f>
        <v>2030</v>
      </c>
      <c r="J13" s="4" t="str">
        <f>'[14]data summary'!N32</f>
        <v>Gas</v>
      </c>
      <c r="K13" s="4">
        <f>'[14]data summary'!O32</f>
        <v>0.39383301894528827</v>
      </c>
      <c r="L13" s="4">
        <f>'[14]data summary'!P32</f>
        <v>5.02388865402318E-2</v>
      </c>
      <c r="M13" s="4">
        <f>'[14]data summary'!Q32</f>
        <v>2.4056494540603676E-3</v>
      </c>
      <c r="N13" s="4">
        <f>'[14]data summary'!R32</f>
        <v>0</v>
      </c>
      <c r="O13" s="4">
        <f>'[14]data summary'!S32</f>
        <v>3.0618488466843341E-2</v>
      </c>
      <c r="P13" s="4">
        <f>'[14]data summary'!T32</f>
        <v>3.9026729957892833E-3</v>
      </c>
      <c r="Q13" s="4">
        <f>'[14]data summary'!U32</f>
        <v>2.1598957677971737E-3</v>
      </c>
      <c r="R13" s="4">
        <f>'[14]data summary'!V32</f>
        <v>0</v>
      </c>
      <c r="S13" s="4">
        <f>'[14]data summary'!W32</f>
        <v>2.9673528429530003</v>
      </c>
      <c r="T13" s="4">
        <f>'[14]data summary'!X32</f>
        <v>0.3750067207484824</v>
      </c>
      <c r="U13" s="4">
        <f>'[14]data summary'!Y32</f>
        <v>1.9573989009639579E-3</v>
      </c>
      <c r="V13" t="s">
        <v>29</v>
      </c>
      <c r="W13">
        <f>SUM([16]Manu_gas!$B$42:$M$45)</f>
        <v>88.290742269167765</v>
      </c>
      <c r="X13">
        <f>W13/SUM($W$13:$W$16)</f>
        <v>3.9833094554588E-3</v>
      </c>
    </row>
    <row r="14" spans="1:24" x14ac:dyDescent="0.2">
      <c r="A14" s="1">
        <f>'[13]data summary'!A43</f>
        <v>0</v>
      </c>
      <c r="B14" s="1">
        <f>'[13]data summary'!B43</f>
        <v>0</v>
      </c>
      <c r="C14" s="1">
        <f>'[13]data summary'!C43</f>
        <v>0</v>
      </c>
      <c r="D14" s="1">
        <f>'[13]data summary'!D43</f>
        <v>0</v>
      </c>
      <c r="E14" s="1">
        <f>'[13]data summary'!E43</f>
        <v>0</v>
      </c>
      <c r="F14" s="1"/>
      <c r="G14" s="1"/>
      <c r="I14" s="4">
        <f>'[14]data summary'!M33</f>
        <v>0</v>
      </c>
      <c r="J14" s="4" t="str">
        <f>'[14]data summary'!N33</f>
        <v>Solid</v>
      </c>
      <c r="K14" s="4">
        <f>'[14]data summary'!O33</f>
        <v>0.50819423203241587</v>
      </c>
      <c r="L14" s="4">
        <f>'[14]data summary'!P33</f>
        <v>6.482564126602984E-2</v>
      </c>
      <c r="M14" s="4">
        <f>'[14]data summary'!Q33</f>
        <v>3.1042018267524825E-3</v>
      </c>
      <c r="N14" s="4">
        <f>'[14]data summary'!R33</f>
        <v>0</v>
      </c>
      <c r="O14" s="4">
        <f>'[14]data summary'!S33</f>
        <v>3.9508165325434413E-2</v>
      </c>
      <c r="P14" s="4">
        <f>'[14]data summary'!T33</f>
        <v>5.0356440075818654E-3</v>
      </c>
      <c r="Q14" s="4">
        <f>'[14]data summary'!U33</f>
        <v>2.7869931976636998E-3</v>
      </c>
      <c r="R14" s="4">
        <f>'[14]data summary'!V33</f>
        <v>0</v>
      </c>
      <c r="S14" s="4">
        <f>'[14]data summary'!W33</f>
        <v>3.8289983171540891</v>
      </c>
      <c r="T14" s="4">
        <f>'[14]data summary'!X33</f>
        <v>0.48388479723233779</v>
      </c>
      <c r="U14" s="4">
        <f>'[14]data summary'!Y33</f>
        <v>2.5257788656948637E-3</v>
      </c>
      <c r="V14" t="s">
        <v>30</v>
      </c>
      <c r="W14">
        <f>SUM([16]Manu_solid!$B$42:$M$45)</f>
        <v>113.93095446026075</v>
      </c>
      <c r="X14">
        <f t="shared" ref="X14:X16" si="1">W14/SUM($W$13:$W$16)</f>
        <v>5.1400887172004563E-3</v>
      </c>
    </row>
    <row r="15" spans="1:24" x14ac:dyDescent="0.2">
      <c r="A15" s="1">
        <f>'[13]data summary'!A44</f>
        <v>2030</v>
      </c>
      <c r="B15" s="1" t="str">
        <f>'[13]data summary'!B44</f>
        <v>PAG</v>
      </c>
      <c r="C15" s="1">
        <f>'[13]data summary'!C44</f>
        <v>26235602.272068448</v>
      </c>
      <c r="D15" s="1">
        <f>'[13]data summary'!D44</f>
        <v>1.3987558810322667</v>
      </c>
      <c r="E15" s="1">
        <f>'[13]data summary'!E44</f>
        <v>188294996.58969817</v>
      </c>
      <c r="F15" s="1"/>
      <c r="G15" s="1">
        <f>SUM([15]Usage!$B$42:$B$45)</f>
        <v>4997.5979016034489</v>
      </c>
      <c r="I15" s="4">
        <f>'[14]data summary'!M34</f>
        <v>0</v>
      </c>
      <c r="J15" s="4" t="str">
        <f>'[14]data summary'!N34</f>
        <v>Solvent</v>
      </c>
      <c r="K15" s="4">
        <f>'[14]data summary'!O34</f>
        <v>52.096473871295494</v>
      </c>
      <c r="L15" s="4">
        <f>'[14]data summary'!P34</f>
        <v>6.5939614579844497</v>
      </c>
      <c r="M15" s="4">
        <f>'[14]data summary'!Q34</f>
        <v>0.31822078875606569</v>
      </c>
      <c r="N15" s="4">
        <f>'[14]data summary'!R34</f>
        <v>0</v>
      </c>
      <c r="O15" s="4">
        <f>'[14]data summary'!S34</f>
        <v>2.5554045376500545</v>
      </c>
      <c r="P15" s="4">
        <f>'[14]data summary'!T34</f>
        <v>0.32946423906856159</v>
      </c>
      <c r="Q15" s="4">
        <f>'[14]data summary'!U34</f>
        <v>0.18026387722754486</v>
      </c>
      <c r="R15" s="4">
        <f>'[14]data summary'!V34</f>
        <v>0</v>
      </c>
      <c r="S15" s="4">
        <f>'[14]data summary'!W34</f>
        <v>361.40930442086113</v>
      </c>
      <c r="T15" s="4">
        <f>'[14]data summary'!X34</f>
        <v>45.525772476925866</v>
      </c>
      <c r="U15" s="4">
        <f>'[14]data summary'!Y34</f>
        <v>0.23840177178509772</v>
      </c>
      <c r="V15" t="s">
        <v>31</v>
      </c>
      <c r="W15">
        <f>SUM([16]Manu_solvent!$B$42:$M$45)</f>
        <v>11611.803733053948</v>
      </c>
      <c r="X15">
        <f t="shared" si="1"/>
        <v>0.52387607597402497</v>
      </c>
    </row>
    <row r="16" spans="1:24" x14ac:dyDescent="0.2">
      <c r="A16" s="1">
        <f>'[13]data summary'!A45</f>
        <v>0</v>
      </c>
      <c r="B16" s="1" t="str">
        <f>'[13]data summary'!B45</f>
        <v>Sur</v>
      </c>
      <c r="C16" s="1">
        <f>'[13]data summary'!C45</f>
        <v>1397214.88670521</v>
      </c>
      <c r="D16" s="1">
        <f>'[13]data summary'!D45</f>
        <v>0.14504949553380161</v>
      </c>
      <c r="E16" s="1">
        <f>'[13]data summary'!E45</f>
        <v>14437992.646467984</v>
      </c>
      <c r="F16" s="1"/>
      <c r="G16" s="1">
        <f>SUM([15]Usage!$C$42:$C$45)</f>
        <v>117.66912599909413</v>
      </c>
      <c r="I16" s="4">
        <f>'[14]data summary'!M35</f>
        <v>0</v>
      </c>
      <c r="J16" s="4" t="str">
        <f>'[14]data summary'!N35</f>
        <v>Water</v>
      </c>
      <c r="K16" s="4">
        <f>'[14]data summary'!O35</f>
        <v>110.7132226621537</v>
      </c>
      <c r="L16" s="4">
        <f>'[14]data summary'!P35</f>
        <v>15.108036427736286</v>
      </c>
      <c r="M16" s="4">
        <f>'[14]data summary'!Q35</f>
        <v>0.67626935996312132</v>
      </c>
      <c r="N16" s="4">
        <f>'[14]data summary'!R35</f>
        <v>0</v>
      </c>
      <c r="O16" s="4">
        <f>'[14]data summary'!S35</f>
        <v>11.550379018368583</v>
      </c>
      <c r="P16" s="4">
        <f>'[14]data summary'!T35</f>
        <v>1.6184732217677338</v>
      </c>
      <c r="Q16" s="4">
        <f>'[14]data summary'!U35</f>
        <v>0.8147892338069942</v>
      </c>
      <c r="R16" s="4">
        <f>'[14]data summary'!V35</f>
        <v>0</v>
      </c>
      <c r="S16" s="4">
        <f>'[14]data summary'!W35</f>
        <v>1147.7617036995912</v>
      </c>
      <c r="T16" s="4">
        <f>'[14]data summary'!X35</f>
        <v>160.55174924571483</v>
      </c>
      <c r="U16" s="4">
        <f>'[14]data summary'!Y35</f>
        <v>0.75711505044824357</v>
      </c>
      <c r="V16" t="s">
        <v>32</v>
      </c>
      <c r="W16">
        <f>SUM([16]Manu_water!$B$42:$M$45)</f>
        <v>10351.147338346027</v>
      </c>
      <c r="X16">
        <f t="shared" si="1"/>
        <v>0.46700052585331581</v>
      </c>
    </row>
    <row r="17" spans="1:29" x14ac:dyDescent="0.2">
      <c r="A17" s="1">
        <f>'[13]data summary'!A46</f>
        <v>0</v>
      </c>
      <c r="B17" s="1" t="str">
        <f>'[13]data summary'!B46</f>
        <v>TARC</v>
      </c>
      <c r="C17" s="1">
        <f>'[13]data summary'!C46</f>
        <v>75258135.895598501</v>
      </c>
      <c r="D17" s="1">
        <f>'[13]data summary'!D46</f>
        <v>7.660372414441202</v>
      </c>
      <c r="E17" s="1">
        <f>'[13]data summary'!E46</f>
        <v>768225835.98437524</v>
      </c>
      <c r="F17" s="1"/>
      <c r="G17" s="1">
        <f>SUM([15]Usage!$D$42:$D$45)</f>
        <v>6655.1588562305451</v>
      </c>
      <c r="I17" s="4">
        <f>'[14]data summary'!M36</f>
        <v>0</v>
      </c>
      <c r="J17" s="4">
        <f>'[14]data summary'!N36</f>
        <v>0</v>
      </c>
      <c r="K17" s="4">
        <f>'[14]data summary'!O36</f>
        <v>163.71172378442691</v>
      </c>
      <c r="L17" s="4">
        <f>'[14]data summary'!P36</f>
        <v>21.817062413526997</v>
      </c>
      <c r="M17" s="4">
        <f>'[14]data summary'!Q36</f>
        <v>0</v>
      </c>
      <c r="N17" s="4">
        <f>'[14]data summary'!R36</f>
        <v>0</v>
      </c>
      <c r="O17" s="4">
        <f>'[14]data summary'!S36</f>
        <v>14.175910209810915</v>
      </c>
      <c r="P17" s="4">
        <f>'[14]data summary'!T36</f>
        <v>1.9568757778396666</v>
      </c>
      <c r="Q17" s="4">
        <f>'[14]data summary'!U36</f>
        <v>0</v>
      </c>
      <c r="R17" s="4">
        <f>'[14]data summary'!V36</f>
        <v>0</v>
      </c>
      <c r="S17" s="4">
        <f>'[14]data summary'!W36</f>
        <v>1515.9673592805593</v>
      </c>
      <c r="T17" s="4">
        <f>'[14]data summary'!X36</f>
        <v>206.9364132406215</v>
      </c>
      <c r="U17" s="4">
        <f>'[14]data summary'!Y36</f>
        <v>0</v>
      </c>
    </row>
    <row r="18" spans="1:29" x14ac:dyDescent="0.2">
      <c r="A18" s="1">
        <f>'[13]data summary'!A47</f>
        <v>0</v>
      </c>
      <c r="B18" s="1" t="str">
        <f>'[13]data summary'!B47</f>
        <v>Polymer</v>
      </c>
      <c r="C18" s="1">
        <f>'[13]data summary'!C47</f>
        <v>1765947.4667036575</v>
      </c>
      <c r="D18" s="1">
        <f>'[13]data summary'!D47</f>
        <v>9.256394287499442E-2</v>
      </c>
      <c r="E18" s="1">
        <f>'[13]data summary'!E47</f>
        <v>12574809.351257818</v>
      </c>
      <c r="F18" s="1"/>
      <c r="G18" s="1">
        <f>SUM([15]Usage!$E$42:$E$45)</f>
        <v>339.64756456507087</v>
      </c>
      <c r="I18" s="4">
        <f>'[14]data summary'!M37</f>
        <v>0</v>
      </c>
      <c r="J18" s="4">
        <f>'[14]data summary'!N37</f>
        <v>0</v>
      </c>
      <c r="K18" s="4">
        <f>'[14]data summary'!O37</f>
        <v>0</v>
      </c>
      <c r="L18" s="4">
        <f>'[14]data summary'!P37</f>
        <v>0</v>
      </c>
      <c r="M18" s="4">
        <f>'[14]data summary'!Q37</f>
        <v>0</v>
      </c>
      <c r="N18" s="4">
        <f>'[14]data summary'!R37</f>
        <v>0</v>
      </c>
      <c r="O18" s="4">
        <f>'[14]data summary'!S37</f>
        <v>0</v>
      </c>
      <c r="P18" s="4">
        <f>'[14]data summary'!T37</f>
        <v>0</v>
      </c>
      <c r="Q18" s="4">
        <f>'[14]data summary'!U37</f>
        <v>0</v>
      </c>
      <c r="R18" s="4">
        <f>'[14]data summary'!V37</f>
        <v>0</v>
      </c>
      <c r="S18" s="4">
        <f>'[14]data summary'!W37</f>
        <v>0</v>
      </c>
      <c r="T18" s="4">
        <f>'[14]data summary'!X37</f>
        <v>0</v>
      </c>
      <c r="U18" s="4">
        <f>'[14]data summary'!Y37</f>
        <v>0</v>
      </c>
    </row>
    <row r="19" spans="1:29" x14ac:dyDescent="0.2">
      <c r="A19" s="1">
        <f>'[13]data summary'!A48</f>
        <v>0</v>
      </c>
      <c r="B19" s="1" t="str">
        <f>'[13]data summary'!B48</f>
        <v>ITC</v>
      </c>
      <c r="C19" s="1">
        <f>'[13]data summary'!C48</f>
        <v>39186671.004893854</v>
      </c>
      <c r="D19" s="1">
        <f>'[13]data summary'!D48</f>
        <v>3.8703270404292982</v>
      </c>
      <c r="E19" s="1">
        <f>'[13]data summary'!E48</f>
        <v>392689901.0019809</v>
      </c>
      <c r="F19" s="1"/>
      <c r="G19" s="1">
        <f>SUM([15]Usage!$F$42:$F$45)</f>
        <v>3709.9940836938513</v>
      </c>
      <c r="I19" s="4">
        <f>'[14]data summary'!M38</f>
        <v>2025</v>
      </c>
      <c r="J19" s="4">
        <f>'[14]data summary'!N38</f>
        <v>0</v>
      </c>
      <c r="K19" s="4">
        <f>'[14]data summary'!O38</f>
        <v>26.284688863797687</v>
      </c>
      <c r="L19" s="4">
        <f>'[14]data summary'!P38</f>
        <v>2.7219642410467766</v>
      </c>
      <c r="M19" s="4">
        <f>'[14]data summary'!Q38</f>
        <v>0</v>
      </c>
      <c r="N19" s="4">
        <f>'[14]data summary'!R38</f>
        <v>0</v>
      </c>
      <c r="O19" s="4">
        <f>'[14]data summary'!S38</f>
        <v>2.5361638799514217</v>
      </c>
      <c r="P19" s="4">
        <f>'[14]data summary'!T38</f>
        <v>0.26309336612325795</v>
      </c>
      <c r="Q19" s="4">
        <f>'[14]data summary'!U38</f>
        <v>0</v>
      </c>
      <c r="R19" s="4">
        <f>'[14]data summary'!V38</f>
        <v>0</v>
      </c>
      <c r="S19" s="4">
        <f>'[14]data summary'!W38</f>
        <v>248.28355354035827</v>
      </c>
      <c r="T19" s="4">
        <f>'[14]data summary'!X38</f>
        <v>25.754597224641675</v>
      </c>
      <c r="U19" s="4">
        <f>'[14]data summary'!Y38</f>
        <v>0</v>
      </c>
    </row>
    <row r="20" spans="1:29" x14ac:dyDescent="0.2">
      <c r="A20" s="1">
        <f>'[13]data summary'!A49</f>
        <v>0</v>
      </c>
      <c r="B20" s="1" t="str">
        <f>'[13]data summary'!B49</f>
        <v>PBO</v>
      </c>
      <c r="C20" s="1">
        <f>'[13]data summary'!C49</f>
        <v>19884446.513501868</v>
      </c>
      <c r="D20" s="1">
        <f>'[13]data summary'!D49</f>
        <v>1.0102256077136029</v>
      </c>
      <c r="E20" s="1">
        <f>'[13]data summary'!E49</f>
        <v>139894182.34037125</v>
      </c>
      <c r="F20" s="1"/>
      <c r="G20" s="1">
        <f>SUM([15]Usage!$G$42:$G$45)</f>
        <v>4144.0595067270106</v>
      </c>
      <c r="I20" s="4">
        <f>'[14]data summary'!M39</f>
        <v>2030</v>
      </c>
      <c r="J20" s="4">
        <f>'[14]data summary'!N39</f>
        <v>0</v>
      </c>
      <c r="K20" s="4">
        <f>'[14]data summary'!O39</f>
        <v>163.71172378442691</v>
      </c>
      <c r="L20" s="4">
        <f>'[14]data summary'!P39</f>
        <v>21.817062413526997</v>
      </c>
      <c r="M20" s="4">
        <f>'[14]data summary'!Q39</f>
        <v>0</v>
      </c>
      <c r="N20" s="4">
        <f>'[14]data summary'!R39</f>
        <v>0</v>
      </c>
      <c r="O20" s="4">
        <f>'[14]data summary'!S39</f>
        <v>14.175910209810915</v>
      </c>
      <c r="P20" s="4">
        <f>'[14]data summary'!T39</f>
        <v>1.9568757778396666</v>
      </c>
      <c r="Q20" s="4">
        <f>'[14]data summary'!U39</f>
        <v>0</v>
      </c>
      <c r="R20" s="4">
        <f>'[14]data summary'!V39</f>
        <v>0</v>
      </c>
      <c r="S20" s="4">
        <f>'[14]data summary'!W39</f>
        <v>1515.9673592805593</v>
      </c>
      <c r="T20" s="4">
        <f>'[14]data summary'!X39</f>
        <v>206.9364132406215</v>
      </c>
      <c r="U20" s="4">
        <f>'[14]data summary'!Y39</f>
        <v>0</v>
      </c>
    </row>
    <row r="21" spans="1:29" x14ac:dyDescent="0.2">
      <c r="A21" s="1">
        <f>'[13]data summary'!A50</f>
        <v>0</v>
      </c>
      <c r="B21" s="1">
        <f>'[13]data summary'!B50</f>
        <v>0</v>
      </c>
      <c r="C21" s="1">
        <f>'[13]data summary'!C50</f>
        <v>163728018.03947157</v>
      </c>
      <c r="D21" s="1">
        <f>'[13]data summary'!D50</f>
        <v>14.177294382025165</v>
      </c>
      <c r="E21" s="1">
        <f>'[13]data summary'!E50</f>
        <v>1516117717.9141512</v>
      </c>
      <c r="F21" s="1"/>
      <c r="G21" s="1">
        <f>SUM(G15:G20)</f>
        <v>19964.127038819021</v>
      </c>
    </row>
    <row r="25" spans="1:29" x14ac:dyDescent="0.2">
      <c r="A25" t="s">
        <v>2</v>
      </c>
    </row>
    <row r="26" spans="1:29" x14ac:dyDescent="0.2">
      <c r="A26" t="str">
        <f>'[17]data summary'!A35</f>
        <v>yearly</v>
      </c>
      <c r="B26">
        <f>'[17]data summary'!B35</f>
        <v>0</v>
      </c>
      <c r="C26" t="str">
        <f>'[17]data summary'!C35</f>
        <v>CC</v>
      </c>
      <c r="D26" t="str">
        <f>'[17]data summary'!D35</f>
        <v>HTC</v>
      </c>
      <c r="E26" t="str">
        <f>'[17]data summary'!E35</f>
        <v>CED</v>
      </c>
      <c r="I26" s="4">
        <f>'[18]data summary'!M25</f>
        <v>0</v>
      </c>
      <c r="J26" s="4">
        <f>'[18]data summary'!N25</f>
        <v>0</v>
      </c>
      <c r="K26" s="4" t="str">
        <f>'[18]data summary'!O25</f>
        <v>CC</v>
      </c>
      <c r="L26" s="4" t="str">
        <f>'[18]data summary'!P25</f>
        <v>CC</v>
      </c>
      <c r="M26" s="4">
        <f>'[18]data summary'!Q25</f>
        <v>0</v>
      </c>
      <c r="N26" s="4">
        <f>'[18]data summary'!R25</f>
        <v>0</v>
      </c>
      <c r="O26" s="4" t="str">
        <f>'[18]data summary'!S25</f>
        <v>HTC</v>
      </c>
      <c r="P26" s="4" t="str">
        <f>'[18]data summary'!T25</f>
        <v>HTC</v>
      </c>
      <c r="Q26" s="4">
        <f>'[18]data summary'!U25</f>
        <v>0</v>
      </c>
      <c r="R26" s="4">
        <f>'[18]data summary'!V25</f>
        <v>0</v>
      </c>
      <c r="S26" s="4" t="str">
        <f>'[18]data summary'!W25</f>
        <v>CED</v>
      </c>
      <c r="T26" s="4" t="str">
        <f>'[18]data summary'!X25</f>
        <v>CED</v>
      </c>
      <c r="U26" s="4">
        <f>'[18]data summary'!Y25</f>
        <v>0</v>
      </c>
    </row>
    <row r="27" spans="1:29" x14ac:dyDescent="0.2">
      <c r="A27">
        <f>'[17]data summary'!A36</f>
        <v>2025</v>
      </c>
      <c r="B27" t="str">
        <f>'[17]data summary'!B36</f>
        <v>PAG</v>
      </c>
      <c r="C27">
        <f>'[17]data summary'!C36</f>
        <v>4154122.7129186727</v>
      </c>
      <c r="D27">
        <f>'[17]data summary'!D36</f>
        <v>0.24023309359462655</v>
      </c>
      <c r="E27">
        <f>'[17]data summary'!E36</f>
        <v>30028255.8737716</v>
      </c>
      <c r="G27">
        <f>SUM([19]Usage!B$22:B$25)</f>
        <v>770.17229845590191</v>
      </c>
      <c r="I27" s="4">
        <f>'[18]data summary'!M26</f>
        <v>2025</v>
      </c>
      <c r="J27" s="4" t="str">
        <f>'[18]data summary'!N26</f>
        <v>Gas</v>
      </c>
      <c r="K27" s="4">
        <f>'[18]data summary'!O26</f>
        <v>6.3071468627804536E-2</v>
      </c>
      <c r="L27" s="4">
        <f>'[18]data summary'!P26</f>
        <v>6.3617545280706834E-3</v>
      </c>
      <c r="M27" s="4">
        <f>'[18]data summary'!Q26</f>
        <v>2.3671414625742767E-3</v>
      </c>
      <c r="N27" s="4">
        <f>'[18]data summary'!R26</f>
        <v>0</v>
      </c>
      <c r="O27" s="4">
        <f>'[18]data summary'!S26</f>
        <v>5.154367971278888E-3</v>
      </c>
      <c r="P27" s="4">
        <f>'[18]data summary'!T26</f>
        <v>5.1975366191894226E-4</v>
      </c>
      <c r="Q27" s="4">
        <f>'[18]data summary'!U26</f>
        <v>2.0049471186569141E-3</v>
      </c>
      <c r="R27" s="4">
        <f>'[18]data summary'!V26</f>
        <v>0</v>
      </c>
      <c r="S27" s="4">
        <f>'[18]data summary'!W26</f>
        <v>0.47793648476936174</v>
      </c>
      <c r="T27" s="4">
        <f>'[18]data summary'!X26</f>
        <v>4.8171444528757684E-2</v>
      </c>
      <c r="U27" s="4">
        <f>'[18]data summary'!Y26</f>
        <v>1.8989743436370245E-3</v>
      </c>
      <c r="V27" t="s">
        <v>29</v>
      </c>
      <c r="W27">
        <f>SUM([20]Manu_gas!$B$22:$M$25)</f>
        <v>13.321866023895751</v>
      </c>
      <c r="X27">
        <f>W27/SUM($W$27:$W$30)</f>
        <v>4.2063740846928358E-3</v>
      </c>
      <c r="AA27">
        <v>3.9833094554588E-3</v>
      </c>
      <c r="AB27">
        <v>3.9831633789093593E-3</v>
      </c>
      <c r="AC27">
        <f>(AA27+AB27)/2</f>
        <v>3.9832364171840801E-3</v>
      </c>
    </row>
    <row r="28" spans="1:29" x14ac:dyDescent="0.2">
      <c r="A28">
        <f>'[17]data summary'!A37</f>
        <v>0</v>
      </c>
      <c r="B28" t="str">
        <f>'[17]data summary'!B37</f>
        <v>Sur</v>
      </c>
      <c r="C28">
        <f>'[17]data summary'!C37</f>
        <v>244989.11490072677</v>
      </c>
      <c r="D28">
        <f>'[17]data summary'!D37</f>
        <v>2.7795789837969202E-2</v>
      </c>
      <c r="E28">
        <f>'[17]data summary'!E37</f>
        <v>2551892.0845658281</v>
      </c>
      <c r="G28">
        <f>SUM([19]Usage!C$22:C$25)</f>
        <v>18.133812085790826</v>
      </c>
      <c r="I28" s="4">
        <f>'[18]data summary'!M27</f>
        <v>0</v>
      </c>
      <c r="J28" s="4" t="str">
        <f>'[18]data summary'!N27</f>
        <v>Solid</v>
      </c>
      <c r="K28" s="4">
        <f>'[18]data summary'!O27</f>
        <v>7.4763339529054298E-2</v>
      </c>
      <c r="L28" s="4">
        <f>'[18]data summary'!P27</f>
        <v>7.5434986202152247E-3</v>
      </c>
      <c r="M28" s="4">
        <f>'[18]data summary'!Q27</f>
        <v>2.805950213782158E-3</v>
      </c>
      <c r="N28" s="4">
        <f>'[18]data summary'!R27</f>
        <v>0</v>
      </c>
      <c r="O28" s="4">
        <f>'[18]data summary'!S27</f>
        <v>6.109777455637783E-3</v>
      </c>
      <c r="P28" s="4">
        <f>'[18]data summary'!T27</f>
        <v>6.1629347774714161E-4</v>
      </c>
      <c r="Q28" s="4">
        <f>'[18]data summary'!U27</f>
        <v>2.3765824973253826E-3</v>
      </c>
      <c r="R28" s="4">
        <f>'[18]data summary'!V27</f>
        <v>0</v>
      </c>
      <c r="S28" s="4">
        <f>'[18]data summary'!W27</f>
        <v>0.56653305938420007</v>
      </c>
      <c r="T28" s="4">
        <f>'[18]data summary'!X27</f>
        <v>5.7119431293060317E-2</v>
      </c>
      <c r="U28" s="4">
        <f>'[18]data summary'!Y27</f>
        <v>2.2509931316751263E-3</v>
      </c>
      <c r="V28" t="s">
        <v>30</v>
      </c>
      <c r="W28">
        <f>SUM([20]Manu_solid!$B$22:$M$25)</f>
        <v>15.792139790684342</v>
      </c>
      <c r="X28">
        <f t="shared" ref="X28:X30" si="2">W28/SUM($W$27:$W$30)</f>
        <v>4.9863620785727987E-3</v>
      </c>
      <c r="AA28">
        <v>5.1400887172004563E-3</v>
      </c>
      <c r="AB28">
        <v>5.1401685783345778E-3</v>
      </c>
      <c r="AC28">
        <f t="shared" ref="AC28:AC30" si="3">(AA28+AB28)/2</f>
        <v>5.1401286477675175E-3</v>
      </c>
    </row>
    <row r="29" spans="1:29" x14ac:dyDescent="0.2">
      <c r="A29">
        <f>'[17]data summary'!A38</f>
        <v>0</v>
      </c>
      <c r="B29" t="str">
        <f>'[17]data summary'!B38</f>
        <v>TARC</v>
      </c>
      <c r="C29">
        <f>'[17]data summary'!C38</f>
        <v>12795942.260802973</v>
      </c>
      <c r="D29">
        <f>'[17]data summary'!D38</f>
        <v>1.42606744058532</v>
      </c>
      <c r="E29">
        <f>'[17]data summary'!E38</f>
        <v>131817866.33327244</v>
      </c>
      <c r="G29">
        <f>SUM([19]Usage!D$22:D$25)</f>
        <v>998.2529970956474</v>
      </c>
      <c r="I29" s="4">
        <f>'[18]data summary'!M28</f>
        <v>0</v>
      </c>
      <c r="J29" s="4" t="str">
        <f>'[18]data summary'!N28</f>
        <v>Solvent</v>
      </c>
      <c r="K29" s="4">
        <f>'[18]data summary'!O28</f>
        <v>7.5347612406207283</v>
      </c>
      <c r="L29" s="4">
        <f>'[18]data summary'!P28</f>
        <v>0.75993230999511585</v>
      </c>
      <c r="M29" s="4">
        <f>'[18]data summary'!Q28</f>
        <v>0.28278786163238534</v>
      </c>
      <c r="N29" s="4">
        <f>'[18]data summary'!R28</f>
        <v>0</v>
      </c>
      <c r="O29" s="4">
        <f>'[18]data summary'!S28</f>
        <v>0.39720755936811158</v>
      </c>
      <c r="P29" s="4">
        <f>'[18]data summary'!T28</f>
        <v>4.0104913672274131E-2</v>
      </c>
      <c r="Q29" s="4">
        <f>'[18]data summary'!U28</f>
        <v>0.15450587852893335</v>
      </c>
      <c r="R29" s="4">
        <f>'[18]data summary'!V28</f>
        <v>0</v>
      </c>
      <c r="S29" s="4">
        <f>'[18]data summary'!W28</f>
        <v>52.436330048922152</v>
      </c>
      <c r="T29" s="4">
        <f>'[18]data summary'!X28</f>
        <v>5.2865003847412488</v>
      </c>
      <c r="U29" s="4">
        <f>'[18]data summary'!Y28</f>
        <v>0.20834409719826777</v>
      </c>
      <c r="V29" t="s">
        <v>31</v>
      </c>
      <c r="W29">
        <f>SUM([20]Manu_solvent!$B$22:$M$25)</f>
        <v>1613.4262771938575</v>
      </c>
      <c r="X29">
        <f t="shared" si="2"/>
        <v>0.5094387278611916</v>
      </c>
      <c r="AA29">
        <v>0.52387607597402497</v>
      </c>
      <c r="AB29">
        <v>0.52388160213743451</v>
      </c>
      <c r="AC29">
        <f t="shared" si="3"/>
        <v>0.52387883905572974</v>
      </c>
    </row>
    <row r="30" spans="1:29" x14ac:dyDescent="0.2">
      <c r="A30">
        <f>'[17]data summary'!A39</f>
        <v>0</v>
      </c>
      <c r="B30" t="str">
        <f>'[17]data summary'!B39</f>
        <v>Polymer</v>
      </c>
      <c r="C30">
        <f>'[17]data summary'!C39</f>
        <v>279082.41249014571</v>
      </c>
      <c r="D30">
        <f>'[17]data summary'!D39</f>
        <v>1.5832431310527091E-2</v>
      </c>
      <c r="E30">
        <f>'[17]data summary'!E39</f>
        <v>1999730.7686826577</v>
      </c>
      <c r="G30">
        <f>SUM([19]Usage!E$22:E$25)</f>
        <v>52.34257549654032</v>
      </c>
      <c r="I30" s="4">
        <f>'[18]data summary'!M29</f>
        <v>0</v>
      </c>
      <c r="J30" s="4" t="str">
        <f>'[18]data summary'!N29</f>
        <v>Water</v>
      </c>
      <c r="K30" s="4">
        <f>'[18]data summary'!O29</f>
        <v>18.971974892586452</v>
      </c>
      <c r="L30" s="4">
        <f>'[18]data summary'!P29</f>
        <v>1.9218217090600391</v>
      </c>
      <c r="M30" s="4">
        <f>'[18]data summary'!Q29</f>
        <v>0.71203904669125828</v>
      </c>
      <c r="N30" s="4">
        <f>'[18]data summary'!R29</f>
        <v>0</v>
      </c>
      <c r="O30" s="4">
        <f>'[18]data summary'!S29</f>
        <v>2.1623531929368016</v>
      </c>
      <c r="P30" s="4">
        <f>'[18]data summary'!T29</f>
        <v>0.21928056320471118</v>
      </c>
      <c r="Q30" s="4">
        <f>'[18]data summary'!U29</f>
        <v>0.84111259185508436</v>
      </c>
      <c r="R30" s="4">
        <f>'[18]data summary'!V29</f>
        <v>0</v>
      </c>
      <c r="S30" s="4">
        <f>'[18]data summary'!W29</f>
        <v>198.2005811326851</v>
      </c>
      <c r="T30" s="4">
        <f>'[18]data summary'!X29</f>
        <v>20.113644451590133</v>
      </c>
      <c r="U30" s="4">
        <f>'[18]data summary'!Y29</f>
        <v>0.7875059353264201</v>
      </c>
      <c r="V30" t="s">
        <v>32</v>
      </c>
      <c r="W30">
        <f>SUM([20]Manu_water!$B$22:$M$25)</f>
        <v>1524.5261156684078</v>
      </c>
      <c r="X30">
        <f t="shared" si="2"/>
        <v>0.4813685359755428</v>
      </c>
      <c r="AA30">
        <v>0.46700052585331581</v>
      </c>
      <c r="AB30">
        <v>0.46699506590532147</v>
      </c>
      <c r="AC30">
        <f t="shared" si="3"/>
        <v>0.46699779587931867</v>
      </c>
    </row>
    <row r="31" spans="1:29" x14ac:dyDescent="0.2">
      <c r="A31">
        <f>'[17]data summary'!A40</f>
        <v>0</v>
      </c>
      <c r="B31" t="str">
        <f>'[17]data summary'!B40</f>
        <v>ITC</v>
      </c>
      <c r="C31">
        <f>'[17]data summary'!C40</f>
        <v>6685447.046307167</v>
      </c>
      <c r="D31">
        <f>'[17]data summary'!D40</f>
        <v>0.72465059726340142</v>
      </c>
      <c r="E31">
        <f>'[17]data summary'!E40</f>
        <v>67715060.596696958</v>
      </c>
      <c r="G31">
        <f>SUM([19]Usage!F$22:F$25)</f>
        <v>561.71802257636909</v>
      </c>
      <c r="I31" s="4">
        <f>'[18]data summary'!M30</f>
        <v>0</v>
      </c>
      <c r="J31" s="4">
        <f>'[18]data summary'!N30</f>
        <v>0</v>
      </c>
      <c r="K31" s="4">
        <f>'[18]data summary'!O30</f>
        <v>26.644570941364037</v>
      </c>
      <c r="L31" s="4">
        <f>'[18]data summary'!P30</f>
        <v>2.6956592722034411</v>
      </c>
      <c r="M31" s="4">
        <f>'[18]data summary'!Q30</f>
        <v>0</v>
      </c>
      <c r="N31" s="4">
        <f>'[18]data summary'!R30</f>
        <v>0</v>
      </c>
      <c r="O31" s="4">
        <f>'[18]data summary'!S30</f>
        <v>2.5708248977318298</v>
      </c>
      <c r="P31" s="4">
        <f>'[18]data summary'!T30</f>
        <v>0.26052152401665141</v>
      </c>
      <c r="Q31" s="4">
        <f>'[18]data summary'!U30</f>
        <v>0</v>
      </c>
      <c r="R31" s="4">
        <f>'[18]data summary'!V30</f>
        <v>0</v>
      </c>
      <c r="S31" s="4">
        <f>'[18]data summary'!W30</f>
        <v>251.68138072576082</v>
      </c>
      <c r="T31" s="4">
        <f>'[18]data summary'!X30</f>
        <v>25.505435712153201</v>
      </c>
      <c r="U31" s="4">
        <f>'[18]data summary'!Y30</f>
        <v>0</v>
      </c>
    </row>
    <row r="32" spans="1:29" x14ac:dyDescent="0.2">
      <c r="A32">
        <f>'[17]data summary'!A41</f>
        <v>0</v>
      </c>
      <c r="B32" t="str">
        <f>'[17]data summary'!B41</f>
        <v>PBO</v>
      </c>
      <c r="C32">
        <f>'[17]data summary'!C41</f>
        <v>2484987.3939443505</v>
      </c>
      <c r="D32">
        <f>'[17]data summary'!D41</f>
        <v>0.13624554513998519</v>
      </c>
      <c r="E32">
        <f>'[17]data summary'!E41</f>
        <v>17568575.068771325</v>
      </c>
      <c r="G32">
        <f>SUM([19]Usage!G$22:G$25)</f>
        <v>506.48432009138139</v>
      </c>
      <c r="I32" s="4">
        <f>'[18]data summary'!M31</f>
        <v>0</v>
      </c>
      <c r="J32" s="4">
        <f>'[18]data summary'!N31</f>
        <v>0</v>
      </c>
      <c r="K32" s="4">
        <f>'[18]data summary'!O31</f>
        <v>0</v>
      </c>
      <c r="L32" s="4">
        <f>'[18]data summary'!P31</f>
        <v>0</v>
      </c>
      <c r="M32" s="4">
        <f>'[18]data summary'!Q31</f>
        <v>0</v>
      </c>
      <c r="N32" s="4">
        <f>'[18]data summary'!R31</f>
        <v>0</v>
      </c>
      <c r="O32" s="4">
        <f>'[18]data summary'!S31</f>
        <v>0</v>
      </c>
      <c r="P32" s="4">
        <f>'[18]data summary'!T31</f>
        <v>0</v>
      </c>
      <c r="Q32" s="4">
        <f>'[18]data summary'!U31</f>
        <v>0</v>
      </c>
      <c r="R32" s="4">
        <f>'[18]data summary'!V31</f>
        <v>0</v>
      </c>
      <c r="S32" s="4">
        <f>'[18]data summary'!W31</f>
        <v>0</v>
      </c>
      <c r="T32" s="4">
        <f>'[18]data summary'!X31</f>
        <v>0</v>
      </c>
      <c r="U32" s="4">
        <f>'[18]data summary'!Y31</f>
        <v>0</v>
      </c>
    </row>
    <row r="33" spans="1:36" x14ac:dyDescent="0.2">
      <c r="A33">
        <f>'[17]data summary'!A42</f>
        <v>0</v>
      </c>
      <c r="B33">
        <f>'[17]data summary'!B42</f>
        <v>0</v>
      </c>
      <c r="C33">
        <f>'[17]data summary'!C42</f>
        <v>26644570.941364031</v>
      </c>
      <c r="D33">
        <f>'[17]data summary'!D42</f>
        <v>2.5708248977318293</v>
      </c>
      <c r="E33">
        <f>'[17]data summary'!E42</f>
        <v>251681380.72576085</v>
      </c>
      <c r="G33">
        <f>SUM(G27:G32)</f>
        <v>2907.1040258016315</v>
      </c>
      <c r="I33" s="4">
        <f>'[18]data summary'!M32</f>
        <v>2030</v>
      </c>
      <c r="J33" s="4" t="str">
        <f>'[18]data summary'!N32</f>
        <v>Gas</v>
      </c>
      <c r="K33" s="4">
        <f>'[18]data summary'!O32</f>
        <v>0.4279773530725392</v>
      </c>
      <c r="L33" s="4">
        <f>'[18]data summary'!P32</f>
        <v>5.1082415725001488E-2</v>
      </c>
      <c r="M33" s="4">
        <f>'[18]data summary'!Q32</f>
        <v>2.4056370143710638E-3</v>
      </c>
      <c r="N33" s="4">
        <f>'[18]data summary'!R32</f>
        <v>0</v>
      </c>
      <c r="O33" s="4">
        <f>'[18]data summary'!S32</f>
        <v>3.3272879539869175E-2</v>
      </c>
      <c r="P33" s="4">
        <f>'[18]data summary'!T32</f>
        <v>3.9683808773188223E-3</v>
      </c>
      <c r="Q33" s="4">
        <f>'[18]data summary'!U32</f>
        <v>2.1598983974553706E-3</v>
      </c>
      <c r="R33" s="4">
        <f>'[18]data summary'!V32</f>
        <v>0</v>
      </c>
      <c r="S33" s="4">
        <f>'[18]data summary'!W32</f>
        <v>3.2246132040332531</v>
      </c>
      <c r="T33" s="4">
        <f>'[18]data summary'!X32</f>
        <v>0.38130805511874089</v>
      </c>
      <c r="U33" s="4">
        <f>'[18]data summary'!Y32</f>
        <v>1.9573917878653213E-3</v>
      </c>
      <c r="V33" t="s">
        <v>29</v>
      </c>
      <c r="W33">
        <f>SUM([20]Manu_gas!$B$42:$M$45)</f>
        <v>95.033365979008408</v>
      </c>
      <c r="X33" t="e">
        <f>W33/SUM($W$33:W36)</f>
        <v>#REF!</v>
      </c>
      <c r="AA33">
        <v>3.9832364171840801E-3</v>
      </c>
      <c r="AB33">
        <v>5.1401286477675175E-3</v>
      </c>
      <c r="AC33">
        <v>0.52387883905572974</v>
      </c>
      <c r="AD33">
        <v>0.46699779587931867</v>
      </c>
    </row>
    <row r="34" spans="1:36" x14ac:dyDescent="0.2">
      <c r="A34">
        <f>'[17]data summary'!A43</f>
        <v>0</v>
      </c>
      <c r="B34">
        <f>'[17]data summary'!B43</f>
        <v>0</v>
      </c>
      <c r="C34">
        <f>'[17]data summary'!C43</f>
        <v>0</v>
      </c>
      <c r="D34">
        <f>'[17]data summary'!D43</f>
        <v>0</v>
      </c>
      <c r="E34">
        <f>'[17]data summary'!E43</f>
        <v>0</v>
      </c>
      <c r="I34" s="4">
        <f>'[18]data summary'!M33</f>
        <v>0</v>
      </c>
      <c r="J34" s="4" t="str">
        <f>'[18]data summary'!N33</f>
        <v>Solid</v>
      </c>
      <c r="K34" s="4">
        <f>'[18]data summary'!O33</f>
        <v>0.5522628036817756</v>
      </c>
      <c r="L34" s="4">
        <f>'[18]data summary'!P33</f>
        <v>6.5903238524672739E-2</v>
      </c>
      <c r="M34" s="4">
        <f>'[18]data summary'!Q33</f>
        <v>3.1042386534224872E-3</v>
      </c>
      <c r="N34" s="4">
        <f>'[18]data summary'!R33</f>
        <v>0</v>
      </c>
      <c r="O34" s="4">
        <f>'[18]data summary'!S33</f>
        <v>4.2933960949441408E-2</v>
      </c>
      <c r="P34" s="4">
        <f>'[18]data summary'!T33</f>
        <v>5.1195832740272926E-3</v>
      </c>
      <c r="Q34" s="4">
        <f>'[18]data summary'!U33</f>
        <v>2.7870444257760379E-3</v>
      </c>
      <c r="R34" s="4">
        <f>'[18]data summary'!V33</f>
        <v>0</v>
      </c>
      <c r="S34" s="4">
        <f>'[18]data summary'!W33</f>
        <v>4.1610316301024275</v>
      </c>
      <c r="T34" s="4">
        <f>'[18]data summary'!X33</f>
        <v>0.49193462284495737</v>
      </c>
      <c r="U34" s="4">
        <f>'[18]data summary'!Y33</f>
        <v>2.5258127491455721E-3</v>
      </c>
      <c r="V34" t="s">
        <v>30</v>
      </c>
      <c r="W34">
        <f>SUM([20]Manu_solid!$B$42:$M$45)</f>
        <v>122.63808315902506</v>
      </c>
      <c r="X34" t="e">
        <f>W34/SUM($W$33:W37)</f>
        <v>#REF!</v>
      </c>
    </row>
    <row r="35" spans="1:36" x14ac:dyDescent="0.2">
      <c r="A35">
        <f>'[17]data summary'!A44</f>
        <v>2030</v>
      </c>
      <c r="B35" t="str">
        <f>'[17]data summary'!B44</f>
        <v>PAG</v>
      </c>
      <c r="C35">
        <f>'[17]data summary'!C44</f>
        <v>28507371.923199233</v>
      </c>
      <c r="D35">
        <f>'[17]data summary'!D44</f>
        <v>1.5198660206320622</v>
      </c>
      <c r="E35">
        <f>'[17]data summary'!E44</f>
        <v>204599557.17602041</v>
      </c>
      <c r="G35">
        <f>SUM([19]Usage!$B$42:$B$45)</f>
        <v>5430.3563010357657</v>
      </c>
      <c r="I35" s="4">
        <f>'[18]data summary'!M34</f>
        <v>0</v>
      </c>
      <c r="J35" s="4" t="str">
        <f>'[18]data summary'!N34</f>
        <v>Solvent</v>
      </c>
      <c r="K35" s="4">
        <f>'[18]data summary'!O34</f>
        <v>56.614076325898395</v>
      </c>
      <c r="L35" s="4">
        <f>'[18]data summary'!P34</f>
        <v>6.703607333763828</v>
      </c>
      <c r="M35" s="4">
        <f>'[18]data summary'!Q34</f>
        <v>0.31822458961029643</v>
      </c>
      <c r="N35" s="4">
        <f>'[18]data summary'!R34</f>
        <v>0</v>
      </c>
      <c r="O35" s="4">
        <f>'[18]data summary'!S34</f>
        <v>2.776981161501805</v>
      </c>
      <c r="P35" s="4">
        <f>'[18]data summary'!T34</f>
        <v>0.3349589350953156</v>
      </c>
      <c r="Q35" s="4">
        <f>'[18]data summary'!U34</f>
        <v>0.18026684926095476</v>
      </c>
      <c r="R35" s="4">
        <f>'[18]data summary'!V34</f>
        <v>0</v>
      </c>
      <c r="S35" s="4">
        <f>'[18]data summary'!W34</f>
        <v>392.74919759857255</v>
      </c>
      <c r="T35" s="4">
        <f>'[18]data summary'!X34</f>
        <v>46.283088959007593</v>
      </c>
      <c r="U35" s="4">
        <f>'[18]data summary'!Y34</f>
        <v>0.23840504439682636</v>
      </c>
      <c r="V35" t="s">
        <v>31</v>
      </c>
      <c r="W35" t="e">
        <f>SUM([20]Manu_solvent!$B$42:'[20]Manu_solvent'!$M$45)</f>
        <v>#REF!</v>
      </c>
      <c r="X35" t="e">
        <f>W35/SUM($W$33:W38)</f>
        <v>#REF!</v>
      </c>
    </row>
    <row r="36" spans="1:36" x14ac:dyDescent="0.2">
      <c r="A36">
        <f>'[17]data summary'!A45</f>
        <v>0</v>
      </c>
      <c r="B36" t="str">
        <f>'[17]data summary'!B45</f>
        <v>Sur</v>
      </c>
      <c r="C36">
        <f>'[17]data summary'!C45</f>
        <v>1518189.0118807303</v>
      </c>
      <c r="D36">
        <f>'[17]data summary'!D45</f>
        <v>0.15760700112101769</v>
      </c>
      <c r="E36">
        <f>'[17]data summary'!E45</f>
        <v>15688057.262887618</v>
      </c>
      <c r="G36">
        <f>SUM([19]Usage!$C$42:$C$45)</f>
        <v>127.85848169208208</v>
      </c>
      <c r="I36" s="4">
        <f>'[18]data summary'!M35</f>
        <v>0</v>
      </c>
      <c r="J36" s="4" t="str">
        <f>'[18]data summary'!N35</f>
        <v>Water</v>
      </c>
      <c r="K36" s="4">
        <f>'[18]data summary'!O35</f>
        <v>120.31172275595236</v>
      </c>
      <c r="L36" s="4">
        <f>'[18]data summary'!P35</f>
        <v>15.360891513292923</v>
      </c>
      <c r="M36" s="4">
        <f>'[18]data summary'!Q35</f>
        <v>0.67626553472190998</v>
      </c>
      <c r="N36" s="4">
        <f>'[18]data summary'!R35</f>
        <v>0</v>
      </c>
      <c r="O36" s="4">
        <f>'[18]data summary'!S35</f>
        <v>12.551647512063051</v>
      </c>
      <c r="P36" s="4">
        <f>'[18]data summary'!T35</f>
        <v>1.6456574633774723</v>
      </c>
      <c r="Q36" s="4">
        <f>'[18]data summary'!U35</f>
        <v>0.8147862079158138</v>
      </c>
      <c r="R36" s="4">
        <f>'[18]data summary'!V35</f>
        <v>0</v>
      </c>
      <c r="S36" s="4">
        <f>'[18]data summary'!W35</f>
        <v>1247.2682089257169</v>
      </c>
      <c r="T36" s="4">
        <f>'[18]data summary'!X35</f>
        <v>163.23658474101066</v>
      </c>
      <c r="U36" s="4">
        <f>'[18]data summary'!Y35</f>
        <v>0.7571117510661628</v>
      </c>
      <c r="V36" t="s">
        <v>32</v>
      </c>
      <c r="W36">
        <f>SUM([20]Manu_water!$B$42:$M$45)</f>
        <v>11141.926350187374</v>
      </c>
      <c r="X36" t="e">
        <f>W36/SUM($W$33:W39)</f>
        <v>#REF!</v>
      </c>
    </row>
    <row r="37" spans="1:36" x14ac:dyDescent="0.2">
      <c r="A37">
        <f>'[17]data summary'!A46</f>
        <v>0</v>
      </c>
      <c r="B37" t="str">
        <f>'[17]data summary'!B46</f>
        <v>TARC</v>
      </c>
      <c r="C37">
        <f>'[17]data summary'!C46</f>
        <v>81775081.759220451</v>
      </c>
      <c r="D37">
        <f>'[17]data summary'!D46</f>
        <v>8.3236557106784979</v>
      </c>
      <c r="E37">
        <f>'[17]data summary'!E46</f>
        <v>834749407.05204189</v>
      </c>
      <c r="G37">
        <f>SUM([19]Usage!$D$42:$D$45)</f>
        <v>7231.5278026438427</v>
      </c>
      <c r="I37" s="4">
        <f>'[18]data summary'!M36</f>
        <v>0</v>
      </c>
      <c r="J37" s="4">
        <f>'[18]data summary'!N36</f>
        <v>0</v>
      </c>
      <c r="K37" s="4">
        <f>'[18]data summary'!O36</f>
        <v>177.90603923860508</v>
      </c>
      <c r="L37" s="4">
        <f>'[18]data summary'!P36</f>
        <v>22.181484501306425</v>
      </c>
      <c r="M37" s="4">
        <f>'[18]data summary'!Q36</f>
        <v>0</v>
      </c>
      <c r="N37" s="4">
        <f>'[18]data summary'!R36</f>
        <v>0</v>
      </c>
      <c r="O37" s="4">
        <f>'[18]data summary'!S36</f>
        <v>15.404835514054167</v>
      </c>
      <c r="P37" s="4">
        <f>'[18]data summary'!T36</f>
        <v>1.989704362624134</v>
      </c>
      <c r="Q37" s="4">
        <f>'[18]data summary'!U36</f>
        <v>0</v>
      </c>
      <c r="R37" s="4">
        <f>'[18]data summary'!V36</f>
        <v>0</v>
      </c>
      <c r="S37" s="4">
        <f>'[18]data summary'!W36</f>
        <v>1647.403051358425</v>
      </c>
      <c r="T37" s="4">
        <f>'[18]data summary'!X36</f>
        <v>210.39291637798195</v>
      </c>
      <c r="U37" s="4">
        <f>'[18]data summary'!Y36</f>
        <v>0</v>
      </c>
    </row>
    <row r="38" spans="1:36" x14ac:dyDescent="0.2">
      <c r="A38">
        <f>'[17]data summary'!A47</f>
        <v>0</v>
      </c>
      <c r="B38" t="str">
        <f>'[17]data summary'!B47</f>
        <v>Polymer</v>
      </c>
      <c r="C38">
        <f>'[17]data summary'!C47</f>
        <v>1918863.0762598871</v>
      </c>
      <c r="D38">
        <f>'[17]data summary'!D47</f>
        <v>0.10057855016052923</v>
      </c>
      <c r="E38">
        <f>'[17]data summary'!E47</f>
        <v>13663671.463021182</v>
      </c>
      <c r="G38">
        <f>SUM([19]Usage!$E$42:$E$45)</f>
        <v>369.05876156535476</v>
      </c>
      <c r="I38" s="4">
        <f>'[18]data summary'!M37</f>
        <v>0</v>
      </c>
      <c r="J38" s="4">
        <f>'[18]data summary'!N37</f>
        <v>0</v>
      </c>
      <c r="K38" s="4">
        <f>'[18]data summary'!O37</f>
        <v>0</v>
      </c>
      <c r="L38" s="4">
        <f>'[18]data summary'!P37</f>
        <v>0</v>
      </c>
      <c r="M38" s="4">
        <f>'[18]data summary'!Q37</f>
        <v>0</v>
      </c>
      <c r="N38" s="4">
        <f>'[18]data summary'!R37</f>
        <v>0</v>
      </c>
      <c r="O38" s="4">
        <f>'[18]data summary'!S37</f>
        <v>0</v>
      </c>
      <c r="P38" s="4">
        <f>'[18]data summary'!T37</f>
        <v>0</v>
      </c>
      <c r="Q38" s="4">
        <f>'[18]data summary'!U37</f>
        <v>0</v>
      </c>
      <c r="R38" s="4">
        <f>'[18]data summary'!V37</f>
        <v>0</v>
      </c>
      <c r="S38" s="4">
        <f>'[18]data summary'!W37</f>
        <v>0</v>
      </c>
      <c r="T38" s="4">
        <f>'[18]data summary'!X37</f>
        <v>0</v>
      </c>
      <c r="U38" s="4">
        <f>'[18]data summary'!Y37</f>
        <v>0</v>
      </c>
    </row>
    <row r="39" spans="1:36" x14ac:dyDescent="0.2">
      <c r="A39">
        <f>'[17]data summary'!A48</f>
        <v>0</v>
      </c>
      <c r="B39" t="str">
        <f>'[17]data summary'!B48</f>
        <v>ITC</v>
      </c>
      <c r="C39">
        <f>'[17]data summary'!C48</f>
        <v>42579542.593069054</v>
      </c>
      <c r="D39">
        <f>'[17]data summary'!D48</f>
        <v>4.2053949366391734</v>
      </c>
      <c r="E39">
        <f>'[17]data summary'!E48</f>
        <v>426689511.61636484</v>
      </c>
      <c r="G39">
        <f>SUM([19]Usage!$F$42:$F$45)</f>
        <v>4031.2513425403527</v>
      </c>
      <c r="I39" s="4">
        <f>'[18]data summary'!M38</f>
        <v>2025</v>
      </c>
      <c r="J39" s="4">
        <f>'[18]data summary'!N38</f>
        <v>0</v>
      </c>
      <c r="K39" s="4">
        <f>'[18]data summary'!O38</f>
        <v>26.644570941364037</v>
      </c>
      <c r="L39" s="4">
        <f>'[18]data summary'!P38</f>
        <v>2.6956592722034411</v>
      </c>
      <c r="M39" s="4">
        <f>'[18]data summary'!Q38</f>
        <v>0</v>
      </c>
      <c r="N39" s="4">
        <f>'[18]data summary'!R38</f>
        <v>0</v>
      </c>
      <c r="O39" s="4">
        <f>'[18]data summary'!S38</f>
        <v>2.5708248977318298</v>
      </c>
      <c r="P39" s="4">
        <f>'[18]data summary'!T38</f>
        <v>0.26052152401665141</v>
      </c>
      <c r="Q39" s="4">
        <f>'[18]data summary'!U38</f>
        <v>0</v>
      </c>
      <c r="R39" s="4">
        <f>'[18]data summary'!V38</f>
        <v>0</v>
      </c>
      <c r="S39" s="4">
        <f>'[18]data summary'!W38</f>
        <v>251.68138072576082</v>
      </c>
      <c r="T39" s="4">
        <f>'[18]data summary'!X38</f>
        <v>25.505435712153201</v>
      </c>
      <c r="U39" s="4">
        <f>'[18]data summary'!Y38</f>
        <v>0</v>
      </c>
    </row>
    <row r="40" spans="1:36" x14ac:dyDescent="0.2">
      <c r="A40">
        <f>'[17]data summary'!A49</f>
        <v>0</v>
      </c>
      <c r="B40" t="str">
        <f>'[17]data summary'!B49</f>
        <v>PBO</v>
      </c>
      <c r="C40">
        <f>'[17]data summary'!C49</f>
        <v>21606990.8749757</v>
      </c>
      <c r="D40">
        <f>'[17]data summary'!D49</f>
        <v>1.0977332948228868</v>
      </c>
      <c r="E40">
        <f>'[17]data summary'!E49</f>
        <v>152012846.78808933</v>
      </c>
      <c r="G40">
        <f>SUM([19]Usage!$G$42:$G$45)</f>
        <v>4503.0566378331914</v>
      </c>
      <c r="I40" s="4">
        <f>'[18]data summary'!M39</f>
        <v>2030</v>
      </c>
      <c r="J40" s="4">
        <f>'[18]data summary'!N39</f>
        <v>0</v>
      </c>
      <c r="K40" s="4">
        <f>'[18]data summary'!O39</f>
        <v>177.90603923860508</v>
      </c>
      <c r="L40" s="4">
        <f>'[18]data summary'!P39</f>
        <v>22.181484501306425</v>
      </c>
      <c r="M40" s="4">
        <f>'[18]data summary'!Q39</f>
        <v>0</v>
      </c>
      <c r="N40" s="4">
        <f>'[18]data summary'!R39</f>
        <v>0</v>
      </c>
      <c r="O40" s="4">
        <f>'[18]data summary'!S39</f>
        <v>15.404835514054167</v>
      </c>
      <c r="P40" s="4">
        <f>'[18]data summary'!T39</f>
        <v>1.989704362624134</v>
      </c>
      <c r="Q40" s="4">
        <f>'[18]data summary'!U39</f>
        <v>0</v>
      </c>
      <c r="R40" s="4">
        <f>'[18]data summary'!V39</f>
        <v>0</v>
      </c>
      <c r="S40" s="4">
        <f>'[18]data summary'!W39</f>
        <v>1647.403051358425</v>
      </c>
      <c r="T40" s="4">
        <f>'[18]data summary'!X39</f>
        <v>210.39291637798195</v>
      </c>
      <c r="U40" s="4">
        <f>'[18]data summary'!Y39</f>
        <v>0</v>
      </c>
    </row>
    <row r="41" spans="1:36" x14ac:dyDescent="0.2">
      <c r="A41">
        <f>'[17]data summary'!A50</f>
        <v>0</v>
      </c>
      <c r="B41">
        <f>'[17]data summary'!B50</f>
        <v>0</v>
      </c>
      <c r="C41">
        <f>'[17]data summary'!C50</f>
        <v>177906039.23860505</v>
      </c>
      <c r="D41">
        <f>'[17]data summary'!D50</f>
        <v>15.404835514054167</v>
      </c>
      <c r="E41">
        <f>'[17]data summary'!E50</f>
        <v>1647403051.3584251</v>
      </c>
      <c r="G41">
        <f>SUM(G35:G40)</f>
        <v>21693.109327310587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5" spans="1:36" x14ac:dyDescent="0.2">
      <c r="A45" t="str" cm="1">
        <f t="array" ref="A45">INDEX($A$6:$U$41, COLUMN(A1), ROW(A1))</f>
        <v>yearly</v>
      </c>
      <c r="B45" cm="1">
        <f t="array" ref="B45">INDEX($A$6:$U$41, COLUMN(B1), ROW(B1))</f>
        <v>2025</v>
      </c>
      <c r="C45" cm="1">
        <f t="array" ref="C45">INDEX($A$6:$U$41, COLUMN(C1), ROW(C1))</f>
        <v>0</v>
      </c>
      <c r="D45" cm="1">
        <f t="array" ref="D45">INDEX($A$6:$U$41, COLUMN(D1), ROW(D1))</f>
        <v>0</v>
      </c>
      <c r="E45" cm="1">
        <f t="array" ref="E45">INDEX($A$6:$U$41, COLUMN(E1), ROW(E1))</f>
        <v>0</v>
      </c>
      <c r="F45" cm="1">
        <f t="array" ref="F45">INDEX($A$6:$U$41, COLUMN(F1), ROW(F1))</f>
        <v>0</v>
      </c>
      <c r="G45" cm="1">
        <f t="array" ref="G45">INDEX($A$6:$U$41, COLUMN(G1), ROW(G1))</f>
        <v>0</v>
      </c>
      <c r="H45" cm="1">
        <f t="array" ref="H45">INDEX($A$6:$U$41, COLUMN(H1), ROW(H1))</f>
        <v>0</v>
      </c>
      <c r="I45" cm="1">
        <f t="array" ref="I45">INDEX($A$6:$U$41, COLUMN(I1), ROW(I1))</f>
        <v>0</v>
      </c>
      <c r="J45" cm="1">
        <f t="array" ref="J45">INDEX($A$6:$U$41, COLUMN(J1), ROW(J1))</f>
        <v>2030</v>
      </c>
      <c r="K45" cm="1">
        <f t="array" ref="K45">INDEX($A$6:$U$41, COLUMN(K1), ROW(K1))</f>
        <v>0</v>
      </c>
      <c r="L45" cm="1">
        <f t="array" ref="L45">INDEX($A$6:$U$41, COLUMN(L1), ROW(L1))</f>
        <v>0</v>
      </c>
      <c r="M45" cm="1">
        <f t="array" ref="M45">INDEX($A$6:$U$41, COLUMN(M1), ROW(M1))</f>
        <v>0</v>
      </c>
      <c r="N45" cm="1">
        <f t="array" ref="N45">INDEX($A$6:$U$41, COLUMN(N1), ROW(N1))</f>
        <v>0</v>
      </c>
      <c r="O45" cm="1">
        <f t="array" ref="O45">INDEX($A$6:$U$41, COLUMN(O1), ROW(O1))</f>
        <v>0</v>
      </c>
      <c r="P45" cm="1">
        <f t="array" ref="P45">INDEX($A$6:$U$41, COLUMN(P1), ROW(P1))</f>
        <v>0</v>
      </c>
      <c r="Q45" cm="1">
        <f t="array" ref="Q45">INDEX($A$6:$U$41, COLUMN(Q1), ROW(Q1))</f>
        <v>0</v>
      </c>
      <c r="R45" cm="1">
        <f t="array" ref="R45">INDEX($A$6:$U$41, COLUMN(R1), ROW(R1))</f>
        <v>0</v>
      </c>
      <c r="S45" cm="1">
        <f t="array" ref="S45">INDEX($A$6:$U$41, COLUMN(S1), ROW(S1))</f>
        <v>0</v>
      </c>
      <c r="T45" t="str" cm="1">
        <f t="array" ref="T45">INDEX($A$6:$U$41, COLUMN(T1), ROW(T1))</f>
        <v>3.75 years</v>
      </c>
      <c r="U45" t="str" cm="1">
        <f t="array" ref="U45">INDEX($A$6:$U$41, COLUMN(U1), ROW(U1))</f>
        <v>yearly</v>
      </c>
      <c r="V45" cm="1">
        <f t="array" ref="V45">INDEX($A$6:$U$41, COLUMN(V1), ROW(V1))</f>
        <v>2025</v>
      </c>
      <c r="W45" cm="1">
        <f t="array" ref="W45">INDEX($A$6:$U$41, COLUMN(W1), ROW(W1))</f>
        <v>0</v>
      </c>
      <c r="X45" cm="1">
        <f t="array" ref="X45">INDEX($A$6:$U$41, COLUMN(X1), ROW(X1))</f>
        <v>0</v>
      </c>
      <c r="Y45" cm="1">
        <f t="array" ref="Y45">INDEX($A$6:$U$41, COLUMN(Y1), ROW(Y1))</f>
        <v>0</v>
      </c>
      <c r="Z45" cm="1">
        <f t="array" ref="Z45">INDEX($A$6:$U$41, COLUMN(Z1), ROW(Z1))</f>
        <v>0</v>
      </c>
      <c r="AA45" cm="1">
        <f t="array" ref="AA45">INDEX($A$6:$U$41, COLUMN(AA1), ROW(AA1))</f>
        <v>0</v>
      </c>
      <c r="AB45" cm="1">
        <f t="array" ref="AB45">INDEX($A$6:$U$41, COLUMN(AB1), ROW(AB1))</f>
        <v>0</v>
      </c>
      <c r="AC45" cm="1">
        <f t="array" ref="AC45">INDEX($A$6:$U$41, COLUMN(AC1), ROW(AC1))</f>
        <v>0</v>
      </c>
      <c r="AD45" cm="1">
        <f t="array" ref="AD45">INDEX($A$6:$U$41, COLUMN(AD1), ROW(AD1))</f>
        <v>2030</v>
      </c>
      <c r="AE45" cm="1">
        <f t="array" ref="AE45">INDEX($A$6:$U$41, COLUMN(AE1), ROW(AE1))</f>
        <v>0</v>
      </c>
      <c r="AF45" cm="1">
        <f t="array" ref="AF45">INDEX($A$6:$U$41, COLUMN(AF1), ROW(AF1))</f>
        <v>0</v>
      </c>
      <c r="AG45" cm="1">
        <f t="array" ref="AG45">INDEX($A$6:$U$41, COLUMN(AG1), ROW(AG1))</f>
        <v>0</v>
      </c>
      <c r="AH45" cm="1">
        <f t="array" ref="AH45">INDEX($A$6:$U$41, COLUMN(AH1), ROW(AH1))</f>
        <v>0</v>
      </c>
      <c r="AI45" cm="1">
        <f t="array" ref="AI45">INDEX($A$6:$U$41, COLUMN(AI1), ROW(AI1))</f>
        <v>0</v>
      </c>
      <c r="AJ45" cm="1">
        <f t="array" ref="AJ45">INDEX($A$6:$U$41, COLUMN(AJ1), ROW(AJ1))</f>
        <v>0</v>
      </c>
    </row>
    <row r="46" spans="1:36" x14ac:dyDescent="0.2">
      <c r="A46" cm="1">
        <f t="array" ref="A46">INDEX($A$6:$U$41, COLUMN(A2), ROW(A2))</f>
        <v>0</v>
      </c>
      <c r="B46" t="str" cm="1">
        <f t="array" ref="B46">INDEX($A$6:$U$41, COLUMN(B2), ROW(B2))</f>
        <v>PAG</v>
      </c>
      <c r="C46" t="str" cm="1">
        <f t="array" ref="C46">INDEX($A$6:$U$41, COLUMN(C2), ROW(C2))</f>
        <v>Sur</v>
      </c>
      <c r="D46" t="str" cm="1">
        <f t="array" ref="D46">INDEX($A$6:$U$41, COLUMN(D2), ROW(D2))</f>
        <v>TARC</v>
      </c>
      <c r="E46" t="str" cm="1">
        <f t="array" ref="E46">INDEX($A$6:$U$41, COLUMN(E2), ROW(E2))</f>
        <v>Polymer</v>
      </c>
      <c r="F46" t="str" cm="1">
        <f t="array" ref="F46">INDEX($A$6:$U$41, COLUMN(F2), ROW(F2))</f>
        <v>ITC</v>
      </c>
      <c r="G46" t="str" cm="1">
        <f t="array" ref="G46">INDEX($A$6:$U$41, COLUMN(G2), ROW(G2))</f>
        <v>PBO</v>
      </c>
      <c r="H46" cm="1">
        <f t="array" ref="H46">INDEX($A$6:$U$41, COLUMN(H2), ROW(H2))</f>
        <v>0</v>
      </c>
      <c r="I46" cm="1">
        <f t="array" ref="I46">INDEX($A$6:$U$41, COLUMN(I2), ROW(I2))</f>
        <v>0</v>
      </c>
      <c r="J46" t="str" cm="1">
        <f t="array" ref="J46">INDEX($A$6:$U$41, COLUMN(J2), ROW(J2))</f>
        <v>PAG</v>
      </c>
      <c r="K46" t="str" cm="1">
        <f t="array" ref="K46">INDEX($A$6:$U$41, COLUMN(K2), ROW(K2))</f>
        <v>Sur</v>
      </c>
      <c r="L46" t="str" cm="1">
        <f t="array" ref="L46">INDEX($A$6:$U$41, COLUMN(L2), ROW(L2))</f>
        <v>TARC</v>
      </c>
      <c r="M46" t="str" cm="1">
        <f t="array" ref="M46">INDEX($A$6:$U$41, COLUMN(M2), ROW(M2))</f>
        <v>Polymer</v>
      </c>
      <c r="N46" t="str" cm="1">
        <f t="array" ref="N46">INDEX($A$6:$U$41, COLUMN(N2), ROW(N2))</f>
        <v>ITC</v>
      </c>
      <c r="O46" t="str" cm="1">
        <f t="array" ref="O46">INDEX($A$6:$U$41, COLUMN(O2), ROW(O2))</f>
        <v>PBO</v>
      </c>
      <c r="P46" cm="1">
        <f t="array" ref="P46">INDEX($A$6:$U$41, COLUMN(P2), ROW(P2))</f>
        <v>0</v>
      </c>
      <c r="Q46" cm="1">
        <f t="array" ref="Q46">INDEX($A$6:$U$41, COLUMN(Q2), ROW(Q2))</f>
        <v>0</v>
      </c>
      <c r="R46" cm="1">
        <f t="array" ref="R46">INDEX($A$6:$U$41, COLUMN(R2), ROW(R2))</f>
        <v>0</v>
      </c>
      <c r="S46" cm="1">
        <f t="array" ref="S46">INDEX($A$6:$U$41, COLUMN(S2), ROW(S2))</f>
        <v>0</v>
      </c>
      <c r="T46" cm="1">
        <f t="array" ref="T46">INDEX($A$6:$U$41, COLUMN(T2), ROW(T2))</f>
        <v>0</v>
      </c>
      <c r="U46" cm="1">
        <f t="array" ref="U46">INDEX($A$6:$U$41, COLUMN(U2), ROW(U2))</f>
        <v>0</v>
      </c>
      <c r="V46" t="str" cm="1">
        <f t="array" ref="V46">INDEX($A$6:$U$41, COLUMN(V2), ROW(V2))</f>
        <v>PAG</v>
      </c>
      <c r="W46" t="str" cm="1">
        <f t="array" ref="W46">INDEX($A$6:$U$41, COLUMN(W2), ROW(W2))</f>
        <v>Sur</v>
      </c>
      <c r="X46" t="str" cm="1">
        <f t="array" ref="X46">INDEX($A$6:$U$41, COLUMN(X2), ROW(X2))</f>
        <v>TARC</v>
      </c>
      <c r="Y46" t="str" cm="1">
        <f t="array" ref="Y46">INDEX($A$6:$U$41, COLUMN(Y2), ROW(Y2))</f>
        <v>Polymer</v>
      </c>
      <c r="Z46" t="str" cm="1">
        <f t="array" ref="Z46">INDEX($A$6:$U$41, COLUMN(Z2), ROW(Z2))</f>
        <v>ITC</v>
      </c>
      <c r="AA46" t="str" cm="1">
        <f t="array" ref="AA46">INDEX($A$6:$U$41, COLUMN(AA2), ROW(AA2))</f>
        <v>PBO</v>
      </c>
      <c r="AB46" cm="1">
        <f t="array" ref="AB46">INDEX($A$6:$U$41, COLUMN(AB2), ROW(AB2))</f>
        <v>0</v>
      </c>
      <c r="AC46" cm="1">
        <f t="array" ref="AC46">INDEX($A$6:$U$41, COLUMN(AC2), ROW(AC2))</f>
        <v>0</v>
      </c>
      <c r="AD46" t="str" cm="1">
        <f t="array" ref="AD46">INDEX($A$6:$U$41, COLUMN(AD2), ROW(AD2))</f>
        <v>PAG</v>
      </c>
      <c r="AE46" t="str" cm="1">
        <f t="array" ref="AE46">INDEX($A$6:$U$41, COLUMN(AE2), ROW(AE2))</f>
        <v>Sur</v>
      </c>
      <c r="AF46" t="str" cm="1">
        <f t="array" ref="AF46">INDEX($A$6:$U$41, COLUMN(AF2), ROW(AF2))</f>
        <v>TARC</v>
      </c>
      <c r="AG46" t="str" cm="1">
        <f t="array" ref="AG46">INDEX($A$6:$U$41, COLUMN(AG2), ROW(AG2))</f>
        <v>Polymer</v>
      </c>
      <c r="AH46" t="str" cm="1">
        <f t="array" ref="AH46">INDEX($A$6:$U$41, COLUMN(AH2), ROW(AH2))</f>
        <v>ITC</v>
      </c>
      <c r="AI46" t="str" cm="1">
        <f t="array" ref="AI46">INDEX($A$6:$U$41, COLUMN(AI2), ROW(AI2))</f>
        <v>PBO</v>
      </c>
      <c r="AJ46" cm="1">
        <f t="array" ref="AJ46">INDEX($A$6:$U$41, COLUMN(AJ2), ROW(AJ2))</f>
        <v>0</v>
      </c>
    </row>
    <row r="47" spans="1:36" x14ac:dyDescent="0.2">
      <c r="A47" t="str" cm="1">
        <f t="array" ref="A47">INDEX($A$6:$U$41, COLUMN(A3), ROW(A3))</f>
        <v>CC</v>
      </c>
      <c r="B47" cm="1">
        <f t="array" ref="B47">INDEX($A$6:$U$41, COLUMN(B3), ROW(B3))</f>
        <v>4100113.8266692851</v>
      </c>
      <c r="C47" cm="1">
        <f t="array" ref="C47">INDEX($A$6:$U$41, COLUMN(C3), ROW(C3))</f>
        <v>241809.39784250906</v>
      </c>
      <c r="D47" cm="1">
        <f t="array" ref="D47">INDEX($A$6:$U$41, COLUMN(D3), ROW(D3))</f>
        <v>12630424.150880726</v>
      </c>
      <c r="E47" cm="1">
        <f t="array" ref="E47">INDEX($A$6:$U$41, COLUMN(E3), ROW(E3))</f>
        <v>275453.86257621524</v>
      </c>
      <c r="F47" cm="1">
        <f t="array" ref="F47">INDEX($A$6:$U$41, COLUMN(F3), ROW(F3))</f>
        <v>6598444.1229046686</v>
      </c>
      <c r="G47" cm="1">
        <f t="array" ref="G47">INDEX($A$6:$U$41, COLUMN(G3), ROW(G3))</f>
        <v>2452437.9277177248</v>
      </c>
      <c r="H47" cm="1">
        <f t="array" ref="H47">INDEX($A$6:$U$41, COLUMN(H3), ROW(H3))</f>
        <v>26298683.288591132</v>
      </c>
      <c r="I47" cm="1">
        <f t="array" ref="I47">INDEX($A$6:$U$41, COLUMN(I3), ROW(I3))</f>
        <v>0</v>
      </c>
      <c r="J47" cm="1">
        <f t="array" ref="J47">INDEX($A$6:$U$41, COLUMN(J3), ROW(J3))</f>
        <v>26235602.272068448</v>
      </c>
      <c r="K47" cm="1">
        <f t="array" ref="K47">INDEX($A$6:$U$41, COLUMN(K3), ROW(K3))</f>
        <v>1397214.88670521</v>
      </c>
      <c r="L47" cm="1">
        <f t="array" ref="L47">INDEX($A$6:$U$41, COLUMN(L3), ROW(L3))</f>
        <v>75258135.895598501</v>
      </c>
      <c r="M47" cm="1">
        <f t="array" ref="M47">INDEX($A$6:$U$41, COLUMN(M3), ROW(M3))</f>
        <v>1765947.4667036575</v>
      </c>
      <c r="N47" cm="1">
        <f t="array" ref="N47">INDEX($A$6:$U$41, COLUMN(N3), ROW(N3))</f>
        <v>39186671.004893854</v>
      </c>
      <c r="O47" cm="1">
        <f t="array" ref="O47">INDEX($A$6:$U$41, COLUMN(O3), ROW(O3))</f>
        <v>19884446.513501868</v>
      </c>
      <c r="P47" cm="1">
        <f t="array" ref="P47">INDEX($A$6:$U$41, COLUMN(P3), ROW(P3))</f>
        <v>163728018.03947157</v>
      </c>
      <c r="Q47" cm="1">
        <f t="array" ref="Q47">INDEX($A$6:$U$41, COLUMN(Q3), ROW(Q3))</f>
        <v>0</v>
      </c>
      <c r="R47" cm="1">
        <f t="array" ref="R47">INDEX($A$6:$U$41, COLUMN(R3), ROW(R3))</f>
        <v>0</v>
      </c>
      <c r="S47" cm="1">
        <f t="array" ref="S47">INDEX($A$6:$U$41, COLUMN(S3), ROW(S3))</f>
        <v>0</v>
      </c>
      <c r="T47" cm="1">
        <f t="array" ref="T47">INDEX($A$6:$U$41, COLUMN(T3), ROW(T3))</f>
        <v>0</v>
      </c>
      <c r="U47" t="str" cm="1">
        <f t="array" ref="U47">INDEX($A$6:$U$41, COLUMN(U3), ROW(U3))</f>
        <v>CC</v>
      </c>
      <c r="V47" cm="1">
        <f t="array" ref="V47">INDEX($A$6:$U$41, COLUMN(V3), ROW(V3))</f>
        <v>4154122.7129186727</v>
      </c>
      <c r="W47" cm="1">
        <f t="array" ref="W47">INDEX($A$6:$U$41, COLUMN(W3), ROW(W3))</f>
        <v>244989.11490072677</v>
      </c>
      <c r="X47" cm="1">
        <f t="array" ref="X47">INDEX($A$6:$U$41, COLUMN(X3), ROW(X3))</f>
        <v>12795942.260802973</v>
      </c>
      <c r="Y47" cm="1">
        <f t="array" ref="Y47">INDEX($A$6:$U$41, COLUMN(Y3), ROW(Y3))</f>
        <v>279082.41249014571</v>
      </c>
      <c r="Z47" cm="1">
        <f t="array" ref="Z47">INDEX($A$6:$U$41, COLUMN(Z3), ROW(Z3))</f>
        <v>6685447.046307167</v>
      </c>
      <c r="AA47" cm="1">
        <f t="array" ref="AA47">INDEX($A$6:$U$41, COLUMN(AA3), ROW(AA3))</f>
        <v>2484987.3939443505</v>
      </c>
      <c r="AB47" cm="1">
        <f t="array" ref="AB47">INDEX($A$6:$U$41, COLUMN(AB3), ROW(AB3))</f>
        <v>26644570.941364031</v>
      </c>
      <c r="AC47" cm="1">
        <f t="array" ref="AC47">INDEX($A$6:$U$41, COLUMN(AC3), ROW(AC3))</f>
        <v>0</v>
      </c>
      <c r="AD47" cm="1">
        <f t="array" ref="AD47">INDEX($A$6:$U$41, COLUMN(AD3), ROW(AD3))</f>
        <v>28507371.923199233</v>
      </c>
      <c r="AE47" cm="1">
        <f t="array" ref="AE47">INDEX($A$6:$U$41, COLUMN(AE3), ROW(AE3))</f>
        <v>1518189.0118807303</v>
      </c>
      <c r="AF47" cm="1">
        <f t="array" ref="AF47">INDEX($A$6:$U$41, COLUMN(AF3), ROW(AF3))</f>
        <v>81775081.759220451</v>
      </c>
      <c r="AG47" cm="1">
        <f t="array" ref="AG47">INDEX($A$6:$U$41, COLUMN(AG3), ROW(AG3))</f>
        <v>1918863.0762598871</v>
      </c>
      <c r="AH47" cm="1">
        <f t="array" ref="AH47">INDEX($A$6:$U$41, COLUMN(AH3), ROW(AH3))</f>
        <v>42579542.593069054</v>
      </c>
      <c r="AI47" cm="1">
        <f t="array" ref="AI47">INDEX($A$6:$U$41, COLUMN(AI3), ROW(AI3))</f>
        <v>21606990.8749757</v>
      </c>
      <c r="AJ47" cm="1">
        <f t="array" ref="AJ47">INDEX($A$6:$U$41, COLUMN(AJ3), ROW(AJ3))</f>
        <v>177906039.23860505</v>
      </c>
    </row>
    <row r="48" spans="1:36" x14ac:dyDescent="0.2">
      <c r="A48" t="str" cm="1">
        <f t="array" ref="A48">INDEX($A$6:$U$41, COLUMN(A4), ROW(A4))</f>
        <v>HTC</v>
      </c>
      <c r="B48" cm="1">
        <f t="array" ref="B48">INDEX($A$6:$U$41, COLUMN(B4), ROW(B4))</f>
        <v>0.23711406302372079</v>
      </c>
      <c r="C48" cm="1">
        <f t="array" ref="C48">INDEX($A$6:$U$41, COLUMN(C4), ROW(C4))</f>
        <v>2.7435517702539616E-2</v>
      </c>
      <c r="D48" cm="1">
        <f t="array" ref="D48">INDEX($A$6:$U$41, COLUMN(D4), ROW(D4))</f>
        <v>1.407646651180452</v>
      </c>
      <c r="E48" cm="1">
        <f t="array" ref="E48">INDEX($A$6:$U$41, COLUMN(E4), ROW(E4))</f>
        <v>1.5626859496084226E-2</v>
      </c>
      <c r="F48" cm="1">
        <f t="array" ref="F48">INDEX($A$6:$U$41, COLUMN(F4), ROW(F4))</f>
        <v>0.71523363383704042</v>
      </c>
      <c r="G48" cm="1">
        <f t="array" ref="G48">INDEX($A$6:$U$41, COLUMN(G4), ROW(G4))</f>
        <v>0.13446324594994447</v>
      </c>
      <c r="H48" cm="1">
        <f t="array" ref="H48">INDEX($A$6:$U$41, COLUMN(H4), ROW(H4))</f>
        <v>2.5375199711897816</v>
      </c>
      <c r="I48" cm="1">
        <f t="array" ref="I48">INDEX($A$6:$U$41, COLUMN(I4), ROW(I4))</f>
        <v>0</v>
      </c>
      <c r="J48" cm="1">
        <f t="array" ref="J48">INDEX($A$6:$U$41, COLUMN(J4), ROW(J4))</f>
        <v>1.3987558810322667</v>
      </c>
      <c r="K48" cm="1">
        <f t="array" ref="K48">INDEX($A$6:$U$41, COLUMN(K4), ROW(K4))</f>
        <v>0.14504949553380161</v>
      </c>
      <c r="L48" cm="1">
        <f t="array" ref="L48">INDEX($A$6:$U$41, COLUMN(L4), ROW(L4))</f>
        <v>7.660372414441202</v>
      </c>
      <c r="M48" cm="1">
        <f t="array" ref="M48">INDEX($A$6:$U$41, COLUMN(M4), ROW(M4))</f>
        <v>9.256394287499442E-2</v>
      </c>
      <c r="N48" cm="1">
        <f t="array" ref="N48">INDEX($A$6:$U$41, COLUMN(N4), ROW(N4))</f>
        <v>3.8703270404292982</v>
      </c>
      <c r="O48" cm="1">
        <f t="array" ref="O48">INDEX($A$6:$U$41, COLUMN(O4), ROW(O4))</f>
        <v>1.0102256077136029</v>
      </c>
      <c r="P48" cm="1">
        <f t="array" ref="P48">INDEX($A$6:$U$41, COLUMN(P4), ROW(P4))</f>
        <v>14.177294382025165</v>
      </c>
      <c r="Q48" cm="1">
        <f t="array" ref="Q48">INDEX($A$6:$U$41, COLUMN(Q4), ROW(Q4))</f>
        <v>0</v>
      </c>
      <c r="R48" cm="1">
        <f t="array" ref="R48">INDEX($A$6:$U$41, COLUMN(R4), ROW(R4))</f>
        <v>0</v>
      </c>
      <c r="S48" cm="1">
        <f t="array" ref="S48">INDEX($A$6:$U$41, COLUMN(S4), ROW(S4))</f>
        <v>0</v>
      </c>
      <c r="T48" cm="1">
        <f t="array" ref="T48">INDEX($A$6:$U$41, COLUMN(T4), ROW(T4))</f>
        <v>0</v>
      </c>
      <c r="U48" t="str" cm="1">
        <f t="array" ref="U48">INDEX($A$6:$U$41, COLUMN(U4), ROW(U4))</f>
        <v>HTC</v>
      </c>
      <c r="V48" cm="1">
        <f t="array" ref="V48">INDEX($A$6:$U$41, COLUMN(V4), ROW(V4))</f>
        <v>0.24023309359462655</v>
      </c>
      <c r="W48" cm="1">
        <f t="array" ref="W48">INDEX($A$6:$U$41, COLUMN(W4), ROW(W4))</f>
        <v>2.7795789837969202E-2</v>
      </c>
      <c r="X48" cm="1">
        <f t="array" ref="X48">INDEX($A$6:$U$41, COLUMN(X4), ROW(X4))</f>
        <v>1.42606744058532</v>
      </c>
      <c r="Y48" cm="1">
        <f t="array" ref="Y48">INDEX($A$6:$U$41, COLUMN(Y4), ROW(Y4))</f>
        <v>1.5832431310527091E-2</v>
      </c>
      <c r="Z48" cm="1">
        <f t="array" ref="Z48">INDEX($A$6:$U$41, COLUMN(Z4), ROW(Z4))</f>
        <v>0.72465059726340142</v>
      </c>
      <c r="AA48" cm="1">
        <f t="array" ref="AA48">INDEX($A$6:$U$41, COLUMN(AA4), ROW(AA4))</f>
        <v>0.13624554513998519</v>
      </c>
      <c r="AB48" cm="1">
        <f t="array" ref="AB48">INDEX($A$6:$U$41, COLUMN(AB4), ROW(AB4))</f>
        <v>2.5708248977318293</v>
      </c>
      <c r="AC48" cm="1">
        <f t="array" ref="AC48">INDEX($A$6:$U$41, COLUMN(AC4), ROW(AC4))</f>
        <v>0</v>
      </c>
      <c r="AD48" cm="1">
        <f t="array" ref="AD48">INDEX($A$6:$U$41, COLUMN(AD4), ROW(AD4))</f>
        <v>1.5198660206320622</v>
      </c>
      <c r="AE48" cm="1">
        <f t="array" ref="AE48">INDEX($A$6:$U$41, COLUMN(AE4), ROW(AE4))</f>
        <v>0.15760700112101769</v>
      </c>
      <c r="AF48" cm="1">
        <f t="array" ref="AF48">INDEX($A$6:$U$41, COLUMN(AF4), ROW(AF4))</f>
        <v>8.3236557106784979</v>
      </c>
      <c r="AG48" cm="1">
        <f t="array" ref="AG48">INDEX($A$6:$U$41, COLUMN(AG4), ROW(AG4))</f>
        <v>0.10057855016052923</v>
      </c>
      <c r="AH48" cm="1">
        <f t="array" ref="AH48">INDEX($A$6:$U$41, COLUMN(AH4), ROW(AH4))</f>
        <v>4.2053949366391734</v>
      </c>
      <c r="AI48" cm="1">
        <f t="array" ref="AI48">INDEX($A$6:$U$41, COLUMN(AI4), ROW(AI4))</f>
        <v>1.0977332948228868</v>
      </c>
      <c r="AJ48" cm="1">
        <f t="array" ref="AJ48">INDEX($A$6:$U$41, COLUMN(AJ4), ROW(AJ4))</f>
        <v>15.404835514054167</v>
      </c>
    </row>
    <row r="49" spans="1:36" x14ac:dyDescent="0.2">
      <c r="A49" t="str" cm="1">
        <f t="array" ref="A49">INDEX($A$6:$U$41, COLUMN(A5), ROW(A5))</f>
        <v>CED</v>
      </c>
      <c r="B49" cm="1">
        <f t="array" ref="B49">INDEX($A$6:$U$41, COLUMN(B5), ROW(B5))</f>
        <v>29637899.380303647</v>
      </c>
      <c r="C49" cm="1">
        <f t="array" ref="C49">INDEX($A$6:$U$41, COLUMN(C5), ROW(C5))</f>
        <v>2518775.2548354804</v>
      </c>
      <c r="D49" cm="1">
        <f t="array" ref="D49">INDEX($A$6:$U$41, COLUMN(D5), ROW(D5))</f>
        <v>130113024.51446465</v>
      </c>
      <c r="E49" cm="1">
        <f t="array" ref="E49">INDEX($A$6:$U$41, COLUMN(E5), ROW(E5))</f>
        <v>1973733.7066026274</v>
      </c>
      <c r="F49" cm="1">
        <f t="array" ref="F49">INDEX($A$6:$U$41, COLUMN(F5), ROW(F5))</f>
        <v>66833982.667025536</v>
      </c>
      <c r="G49" cm="1">
        <f t="array" ref="G49">INDEX($A$6:$U$41, COLUMN(G5), ROW(G5))</f>
        <v>17338473.87379675</v>
      </c>
      <c r="H49" cm="1">
        <f t="array" ref="H49">INDEX($A$6:$U$41, COLUMN(H5), ROW(H5))</f>
        <v>248415889.39702871</v>
      </c>
      <c r="I49" cm="1">
        <f t="array" ref="I49">INDEX($A$6:$U$41, COLUMN(I5), ROW(I5))</f>
        <v>0</v>
      </c>
      <c r="J49" cm="1">
        <f t="array" ref="J49">INDEX($A$6:$U$41, COLUMN(J5), ROW(J5))</f>
        <v>188294996.58969817</v>
      </c>
      <c r="K49" cm="1">
        <f t="array" ref="K49">INDEX($A$6:$U$41, COLUMN(K5), ROW(K5))</f>
        <v>14437992.646467984</v>
      </c>
      <c r="L49" cm="1">
        <f t="array" ref="L49">INDEX($A$6:$U$41, COLUMN(L5), ROW(L5))</f>
        <v>768225835.98437524</v>
      </c>
      <c r="M49" cm="1">
        <f t="array" ref="M49">INDEX($A$6:$U$41, COLUMN(M5), ROW(M5))</f>
        <v>12574809.351257818</v>
      </c>
      <c r="N49" cm="1">
        <f t="array" ref="N49">INDEX($A$6:$U$41, COLUMN(N5), ROW(N5))</f>
        <v>392689901.0019809</v>
      </c>
      <c r="O49" cm="1">
        <f t="array" ref="O49">INDEX($A$6:$U$41, COLUMN(O5), ROW(O5))</f>
        <v>139894182.34037125</v>
      </c>
      <c r="P49" cm="1">
        <f t="array" ref="P49">INDEX($A$6:$U$41, COLUMN(P5), ROW(P5))</f>
        <v>1516117717.9141512</v>
      </c>
      <c r="Q49" cm="1">
        <f t="array" ref="Q49">INDEX($A$6:$U$41, COLUMN(Q5), ROW(Q5))</f>
        <v>0</v>
      </c>
      <c r="R49" cm="1">
        <f t="array" ref="R49">INDEX($A$6:$U$41, COLUMN(R5), ROW(R5))</f>
        <v>0</v>
      </c>
      <c r="S49" cm="1">
        <f t="array" ref="S49">INDEX($A$6:$U$41, COLUMN(S5), ROW(S5))</f>
        <v>0</v>
      </c>
      <c r="T49" cm="1">
        <f t="array" ref="T49">INDEX($A$6:$U$41, COLUMN(T5), ROW(T5))</f>
        <v>0</v>
      </c>
      <c r="U49" t="str" cm="1">
        <f t="array" ref="U49">INDEX($A$6:$U$41, COLUMN(U5), ROW(U5))</f>
        <v>CED</v>
      </c>
      <c r="V49" cm="1">
        <f t="array" ref="V49">INDEX($A$6:$U$41, COLUMN(V5), ROW(V5))</f>
        <v>30028255.8737716</v>
      </c>
      <c r="W49" cm="1">
        <f t="array" ref="W49">INDEX($A$6:$U$41, COLUMN(W5), ROW(W5))</f>
        <v>2551892.0845658281</v>
      </c>
      <c r="X49" cm="1">
        <f t="array" ref="X49">INDEX($A$6:$U$41, COLUMN(X5), ROW(X5))</f>
        <v>131817866.33327244</v>
      </c>
      <c r="Y49" cm="1">
        <f t="array" ref="Y49">INDEX($A$6:$U$41, COLUMN(Y5), ROW(Y5))</f>
        <v>1999730.7686826577</v>
      </c>
      <c r="Z49" cm="1">
        <f t="array" ref="Z49">INDEX($A$6:$U$41, COLUMN(Z5), ROW(Z5))</f>
        <v>67715060.596696958</v>
      </c>
      <c r="AA49" cm="1">
        <f t="array" ref="AA49">INDEX($A$6:$U$41, COLUMN(AA5), ROW(AA5))</f>
        <v>17568575.068771325</v>
      </c>
      <c r="AB49" cm="1">
        <f t="array" ref="AB49">INDEX($A$6:$U$41, COLUMN(AB5), ROW(AB5))</f>
        <v>251681380.72576085</v>
      </c>
      <c r="AC49" cm="1">
        <f t="array" ref="AC49">INDEX($A$6:$U$41, COLUMN(AC5), ROW(AC5))</f>
        <v>0</v>
      </c>
      <c r="AD49" cm="1">
        <f t="array" ref="AD49">INDEX($A$6:$U$41, COLUMN(AD5), ROW(AD5))</f>
        <v>204599557.17602041</v>
      </c>
      <c r="AE49" cm="1">
        <f t="array" ref="AE49">INDEX($A$6:$U$41, COLUMN(AE5), ROW(AE5))</f>
        <v>15688057.262887618</v>
      </c>
      <c r="AF49" cm="1">
        <f t="array" ref="AF49">INDEX($A$6:$U$41, COLUMN(AF5), ROW(AF5))</f>
        <v>834749407.05204189</v>
      </c>
      <c r="AG49" cm="1">
        <f t="array" ref="AG49">INDEX($A$6:$U$41, COLUMN(AG5), ROW(AG5))</f>
        <v>13663671.463021182</v>
      </c>
      <c r="AH49" cm="1">
        <f t="array" ref="AH49">INDEX($A$6:$U$41, COLUMN(AH5), ROW(AH5))</f>
        <v>426689511.61636484</v>
      </c>
      <c r="AI49" cm="1">
        <f t="array" ref="AI49">INDEX($A$6:$U$41, COLUMN(AI5), ROW(AI5))</f>
        <v>152012846.78808933</v>
      </c>
      <c r="AJ49" cm="1">
        <f t="array" ref="AJ49">INDEX($A$6:$U$41, COLUMN(AJ5), ROW(AJ5))</f>
        <v>1647403051.3584251</v>
      </c>
    </row>
    <row r="50" spans="1:36" x14ac:dyDescent="0.2">
      <c r="A50" cm="1">
        <f t="array" ref="A50">INDEX($A$6:$U$41, COLUMN(A6), ROW(A6))</f>
        <v>0</v>
      </c>
      <c r="B50" cm="1">
        <f t="array" ref="B50">INDEX($A$6:$U$41, COLUMN(B6), ROW(B6))</f>
        <v>0</v>
      </c>
      <c r="C50" cm="1">
        <f t="array" ref="C50">INDEX($A$6:$U$41, COLUMN(C6), ROW(C6))</f>
        <v>0</v>
      </c>
      <c r="D50" cm="1">
        <f t="array" ref="D50">INDEX($A$6:$U$41, COLUMN(D6), ROW(D6))</f>
        <v>0</v>
      </c>
      <c r="E50" cm="1">
        <f t="array" ref="E50">INDEX($A$6:$U$41, COLUMN(E6), ROW(E6))</f>
        <v>0</v>
      </c>
      <c r="F50" cm="1">
        <f t="array" ref="F50">INDEX($A$6:$U$41, COLUMN(F6), ROW(F6))</f>
        <v>0</v>
      </c>
      <c r="G50" cm="1">
        <f t="array" ref="G50">INDEX($A$6:$U$41, COLUMN(G6), ROW(G6))</f>
        <v>0</v>
      </c>
      <c r="H50" cm="1">
        <f t="array" ref="H50">INDEX($A$6:$U$41, COLUMN(H6), ROW(H6))</f>
        <v>0</v>
      </c>
      <c r="I50" cm="1">
        <f t="array" ref="I50">INDEX($A$6:$U$41, COLUMN(I6), ROW(I6))</f>
        <v>0</v>
      </c>
      <c r="J50" cm="1">
        <f t="array" ref="J50">INDEX($A$6:$U$41, COLUMN(J6), ROW(J6))</f>
        <v>0</v>
      </c>
      <c r="K50" cm="1">
        <f t="array" ref="K50">INDEX($A$6:$U$41, COLUMN(K6), ROW(K6))</f>
        <v>0</v>
      </c>
      <c r="L50" cm="1">
        <f t="array" ref="L50">INDEX($A$6:$U$41, COLUMN(L6), ROW(L6))</f>
        <v>0</v>
      </c>
      <c r="M50" cm="1">
        <f t="array" ref="M50">INDEX($A$6:$U$41, COLUMN(M6), ROW(M6))</f>
        <v>0</v>
      </c>
      <c r="N50" cm="1">
        <f t="array" ref="N50">INDEX($A$6:$U$41, COLUMN(N6), ROW(N6))</f>
        <v>0</v>
      </c>
      <c r="O50" cm="1">
        <f t="array" ref="O50">INDEX($A$6:$U$41, COLUMN(O6), ROW(O6))</f>
        <v>0</v>
      </c>
      <c r="P50" cm="1">
        <f t="array" ref="P50">INDEX($A$6:$U$41, COLUMN(P6), ROW(P6))</f>
        <v>0</v>
      </c>
      <c r="Q50" cm="1">
        <f t="array" ref="Q50">INDEX($A$6:$U$41, COLUMN(Q6), ROW(Q6))</f>
        <v>0</v>
      </c>
      <c r="R50" cm="1">
        <f t="array" ref="R50">INDEX($A$6:$U$41, COLUMN(R6), ROW(R6))</f>
        <v>0</v>
      </c>
      <c r="S50" cm="1">
        <f t="array" ref="S50">INDEX($A$6:$U$41, COLUMN(S6), ROW(S6))</f>
        <v>0</v>
      </c>
      <c r="T50" cm="1">
        <f t="array" ref="T50">INDEX($A$6:$U$41, COLUMN(T6), ROW(T6))</f>
        <v>0</v>
      </c>
      <c r="U50" cm="1">
        <f t="array" ref="U50">INDEX($A$6:$U$41, COLUMN(U6), ROW(U6))</f>
        <v>0</v>
      </c>
      <c r="V50" cm="1">
        <f t="array" ref="V50">INDEX($A$6:$U$41, COLUMN(V6), ROW(V6))</f>
        <v>0</v>
      </c>
      <c r="W50" cm="1">
        <f t="array" ref="W50">INDEX($A$6:$U$41, COLUMN(W6), ROW(W6))</f>
        <v>0</v>
      </c>
      <c r="X50" cm="1">
        <f t="array" ref="X50">INDEX($A$6:$U$41, COLUMN(X6), ROW(X6))</f>
        <v>0</v>
      </c>
      <c r="Y50" cm="1">
        <f t="array" ref="Y50">INDEX($A$6:$U$41, COLUMN(Y6), ROW(Y6))</f>
        <v>0</v>
      </c>
      <c r="Z50" cm="1">
        <f t="array" ref="Z50">INDEX($A$6:$U$41, COLUMN(Z6), ROW(Z6))</f>
        <v>0</v>
      </c>
      <c r="AA50" cm="1">
        <f t="array" ref="AA50">INDEX($A$6:$U$41, COLUMN(AA6), ROW(AA6))</f>
        <v>0</v>
      </c>
      <c r="AB50" cm="1">
        <f t="array" ref="AB50">INDEX($A$6:$U$41, COLUMN(AB6), ROW(AB6))</f>
        <v>0</v>
      </c>
      <c r="AC50" cm="1">
        <f t="array" ref="AC50">INDEX($A$6:$U$41, COLUMN(AC6), ROW(AC6))</f>
        <v>0</v>
      </c>
      <c r="AD50" cm="1">
        <f t="array" ref="AD50">INDEX($A$6:$U$41, COLUMN(AD6), ROW(AD6))</f>
        <v>0</v>
      </c>
      <c r="AE50" cm="1">
        <f t="array" ref="AE50">INDEX($A$6:$U$41, COLUMN(AE6), ROW(AE6))</f>
        <v>0</v>
      </c>
      <c r="AF50" cm="1">
        <f t="array" ref="AF50">INDEX($A$6:$U$41, COLUMN(AF6), ROW(AF6))</f>
        <v>0</v>
      </c>
      <c r="AG50" cm="1">
        <f t="array" ref="AG50">INDEX($A$6:$U$41, COLUMN(AG6), ROW(AG6))</f>
        <v>0</v>
      </c>
      <c r="AH50" cm="1">
        <f t="array" ref="AH50">INDEX($A$6:$U$41, COLUMN(AH6), ROW(AH6))</f>
        <v>0</v>
      </c>
      <c r="AI50" cm="1">
        <f t="array" ref="AI50">INDEX($A$6:$U$41, COLUMN(AI6), ROW(AI6))</f>
        <v>0</v>
      </c>
      <c r="AJ50" cm="1">
        <f t="array" ref="AJ50">INDEX($A$6:$U$41, COLUMN(AJ6), ROW(AJ6))</f>
        <v>0</v>
      </c>
    </row>
    <row r="51" spans="1:36" x14ac:dyDescent="0.2">
      <c r="A51" t="str" cm="1">
        <f t="array" ref="A51">INDEX($A$6:$U$41, COLUMN(A7), ROW(A7))</f>
        <v>Yearly usage amout, ton</v>
      </c>
      <c r="B51" cm="1">
        <f t="array" ref="B51">INDEX($A$6:$U$41, COLUMN(B7), ROW(B7))</f>
        <v>760.15422385085503</v>
      </c>
      <c r="C51" cm="1">
        <f t="array" ref="C51">INDEX($A$6:$U$41, COLUMN(C7), ROW(C7))</f>
        <v>17.897935149274709</v>
      </c>
      <c r="D51" cm="1">
        <f t="array" ref="D51">INDEX($A$6:$U$41, COLUMN(D7), ROW(D7))</f>
        <v>985.31269163631487</v>
      </c>
      <c r="E51" cm="1">
        <f t="array" ref="E51">INDEX($A$6:$U$41, COLUMN(E7), ROW(E7))</f>
        <v>51.661725474544028</v>
      </c>
      <c r="F51" cm="1">
        <f t="array" ref="F51">INDEX($A$6:$U$41, COLUMN(F7), ROW(F7))</f>
        <v>554.39303087486633</v>
      </c>
      <c r="G51" cm="1">
        <f t="array" ref="G51">INDEX($A$6:$U$41, COLUMN(G7), ROW(G7))</f>
        <v>499.84753383532336</v>
      </c>
      <c r="H51" cm="1">
        <f t="array" ref="H51">INDEX($A$6:$U$41, COLUMN(H7), ROW(H7))</f>
        <v>2869.2671408211786</v>
      </c>
      <c r="I51" cm="1">
        <f t="array" ref="I51">INDEX($A$6:$U$41, COLUMN(I7), ROW(I7))</f>
        <v>0</v>
      </c>
      <c r="J51" cm="1">
        <f t="array" ref="J51">INDEX($A$6:$U$41, COLUMN(J7), ROW(J7))</f>
        <v>4997.5979016034489</v>
      </c>
      <c r="K51" cm="1">
        <f t="array" ref="K51">INDEX($A$6:$U$41, COLUMN(K7), ROW(K7))</f>
        <v>117.66912599909413</v>
      </c>
      <c r="L51" cm="1">
        <f t="array" ref="L51">INDEX($A$6:$U$41, COLUMN(L7), ROW(L7))</f>
        <v>6655.1588562305451</v>
      </c>
      <c r="M51" cm="1">
        <f t="array" ref="M51">INDEX($A$6:$U$41, COLUMN(M7), ROW(M7))</f>
        <v>339.64756456507087</v>
      </c>
      <c r="N51" cm="1">
        <f t="array" ref="N51">INDEX($A$6:$U$41, COLUMN(N7), ROW(N7))</f>
        <v>3709.9940836938513</v>
      </c>
      <c r="O51" cm="1">
        <f t="array" ref="O51">INDEX($A$6:$U$41, COLUMN(O7), ROW(O7))</f>
        <v>4144.0595067270106</v>
      </c>
      <c r="P51" cm="1">
        <f t="array" ref="P51">INDEX($A$6:$U$41, COLUMN(P7), ROW(P7))</f>
        <v>19964.127038819021</v>
      </c>
      <c r="Q51" cm="1">
        <f t="array" ref="Q51">INDEX($A$6:$U$41, COLUMN(Q7), ROW(Q7))</f>
        <v>0</v>
      </c>
      <c r="R51" cm="1">
        <f t="array" ref="R51">INDEX($A$6:$U$41, COLUMN(R7), ROW(R7))</f>
        <v>0</v>
      </c>
      <c r="S51" cm="1">
        <f t="array" ref="S51">INDEX($A$6:$U$41, COLUMN(S7), ROW(S7))</f>
        <v>0</v>
      </c>
      <c r="T51" cm="1">
        <f t="array" ref="T51">INDEX($A$6:$U$41, COLUMN(T7), ROW(T7))</f>
        <v>0</v>
      </c>
      <c r="U51" cm="1">
        <f t="array" ref="U51">INDEX($A$6:$U$41, COLUMN(U7), ROW(U7))</f>
        <v>0</v>
      </c>
      <c r="V51" cm="1">
        <f t="array" ref="V51">INDEX($A$6:$U$41, COLUMN(V7), ROW(V7))</f>
        <v>770.17229845590191</v>
      </c>
      <c r="W51" cm="1">
        <f t="array" ref="W51">INDEX($A$6:$U$41, COLUMN(W7), ROW(W7))</f>
        <v>18.133812085790826</v>
      </c>
      <c r="X51" cm="1">
        <f t="array" ref="X51">INDEX($A$6:$U$41, COLUMN(X7), ROW(X7))</f>
        <v>998.2529970956474</v>
      </c>
      <c r="Y51" cm="1">
        <f t="array" ref="Y51">INDEX($A$6:$U$41, COLUMN(Y7), ROW(Y7))</f>
        <v>52.34257549654032</v>
      </c>
      <c r="Z51" cm="1">
        <f t="array" ref="Z51">INDEX($A$6:$U$41, COLUMN(Z7), ROW(Z7))</f>
        <v>561.71802257636909</v>
      </c>
      <c r="AA51" cm="1">
        <f t="array" ref="AA51">INDEX($A$6:$U$41, COLUMN(AA7), ROW(AA7))</f>
        <v>506.48432009138139</v>
      </c>
      <c r="AB51" cm="1">
        <f t="array" ref="AB51">INDEX($A$6:$U$41, COLUMN(AB7), ROW(AB7))</f>
        <v>2907.1040258016315</v>
      </c>
      <c r="AC51" cm="1">
        <f t="array" ref="AC51">INDEX($A$6:$U$41, COLUMN(AC7), ROW(AC7))</f>
        <v>0</v>
      </c>
      <c r="AD51" cm="1">
        <f t="array" ref="AD51">INDEX($A$6:$U$41, COLUMN(AD7), ROW(AD7))</f>
        <v>5430.3563010357657</v>
      </c>
      <c r="AE51" cm="1">
        <f t="array" ref="AE51">INDEX($A$6:$U$41, COLUMN(AE7), ROW(AE7))</f>
        <v>127.85848169208208</v>
      </c>
      <c r="AF51" cm="1">
        <f t="array" ref="AF51">INDEX($A$6:$U$41, COLUMN(AF7), ROW(AF7))</f>
        <v>7231.5278026438427</v>
      </c>
      <c r="AG51" cm="1">
        <f t="array" ref="AG51">INDEX($A$6:$U$41, COLUMN(AG7), ROW(AG7))</f>
        <v>369.05876156535476</v>
      </c>
      <c r="AH51" cm="1">
        <f t="array" ref="AH51">INDEX($A$6:$U$41, COLUMN(AH7), ROW(AH7))</f>
        <v>4031.2513425403527</v>
      </c>
      <c r="AI51" cm="1">
        <f t="array" ref="AI51">INDEX($A$6:$U$41, COLUMN(AI7), ROW(AI7))</f>
        <v>4503.0566378331914</v>
      </c>
      <c r="AJ51" cm="1">
        <f t="array" ref="AJ51">INDEX($A$6:$U$41, COLUMN(AJ7), ROW(AJ7))</f>
        <v>21693.109327310587</v>
      </c>
    </row>
    <row r="52" spans="1:36" x14ac:dyDescent="0.2">
      <c r="A52" cm="1">
        <f t="array" ref="A52">INDEX($A$6:$U$41, COLUMN(A8), ROW(A8))</f>
        <v>0</v>
      </c>
      <c r="B52" cm="1">
        <f t="array" ref="B52">INDEX($A$6:$U$41, COLUMN(B8), ROW(B8))</f>
        <v>0</v>
      </c>
      <c r="C52" cm="1">
        <f t="array" ref="C52">INDEX($A$6:$U$41, COLUMN(C8), ROW(C8))</f>
        <v>0</v>
      </c>
      <c r="D52" cm="1">
        <f t="array" ref="D52">INDEX($A$6:$U$41, COLUMN(D8), ROW(D8))</f>
        <v>0</v>
      </c>
      <c r="E52" cm="1">
        <f t="array" ref="E52">INDEX($A$6:$U$41, COLUMN(E8), ROW(E8))</f>
        <v>0</v>
      </c>
      <c r="F52" cm="1">
        <f t="array" ref="F52">INDEX($A$6:$U$41, COLUMN(F8), ROW(F8))</f>
        <v>0</v>
      </c>
      <c r="G52" cm="1">
        <f t="array" ref="G52">INDEX($A$6:$U$41, COLUMN(G8), ROW(G8))</f>
        <v>0</v>
      </c>
      <c r="H52" cm="1">
        <f t="array" ref="H52">INDEX($A$6:$U$41, COLUMN(H8), ROW(H8))</f>
        <v>0</v>
      </c>
      <c r="I52" cm="1">
        <f t="array" ref="I52">INDEX($A$6:$U$41, COLUMN(I8), ROW(I8))</f>
        <v>0</v>
      </c>
      <c r="J52" cm="1">
        <f t="array" ref="J52">INDEX($A$6:$U$41, COLUMN(J8), ROW(J8))</f>
        <v>0</v>
      </c>
      <c r="K52" cm="1">
        <f t="array" ref="K52">INDEX($A$6:$U$41, COLUMN(K8), ROW(K8))</f>
        <v>0</v>
      </c>
      <c r="L52" cm="1">
        <f t="array" ref="L52">INDEX($A$6:$U$41, COLUMN(L8), ROW(L8))</f>
        <v>0</v>
      </c>
      <c r="M52" cm="1">
        <f t="array" ref="M52">INDEX($A$6:$U$41, COLUMN(M8), ROW(M8))</f>
        <v>0</v>
      </c>
      <c r="N52" cm="1">
        <f t="array" ref="N52">INDEX($A$6:$U$41, COLUMN(N8), ROW(N8))</f>
        <v>0</v>
      </c>
      <c r="O52" cm="1">
        <f t="array" ref="O52">INDEX($A$6:$U$41, COLUMN(O8), ROW(O8))</f>
        <v>0</v>
      </c>
      <c r="P52" cm="1">
        <f t="array" ref="P52">INDEX($A$6:$U$41, COLUMN(P8), ROW(P8))</f>
        <v>0</v>
      </c>
      <c r="Q52" cm="1">
        <f t="array" ref="Q52">INDEX($A$6:$U$41, COLUMN(Q8), ROW(Q8))</f>
        <v>0</v>
      </c>
      <c r="R52" cm="1">
        <f t="array" ref="R52">INDEX($A$6:$U$41, COLUMN(R8), ROW(R8))</f>
        <v>0</v>
      </c>
      <c r="S52" cm="1">
        <f t="array" ref="S52">INDEX($A$6:$U$41, COLUMN(S8), ROW(S8))</f>
        <v>0</v>
      </c>
      <c r="T52" cm="1">
        <f t="array" ref="T52">INDEX($A$6:$U$41, COLUMN(T8), ROW(T8))</f>
        <v>0</v>
      </c>
      <c r="U52" cm="1">
        <f t="array" ref="U52">INDEX($A$6:$U$41, COLUMN(U8), ROW(U8))</f>
        <v>0</v>
      </c>
      <c r="V52" cm="1">
        <f t="array" ref="V52">INDEX($A$6:$U$41, COLUMN(V8), ROW(V8))</f>
        <v>0</v>
      </c>
      <c r="W52" cm="1">
        <f t="array" ref="W52">INDEX($A$6:$U$41, COLUMN(W8), ROW(W8))</f>
        <v>0</v>
      </c>
      <c r="X52" cm="1">
        <f t="array" ref="X52">INDEX($A$6:$U$41, COLUMN(X8), ROW(X8))</f>
        <v>0</v>
      </c>
      <c r="Y52" cm="1">
        <f t="array" ref="Y52">INDEX($A$6:$U$41, COLUMN(Y8), ROW(Y8))</f>
        <v>0</v>
      </c>
      <c r="Z52" cm="1">
        <f t="array" ref="Z52">INDEX($A$6:$U$41, COLUMN(Z8), ROW(Z8))</f>
        <v>0</v>
      </c>
      <c r="AA52" cm="1">
        <f t="array" ref="AA52">INDEX($A$6:$U$41, COLUMN(AA8), ROW(AA8))</f>
        <v>0</v>
      </c>
      <c r="AB52" cm="1">
        <f t="array" ref="AB52">INDEX($A$6:$U$41, COLUMN(AB8), ROW(AB8))</f>
        <v>0</v>
      </c>
      <c r="AC52" cm="1">
        <f t="array" ref="AC52">INDEX($A$6:$U$41, COLUMN(AC8), ROW(AC8))</f>
        <v>0</v>
      </c>
      <c r="AD52" cm="1">
        <f t="array" ref="AD52">INDEX($A$6:$U$41, COLUMN(AD8), ROW(AD8))</f>
        <v>0</v>
      </c>
      <c r="AE52" cm="1">
        <f t="array" ref="AE52">INDEX($A$6:$U$41, COLUMN(AE8), ROW(AE8))</f>
        <v>0</v>
      </c>
      <c r="AF52" cm="1">
        <f t="array" ref="AF52">INDEX($A$6:$U$41, COLUMN(AF8), ROW(AF8))</f>
        <v>0</v>
      </c>
      <c r="AG52" cm="1">
        <f t="array" ref="AG52">INDEX($A$6:$U$41, COLUMN(AG8), ROW(AG8))</f>
        <v>0</v>
      </c>
      <c r="AH52" cm="1">
        <f t="array" ref="AH52">INDEX($A$6:$U$41, COLUMN(AH8), ROW(AH8))</f>
        <v>0</v>
      </c>
      <c r="AI52" cm="1">
        <f t="array" ref="AI52">INDEX($A$6:$U$41, COLUMN(AI8), ROW(AI8))</f>
        <v>0</v>
      </c>
      <c r="AJ52" cm="1">
        <f t="array" ref="AJ52">INDEX($A$6:$U$41, COLUMN(AJ8), ROW(AJ8))</f>
        <v>0</v>
      </c>
    </row>
    <row r="53" spans="1:36" x14ac:dyDescent="0.2">
      <c r="A53" cm="1">
        <f t="array" ref="A53">INDEX($A$6:$U$41, COLUMN(A9), ROW(A9))</f>
        <v>0</v>
      </c>
      <c r="B53" cm="1">
        <f t="array" ref="B53">INDEX($A$6:$U$41, COLUMN(B9), ROW(B9))</f>
        <v>2025</v>
      </c>
      <c r="C53" cm="1">
        <f t="array" ref="C53">INDEX($A$6:$U$41, COLUMN(C9), ROW(C9))</f>
        <v>0</v>
      </c>
      <c r="D53" cm="1">
        <f t="array" ref="D53">INDEX($A$6:$U$41, COLUMN(D9), ROW(D9))</f>
        <v>0</v>
      </c>
      <c r="E53" cm="1">
        <f t="array" ref="E53">INDEX($A$6:$U$41, COLUMN(E9), ROW(E9))</f>
        <v>0</v>
      </c>
      <c r="F53" cm="1">
        <f t="array" ref="F53">INDEX($A$6:$U$41, COLUMN(F9), ROW(F9))</f>
        <v>0</v>
      </c>
      <c r="G53" cm="1">
        <f t="array" ref="G53">INDEX($A$6:$U$41, COLUMN(G9), ROW(G9))</f>
        <v>0</v>
      </c>
      <c r="H53" cm="1">
        <f t="array" ref="H53">INDEX($A$6:$U$41, COLUMN(H9), ROW(H9))</f>
        <v>2030</v>
      </c>
      <c r="I53" cm="1">
        <f t="array" ref="I53">INDEX($A$6:$U$41, COLUMN(I9), ROW(I9))</f>
        <v>0</v>
      </c>
      <c r="J53" cm="1">
        <f t="array" ref="J53">INDEX($A$6:$U$41, COLUMN(J9), ROW(J9))</f>
        <v>0</v>
      </c>
      <c r="K53" cm="1">
        <f t="array" ref="K53">INDEX($A$6:$U$41, COLUMN(K9), ROW(K9))</f>
        <v>0</v>
      </c>
      <c r="L53" cm="1">
        <f t="array" ref="L53">INDEX($A$6:$U$41, COLUMN(L9), ROW(L9))</f>
        <v>0</v>
      </c>
      <c r="M53" cm="1">
        <f t="array" ref="M53">INDEX($A$6:$U$41, COLUMN(M9), ROW(M9))</f>
        <v>0</v>
      </c>
      <c r="N53" cm="1">
        <f t="array" ref="N53">INDEX($A$6:$U$41, COLUMN(N9), ROW(N9))</f>
        <v>2025</v>
      </c>
      <c r="O53" cm="1">
        <f t="array" ref="O53">INDEX($A$6:$U$41, COLUMN(O9), ROW(O9))</f>
        <v>2030</v>
      </c>
      <c r="P53" cm="1">
        <f t="array" ref="P53">INDEX($A$6:$U$41, COLUMN(P9), ROW(P9))</f>
        <v>0</v>
      </c>
      <c r="Q53" cm="1">
        <f t="array" ref="Q53">INDEX($A$6:$U$41, COLUMN(Q9), ROW(Q9))</f>
        <v>0</v>
      </c>
      <c r="R53" cm="1">
        <f t="array" ref="R53">INDEX($A$6:$U$41, COLUMN(R9), ROW(R9))</f>
        <v>0</v>
      </c>
      <c r="S53" cm="1">
        <f t="array" ref="S53">INDEX($A$6:$U$41, COLUMN(S9), ROW(S9))</f>
        <v>0</v>
      </c>
      <c r="T53" cm="1">
        <f t="array" ref="T53">INDEX($A$6:$U$41, COLUMN(T9), ROW(T9))</f>
        <v>0</v>
      </c>
      <c r="U53" cm="1">
        <f t="array" ref="U53">INDEX($A$6:$U$41, COLUMN(U9), ROW(U9))</f>
        <v>0</v>
      </c>
      <c r="V53" cm="1">
        <f t="array" ref="V53">INDEX($A$6:$U$41, COLUMN(V9), ROW(V9))</f>
        <v>2025</v>
      </c>
      <c r="W53" cm="1">
        <f t="array" ref="W53">INDEX($A$6:$U$41, COLUMN(W9), ROW(W9))</f>
        <v>0</v>
      </c>
      <c r="X53" cm="1">
        <f t="array" ref="X53">INDEX($A$6:$U$41, COLUMN(X9), ROW(X9))</f>
        <v>0</v>
      </c>
      <c r="Y53" cm="1">
        <f t="array" ref="Y53">INDEX($A$6:$U$41, COLUMN(Y9), ROW(Y9))</f>
        <v>0</v>
      </c>
      <c r="Z53" cm="1">
        <f t="array" ref="Z53">INDEX($A$6:$U$41, COLUMN(Z9), ROW(Z9))</f>
        <v>0</v>
      </c>
      <c r="AA53" cm="1">
        <f t="array" ref="AA53">INDEX($A$6:$U$41, COLUMN(AA9), ROW(AA9))</f>
        <v>0</v>
      </c>
      <c r="AB53" cm="1">
        <f t="array" ref="AB53">INDEX($A$6:$U$41, COLUMN(AB9), ROW(AB9))</f>
        <v>2030</v>
      </c>
      <c r="AC53" cm="1">
        <f t="array" ref="AC53">INDEX($A$6:$U$41, COLUMN(AC9), ROW(AC9))</f>
        <v>0</v>
      </c>
      <c r="AD53" cm="1">
        <f t="array" ref="AD53">INDEX($A$6:$U$41, COLUMN(AD9), ROW(AD9))</f>
        <v>0</v>
      </c>
      <c r="AE53" cm="1">
        <f t="array" ref="AE53">INDEX($A$6:$U$41, COLUMN(AE9), ROW(AE9))</f>
        <v>0</v>
      </c>
      <c r="AF53" cm="1">
        <f t="array" ref="AF53">INDEX($A$6:$U$41, COLUMN(AF9), ROW(AF9))</f>
        <v>0</v>
      </c>
      <c r="AG53" cm="1">
        <f t="array" ref="AG53">INDEX($A$6:$U$41, COLUMN(AG9), ROW(AG9))</f>
        <v>0</v>
      </c>
      <c r="AH53" cm="1">
        <f t="array" ref="AH53">INDEX($A$6:$U$41, COLUMN(AH9), ROW(AH9))</f>
        <v>2025</v>
      </c>
      <c r="AI53" cm="1">
        <f t="array" ref="AI53">INDEX($A$6:$U$41, COLUMN(AI9), ROW(AI9))</f>
        <v>2030</v>
      </c>
      <c r="AJ53" cm="1">
        <f t="array" ref="AJ53">INDEX($A$6:$U$41, COLUMN(AJ9), ROW(AJ9))</f>
        <v>0</v>
      </c>
    </row>
    <row r="54" spans="1:36" x14ac:dyDescent="0.2">
      <c r="A54" cm="1">
        <f t="array" ref="A54">INDEX($A$6:$U$41, COLUMN(A10), ROW(A10))</f>
        <v>0</v>
      </c>
      <c r="B54" t="str" cm="1">
        <f t="array" ref="B54">INDEX($A$6:$U$41, COLUMN(B10), ROW(B10))</f>
        <v>Gas</v>
      </c>
      <c r="C54" t="str" cm="1">
        <f t="array" ref="C54">INDEX($A$6:$U$41, COLUMN(C10), ROW(C10))</f>
        <v>Solid</v>
      </c>
      <c r="D54" t="str" cm="1">
        <f t="array" ref="D54">INDEX($A$6:$U$41, COLUMN(D10), ROW(D10))</f>
        <v>Solvent</v>
      </c>
      <c r="E54" t="str" cm="1">
        <f t="array" ref="E54">INDEX($A$6:$U$41, COLUMN(E10), ROW(E10))</f>
        <v>Water</v>
      </c>
      <c r="F54" cm="1">
        <f t="array" ref="F54">INDEX($A$6:$U$41, COLUMN(F10), ROW(F10))</f>
        <v>0</v>
      </c>
      <c r="G54" cm="1">
        <f t="array" ref="G54">INDEX($A$6:$U$41, COLUMN(G10), ROW(G10))</f>
        <v>0</v>
      </c>
      <c r="H54" t="str" cm="1">
        <f t="array" ref="H54">INDEX($A$6:$U$41, COLUMN(H10), ROW(H10))</f>
        <v>Gas</v>
      </c>
      <c r="I54" t="str" cm="1">
        <f t="array" ref="I54">INDEX($A$6:$U$41, COLUMN(I10), ROW(I10))</f>
        <v>Solid</v>
      </c>
      <c r="J54" t="str" cm="1">
        <f t="array" ref="J54">INDEX($A$6:$U$41, COLUMN(J10), ROW(J10))</f>
        <v>Solvent</v>
      </c>
      <c r="K54" t="str" cm="1">
        <f t="array" ref="K54">INDEX($A$6:$U$41, COLUMN(K10), ROW(K10))</f>
        <v>Water</v>
      </c>
      <c r="L54" cm="1">
        <f t="array" ref="L54">INDEX($A$6:$U$41, COLUMN(L10), ROW(L10))</f>
        <v>0</v>
      </c>
      <c r="M54" cm="1">
        <f t="array" ref="M54">INDEX($A$6:$U$41, COLUMN(M10), ROW(M10))</f>
        <v>0</v>
      </c>
      <c r="N54" cm="1">
        <f t="array" ref="N54">INDEX($A$6:$U$41, COLUMN(N10), ROW(N10))</f>
        <v>0</v>
      </c>
      <c r="O54" cm="1">
        <f t="array" ref="O54">INDEX($A$6:$U$41, COLUMN(O10), ROW(O10))</f>
        <v>0</v>
      </c>
      <c r="P54" cm="1">
        <f t="array" ref="P54">INDEX($A$6:$U$41, COLUMN(P10), ROW(P10))</f>
        <v>0</v>
      </c>
      <c r="Q54" cm="1">
        <f t="array" ref="Q54">INDEX($A$6:$U$41, COLUMN(Q10), ROW(Q10))</f>
        <v>0</v>
      </c>
      <c r="R54" cm="1">
        <f t="array" ref="R54">INDEX($A$6:$U$41, COLUMN(R10), ROW(R10))</f>
        <v>0</v>
      </c>
      <c r="S54" cm="1">
        <f t="array" ref="S54">INDEX($A$6:$U$41, COLUMN(S10), ROW(S10))</f>
        <v>0</v>
      </c>
      <c r="T54" cm="1">
        <f t="array" ref="T54">INDEX($A$6:$U$41, COLUMN(T10), ROW(T10))</f>
        <v>0</v>
      </c>
      <c r="U54" cm="1">
        <f t="array" ref="U54">INDEX($A$6:$U$41, COLUMN(U10), ROW(U10))</f>
        <v>0</v>
      </c>
      <c r="V54" t="str" cm="1">
        <f t="array" ref="V54">INDEX($A$6:$U$41, COLUMN(V10), ROW(V10))</f>
        <v>Gas</v>
      </c>
      <c r="W54" t="str" cm="1">
        <f t="array" ref="W54">INDEX($A$6:$U$41, COLUMN(W10), ROW(W10))</f>
        <v>Solid</v>
      </c>
      <c r="X54" t="str" cm="1">
        <f t="array" ref="X54">INDEX($A$6:$U$41, COLUMN(X10), ROW(X10))</f>
        <v>Solvent</v>
      </c>
      <c r="Y54" t="str" cm="1">
        <f t="array" ref="Y54">INDEX($A$6:$U$41, COLUMN(Y10), ROW(Y10))</f>
        <v>Water</v>
      </c>
      <c r="Z54" cm="1">
        <f t="array" ref="Z54">INDEX($A$6:$U$41, COLUMN(Z10), ROW(Z10))</f>
        <v>0</v>
      </c>
      <c r="AA54" cm="1">
        <f t="array" ref="AA54">INDEX($A$6:$U$41, COLUMN(AA10), ROW(AA10))</f>
        <v>0</v>
      </c>
      <c r="AB54" t="str" cm="1">
        <f t="array" ref="AB54">INDEX($A$6:$U$41, COLUMN(AB10), ROW(AB10))</f>
        <v>Gas</v>
      </c>
      <c r="AC54" t="str" cm="1">
        <f t="array" ref="AC54">INDEX($A$6:$U$41, COLUMN(AC10), ROW(AC10))</f>
        <v>Solid</v>
      </c>
      <c r="AD54" t="str" cm="1">
        <f t="array" ref="AD54">INDEX($A$6:$U$41, COLUMN(AD10), ROW(AD10))</f>
        <v>Solvent</v>
      </c>
      <c r="AE54" t="str" cm="1">
        <f t="array" ref="AE54">INDEX($A$6:$U$41, COLUMN(AE10), ROW(AE10))</f>
        <v>Water</v>
      </c>
      <c r="AF54" cm="1">
        <f t="array" ref="AF54">INDEX($A$6:$U$41, COLUMN(AF10), ROW(AF10))</f>
        <v>0</v>
      </c>
      <c r="AG54" cm="1">
        <f t="array" ref="AG54">INDEX($A$6:$U$41, COLUMN(AG10), ROW(AG10))</f>
        <v>0</v>
      </c>
      <c r="AH54" cm="1">
        <f t="array" ref="AH54">INDEX($A$6:$U$41, COLUMN(AH10), ROW(AH10))</f>
        <v>0</v>
      </c>
      <c r="AI54" cm="1">
        <f t="array" ref="AI54">INDEX($A$6:$U$41, COLUMN(AI10), ROW(AI10))</f>
        <v>0</v>
      </c>
      <c r="AJ54" cm="1">
        <f t="array" ref="AJ54">INDEX($A$6:$U$41, COLUMN(AJ10), ROW(AJ10))</f>
        <v>0</v>
      </c>
    </row>
    <row r="55" spans="1:36" x14ac:dyDescent="0.2">
      <c r="A55" t="str" cm="1">
        <f t="array" ref="A55">INDEX($A$6:$U$41, COLUMN(A11), ROW(A11))</f>
        <v>CC</v>
      </c>
      <c r="B55" cm="1">
        <f t="array" ref="B55">INDEX($A$6:$U$41, COLUMN(B11), ROW(B11))</f>
        <v>6.221858662847294E-2</v>
      </c>
      <c r="C55" cm="1">
        <f t="array" ref="C55">INDEX($A$6:$U$41, COLUMN(C11), ROW(C11))</f>
        <v>7.3750852720805726E-2</v>
      </c>
      <c r="D55" cm="1">
        <f t="array" ref="D55">INDEX($A$6:$U$41, COLUMN(D11), ROW(D11))</f>
        <v>7.4326351263817045</v>
      </c>
      <c r="E55" cm="1">
        <f t="array" ref="E55">INDEX($A$6:$U$41, COLUMN(E11), ROW(E11))</f>
        <v>18.716084298066704</v>
      </c>
      <c r="F55" cm="1">
        <f t="array" ref="F55">INDEX($A$6:$U$41, COLUMN(F11), ROW(F11))</f>
        <v>26.284688863797687</v>
      </c>
      <c r="G55" cm="1">
        <f t="array" ref="G55">INDEX($A$6:$U$41, COLUMN(G11), ROW(G11))</f>
        <v>0</v>
      </c>
      <c r="H55" cm="1">
        <f t="array" ref="H55">INDEX($A$6:$U$41, COLUMN(H11), ROW(H11))</f>
        <v>0.39383301894528827</v>
      </c>
      <c r="I55" cm="1">
        <f t="array" ref="I55">INDEX($A$6:$U$41, COLUMN(I11), ROW(I11))</f>
        <v>0.50819423203241587</v>
      </c>
      <c r="J55" cm="1">
        <f t="array" ref="J55">INDEX($A$6:$U$41, COLUMN(J11), ROW(J11))</f>
        <v>52.096473871295494</v>
      </c>
      <c r="K55" cm="1">
        <f t="array" ref="K55">INDEX($A$6:$U$41, COLUMN(K11), ROW(K11))</f>
        <v>110.7132226621537</v>
      </c>
      <c r="L55" cm="1">
        <f t="array" ref="L55">INDEX($A$6:$U$41, COLUMN(L11), ROW(L11))</f>
        <v>163.71172378442691</v>
      </c>
      <c r="M55" cm="1">
        <f t="array" ref="M55">INDEX($A$6:$U$41, COLUMN(M11), ROW(M11))</f>
        <v>0</v>
      </c>
      <c r="N55" cm="1">
        <f t="array" ref="N55">INDEX($A$6:$U$41, COLUMN(N11), ROW(N11))</f>
        <v>26.284688863797687</v>
      </c>
      <c r="O55" cm="1">
        <f t="array" ref="O55">INDEX($A$6:$U$41, COLUMN(O11), ROW(O11))</f>
        <v>163.71172378442691</v>
      </c>
      <c r="P55" cm="1">
        <f t="array" ref="P55">INDEX($A$6:$U$41, COLUMN(P11), ROW(P11))</f>
        <v>0</v>
      </c>
      <c r="Q55" cm="1">
        <f t="array" ref="Q55">INDEX($A$6:$U$41, COLUMN(Q11), ROW(Q11))</f>
        <v>0</v>
      </c>
      <c r="R55" cm="1">
        <f t="array" ref="R55">INDEX($A$6:$U$41, COLUMN(R11), ROW(R11))</f>
        <v>0</v>
      </c>
      <c r="S55" cm="1">
        <f t="array" ref="S55">INDEX($A$6:$U$41, COLUMN(S11), ROW(S11))</f>
        <v>0</v>
      </c>
      <c r="T55" cm="1">
        <f t="array" ref="T55">INDEX($A$6:$U$41, COLUMN(T11), ROW(T11))</f>
        <v>0</v>
      </c>
      <c r="U55" t="str" cm="1">
        <f t="array" ref="U55">INDEX($A$6:$U$41, COLUMN(U11), ROW(U11))</f>
        <v>CC</v>
      </c>
      <c r="V55" cm="1">
        <f t="array" ref="V55">INDEX($A$6:$U$41, COLUMN(V11), ROW(V11))</f>
        <v>6.3071468627804536E-2</v>
      </c>
      <c r="W55" cm="1">
        <f t="array" ref="W55">INDEX($A$6:$U$41, COLUMN(W11), ROW(W11))</f>
        <v>7.4763339529054298E-2</v>
      </c>
      <c r="X55" cm="1">
        <f t="array" ref="X55">INDEX($A$6:$U$41, COLUMN(X11), ROW(X11))</f>
        <v>7.5347612406207283</v>
      </c>
      <c r="Y55" cm="1">
        <f t="array" ref="Y55">INDEX($A$6:$U$41, COLUMN(Y11), ROW(Y11))</f>
        <v>18.971974892586452</v>
      </c>
      <c r="Z55" cm="1">
        <f t="array" ref="Z55">INDEX($A$6:$U$41, COLUMN(Z11), ROW(Z11))</f>
        <v>26.644570941364037</v>
      </c>
      <c r="AA55" cm="1">
        <f t="array" ref="AA55">INDEX($A$6:$U$41, COLUMN(AA11), ROW(AA11))</f>
        <v>0</v>
      </c>
      <c r="AB55" cm="1">
        <f t="array" ref="AB55">INDEX($A$6:$U$41, COLUMN(AB11), ROW(AB11))</f>
        <v>0.4279773530725392</v>
      </c>
      <c r="AC55" cm="1">
        <f t="array" ref="AC55">INDEX($A$6:$U$41, COLUMN(AC11), ROW(AC11))</f>
        <v>0.5522628036817756</v>
      </c>
      <c r="AD55" cm="1">
        <f t="array" ref="AD55">INDEX($A$6:$U$41, COLUMN(AD11), ROW(AD11))</f>
        <v>56.614076325898395</v>
      </c>
      <c r="AE55" cm="1">
        <f t="array" ref="AE55">INDEX($A$6:$U$41, COLUMN(AE11), ROW(AE11))</f>
        <v>120.31172275595236</v>
      </c>
      <c r="AF55" cm="1">
        <f t="array" ref="AF55">INDEX($A$6:$U$41, COLUMN(AF11), ROW(AF11))</f>
        <v>177.90603923860508</v>
      </c>
      <c r="AG55" cm="1">
        <f t="array" ref="AG55">INDEX($A$6:$U$41, COLUMN(AG11), ROW(AG11))</f>
        <v>0</v>
      </c>
      <c r="AH55" cm="1">
        <f t="array" ref="AH55">INDEX($A$6:$U$41, COLUMN(AH11), ROW(AH11))</f>
        <v>26.644570941364037</v>
      </c>
      <c r="AI55" cm="1">
        <f t="array" ref="AI55">INDEX($A$6:$U$41, COLUMN(AI11), ROW(AI11))</f>
        <v>177.90603923860508</v>
      </c>
      <c r="AJ55" cm="1">
        <f t="array" ref="AJ55">INDEX($A$6:$U$41, COLUMN(AJ11), ROW(AJ11))</f>
        <v>0</v>
      </c>
    </row>
    <row r="56" spans="1:36" x14ac:dyDescent="0.2">
      <c r="A56" t="str" cm="1">
        <f t="array" ref="A56">INDEX($A$6:$U$41, COLUMN(A12), ROW(A12))</f>
        <v>CC</v>
      </c>
      <c r="B56" cm="1">
        <f t="array" ref="B56">INDEX($A$6:$U$41, COLUMN(B12), ROW(B12))</f>
        <v>6.423550850641428E-3</v>
      </c>
      <c r="C56" cm="1">
        <f t="array" ref="C56">INDEX($A$6:$U$41, COLUMN(C12), ROW(C12))</f>
        <v>7.6158763148139186E-3</v>
      </c>
      <c r="D56" cm="1">
        <f t="array" ref="D56">INDEX($A$6:$U$41, COLUMN(D12), ROW(D12))</f>
        <v>0.76717874912727435</v>
      </c>
      <c r="E56" cm="1">
        <f t="array" ref="E56">INDEX($A$6:$U$41, COLUMN(E12), ROW(E12))</f>
        <v>1.9407460647540469</v>
      </c>
      <c r="F56" cm="1">
        <f t="array" ref="F56">INDEX($A$6:$U$41, COLUMN(F12), ROW(F12))</f>
        <v>2.7219642410467766</v>
      </c>
      <c r="G56" cm="1">
        <f t="array" ref="G56">INDEX($A$6:$U$41, COLUMN(G12), ROW(G12))</f>
        <v>0</v>
      </c>
      <c r="H56" cm="1">
        <f t="array" ref="H56">INDEX($A$6:$U$41, COLUMN(H12), ROW(H12))</f>
        <v>5.02388865402318E-2</v>
      </c>
      <c r="I56" cm="1">
        <f t="array" ref="I56">INDEX($A$6:$U$41, COLUMN(I12), ROW(I12))</f>
        <v>6.482564126602984E-2</v>
      </c>
      <c r="J56" cm="1">
        <f t="array" ref="J56">INDEX($A$6:$U$41, COLUMN(J12), ROW(J12))</f>
        <v>6.5939614579844497</v>
      </c>
      <c r="K56" cm="1">
        <f t="array" ref="K56">INDEX($A$6:$U$41, COLUMN(K12), ROW(K12))</f>
        <v>15.108036427736286</v>
      </c>
      <c r="L56" cm="1">
        <f t="array" ref="L56">INDEX($A$6:$U$41, COLUMN(L12), ROW(L12))</f>
        <v>21.817062413526997</v>
      </c>
      <c r="M56" cm="1">
        <f t="array" ref="M56">INDEX($A$6:$U$41, COLUMN(M12), ROW(M12))</f>
        <v>0</v>
      </c>
      <c r="N56" cm="1">
        <f t="array" ref="N56">INDEX($A$6:$U$41, COLUMN(N12), ROW(N12))</f>
        <v>2.7219642410467766</v>
      </c>
      <c r="O56" cm="1">
        <f t="array" ref="O56">INDEX($A$6:$U$41, COLUMN(O12), ROW(O12))</f>
        <v>21.817062413526997</v>
      </c>
      <c r="P56" cm="1">
        <f t="array" ref="P56">INDEX($A$6:$U$41, COLUMN(P12), ROW(P12))</f>
        <v>0</v>
      </c>
      <c r="Q56" cm="1">
        <f t="array" ref="Q56">INDEX($A$6:$U$41, COLUMN(Q12), ROW(Q12))</f>
        <v>0</v>
      </c>
      <c r="R56" cm="1">
        <f t="array" ref="R56">INDEX($A$6:$U$41, COLUMN(R12), ROW(R12))</f>
        <v>0</v>
      </c>
      <c r="S56" cm="1">
        <f t="array" ref="S56">INDEX($A$6:$U$41, COLUMN(S12), ROW(S12))</f>
        <v>0</v>
      </c>
      <c r="T56" cm="1">
        <f t="array" ref="T56">INDEX($A$6:$U$41, COLUMN(T12), ROW(T12))</f>
        <v>0</v>
      </c>
      <c r="U56" t="str" cm="1">
        <f t="array" ref="U56">INDEX($A$6:$U$41, COLUMN(U12), ROW(U12))</f>
        <v>CC</v>
      </c>
      <c r="V56" cm="1">
        <f t="array" ref="V56">INDEX($A$6:$U$41, COLUMN(V12), ROW(V12))</f>
        <v>6.3617545280706834E-3</v>
      </c>
      <c r="W56" cm="1">
        <f t="array" ref="W56">INDEX($A$6:$U$41, COLUMN(W12), ROW(W12))</f>
        <v>7.5434986202152247E-3</v>
      </c>
      <c r="X56" cm="1">
        <f t="array" ref="X56">INDEX($A$6:$U$41, COLUMN(X12), ROW(X12))</f>
        <v>0.75993230999511585</v>
      </c>
      <c r="Y56" cm="1">
        <f t="array" ref="Y56">INDEX($A$6:$U$41, COLUMN(Y12), ROW(Y12))</f>
        <v>1.9218217090600391</v>
      </c>
      <c r="Z56" cm="1">
        <f t="array" ref="Z56">INDEX($A$6:$U$41, COLUMN(Z12), ROW(Z12))</f>
        <v>2.6956592722034411</v>
      </c>
      <c r="AA56" cm="1">
        <f t="array" ref="AA56">INDEX($A$6:$U$41, COLUMN(AA12), ROW(AA12))</f>
        <v>0</v>
      </c>
      <c r="AB56" cm="1">
        <f t="array" ref="AB56">INDEX($A$6:$U$41, COLUMN(AB12), ROW(AB12))</f>
        <v>5.1082415725001488E-2</v>
      </c>
      <c r="AC56" cm="1">
        <f t="array" ref="AC56">INDEX($A$6:$U$41, COLUMN(AC12), ROW(AC12))</f>
        <v>6.5903238524672739E-2</v>
      </c>
      <c r="AD56" cm="1">
        <f t="array" ref="AD56">INDEX($A$6:$U$41, COLUMN(AD12), ROW(AD12))</f>
        <v>6.703607333763828</v>
      </c>
      <c r="AE56" cm="1">
        <f t="array" ref="AE56">INDEX($A$6:$U$41, COLUMN(AE12), ROW(AE12))</f>
        <v>15.360891513292923</v>
      </c>
      <c r="AF56" cm="1">
        <f t="array" ref="AF56">INDEX($A$6:$U$41, COLUMN(AF12), ROW(AF12))</f>
        <v>22.181484501306425</v>
      </c>
      <c r="AG56" cm="1">
        <f t="array" ref="AG56">INDEX($A$6:$U$41, COLUMN(AG12), ROW(AG12))</f>
        <v>0</v>
      </c>
      <c r="AH56" cm="1">
        <f t="array" ref="AH56">INDEX($A$6:$U$41, COLUMN(AH12), ROW(AH12))</f>
        <v>2.6956592722034411</v>
      </c>
      <c r="AI56" cm="1">
        <f t="array" ref="AI56">INDEX($A$6:$U$41, COLUMN(AI12), ROW(AI12))</f>
        <v>22.181484501306425</v>
      </c>
      <c r="AJ56" cm="1">
        <f t="array" ref="AJ56">INDEX($A$6:$U$41, COLUMN(AJ12), ROW(AJ12))</f>
        <v>0</v>
      </c>
    </row>
    <row r="57" spans="1:36" x14ac:dyDescent="0.2">
      <c r="A57" cm="1">
        <f t="array" ref="A57">INDEX($A$6:$U$41, COLUMN(A13), ROW(A13))</f>
        <v>0</v>
      </c>
      <c r="B57" cm="1">
        <f t="array" ref="B57">INDEX($A$6:$U$41, COLUMN(B13), ROW(B13))</f>
        <v>2.3671037900002529E-3</v>
      </c>
      <c r="C57" cm="1">
        <f t="array" ref="C57">INDEX($A$6:$U$41, COLUMN(C13), ROW(C13))</f>
        <v>2.8058484200809367E-3</v>
      </c>
      <c r="D57" cm="1">
        <f t="array" ref="D57">INDEX($A$6:$U$41, COLUMN(D13), ROW(D13))</f>
        <v>0.28277432405215908</v>
      </c>
      <c r="E57" cm="1">
        <f t="array" ref="E57">INDEX($A$6:$U$41, COLUMN(E13), ROW(E13))</f>
        <v>0.71205272373775974</v>
      </c>
      <c r="F57" cm="1">
        <f t="array" ref="F57">INDEX($A$6:$U$41, COLUMN(F13), ROW(F13))</f>
        <v>0</v>
      </c>
      <c r="G57" cm="1">
        <f t="array" ref="G57">INDEX($A$6:$U$41, COLUMN(G13), ROW(G13))</f>
        <v>0</v>
      </c>
      <c r="H57" cm="1">
        <f t="array" ref="H57">INDEX($A$6:$U$41, COLUMN(H13), ROW(H13))</f>
        <v>2.4056494540603676E-3</v>
      </c>
      <c r="I57" cm="1">
        <f t="array" ref="I57">INDEX($A$6:$U$41, COLUMN(I13), ROW(I13))</f>
        <v>3.1042018267524825E-3</v>
      </c>
      <c r="J57" cm="1">
        <f t="array" ref="J57">INDEX($A$6:$U$41, COLUMN(J13), ROW(J13))</f>
        <v>0.31822078875606569</v>
      </c>
      <c r="K57" cm="1">
        <f t="array" ref="K57">INDEX($A$6:$U$41, COLUMN(K13), ROW(K13))</f>
        <v>0.67626935996312132</v>
      </c>
      <c r="L57" cm="1">
        <f t="array" ref="L57">INDEX($A$6:$U$41, COLUMN(L13), ROW(L13))</f>
        <v>0</v>
      </c>
      <c r="M57" cm="1">
        <f t="array" ref="M57">INDEX($A$6:$U$41, COLUMN(M13), ROW(M13))</f>
        <v>0</v>
      </c>
      <c r="N57" cm="1">
        <f t="array" ref="N57">INDEX($A$6:$U$41, COLUMN(N13), ROW(N13))</f>
        <v>0</v>
      </c>
      <c r="O57" cm="1">
        <f t="array" ref="O57">INDEX($A$6:$U$41, COLUMN(O13), ROW(O13))</f>
        <v>0</v>
      </c>
      <c r="P57" cm="1">
        <f t="array" ref="P57">INDEX($A$6:$U$41, COLUMN(P13), ROW(P13))</f>
        <v>0</v>
      </c>
      <c r="Q57" cm="1">
        <f t="array" ref="Q57">INDEX($A$6:$U$41, COLUMN(Q13), ROW(Q13))</f>
        <v>0</v>
      </c>
      <c r="R57" cm="1">
        <f t="array" ref="R57">INDEX($A$6:$U$41, COLUMN(R13), ROW(R13))</f>
        <v>0</v>
      </c>
      <c r="S57" cm="1">
        <f t="array" ref="S57">INDEX($A$6:$U$41, COLUMN(S13), ROW(S13))</f>
        <v>0</v>
      </c>
      <c r="T57" cm="1">
        <f t="array" ref="T57">INDEX($A$6:$U$41, COLUMN(T13), ROW(T13))</f>
        <v>0</v>
      </c>
      <c r="U57" cm="1">
        <f t="array" ref="U57">INDEX($A$6:$U$41, COLUMN(U13), ROW(U13))</f>
        <v>0</v>
      </c>
      <c r="V57" cm="1">
        <f t="array" ref="V57">INDEX($A$6:$U$41, COLUMN(V13), ROW(V13))</f>
        <v>2.3671414625742767E-3</v>
      </c>
      <c r="W57" cm="1">
        <f t="array" ref="W57">INDEX($A$6:$U$41, COLUMN(W13), ROW(W13))</f>
        <v>2.805950213782158E-3</v>
      </c>
      <c r="X57" cm="1">
        <f t="array" ref="X57">INDEX($A$6:$U$41, COLUMN(X13), ROW(X13))</f>
        <v>0.28278786163238534</v>
      </c>
      <c r="Y57" cm="1">
        <f t="array" ref="Y57">INDEX($A$6:$U$41, COLUMN(Y13), ROW(Y13))</f>
        <v>0.71203904669125828</v>
      </c>
      <c r="Z57" cm="1">
        <f t="array" ref="Z57">INDEX($A$6:$U$41, COLUMN(Z13), ROW(Z13))</f>
        <v>0</v>
      </c>
      <c r="AA57" cm="1">
        <f t="array" ref="AA57">INDEX($A$6:$U$41, COLUMN(AA13), ROW(AA13))</f>
        <v>0</v>
      </c>
      <c r="AB57" cm="1">
        <f t="array" ref="AB57">INDEX($A$6:$U$41, COLUMN(AB13), ROW(AB13))</f>
        <v>2.4056370143710638E-3</v>
      </c>
      <c r="AC57" cm="1">
        <f t="array" ref="AC57">INDEX($A$6:$U$41, COLUMN(AC13), ROW(AC13))</f>
        <v>3.1042386534224872E-3</v>
      </c>
      <c r="AD57" cm="1">
        <f t="array" ref="AD57">INDEX($A$6:$U$41, COLUMN(AD13), ROW(AD13))</f>
        <v>0.31822458961029643</v>
      </c>
      <c r="AE57" cm="1">
        <f t="array" ref="AE57">INDEX($A$6:$U$41, COLUMN(AE13), ROW(AE13))</f>
        <v>0.67626553472190998</v>
      </c>
      <c r="AF57" cm="1">
        <f t="array" ref="AF57">INDEX($A$6:$U$41, COLUMN(AF13), ROW(AF13))</f>
        <v>0</v>
      </c>
      <c r="AG57" cm="1">
        <f t="array" ref="AG57">INDEX($A$6:$U$41, COLUMN(AG13), ROW(AG13))</f>
        <v>0</v>
      </c>
      <c r="AH57" cm="1">
        <f t="array" ref="AH57">INDEX($A$6:$U$41, COLUMN(AH13), ROW(AH13))</f>
        <v>0</v>
      </c>
      <c r="AI57" cm="1">
        <f t="array" ref="AI57">INDEX($A$6:$U$41, COLUMN(AI13), ROW(AI13))</f>
        <v>0</v>
      </c>
      <c r="AJ57" cm="1">
        <f t="array" ref="AJ57">INDEX($A$6:$U$41, COLUMN(AJ13), ROW(AJ13))</f>
        <v>0</v>
      </c>
    </row>
    <row r="58" spans="1:36" x14ac:dyDescent="0.2">
      <c r="A58" cm="1">
        <f t="array" ref="A58">INDEX($A$6:$U$41, COLUMN(A14), ROW(A14))</f>
        <v>0</v>
      </c>
      <c r="B58" cm="1">
        <f t="array" ref="B58">INDEX($A$6:$U$41, COLUMN(B14), ROW(B14))</f>
        <v>0</v>
      </c>
      <c r="C58" cm="1">
        <f t="array" ref="C58">INDEX($A$6:$U$41, COLUMN(C14), ROW(C14))</f>
        <v>0</v>
      </c>
      <c r="D58" cm="1">
        <f t="array" ref="D58">INDEX($A$6:$U$41, COLUMN(D14), ROW(D14))</f>
        <v>0</v>
      </c>
      <c r="E58" cm="1">
        <f t="array" ref="E58">INDEX($A$6:$U$41, COLUMN(E14), ROW(E14))</f>
        <v>0</v>
      </c>
      <c r="F58" cm="1">
        <f t="array" ref="F58">INDEX($A$6:$U$41, COLUMN(F14), ROW(F14))</f>
        <v>0</v>
      </c>
      <c r="G58" cm="1">
        <f t="array" ref="G58">INDEX($A$6:$U$41, COLUMN(G14), ROW(G14))</f>
        <v>0</v>
      </c>
      <c r="H58" cm="1">
        <f t="array" ref="H58">INDEX($A$6:$U$41, COLUMN(H14), ROW(H14))</f>
        <v>0</v>
      </c>
      <c r="I58" cm="1">
        <f t="array" ref="I58">INDEX($A$6:$U$41, COLUMN(I14), ROW(I14))</f>
        <v>0</v>
      </c>
      <c r="J58" cm="1">
        <f t="array" ref="J58">INDEX($A$6:$U$41, COLUMN(J14), ROW(J14))</f>
        <v>0</v>
      </c>
      <c r="K58" cm="1">
        <f t="array" ref="K58">INDEX($A$6:$U$41, COLUMN(K14), ROW(K14))</f>
        <v>0</v>
      </c>
      <c r="L58" cm="1">
        <f t="array" ref="L58">INDEX($A$6:$U$41, COLUMN(L14), ROW(L14))</f>
        <v>0</v>
      </c>
      <c r="M58" cm="1">
        <f t="array" ref="M58">INDEX($A$6:$U$41, COLUMN(M14), ROW(M14))</f>
        <v>0</v>
      </c>
      <c r="N58" cm="1">
        <f t="array" ref="N58">INDEX($A$6:$U$41, COLUMN(N14), ROW(N14))</f>
        <v>0</v>
      </c>
      <c r="O58" cm="1">
        <f t="array" ref="O58">INDEX($A$6:$U$41, COLUMN(O14), ROW(O14))</f>
        <v>0</v>
      </c>
      <c r="P58" cm="1">
        <f t="array" ref="P58">INDEX($A$6:$U$41, COLUMN(P14), ROW(P14))</f>
        <v>0</v>
      </c>
      <c r="Q58" cm="1">
        <f t="array" ref="Q58">INDEX($A$6:$U$41, COLUMN(Q14), ROW(Q14))</f>
        <v>0</v>
      </c>
      <c r="R58" cm="1">
        <f t="array" ref="R58">INDEX($A$6:$U$41, COLUMN(R14), ROW(R14))</f>
        <v>0</v>
      </c>
      <c r="S58" cm="1">
        <f t="array" ref="S58">INDEX($A$6:$U$41, COLUMN(S14), ROW(S14))</f>
        <v>0</v>
      </c>
      <c r="T58" cm="1">
        <f t="array" ref="T58">INDEX($A$6:$U$41, COLUMN(T14), ROW(T14))</f>
        <v>0</v>
      </c>
      <c r="U58" cm="1">
        <f t="array" ref="U58">INDEX($A$6:$U$41, COLUMN(U14), ROW(U14))</f>
        <v>0</v>
      </c>
      <c r="V58" cm="1">
        <f t="array" ref="V58">INDEX($A$6:$U$41, COLUMN(V14), ROW(V14))</f>
        <v>0</v>
      </c>
      <c r="W58" cm="1">
        <f t="array" ref="W58">INDEX($A$6:$U$41, COLUMN(W14), ROW(W14))</f>
        <v>0</v>
      </c>
      <c r="X58" cm="1">
        <f t="array" ref="X58">INDEX($A$6:$U$41, COLUMN(X14), ROW(X14))</f>
        <v>0</v>
      </c>
      <c r="Y58" cm="1">
        <f t="array" ref="Y58">INDEX($A$6:$U$41, COLUMN(Y14), ROW(Y14))</f>
        <v>0</v>
      </c>
      <c r="Z58" cm="1">
        <f t="array" ref="Z58">INDEX($A$6:$U$41, COLUMN(Z14), ROW(Z14))</f>
        <v>0</v>
      </c>
      <c r="AA58" cm="1">
        <f t="array" ref="AA58">INDEX($A$6:$U$41, COLUMN(AA14), ROW(AA14))</f>
        <v>0</v>
      </c>
      <c r="AB58" cm="1">
        <f t="array" ref="AB58">INDEX($A$6:$U$41, COLUMN(AB14), ROW(AB14))</f>
        <v>0</v>
      </c>
      <c r="AC58" cm="1">
        <f t="array" ref="AC58">INDEX($A$6:$U$41, COLUMN(AC14), ROW(AC14))</f>
        <v>0</v>
      </c>
      <c r="AD58" cm="1">
        <f t="array" ref="AD58">INDEX($A$6:$U$41, COLUMN(AD14), ROW(AD14))</f>
        <v>0</v>
      </c>
      <c r="AE58" cm="1">
        <f t="array" ref="AE58">INDEX($A$6:$U$41, COLUMN(AE14), ROW(AE14))</f>
        <v>0</v>
      </c>
      <c r="AF58" cm="1">
        <f t="array" ref="AF58">INDEX($A$6:$U$41, COLUMN(AF14), ROW(AF14))</f>
        <v>0</v>
      </c>
      <c r="AG58" cm="1">
        <f t="array" ref="AG58">INDEX($A$6:$U$41, COLUMN(AG14), ROW(AG14))</f>
        <v>0</v>
      </c>
      <c r="AH58" cm="1">
        <f t="array" ref="AH58">INDEX($A$6:$U$41, COLUMN(AH14), ROW(AH14))</f>
        <v>0</v>
      </c>
      <c r="AI58" cm="1">
        <f t="array" ref="AI58">INDEX($A$6:$U$41, COLUMN(AI14), ROW(AI14))</f>
        <v>0</v>
      </c>
      <c r="AJ58" cm="1">
        <f t="array" ref="AJ58">INDEX($A$6:$U$41, COLUMN(AJ14), ROW(AJ14))</f>
        <v>0</v>
      </c>
    </row>
    <row r="59" spans="1:36" x14ac:dyDescent="0.2">
      <c r="A59" t="str" cm="1">
        <f t="array" ref="A59">INDEX($A$6:$U$41, COLUMN(A15), ROW(A15))</f>
        <v>HTC</v>
      </c>
      <c r="B59" cm="1">
        <f t="array" ref="B59">INDEX($A$6:$U$41, COLUMN(B15), ROW(B15))</f>
        <v>5.0847202615982318E-3</v>
      </c>
      <c r="C59" cm="1">
        <f t="array" ref="C59">INDEX($A$6:$U$41, COLUMN(C15), ROW(C15))</f>
        <v>6.0270971545567037E-3</v>
      </c>
      <c r="D59" cm="1">
        <f t="array" ref="D59">INDEX($A$6:$U$41, COLUMN(D15), ROW(D15))</f>
        <v>0.39182965136237424</v>
      </c>
      <c r="E59" cm="1">
        <f t="array" ref="E59">INDEX($A$6:$U$41, COLUMN(E15), ROW(E15))</f>
        <v>2.1332224111728926</v>
      </c>
      <c r="F59" cm="1">
        <f t="array" ref="F59">INDEX($A$6:$U$41, COLUMN(F15), ROW(F15))</f>
        <v>2.5361638799514217</v>
      </c>
      <c r="G59" cm="1">
        <f t="array" ref="G59">INDEX($A$6:$U$41, COLUMN(G15), ROW(G15))</f>
        <v>0</v>
      </c>
      <c r="H59" cm="1">
        <f t="array" ref="H59">INDEX($A$6:$U$41, COLUMN(H15), ROW(H15))</f>
        <v>3.0618488466843341E-2</v>
      </c>
      <c r="I59" cm="1">
        <f t="array" ref="I59">INDEX($A$6:$U$41, COLUMN(I15), ROW(I15))</f>
        <v>3.9508165325434413E-2</v>
      </c>
      <c r="J59" cm="1">
        <f t="array" ref="J59">INDEX($A$6:$U$41, COLUMN(J15), ROW(J15))</f>
        <v>2.5554045376500545</v>
      </c>
      <c r="K59" cm="1">
        <f t="array" ref="K59">INDEX($A$6:$U$41, COLUMN(K15), ROW(K15))</f>
        <v>11.550379018368583</v>
      </c>
      <c r="L59" cm="1">
        <f t="array" ref="L59">INDEX($A$6:$U$41, COLUMN(L15), ROW(L15))</f>
        <v>14.175910209810915</v>
      </c>
      <c r="M59" cm="1">
        <f t="array" ref="M59">INDEX($A$6:$U$41, COLUMN(M15), ROW(M15))</f>
        <v>0</v>
      </c>
      <c r="N59" cm="1">
        <f t="array" ref="N59">INDEX($A$6:$U$41, COLUMN(N15), ROW(N15))</f>
        <v>2.5361638799514217</v>
      </c>
      <c r="O59" cm="1">
        <f t="array" ref="O59">INDEX($A$6:$U$41, COLUMN(O15), ROW(O15))</f>
        <v>14.175910209810915</v>
      </c>
      <c r="P59" cm="1">
        <f t="array" ref="P59">INDEX($A$6:$U$41, COLUMN(P15), ROW(P15))</f>
        <v>0</v>
      </c>
      <c r="Q59" cm="1">
        <f t="array" ref="Q59">INDEX($A$6:$U$41, COLUMN(Q15), ROW(Q15))</f>
        <v>0</v>
      </c>
      <c r="R59" cm="1">
        <f t="array" ref="R59">INDEX($A$6:$U$41, COLUMN(R15), ROW(R15))</f>
        <v>0</v>
      </c>
      <c r="S59" cm="1">
        <f t="array" ref="S59">INDEX($A$6:$U$41, COLUMN(S15), ROW(S15))</f>
        <v>0</v>
      </c>
      <c r="T59" cm="1">
        <f t="array" ref="T59">INDEX($A$6:$U$41, COLUMN(T15), ROW(T15))</f>
        <v>0</v>
      </c>
      <c r="U59" t="str" cm="1">
        <f t="array" ref="U59">INDEX($A$6:$U$41, COLUMN(U15), ROW(U15))</f>
        <v>HTC</v>
      </c>
      <c r="V59" cm="1">
        <f t="array" ref="V59">INDEX($A$6:$U$41, COLUMN(V15), ROW(V15))</f>
        <v>5.154367971278888E-3</v>
      </c>
      <c r="W59" cm="1">
        <f t="array" ref="W59">INDEX($A$6:$U$41, COLUMN(W15), ROW(W15))</f>
        <v>6.109777455637783E-3</v>
      </c>
      <c r="X59" cm="1">
        <f t="array" ref="X59">INDEX($A$6:$U$41, COLUMN(X15), ROW(X15))</f>
        <v>0.39720755936811158</v>
      </c>
      <c r="Y59" cm="1">
        <f t="array" ref="Y59">INDEX($A$6:$U$41, COLUMN(Y15), ROW(Y15))</f>
        <v>2.1623531929368016</v>
      </c>
      <c r="Z59" cm="1">
        <f t="array" ref="Z59">INDEX($A$6:$U$41, COLUMN(Z15), ROW(Z15))</f>
        <v>2.5708248977318298</v>
      </c>
      <c r="AA59" cm="1">
        <f t="array" ref="AA59">INDEX($A$6:$U$41, COLUMN(AA15), ROW(AA15))</f>
        <v>0</v>
      </c>
      <c r="AB59" cm="1">
        <f t="array" ref="AB59">INDEX($A$6:$U$41, COLUMN(AB15), ROW(AB15))</f>
        <v>3.3272879539869175E-2</v>
      </c>
      <c r="AC59" cm="1">
        <f t="array" ref="AC59">INDEX($A$6:$U$41, COLUMN(AC15), ROW(AC15))</f>
        <v>4.2933960949441408E-2</v>
      </c>
      <c r="AD59" cm="1">
        <f t="array" ref="AD59">INDEX($A$6:$U$41, COLUMN(AD15), ROW(AD15))</f>
        <v>2.776981161501805</v>
      </c>
      <c r="AE59" cm="1">
        <f t="array" ref="AE59">INDEX($A$6:$U$41, COLUMN(AE15), ROW(AE15))</f>
        <v>12.551647512063051</v>
      </c>
      <c r="AF59" cm="1">
        <f t="array" ref="AF59">INDEX($A$6:$U$41, COLUMN(AF15), ROW(AF15))</f>
        <v>15.404835514054167</v>
      </c>
      <c r="AG59" cm="1">
        <f t="array" ref="AG59">INDEX($A$6:$U$41, COLUMN(AG15), ROW(AG15))</f>
        <v>0</v>
      </c>
      <c r="AH59" cm="1">
        <f t="array" ref="AH59">INDEX($A$6:$U$41, COLUMN(AH15), ROW(AH15))</f>
        <v>2.5708248977318298</v>
      </c>
      <c r="AI59" cm="1">
        <f t="array" ref="AI59">INDEX($A$6:$U$41, COLUMN(AI15), ROW(AI15))</f>
        <v>15.404835514054167</v>
      </c>
      <c r="AJ59" cm="1">
        <f t="array" ref="AJ59">INDEX($A$6:$U$41, COLUMN(AJ15), ROW(AJ15))</f>
        <v>0</v>
      </c>
    </row>
    <row r="60" spans="1:36" x14ac:dyDescent="0.2">
      <c r="A60" t="str" cm="1">
        <f t="array" ref="A60">INDEX($A$6:$U$41, COLUMN(A16), ROW(A16))</f>
        <v>HTC</v>
      </c>
      <c r="B60" cm="1">
        <f t="array" ref="B60">INDEX($A$6:$U$41, COLUMN(B16), ROW(B16))</f>
        <v>5.2483460011368017E-4</v>
      </c>
      <c r="C60" cm="1">
        <f t="array" ref="C60">INDEX($A$6:$U$41, COLUMN(C16), ROW(C16))</f>
        <v>6.2224483672956323E-4</v>
      </c>
      <c r="D60" cm="1">
        <f t="array" ref="D60">INDEX($A$6:$U$41, COLUMN(D16), ROW(D16))</f>
        <v>4.0490064233819921E-2</v>
      </c>
      <c r="E60" cm="1">
        <f t="array" ref="E60">INDEX($A$6:$U$41, COLUMN(E16), ROW(E16))</f>
        <v>0.22145622245259478</v>
      </c>
      <c r="F60" cm="1">
        <f t="array" ref="F60">INDEX($A$6:$U$41, COLUMN(F16), ROW(F16))</f>
        <v>0.26309336612325795</v>
      </c>
      <c r="G60" cm="1">
        <f t="array" ref="G60">INDEX($A$6:$U$41, COLUMN(G16), ROW(G16))</f>
        <v>0</v>
      </c>
      <c r="H60" cm="1">
        <f t="array" ref="H60">INDEX($A$6:$U$41, COLUMN(H16), ROW(H16))</f>
        <v>3.9026729957892833E-3</v>
      </c>
      <c r="I60" cm="1">
        <f t="array" ref="I60">INDEX($A$6:$U$41, COLUMN(I16), ROW(I16))</f>
        <v>5.0356440075818654E-3</v>
      </c>
      <c r="J60" cm="1">
        <f t="array" ref="J60">INDEX($A$6:$U$41, COLUMN(J16), ROW(J16))</f>
        <v>0.32946423906856159</v>
      </c>
      <c r="K60" cm="1">
        <f t="array" ref="K60">INDEX($A$6:$U$41, COLUMN(K16), ROW(K16))</f>
        <v>1.6184732217677338</v>
      </c>
      <c r="L60" cm="1">
        <f t="array" ref="L60">INDEX($A$6:$U$41, COLUMN(L16), ROW(L16))</f>
        <v>1.9568757778396666</v>
      </c>
      <c r="M60" cm="1">
        <f t="array" ref="M60">INDEX($A$6:$U$41, COLUMN(M16), ROW(M16))</f>
        <v>0</v>
      </c>
      <c r="N60" cm="1">
        <f t="array" ref="N60">INDEX($A$6:$U$41, COLUMN(N16), ROW(N16))</f>
        <v>0.26309336612325795</v>
      </c>
      <c r="O60" cm="1">
        <f t="array" ref="O60">INDEX($A$6:$U$41, COLUMN(O16), ROW(O16))</f>
        <v>1.9568757778396666</v>
      </c>
      <c r="P60" cm="1">
        <f t="array" ref="P60">INDEX($A$6:$U$41, COLUMN(P16), ROW(P16))</f>
        <v>0</v>
      </c>
      <c r="Q60" cm="1">
        <f t="array" ref="Q60">INDEX($A$6:$U$41, COLUMN(Q16), ROW(Q16))</f>
        <v>0</v>
      </c>
      <c r="R60" cm="1">
        <f t="array" ref="R60">INDEX($A$6:$U$41, COLUMN(R16), ROW(R16))</f>
        <v>0</v>
      </c>
      <c r="S60" cm="1">
        <f t="array" ref="S60">INDEX($A$6:$U$41, COLUMN(S16), ROW(S16))</f>
        <v>0</v>
      </c>
      <c r="T60" cm="1">
        <f t="array" ref="T60">INDEX($A$6:$U$41, COLUMN(T16), ROW(T16))</f>
        <v>0</v>
      </c>
      <c r="U60" t="str" cm="1">
        <f t="array" ref="U60">INDEX($A$6:$U$41, COLUMN(U16), ROW(U16))</f>
        <v>HTC</v>
      </c>
      <c r="V60" cm="1">
        <f t="array" ref="V60">INDEX($A$6:$U$41, COLUMN(V16), ROW(V16))</f>
        <v>5.1975366191894226E-4</v>
      </c>
      <c r="W60" cm="1">
        <f t="array" ref="W60">INDEX($A$6:$U$41, COLUMN(W16), ROW(W16))</f>
        <v>6.1629347774714161E-4</v>
      </c>
      <c r="X60" cm="1">
        <f t="array" ref="X60">INDEX($A$6:$U$41, COLUMN(X16), ROW(X16))</f>
        <v>4.0104913672274131E-2</v>
      </c>
      <c r="Y60" cm="1">
        <f t="array" ref="Y60">INDEX($A$6:$U$41, COLUMN(Y16), ROW(Y16))</f>
        <v>0.21928056320471118</v>
      </c>
      <c r="Z60" cm="1">
        <f t="array" ref="Z60">INDEX($A$6:$U$41, COLUMN(Z16), ROW(Z16))</f>
        <v>0.26052152401665141</v>
      </c>
      <c r="AA60" cm="1">
        <f t="array" ref="AA60">INDEX($A$6:$U$41, COLUMN(AA16), ROW(AA16))</f>
        <v>0</v>
      </c>
      <c r="AB60" cm="1">
        <f t="array" ref="AB60">INDEX($A$6:$U$41, COLUMN(AB16), ROW(AB16))</f>
        <v>3.9683808773188223E-3</v>
      </c>
      <c r="AC60" cm="1">
        <f t="array" ref="AC60">INDEX($A$6:$U$41, COLUMN(AC16), ROW(AC16))</f>
        <v>5.1195832740272926E-3</v>
      </c>
      <c r="AD60" cm="1">
        <f t="array" ref="AD60">INDEX($A$6:$U$41, COLUMN(AD16), ROW(AD16))</f>
        <v>0.3349589350953156</v>
      </c>
      <c r="AE60" cm="1">
        <f t="array" ref="AE60">INDEX($A$6:$U$41, COLUMN(AE16), ROW(AE16))</f>
        <v>1.6456574633774723</v>
      </c>
      <c r="AF60" cm="1">
        <f t="array" ref="AF60">INDEX($A$6:$U$41, COLUMN(AF16), ROW(AF16))</f>
        <v>1.989704362624134</v>
      </c>
      <c r="AG60" cm="1">
        <f t="array" ref="AG60">INDEX($A$6:$U$41, COLUMN(AG16), ROW(AG16))</f>
        <v>0</v>
      </c>
      <c r="AH60" cm="1">
        <f t="array" ref="AH60">INDEX($A$6:$U$41, COLUMN(AH16), ROW(AH16))</f>
        <v>0.26052152401665141</v>
      </c>
      <c r="AI60" cm="1">
        <f t="array" ref="AI60">INDEX($A$6:$U$41, COLUMN(AI16), ROW(AI16))</f>
        <v>1.989704362624134</v>
      </c>
      <c r="AJ60" cm="1">
        <f t="array" ref="AJ60">INDEX($A$6:$U$41, COLUMN(AJ16), ROW(AJ16))</f>
        <v>0</v>
      </c>
    </row>
    <row r="61" spans="1:36" x14ac:dyDescent="0.2">
      <c r="A61" cm="1">
        <f t="array" ref="A61">INDEX($A$6:$U$41, COLUMN(A17), ROW(A17))</f>
        <v>0</v>
      </c>
      <c r="B61" cm="1">
        <f t="array" ref="B61">INDEX($A$6:$U$41, COLUMN(B17), ROW(B17))</f>
        <v>2.0048863173998148E-3</v>
      </c>
      <c r="C61" cm="1">
        <f t="array" ref="C61">INDEX($A$6:$U$41, COLUMN(C17), ROW(C17))</f>
        <v>2.3764620268435289E-3</v>
      </c>
      <c r="D61" cm="1">
        <f t="array" ref="D61">INDEX($A$6:$U$41, COLUMN(D17), ROW(D17))</f>
        <v>0.15449697650054042</v>
      </c>
      <c r="E61" cm="1">
        <f t="array" ref="E61">INDEX($A$6:$U$41, COLUMN(E17), ROW(E17))</f>
        <v>0.8411216751552163</v>
      </c>
      <c r="F61" cm="1">
        <f t="array" ref="F61">INDEX($A$6:$U$41, COLUMN(F17), ROW(F17))</f>
        <v>0</v>
      </c>
      <c r="G61" cm="1">
        <f t="array" ref="G61">INDEX($A$6:$U$41, COLUMN(G17), ROW(G17))</f>
        <v>0</v>
      </c>
      <c r="H61" cm="1">
        <f t="array" ref="H61">INDEX($A$6:$U$41, COLUMN(H17), ROW(H17))</f>
        <v>2.1598957677971737E-3</v>
      </c>
      <c r="I61" cm="1">
        <f t="array" ref="I61">INDEX($A$6:$U$41, COLUMN(I17), ROW(I17))</f>
        <v>2.7869931976636998E-3</v>
      </c>
      <c r="J61" cm="1">
        <f t="array" ref="J61">INDEX($A$6:$U$41, COLUMN(J17), ROW(J17))</f>
        <v>0.18026387722754486</v>
      </c>
      <c r="K61" cm="1">
        <f t="array" ref="K61">INDEX($A$6:$U$41, COLUMN(K17), ROW(K17))</f>
        <v>0.8147892338069942</v>
      </c>
      <c r="L61" cm="1">
        <f t="array" ref="L61">INDEX($A$6:$U$41, COLUMN(L17), ROW(L17))</f>
        <v>0</v>
      </c>
      <c r="M61" cm="1">
        <f t="array" ref="M61">INDEX($A$6:$U$41, COLUMN(M17), ROW(M17))</f>
        <v>0</v>
      </c>
      <c r="N61" cm="1">
        <f t="array" ref="N61">INDEX($A$6:$U$41, COLUMN(N17), ROW(N17))</f>
        <v>0</v>
      </c>
      <c r="O61" cm="1">
        <f t="array" ref="O61">INDEX($A$6:$U$41, COLUMN(O17), ROW(O17))</f>
        <v>0</v>
      </c>
      <c r="P61" cm="1">
        <f t="array" ref="P61">INDEX($A$6:$U$41, COLUMN(P17), ROW(P17))</f>
        <v>0</v>
      </c>
      <c r="Q61" cm="1">
        <f t="array" ref="Q61">INDEX($A$6:$U$41, COLUMN(Q17), ROW(Q17))</f>
        <v>0</v>
      </c>
      <c r="R61" cm="1">
        <f t="array" ref="R61">INDEX($A$6:$U$41, COLUMN(R17), ROW(R17))</f>
        <v>0</v>
      </c>
      <c r="S61" cm="1">
        <f t="array" ref="S61">INDEX($A$6:$U$41, COLUMN(S17), ROW(S17))</f>
        <v>0</v>
      </c>
      <c r="T61" cm="1">
        <f t="array" ref="T61">INDEX($A$6:$U$41, COLUMN(T17), ROW(T17))</f>
        <v>0</v>
      </c>
      <c r="U61" cm="1">
        <f t="array" ref="U61">INDEX($A$6:$U$41, COLUMN(U17), ROW(U17))</f>
        <v>0</v>
      </c>
      <c r="V61" cm="1">
        <f t="array" ref="V61">INDEX($A$6:$U$41, COLUMN(V17), ROW(V17))</f>
        <v>2.0049471186569141E-3</v>
      </c>
      <c r="W61" cm="1">
        <f t="array" ref="W61">INDEX($A$6:$U$41, COLUMN(W17), ROW(W17))</f>
        <v>2.3765824973253826E-3</v>
      </c>
      <c r="X61" cm="1">
        <f t="array" ref="X61">INDEX($A$6:$U$41, COLUMN(X17), ROW(X17))</f>
        <v>0.15450587852893335</v>
      </c>
      <c r="Y61" cm="1">
        <f t="array" ref="Y61">INDEX($A$6:$U$41, COLUMN(Y17), ROW(Y17))</f>
        <v>0.84111259185508436</v>
      </c>
      <c r="Z61" cm="1">
        <f t="array" ref="Z61">INDEX($A$6:$U$41, COLUMN(Z17), ROW(Z17))</f>
        <v>0</v>
      </c>
      <c r="AA61" cm="1">
        <f t="array" ref="AA61">INDEX($A$6:$U$41, COLUMN(AA17), ROW(AA17))</f>
        <v>0</v>
      </c>
      <c r="AB61" cm="1">
        <f t="array" ref="AB61">INDEX($A$6:$U$41, COLUMN(AB17), ROW(AB17))</f>
        <v>2.1598983974553706E-3</v>
      </c>
      <c r="AC61" cm="1">
        <f t="array" ref="AC61">INDEX($A$6:$U$41, COLUMN(AC17), ROW(AC17))</f>
        <v>2.7870444257760379E-3</v>
      </c>
      <c r="AD61" cm="1">
        <f t="array" ref="AD61">INDEX($A$6:$U$41, COLUMN(AD17), ROW(AD17))</f>
        <v>0.18026684926095476</v>
      </c>
      <c r="AE61" cm="1">
        <f t="array" ref="AE61">INDEX($A$6:$U$41, COLUMN(AE17), ROW(AE17))</f>
        <v>0.8147862079158138</v>
      </c>
      <c r="AF61" cm="1">
        <f t="array" ref="AF61">INDEX($A$6:$U$41, COLUMN(AF17), ROW(AF17))</f>
        <v>0</v>
      </c>
      <c r="AG61" cm="1">
        <f t="array" ref="AG61">INDEX($A$6:$U$41, COLUMN(AG17), ROW(AG17))</f>
        <v>0</v>
      </c>
      <c r="AH61" cm="1">
        <f t="array" ref="AH61">INDEX($A$6:$U$41, COLUMN(AH17), ROW(AH17))</f>
        <v>0</v>
      </c>
      <c r="AI61" cm="1">
        <f t="array" ref="AI61">INDEX($A$6:$U$41, COLUMN(AI17), ROW(AI17))</f>
        <v>0</v>
      </c>
      <c r="AJ61" cm="1">
        <f t="array" ref="AJ61">INDEX($A$6:$U$41, COLUMN(AJ17), ROW(AJ17))</f>
        <v>0</v>
      </c>
    </row>
    <row r="62" spans="1:36" x14ac:dyDescent="0.2">
      <c r="A62" cm="1">
        <f t="array" ref="A62">INDEX($A$6:$U$41, COLUMN(A18), ROW(A18))</f>
        <v>0</v>
      </c>
      <c r="B62" cm="1">
        <f t="array" ref="B62">INDEX($A$6:$U$41, COLUMN(B18), ROW(B18))</f>
        <v>0</v>
      </c>
      <c r="C62" cm="1">
        <f t="array" ref="C62">INDEX($A$6:$U$41, COLUMN(C18), ROW(C18))</f>
        <v>0</v>
      </c>
      <c r="D62" cm="1">
        <f t="array" ref="D62">INDEX($A$6:$U$41, COLUMN(D18), ROW(D18))</f>
        <v>0</v>
      </c>
      <c r="E62" cm="1">
        <f t="array" ref="E62">INDEX($A$6:$U$41, COLUMN(E18), ROW(E18))</f>
        <v>0</v>
      </c>
      <c r="F62" cm="1">
        <f t="array" ref="F62">INDEX($A$6:$U$41, COLUMN(F18), ROW(F18))</f>
        <v>0</v>
      </c>
      <c r="G62" cm="1">
        <f t="array" ref="G62">INDEX($A$6:$U$41, COLUMN(G18), ROW(G18))</f>
        <v>0</v>
      </c>
      <c r="H62" cm="1">
        <f t="array" ref="H62">INDEX($A$6:$U$41, COLUMN(H18), ROW(H18))</f>
        <v>0</v>
      </c>
      <c r="I62" cm="1">
        <f t="array" ref="I62">INDEX($A$6:$U$41, COLUMN(I18), ROW(I18))</f>
        <v>0</v>
      </c>
      <c r="J62" cm="1">
        <f t="array" ref="J62">INDEX($A$6:$U$41, COLUMN(J18), ROW(J18))</f>
        <v>0</v>
      </c>
      <c r="K62" cm="1">
        <f t="array" ref="K62">INDEX($A$6:$U$41, COLUMN(K18), ROW(K18))</f>
        <v>0</v>
      </c>
      <c r="L62" cm="1">
        <f t="array" ref="L62">INDEX($A$6:$U$41, COLUMN(L18), ROW(L18))</f>
        <v>0</v>
      </c>
      <c r="M62" cm="1">
        <f t="array" ref="M62">INDEX($A$6:$U$41, COLUMN(M18), ROW(M18))</f>
        <v>0</v>
      </c>
      <c r="N62" cm="1">
        <f t="array" ref="N62">INDEX($A$6:$U$41, COLUMN(N18), ROW(N18))</f>
        <v>0</v>
      </c>
      <c r="O62" cm="1">
        <f t="array" ref="O62">INDEX($A$6:$U$41, COLUMN(O18), ROW(O18))</f>
        <v>0</v>
      </c>
      <c r="P62" cm="1">
        <f t="array" ref="P62">INDEX($A$6:$U$41, COLUMN(P18), ROW(P18))</f>
        <v>0</v>
      </c>
      <c r="Q62" cm="1">
        <f t="array" ref="Q62">INDEX($A$6:$U$41, COLUMN(Q18), ROW(Q18))</f>
        <v>0</v>
      </c>
      <c r="R62" cm="1">
        <f t="array" ref="R62">INDEX($A$6:$U$41, COLUMN(R18), ROW(R18))</f>
        <v>0</v>
      </c>
      <c r="S62" cm="1">
        <f t="array" ref="S62">INDEX($A$6:$U$41, COLUMN(S18), ROW(S18))</f>
        <v>0</v>
      </c>
      <c r="T62" cm="1">
        <f t="array" ref="T62">INDEX($A$6:$U$41, COLUMN(T18), ROW(T18))</f>
        <v>0</v>
      </c>
      <c r="U62" cm="1">
        <f t="array" ref="U62">INDEX($A$6:$U$41, COLUMN(U18), ROW(U18))</f>
        <v>0</v>
      </c>
      <c r="V62" cm="1">
        <f t="array" ref="V62">INDEX($A$6:$U$41, COLUMN(V18), ROW(V18))</f>
        <v>0</v>
      </c>
      <c r="W62" cm="1">
        <f t="array" ref="W62">INDEX($A$6:$U$41, COLUMN(W18), ROW(W18))</f>
        <v>0</v>
      </c>
      <c r="X62" cm="1">
        <f t="array" ref="X62">INDEX($A$6:$U$41, COLUMN(X18), ROW(X18))</f>
        <v>0</v>
      </c>
      <c r="Y62" cm="1">
        <f t="array" ref="Y62">INDEX($A$6:$U$41, COLUMN(Y18), ROW(Y18))</f>
        <v>0</v>
      </c>
      <c r="Z62" cm="1">
        <f t="array" ref="Z62">INDEX($A$6:$U$41, COLUMN(Z18), ROW(Z18))</f>
        <v>0</v>
      </c>
      <c r="AA62" cm="1">
        <f t="array" ref="AA62">INDEX($A$6:$U$41, COLUMN(AA18), ROW(AA18))</f>
        <v>0</v>
      </c>
      <c r="AB62" cm="1">
        <f t="array" ref="AB62">INDEX($A$6:$U$41, COLUMN(AB18), ROW(AB18))</f>
        <v>0</v>
      </c>
      <c r="AC62" cm="1">
        <f t="array" ref="AC62">INDEX($A$6:$U$41, COLUMN(AC18), ROW(AC18))</f>
        <v>0</v>
      </c>
      <c r="AD62" cm="1">
        <f t="array" ref="AD62">INDEX($A$6:$U$41, COLUMN(AD18), ROW(AD18))</f>
        <v>0</v>
      </c>
      <c r="AE62" cm="1">
        <f t="array" ref="AE62">INDEX($A$6:$U$41, COLUMN(AE18), ROW(AE18))</f>
        <v>0</v>
      </c>
      <c r="AF62" cm="1">
        <f t="array" ref="AF62">INDEX($A$6:$U$41, COLUMN(AF18), ROW(AF18))</f>
        <v>0</v>
      </c>
      <c r="AG62" cm="1">
        <f t="array" ref="AG62">INDEX($A$6:$U$41, COLUMN(AG18), ROW(AG18))</f>
        <v>0</v>
      </c>
      <c r="AH62" cm="1">
        <f t="array" ref="AH62">INDEX($A$6:$U$41, COLUMN(AH18), ROW(AH18))</f>
        <v>0</v>
      </c>
      <c r="AI62" cm="1">
        <f t="array" ref="AI62">INDEX($A$6:$U$41, COLUMN(AI18), ROW(AI18))</f>
        <v>0</v>
      </c>
      <c r="AJ62" cm="1">
        <f t="array" ref="AJ62">INDEX($A$6:$U$41, COLUMN(AJ18), ROW(AJ18))</f>
        <v>0</v>
      </c>
    </row>
    <row r="63" spans="1:36" x14ac:dyDescent="0.2">
      <c r="A63" t="str" cm="1">
        <f t="array" ref="A63">INDEX($A$6:$U$41, COLUMN(A19), ROW(A19))</f>
        <v>CED</v>
      </c>
      <c r="B63" cm="1">
        <f t="array" ref="B63">INDEX($A$6:$U$41, COLUMN(B19), ROW(B19))</f>
        <v>0.47147416820992849</v>
      </c>
      <c r="C63" cm="1">
        <f t="array" ref="C63">INDEX($A$6:$U$41, COLUMN(C19), ROW(C19))</f>
        <v>0.55886142240943992</v>
      </c>
      <c r="D63" cm="1">
        <f t="array" ref="D63">INDEX($A$6:$U$41, COLUMN(D19), ROW(D19))</f>
        <v>51.725643283402192</v>
      </c>
      <c r="E63" cm="1">
        <f t="array" ref="E63">INDEX($A$6:$U$41, COLUMN(E19), ROW(E19))</f>
        <v>195.5275746663367</v>
      </c>
      <c r="F63" cm="1">
        <f t="array" ref="F63">INDEX($A$6:$U$41, COLUMN(F19), ROW(F19))</f>
        <v>248.28355354035827</v>
      </c>
      <c r="G63" cm="1">
        <f t="array" ref="G63">INDEX($A$6:$U$41, COLUMN(G19), ROW(G19))</f>
        <v>0</v>
      </c>
      <c r="H63" cm="1">
        <f t="array" ref="H63">INDEX($A$6:$U$41, COLUMN(H19), ROW(H19))</f>
        <v>2.9673528429530003</v>
      </c>
      <c r="I63" cm="1">
        <f t="array" ref="I63">INDEX($A$6:$U$41, COLUMN(I19), ROW(I19))</f>
        <v>3.8289983171540891</v>
      </c>
      <c r="J63" cm="1">
        <f t="array" ref="J63">INDEX($A$6:$U$41, COLUMN(J19), ROW(J19))</f>
        <v>361.40930442086113</v>
      </c>
      <c r="K63" cm="1">
        <f t="array" ref="K63">INDEX($A$6:$U$41, COLUMN(K19), ROW(K19))</f>
        <v>1147.7617036995912</v>
      </c>
      <c r="L63" cm="1">
        <f t="array" ref="L63">INDEX($A$6:$U$41, COLUMN(L19), ROW(L19))</f>
        <v>1515.9673592805593</v>
      </c>
      <c r="M63" cm="1">
        <f t="array" ref="M63">INDEX($A$6:$U$41, COLUMN(M19), ROW(M19))</f>
        <v>0</v>
      </c>
      <c r="N63" cm="1">
        <f t="array" ref="N63">INDEX($A$6:$U$41, COLUMN(N19), ROW(N19))</f>
        <v>248.28355354035827</v>
      </c>
      <c r="O63" cm="1">
        <f t="array" ref="O63">INDEX($A$6:$U$41, COLUMN(O19), ROW(O19))</f>
        <v>1515.9673592805593</v>
      </c>
      <c r="P63" cm="1">
        <f t="array" ref="P63">INDEX($A$6:$U$41, COLUMN(P19), ROW(P19))</f>
        <v>0</v>
      </c>
      <c r="Q63" cm="1">
        <f t="array" ref="Q63">INDEX($A$6:$U$41, COLUMN(Q19), ROW(Q19))</f>
        <v>0</v>
      </c>
      <c r="R63" cm="1">
        <f t="array" ref="R63">INDEX($A$6:$U$41, COLUMN(R19), ROW(R19))</f>
        <v>0</v>
      </c>
      <c r="S63" cm="1">
        <f t="array" ref="S63">INDEX($A$6:$U$41, COLUMN(S19), ROW(S19))</f>
        <v>0</v>
      </c>
      <c r="T63" cm="1">
        <f t="array" ref="T63">INDEX($A$6:$U$41, COLUMN(T19), ROW(T19))</f>
        <v>0</v>
      </c>
      <c r="U63" t="str" cm="1">
        <f t="array" ref="U63">INDEX($A$6:$U$41, COLUMN(U19), ROW(U19))</f>
        <v>CED</v>
      </c>
      <c r="V63" cm="1">
        <f t="array" ref="V63">INDEX($A$6:$U$41, COLUMN(V19), ROW(V19))</f>
        <v>0.47793648476936174</v>
      </c>
      <c r="W63" cm="1">
        <f t="array" ref="W63">INDEX($A$6:$U$41, COLUMN(W19), ROW(W19))</f>
        <v>0.56653305938420007</v>
      </c>
      <c r="X63" cm="1">
        <f t="array" ref="X63">INDEX($A$6:$U$41, COLUMN(X19), ROW(X19))</f>
        <v>52.436330048922152</v>
      </c>
      <c r="Y63" cm="1">
        <f t="array" ref="Y63">INDEX($A$6:$U$41, COLUMN(Y19), ROW(Y19))</f>
        <v>198.2005811326851</v>
      </c>
      <c r="Z63" cm="1">
        <f t="array" ref="Z63">INDEX($A$6:$U$41, COLUMN(Z19), ROW(Z19))</f>
        <v>251.68138072576082</v>
      </c>
      <c r="AA63" cm="1">
        <f t="array" ref="AA63">INDEX($A$6:$U$41, COLUMN(AA19), ROW(AA19))</f>
        <v>0</v>
      </c>
      <c r="AB63" cm="1">
        <f t="array" ref="AB63">INDEX($A$6:$U$41, COLUMN(AB19), ROW(AB19))</f>
        <v>3.2246132040332531</v>
      </c>
      <c r="AC63" cm="1">
        <f t="array" ref="AC63">INDEX($A$6:$U$41, COLUMN(AC19), ROW(AC19))</f>
        <v>4.1610316301024275</v>
      </c>
      <c r="AD63" cm="1">
        <f t="array" ref="AD63">INDEX($A$6:$U$41, COLUMN(AD19), ROW(AD19))</f>
        <v>392.74919759857255</v>
      </c>
      <c r="AE63" cm="1">
        <f t="array" ref="AE63">INDEX($A$6:$U$41, COLUMN(AE19), ROW(AE19))</f>
        <v>1247.2682089257169</v>
      </c>
      <c r="AF63" cm="1">
        <f t="array" ref="AF63">INDEX($A$6:$U$41, COLUMN(AF19), ROW(AF19))</f>
        <v>1647.403051358425</v>
      </c>
      <c r="AG63" cm="1">
        <f t="array" ref="AG63">INDEX($A$6:$U$41, COLUMN(AG19), ROW(AG19))</f>
        <v>0</v>
      </c>
      <c r="AH63" cm="1">
        <f t="array" ref="AH63">INDEX($A$6:$U$41, COLUMN(AH19), ROW(AH19))</f>
        <v>251.68138072576082</v>
      </c>
      <c r="AI63" cm="1">
        <f t="array" ref="AI63">INDEX($A$6:$U$41, COLUMN(AI19), ROW(AI19))</f>
        <v>1647.403051358425</v>
      </c>
      <c r="AJ63" cm="1">
        <f t="array" ref="AJ63">INDEX($A$6:$U$41, COLUMN(AJ19), ROW(AJ19))</f>
        <v>0</v>
      </c>
    </row>
    <row r="64" spans="1:36" x14ac:dyDescent="0.2">
      <c r="A64" t="str" cm="1">
        <f t="array" ref="A64">INDEX($A$6:$U$41, COLUMN(A20), ROW(A20))</f>
        <v>CED</v>
      </c>
      <c r="B64" cm="1">
        <f t="array" ref="B64">INDEX($A$6:$U$41, COLUMN(B20), ROW(B20))</f>
        <v>4.8640230627914081E-2</v>
      </c>
      <c r="C64" cm="1">
        <f t="array" ref="C64">INDEX($A$6:$U$41, COLUMN(C20), ROW(C20))</f>
        <v>5.7668498594174881E-2</v>
      </c>
      <c r="D64" cm="1">
        <f t="array" ref="D64">INDEX($A$6:$U$41, COLUMN(D20), ROW(D20))</f>
        <v>5.3369613294248515</v>
      </c>
      <c r="E64" cm="1">
        <f t="array" ref="E64">INDEX($A$6:$U$41, COLUMN(E20), ROW(E20))</f>
        <v>20.311327165994733</v>
      </c>
      <c r="F64" cm="1">
        <f t="array" ref="F64">INDEX($A$6:$U$41, COLUMN(F20), ROW(F20))</f>
        <v>25.754597224641675</v>
      </c>
      <c r="G64" cm="1">
        <f t="array" ref="G64">INDEX($A$6:$U$41, COLUMN(G20), ROW(G20))</f>
        <v>0</v>
      </c>
      <c r="H64" cm="1">
        <f t="array" ref="H64">INDEX($A$6:$U$41, COLUMN(H20), ROW(H20))</f>
        <v>0.3750067207484824</v>
      </c>
      <c r="I64" cm="1">
        <f t="array" ref="I64">INDEX($A$6:$U$41, COLUMN(I20), ROW(I20))</f>
        <v>0.48388479723233779</v>
      </c>
      <c r="J64" cm="1">
        <f t="array" ref="J64">INDEX($A$6:$U$41, COLUMN(J20), ROW(J20))</f>
        <v>45.525772476925866</v>
      </c>
      <c r="K64" cm="1">
        <f t="array" ref="K64">INDEX($A$6:$U$41, COLUMN(K20), ROW(K20))</f>
        <v>160.55174924571483</v>
      </c>
      <c r="L64" cm="1">
        <f t="array" ref="L64">INDEX($A$6:$U$41, COLUMN(L20), ROW(L20))</f>
        <v>206.9364132406215</v>
      </c>
      <c r="M64" cm="1">
        <f t="array" ref="M64">INDEX($A$6:$U$41, COLUMN(M20), ROW(M20))</f>
        <v>0</v>
      </c>
      <c r="N64" cm="1">
        <f t="array" ref="N64">INDEX($A$6:$U$41, COLUMN(N20), ROW(N20))</f>
        <v>25.754597224641675</v>
      </c>
      <c r="O64" cm="1">
        <f t="array" ref="O64">INDEX($A$6:$U$41, COLUMN(O20), ROW(O20))</f>
        <v>206.9364132406215</v>
      </c>
      <c r="P64" cm="1">
        <f t="array" ref="P64">INDEX($A$6:$U$41, COLUMN(P20), ROW(P20))</f>
        <v>0</v>
      </c>
      <c r="Q64" cm="1">
        <f t="array" ref="Q64">INDEX($A$6:$U$41, COLUMN(Q20), ROW(Q20))</f>
        <v>0</v>
      </c>
      <c r="R64" cm="1">
        <f t="array" ref="R64">INDEX($A$6:$U$41, COLUMN(R20), ROW(R20))</f>
        <v>0</v>
      </c>
      <c r="S64" cm="1">
        <f t="array" ref="S64">INDEX($A$6:$U$41, COLUMN(S20), ROW(S20))</f>
        <v>0</v>
      </c>
      <c r="T64" cm="1">
        <f t="array" ref="T64">INDEX($A$6:$U$41, COLUMN(T20), ROW(T20))</f>
        <v>0</v>
      </c>
      <c r="U64" t="str" cm="1">
        <f t="array" ref="U64">INDEX($A$6:$U$41, COLUMN(U20), ROW(U20))</f>
        <v>CED</v>
      </c>
      <c r="V64" cm="1">
        <f t="array" ref="V64">INDEX($A$6:$U$41, COLUMN(V20), ROW(V20))</f>
        <v>4.8171444528757684E-2</v>
      </c>
      <c r="W64" cm="1">
        <f t="array" ref="W64">INDEX($A$6:$U$41, COLUMN(W20), ROW(W20))</f>
        <v>5.7119431293060317E-2</v>
      </c>
      <c r="X64" cm="1">
        <f t="array" ref="X64">INDEX($A$6:$U$41, COLUMN(X20), ROW(X20))</f>
        <v>5.2865003847412488</v>
      </c>
      <c r="Y64" cm="1">
        <f t="array" ref="Y64">INDEX($A$6:$U$41, COLUMN(Y20), ROW(Y20))</f>
        <v>20.113644451590133</v>
      </c>
      <c r="Z64" cm="1">
        <f t="array" ref="Z64">INDEX($A$6:$U$41, COLUMN(Z20), ROW(Z20))</f>
        <v>25.505435712153201</v>
      </c>
      <c r="AA64" cm="1">
        <f t="array" ref="AA64">INDEX($A$6:$U$41, COLUMN(AA20), ROW(AA20))</f>
        <v>0</v>
      </c>
      <c r="AB64" cm="1">
        <f t="array" ref="AB64">INDEX($A$6:$U$41, COLUMN(AB20), ROW(AB20))</f>
        <v>0.38130805511874089</v>
      </c>
      <c r="AC64" cm="1">
        <f t="array" ref="AC64">INDEX($A$6:$U$41, COLUMN(AC20), ROW(AC20))</f>
        <v>0.49193462284495737</v>
      </c>
      <c r="AD64" cm="1">
        <f t="array" ref="AD64">INDEX($A$6:$U$41, COLUMN(AD20), ROW(AD20))</f>
        <v>46.283088959007593</v>
      </c>
      <c r="AE64" cm="1">
        <f t="array" ref="AE64">INDEX($A$6:$U$41, COLUMN(AE20), ROW(AE20))</f>
        <v>163.23658474101066</v>
      </c>
      <c r="AF64" cm="1">
        <f t="array" ref="AF64">INDEX($A$6:$U$41, COLUMN(AF20), ROW(AF20))</f>
        <v>210.39291637798195</v>
      </c>
      <c r="AG64" cm="1">
        <f t="array" ref="AG64">INDEX($A$6:$U$41, COLUMN(AG20), ROW(AG20))</f>
        <v>0</v>
      </c>
      <c r="AH64" cm="1">
        <f t="array" ref="AH64">INDEX($A$6:$U$41, COLUMN(AH20), ROW(AH20))</f>
        <v>25.505435712153201</v>
      </c>
      <c r="AI64" cm="1">
        <f t="array" ref="AI64">INDEX($A$6:$U$41, COLUMN(AI20), ROW(AI20))</f>
        <v>210.39291637798195</v>
      </c>
      <c r="AJ64" cm="1">
        <f t="array" ref="AJ64">INDEX($A$6:$U$41, COLUMN(AJ20), ROW(AJ20))</f>
        <v>0</v>
      </c>
    </row>
    <row r="65" spans="1:36" x14ac:dyDescent="0.2">
      <c r="A65" cm="1">
        <f t="array" ref="A65">INDEX($A$6:$U$41, COLUMN(A21), ROW(A21))</f>
        <v>0</v>
      </c>
      <c r="B65" cm="1">
        <f t="array" ref="B65">INDEX($A$6:$U$41, COLUMN(B21), ROW(B21))</f>
        <v>1.8989343494042218E-3</v>
      </c>
      <c r="C65" cm="1">
        <f t="array" ref="C65">INDEX($A$6:$U$41, COLUMN(C21), ROW(C21))</f>
        <v>2.250899886200467E-3</v>
      </c>
      <c r="D65" cm="1">
        <f t="array" ref="D65">INDEX($A$6:$U$41, COLUMN(D21), ROW(D21))</f>
        <v>0.20833294249993178</v>
      </c>
      <c r="E65" cm="1">
        <f t="array" ref="E65">INDEX($A$6:$U$41, COLUMN(E21), ROW(E21))</f>
        <v>0.7875172232644635</v>
      </c>
      <c r="F65" cm="1">
        <f t="array" ref="F65">INDEX($A$6:$U$41, COLUMN(F21), ROW(F21))</f>
        <v>0</v>
      </c>
      <c r="G65" cm="1">
        <f t="array" ref="G65">INDEX($A$6:$U$41, COLUMN(G21), ROW(G21))</f>
        <v>0</v>
      </c>
      <c r="H65" cm="1">
        <f t="array" ref="H65">INDEX($A$6:$U$41, COLUMN(H21), ROW(H21))</f>
        <v>1.9573989009639579E-3</v>
      </c>
      <c r="I65" cm="1">
        <f t="array" ref="I65">INDEX($A$6:$U$41, COLUMN(I21), ROW(I21))</f>
        <v>2.5257788656948637E-3</v>
      </c>
      <c r="J65" cm="1">
        <f t="array" ref="J65">INDEX($A$6:$U$41, COLUMN(J21), ROW(J21))</f>
        <v>0.23840177178509772</v>
      </c>
      <c r="K65" cm="1">
        <f t="array" ref="K65">INDEX($A$6:$U$41, COLUMN(K21), ROW(K21))</f>
        <v>0.75711505044824357</v>
      </c>
      <c r="L65" cm="1">
        <f t="array" ref="L65">INDEX($A$6:$U$41, COLUMN(L21), ROW(L21))</f>
        <v>0</v>
      </c>
      <c r="M65" cm="1">
        <f t="array" ref="M65">INDEX($A$6:$U$41, COLUMN(M21), ROW(M21))</f>
        <v>0</v>
      </c>
      <c r="N65" cm="1">
        <f t="array" ref="N65">INDEX($A$6:$U$41, COLUMN(N21), ROW(N21))</f>
        <v>0</v>
      </c>
      <c r="O65" cm="1">
        <f t="array" ref="O65">INDEX($A$6:$U$41, COLUMN(O21), ROW(O21))</f>
        <v>0</v>
      </c>
      <c r="P65" cm="1">
        <f t="array" ref="P65">INDEX($A$6:$U$41, COLUMN(P21), ROW(P21))</f>
        <v>0</v>
      </c>
      <c r="Q65" cm="1">
        <f t="array" ref="Q65">INDEX($A$6:$U$41, COLUMN(Q21), ROW(Q21))</f>
        <v>0</v>
      </c>
      <c r="R65" cm="1">
        <f t="array" ref="R65">INDEX($A$6:$U$41, COLUMN(R21), ROW(R21))</f>
        <v>0</v>
      </c>
      <c r="S65" cm="1">
        <f t="array" ref="S65">INDEX($A$6:$U$41, COLUMN(S21), ROW(S21))</f>
        <v>0</v>
      </c>
      <c r="T65" cm="1">
        <f t="array" ref="T65">INDEX($A$6:$U$41, COLUMN(T21), ROW(T21))</f>
        <v>0</v>
      </c>
      <c r="U65" cm="1">
        <f t="array" ref="U65">INDEX($A$6:$U$41, COLUMN(U21), ROW(U21))</f>
        <v>0</v>
      </c>
      <c r="V65" cm="1">
        <f t="array" ref="V65">INDEX($A$6:$U$41, COLUMN(V21), ROW(V21))</f>
        <v>1.8989743436370245E-3</v>
      </c>
      <c r="W65" cm="1">
        <f t="array" ref="W65">INDEX($A$6:$U$41, COLUMN(W21), ROW(W21))</f>
        <v>2.2509931316751263E-3</v>
      </c>
      <c r="X65" cm="1">
        <f t="array" ref="X65">INDEX($A$6:$U$41, COLUMN(X21), ROW(X21))</f>
        <v>0.20834409719826777</v>
      </c>
      <c r="Y65" cm="1">
        <f t="array" ref="Y65">INDEX($A$6:$U$41, COLUMN(Y21), ROW(Y21))</f>
        <v>0.7875059353264201</v>
      </c>
      <c r="Z65" cm="1">
        <f t="array" ref="Z65">INDEX($A$6:$U$41, COLUMN(Z21), ROW(Z21))</f>
        <v>0</v>
      </c>
      <c r="AA65" cm="1">
        <f t="array" ref="AA65">INDEX($A$6:$U$41, COLUMN(AA21), ROW(AA21))</f>
        <v>0</v>
      </c>
      <c r="AB65" cm="1">
        <f t="array" ref="AB65">INDEX($A$6:$U$41, COLUMN(AB21), ROW(AB21))</f>
        <v>1.9573917878653213E-3</v>
      </c>
      <c r="AC65" cm="1">
        <f t="array" ref="AC65">INDEX($A$6:$U$41, COLUMN(AC21), ROW(AC21))</f>
        <v>2.5258127491455721E-3</v>
      </c>
      <c r="AD65" cm="1">
        <f t="array" ref="AD65">INDEX($A$6:$U$41, COLUMN(AD21), ROW(AD21))</f>
        <v>0.23840504439682636</v>
      </c>
      <c r="AE65" cm="1">
        <f t="array" ref="AE65">INDEX($A$6:$U$41, COLUMN(AE21), ROW(AE21))</f>
        <v>0.7571117510661628</v>
      </c>
      <c r="AF65" cm="1">
        <f t="array" ref="AF65">INDEX($A$6:$U$41, COLUMN(AF21), ROW(AF21))</f>
        <v>0</v>
      </c>
      <c r="AG65" cm="1">
        <f t="array" ref="AG65">INDEX($A$6:$U$41, COLUMN(AG21), ROW(AG21))</f>
        <v>0</v>
      </c>
      <c r="AH65" cm="1">
        <f t="array" ref="AH65">INDEX($A$6:$U$41, COLUMN(AH21), ROW(AH21))</f>
        <v>0</v>
      </c>
      <c r="AI65" cm="1">
        <f t="array" ref="AI65">INDEX($A$6:$U$41, COLUMN(AI21), ROW(AI21))</f>
        <v>0</v>
      </c>
      <c r="AJ65" cm="1">
        <f t="array" ref="AJ65">INDEX($A$6:$U$41, COLUMN(AJ21), ROW(AJ21))</f>
        <v>0</v>
      </c>
    </row>
    <row r="68" spans="1:36" x14ac:dyDescent="0.2">
      <c r="A68" s="4" t="s">
        <v>35</v>
      </c>
      <c r="B68" s="5">
        <v>2025</v>
      </c>
      <c r="C68" s="4"/>
      <c r="D68" s="4"/>
      <c r="E68" s="4"/>
      <c r="F68" s="4"/>
      <c r="G68" s="4"/>
      <c r="H68" s="4"/>
      <c r="I68" s="4"/>
      <c r="J68" s="6">
        <v>2030</v>
      </c>
      <c r="K68" s="1"/>
      <c r="L68" s="1"/>
      <c r="M68" s="1"/>
      <c r="N68" s="1"/>
      <c r="O68" s="1"/>
      <c r="P68" s="1"/>
      <c r="Q68" s="1"/>
    </row>
    <row r="69" spans="1:36" x14ac:dyDescent="0.2">
      <c r="A69" s="4"/>
      <c r="B69" s="4" t="s">
        <v>11</v>
      </c>
      <c r="C69" s="4" t="s">
        <v>12</v>
      </c>
      <c r="D69" s="4" t="s">
        <v>13</v>
      </c>
      <c r="E69" s="4" t="s">
        <v>14</v>
      </c>
      <c r="F69" s="4" t="s">
        <v>15</v>
      </c>
      <c r="G69" s="4" t="s">
        <v>16</v>
      </c>
      <c r="H69" s="4" t="s">
        <v>40</v>
      </c>
      <c r="I69" s="4" t="s">
        <v>0</v>
      </c>
      <c r="J69" s="1" t="s">
        <v>11</v>
      </c>
      <c r="K69" s="1" t="s">
        <v>12</v>
      </c>
      <c r="L69" s="1" t="s">
        <v>13</v>
      </c>
      <c r="M69" s="1" t="s">
        <v>14</v>
      </c>
      <c r="N69" s="1" t="s">
        <v>15</v>
      </c>
      <c r="O69" s="1" t="s">
        <v>16</v>
      </c>
      <c r="P69" s="1" t="s">
        <v>40</v>
      </c>
      <c r="Q69" s="1" t="s">
        <v>0</v>
      </c>
    </row>
    <row r="70" spans="1:36" x14ac:dyDescent="0.2">
      <c r="A70" s="4" t="s">
        <v>36</v>
      </c>
      <c r="B70" s="4">
        <f t="shared" ref="B70:H72" si="4">(B47+V47)/2</f>
        <v>4127118.2697939789</v>
      </c>
      <c r="C70" s="4">
        <f t="shared" si="4"/>
        <v>243399.2563716179</v>
      </c>
      <c r="D70" s="4">
        <f t="shared" si="4"/>
        <v>12713183.20584185</v>
      </c>
      <c r="E70" s="4">
        <f t="shared" si="4"/>
        <v>277268.13753318047</v>
      </c>
      <c r="F70" s="4">
        <f t="shared" si="4"/>
        <v>6641945.5846059173</v>
      </c>
      <c r="G70" s="4">
        <f t="shared" si="4"/>
        <v>2468712.6608310379</v>
      </c>
      <c r="H70" s="4">
        <f t="shared" si="4"/>
        <v>26471627.114977583</v>
      </c>
      <c r="I70" s="4">
        <f>ABS(H47-H70)</f>
        <v>172943.82638645172</v>
      </c>
      <c r="J70" s="1">
        <f t="shared" ref="J70:P72" si="5">(J47+AD47)/2</f>
        <v>27371487.097633839</v>
      </c>
      <c r="K70" s="1">
        <f t="shared" si="5"/>
        <v>1457701.9492929701</v>
      </c>
      <c r="L70" s="1">
        <f t="shared" si="5"/>
        <v>78516608.827409476</v>
      </c>
      <c r="M70" s="1">
        <f t="shared" si="5"/>
        <v>1842405.2714817724</v>
      </c>
      <c r="N70" s="1">
        <f t="shared" si="5"/>
        <v>40883106.798981458</v>
      </c>
      <c r="O70" s="1">
        <f t="shared" si="5"/>
        <v>20745718.694238782</v>
      </c>
      <c r="P70" s="1">
        <f t="shared" si="5"/>
        <v>170817028.63903832</v>
      </c>
      <c r="Q70" s="1">
        <f>ABS(P47-P70)</f>
        <v>7089010.5995667577</v>
      </c>
    </row>
    <row r="71" spans="1:36" x14ac:dyDescent="0.2">
      <c r="A71" s="4" t="s">
        <v>33</v>
      </c>
      <c r="B71" s="4">
        <f t="shared" si="4"/>
        <v>0.23867357830917368</v>
      </c>
      <c r="C71" s="4">
        <f t="shared" si="4"/>
        <v>2.7615653770254409E-2</v>
      </c>
      <c r="D71" s="4">
        <f t="shared" si="4"/>
        <v>1.416857045882886</v>
      </c>
      <c r="E71" s="4">
        <f t="shared" si="4"/>
        <v>1.572964540330566E-2</v>
      </c>
      <c r="F71" s="4">
        <f t="shared" si="4"/>
        <v>0.71994211555022092</v>
      </c>
      <c r="G71" s="4">
        <f t="shared" si="4"/>
        <v>0.13535439554496481</v>
      </c>
      <c r="H71" s="4">
        <f t="shared" si="4"/>
        <v>2.5541724344608054</v>
      </c>
      <c r="I71" s="4">
        <f>ABS(H48-H71)</f>
        <v>1.6652463271023876E-2</v>
      </c>
      <c r="J71" s="1">
        <f t="shared" si="5"/>
        <v>1.4593109508321644</v>
      </c>
      <c r="K71" s="1">
        <f t="shared" si="5"/>
        <v>0.15132824832740965</v>
      </c>
      <c r="L71" s="1">
        <f t="shared" si="5"/>
        <v>7.9920140625598499</v>
      </c>
      <c r="M71" s="1">
        <f t="shared" si="5"/>
        <v>9.6571246517761833E-2</v>
      </c>
      <c r="N71" s="1">
        <f t="shared" si="5"/>
        <v>4.037860988534236</v>
      </c>
      <c r="O71" s="1">
        <f t="shared" si="5"/>
        <v>1.053979451268245</v>
      </c>
      <c r="P71" s="1">
        <f t="shared" si="5"/>
        <v>14.791064948039665</v>
      </c>
      <c r="Q71" s="1">
        <f t="shared" ref="Q71:Q74" si="6">ABS(P48-P71)</f>
        <v>0.61377056601449986</v>
      </c>
    </row>
    <row r="72" spans="1:36" x14ac:dyDescent="0.2">
      <c r="A72" s="4" t="s">
        <v>34</v>
      </c>
      <c r="B72" s="4">
        <f t="shared" si="4"/>
        <v>29833077.627037622</v>
      </c>
      <c r="C72" s="4">
        <f t="shared" si="4"/>
        <v>2535333.6697006542</v>
      </c>
      <c r="D72" s="4">
        <f t="shared" si="4"/>
        <v>130965445.42386854</v>
      </c>
      <c r="E72" s="4">
        <f t="shared" si="4"/>
        <v>1986732.2376426426</v>
      </c>
      <c r="F72" s="4">
        <f t="shared" si="4"/>
        <v>67274521.63186124</v>
      </c>
      <c r="G72" s="4">
        <f t="shared" si="4"/>
        <v>17453524.471284039</v>
      </c>
      <c r="H72" s="4">
        <f t="shared" si="4"/>
        <v>250048635.06139478</v>
      </c>
      <c r="I72" s="4">
        <f t="shared" ref="I72:I74" si="7">ABS(H49-H72)</f>
        <v>1632745.6643660665</v>
      </c>
      <c r="J72" s="1">
        <f t="shared" si="5"/>
        <v>196447276.88285929</v>
      </c>
      <c r="K72" s="1">
        <f t="shared" si="5"/>
        <v>15063024.954677802</v>
      </c>
      <c r="L72" s="1">
        <f t="shared" si="5"/>
        <v>801487621.5182085</v>
      </c>
      <c r="M72" s="1">
        <f t="shared" si="5"/>
        <v>13119240.407139499</v>
      </c>
      <c r="N72" s="1">
        <f t="shared" si="5"/>
        <v>409689706.30917287</v>
      </c>
      <c r="O72" s="1">
        <f t="shared" si="5"/>
        <v>145953514.56423029</v>
      </c>
      <c r="P72" s="1">
        <f t="shared" si="5"/>
        <v>1581760384.6362882</v>
      </c>
      <c r="Q72" s="1">
        <f t="shared" si="6"/>
        <v>65642666.722136974</v>
      </c>
    </row>
    <row r="73" spans="1:36" x14ac:dyDescent="0.2">
      <c r="A73" s="4"/>
      <c r="B73" s="4"/>
      <c r="C73" s="4"/>
      <c r="D73" s="4"/>
      <c r="E73" s="4"/>
      <c r="F73" s="4"/>
      <c r="G73" s="4"/>
      <c r="H73" s="4"/>
      <c r="I73" s="4"/>
      <c r="J73" s="1"/>
      <c r="K73" s="1"/>
      <c r="L73" s="1"/>
      <c r="M73" s="1"/>
      <c r="N73" s="1"/>
      <c r="O73" s="1"/>
      <c r="P73" s="1"/>
      <c r="Q73" s="1"/>
    </row>
    <row r="74" spans="1:36" x14ac:dyDescent="0.2">
      <c r="A74" s="4" t="s">
        <v>4</v>
      </c>
      <c r="B74" s="4">
        <f t="shared" ref="B74:H74" si="8">(B51+V51)/2</f>
        <v>765.16326115337847</v>
      </c>
      <c r="C74" s="4">
        <f t="shared" si="8"/>
        <v>18.015873617532769</v>
      </c>
      <c r="D74" s="4">
        <f t="shared" si="8"/>
        <v>991.78284436598119</v>
      </c>
      <c r="E74" s="4">
        <f t="shared" si="8"/>
        <v>52.002150485542174</v>
      </c>
      <c r="F74" s="4">
        <f t="shared" si="8"/>
        <v>558.05552672561771</v>
      </c>
      <c r="G74" s="4">
        <f t="shared" si="8"/>
        <v>503.16592696335238</v>
      </c>
      <c r="H74" s="4">
        <f t="shared" si="8"/>
        <v>2888.185583311405</v>
      </c>
      <c r="I74" s="4">
        <f t="shared" si="7"/>
        <v>18.918442490226425</v>
      </c>
      <c r="J74" s="1">
        <f t="shared" ref="J74:P74" si="9">(J51+AD51)/2</f>
        <v>5213.9771013196078</v>
      </c>
      <c r="K74" s="1">
        <f t="shared" si="9"/>
        <v>122.76380384558811</v>
      </c>
      <c r="L74" s="1">
        <f t="shared" si="9"/>
        <v>6943.3433294371935</v>
      </c>
      <c r="M74" s="1">
        <f t="shared" si="9"/>
        <v>354.35316306521281</v>
      </c>
      <c r="N74" s="1">
        <f t="shared" si="9"/>
        <v>3870.6227131171017</v>
      </c>
      <c r="O74" s="1">
        <f t="shared" si="9"/>
        <v>4323.5580722801005</v>
      </c>
      <c r="P74" s="1">
        <f t="shared" si="9"/>
        <v>20828.618183064806</v>
      </c>
      <c r="Q74" s="1">
        <f t="shared" si="6"/>
        <v>864.49114424578511</v>
      </c>
    </row>
    <row r="77" spans="1:36" x14ac:dyDescent="0.2">
      <c r="A77" s="4" t="s">
        <v>37</v>
      </c>
      <c r="B77" s="4">
        <f>(B57+V57)/2</f>
        <v>2.3671226262872648E-3</v>
      </c>
      <c r="C77" s="4">
        <f t="shared" ref="C77:E77" si="10">(C57+W57)/2</f>
        <v>2.8058993169315476E-3</v>
      </c>
      <c r="D77" s="4">
        <f t="shared" si="10"/>
        <v>0.28278109284227221</v>
      </c>
      <c r="E77" s="4">
        <f t="shared" si="10"/>
        <v>0.71204588521450907</v>
      </c>
      <c r="F77" s="4"/>
      <c r="G77" s="4"/>
      <c r="H77" s="4"/>
      <c r="I77" s="4"/>
      <c r="J77" s="1">
        <f>(H57+AB57)/2</f>
        <v>2.4056432342157157E-3</v>
      </c>
      <c r="K77" s="1">
        <f>(I57+AC57)/2</f>
        <v>3.104220240087485E-3</v>
      </c>
      <c r="L77" s="1">
        <f>(J57+AD57)/2</f>
        <v>0.31822268918318108</v>
      </c>
      <c r="M77" s="1">
        <f>(K57+AE57)/2</f>
        <v>0.67626744734251565</v>
      </c>
      <c r="N77" s="1"/>
      <c r="O77" s="1"/>
      <c r="P77" s="1"/>
      <c r="Q77" s="1"/>
    </row>
    <row r="78" spans="1:36" x14ac:dyDescent="0.2">
      <c r="A78" s="4" t="s">
        <v>38</v>
      </c>
      <c r="B78" s="4">
        <f>(B61+V61)/2</f>
        <v>2.0049167180283644E-3</v>
      </c>
      <c r="C78" s="4">
        <f t="shared" ref="C78:E78" si="11">(C61+W61)/2</f>
        <v>2.3765222620844555E-3</v>
      </c>
      <c r="D78" s="4">
        <f t="shared" si="11"/>
        <v>0.15450142751473689</v>
      </c>
      <c r="E78" s="4">
        <f t="shared" si="11"/>
        <v>0.84111713350515038</v>
      </c>
      <c r="F78" s="4"/>
      <c r="G78" s="4"/>
      <c r="H78" s="4"/>
      <c r="I78" s="4"/>
      <c r="J78" s="1">
        <f>(H61+AB61)/2</f>
        <v>2.1598970826262722E-3</v>
      </c>
      <c r="K78" s="1">
        <f>(I61+AC61)/2</f>
        <v>2.7870188117198689E-3</v>
      </c>
      <c r="L78" s="1">
        <f>(J61+AD61)/2</f>
        <v>0.1802653632442498</v>
      </c>
      <c r="M78" s="1">
        <f>(K61+AE61)/2</f>
        <v>0.81478772086140405</v>
      </c>
      <c r="N78" s="1"/>
      <c r="O78" s="1"/>
      <c r="P78" s="1"/>
      <c r="Q78" s="1"/>
    </row>
    <row r="79" spans="1:36" x14ac:dyDescent="0.2">
      <c r="A79" s="4" t="s">
        <v>39</v>
      </c>
      <c r="B79" s="4">
        <f>(B65+V65)/2</f>
        <v>1.8989543465206232E-3</v>
      </c>
      <c r="C79" s="4">
        <f t="shared" ref="C79:E79" si="12">(C65+W65)/2</f>
        <v>2.2509465089377966E-3</v>
      </c>
      <c r="D79" s="4">
        <f t="shared" si="12"/>
        <v>0.20833851984909979</v>
      </c>
      <c r="E79" s="4">
        <f t="shared" si="12"/>
        <v>0.7875115792954418</v>
      </c>
      <c r="F79" s="4"/>
      <c r="G79" s="4"/>
      <c r="H79" s="4"/>
      <c r="I79" s="4"/>
      <c r="J79" s="1">
        <f>(H65+AB65)/2</f>
        <v>1.9573953444146398E-3</v>
      </c>
      <c r="K79" s="1">
        <f>(I65+AC65)/2</f>
        <v>2.5257958074202179E-3</v>
      </c>
      <c r="L79" s="1">
        <f>(J65+AD65)/2</f>
        <v>0.23840340809096205</v>
      </c>
      <c r="M79" s="1">
        <f>(K65+AE65)/2</f>
        <v>0.75711340075720313</v>
      </c>
      <c r="N79" s="1"/>
      <c r="O79" s="1"/>
      <c r="P79" s="1"/>
      <c r="Q7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A383-F4B4-0B42-8908-0C8F3C676208}">
  <dimension ref="A1:AJ86"/>
  <sheetViews>
    <sheetView topLeftCell="A59" workbookViewId="0">
      <selection activeCell="B1" sqref="B1"/>
    </sheetView>
  </sheetViews>
  <sheetFormatPr baseColWidth="10" defaultRowHeight="16" x14ac:dyDescent="0.2"/>
  <sheetData>
    <row r="1" spans="1:24" x14ac:dyDescent="0.2">
      <c r="B1" s="2"/>
    </row>
    <row r="2" spans="1:24" x14ac:dyDescent="0.2">
      <c r="B2" s="2"/>
    </row>
    <row r="3" spans="1:24" x14ac:dyDescent="0.2">
      <c r="B3" s="2"/>
    </row>
    <row r="5" spans="1:24" x14ac:dyDescent="0.2">
      <c r="C5" t="s">
        <v>41</v>
      </c>
    </row>
    <row r="6" spans="1:24" x14ac:dyDescent="0.2">
      <c r="A6" t="str">
        <f>'[21]data summary'!A35</f>
        <v>yearly</v>
      </c>
      <c r="B6">
        <f>'[21]data summary'!B35</f>
        <v>0</v>
      </c>
      <c r="C6" t="str">
        <f>'[21]data summary'!C35</f>
        <v>CC</v>
      </c>
      <c r="D6" t="str">
        <f>'[21]data summary'!D35</f>
        <v>HTC</v>
      </c>
      <c r="E6" t="str">
        <f>'[21]data summary'!E35</f>
        <v>CED</v>
      </c>
      <c r="G6" t="s">
        <v>6</v>
      </c>
      <c r="I6" s="4">
        <f>'[22]data summary'!M25</f>
        <v>0</v>
      </c>
      <c r="J6" s="4">
        <f>'[22]data summary'!N25</f>
        <v>0</v>
      </c>
      <c r="K6" s="4" t="str">
        <f>'[22]data summary'!O25</f>
        <v>CC</v>
      </c>
      <c r="L6" s="4" t="str">
        <f>'[22]data summary'!P25</f>
        <v>CC</v>
      </c>
      <c r="M6" s="4">
        <f>'[22]data summary'!Q25</f>
        <v>0</v>
      </c>
      <c r="N6" s="4">
        <f>'[22]data summary'!R25</f>
        <v>0</v>
      </c>
      <c r="O6" s="4" t="str">
        <f>'[22]data summary'!S25</f>
        <v>HTC</v>
      </c>
      <c r="P6" s="4" t="str">
        <f>'[22]data summary'!T25</f>
        <v>HTC</v>
      </c>
      <c r="Q6" s="4">
        <f>'[22]data summary'!U25</f>
        <v>0</v>
      </c>
      <c r="R6" s="4">
        <f>'[22]data summary'!V25</f>
        <v>0</v>
      </c>
      <c r="S6" s="4" t="str">
        <f>'[22]data summary'!W25</f>
        <v>CED</v>
      </c>
      <c r="T6" s="4" t="str">
        <f>'[22]data summary'!X25</f>
        <v>CED</v>
      </c>
      <c r="U6" s="4">
        <f>'[22]data summary'!Y25</f>
        <v>0</v>
      </c>
    </row>
    <row r="7" spans="1:24" x14ac:dyDescent="0.2">
      <c r="A7">
        <f>'[21]data summary'!A36</f>
        <v>2025</v>
      </c>
      <c r="B7" t="str">
        <f>'[21]data summary'!B36</f>
        <v>PAG</v>
      </c>
      <c r="C7">
        <f>'[21]data summary'!C36</f>
        <v>0</v>
      </c>
      <c r="D7">
        <f>'[21]data summary'!D36</f>
        <v>0</v>
      </c>
      <c r="E7">
        <f>'[21]data summary'!E36</f>
        <v>0</v>
      </c>
      <c r="G7">
        <f>SUM([23]Usage!B$22:B$25)*0</f>
        <v>0</v>
      </c>
      <c r="I7" s="4">
        <f>'[22]data summary'!M26</f>
        <v>2025</v>
      </c>
      <c r="J7" s="4" t="str">
        <f>'[22]data summary'!N26</f>
        <v>Gas</v>
      </c>
      <c r="K7" s="4">
        <f>'[22]data summary'!O26</f>
        <v>6.5145351970042079E-2</v>
      </c>
      <c r="L7" s="4">
        <f>'[22]data summary'!P26</f>
        <v>6.3471551523667947E-3</v>
      </c>
      <c r="M7" s="4">
        <f>'[22]data summary'!Q26</f>
        <v>2.3623556115078305E-3</v>
      </c>
      <c r="N7" s="4">
        <f>'[22]data summary'!R26</f>
        <v>0</v>
      </c>
      <c r="O7" s="4">
        <f>'[22]data summary'!S26</f>
        <v>5.3237614874603748E-3</v>
      </c>
      <c r="P7" s="4">
        <f>'[22]data summary'!T26</f>
        <v>5.1857897282042383E-4</v>
      </c>
      <c r="Q7" s="4">
        <f>'[22]data summary'!U26</f>
        <v>1.9984193305150866E-3</v>
      </c>
      <c r="R7" s="4">
        <f>'[22]data summary'!V26</f>
        <v>0</v>
      </c>
      <c r="S7" s="4">
        <f>'[22]data summary'!W26</f>
        <v>0.49365077104807992</v>
      </c>
      <c r="T7" s="4">
        <f>'[22]data summary'!X26</f>
        <v>4.8061381492648776E-2</v>
      </c>
      <c r="U7" s="4">
        <f>'[22]data summary'!Y26</f>
        <v>1.8933267713247431E-3</v>
      </c>
      <c r="V7" t="s">
        <v>29</v>
      </c>
      <c r="W7">
        <f>SUM([24]Manu_gas!$B$22:$M$25)</f>
        <v>7.2719814858658784</v>
      </c>
      <c r="X7">
        <f>W7/SUM($W$7:$W$10)</f>
        <v>2.5827663525133651E-3</v>
      </c>
    </row>
    <row r="8" spans="1:24" x14ac:dyDescent="0.2">
      <c r="A8">
        <f>'[21]data summary'!A37</f>
        <v>0</v>
      </c>
      <c r="B8" t="str">
        <f>'[21]data summary'!B37</f>
        <v>Sur</v>
      </c>
      <c r="C8">
        <f>'[21]data summary'!C37</f>
        <v>252537.13817652737</v>
      </c>
      <c r="D8">
        <f>'[21]data summary'!D37</f>
        <v>2.8651450310146591E-2</v>
      </c>
      <c r="E8">
        <f>'[21]data summary'!E37</f>
        <v>2630508.7579015647</v>
      </c>
      <c r="G8">
        <f>SUM([23]Usage!C$22:C$25)</f>
        <v>18.675883076269283</v>
      </c>
      <c r="I8" s="4">
        <f>'[22]data summary'!M27</f>
        <v>0</v>
      </c>
      <c r="J8" s="4" t="str">
        <f>'[22]data summary'!N27</f>
        <v>Solid</v>
      </c>
      <c r="K8" s="4">
        <f>'[22]data summary'!O27</f>
        <v>7.7224237927790707E-2</v>
      </c>
      <c r="L8" s="4">
        <f>'[22]data summary'!P27</f>
        <v>7.5256815054399401E-3</v>
      </c>
      <c r="M8" s="4">
        <f>'[22]data summary'!Q27</f>
        <v>2.8003703456391717E-3</v>
      </c>
      <c r="N8" s="4">
        <f>'[22]data summary'!R27</f>
        <v>0</v>
      </c>
      <c r="O8" s="4">
        <f>'[22]data summary'!S27</f>
        <v>6.310779370322611E-3</v>
      </c>
      <c r="P8" s="4">
        <f>'[22]data summary'!T27</f>
        <v>6.1485927073294294E-4</v>
      </c>
      <c r="Q8" s="4">
        <f>'[22]data summary'!U27</f>
        <v>2.3689234602214892E-3</v>
      </c>
      <c r="R8" s="4">
        <f>'[22]data summary'!V27</f>
        <v>0</v>
      </c>
      <c r="S8" s="4">
        <f>'[22]data summary'!W27</f>
        <v>0.58517981699560651</v>
      </c>
      <c r="T8" s="4">
        <f>'[22]data summary'!X27</f>
        <v>5.6985093661227476E-2</v>
      </c>
      <c r="U8" s="4">
        <f>'[22]data summary'!Y27</f>
        <v>2.2443733070737701E-3</v>
      </c>
      <c r="V8" t="s">
        <v>30</v>
      </c>
      <c r="W8">
        <f>SUM([24]Manu_solid!$B$22:$M$25)</f>
        <v>13.118519847106247</v>
      </c>
      <c r="X8">
        <f t="shared" ref="X8:X10" si="0">W8/SUM($W$7:$W$10)</f>
        <v>4.6592626400025041E-3</v>
      </c>
    </row>
    <row r="9" spans="1:24" x14ac:dyDescent="0.2">
      <c r="A9">
        <f>'[21]data summary'!A38</f>
        <v>0</v>
      </c>
      <c r="B9" t="str">
        <f>'[21]data summary'!B38</f>
        <v>TARC</v>
      </c>
      <c r="C9">
        <f>'[21]data summary'!C38</f>
        <v>13189363.89541813</v>
      </c>
      <c r="D9">
        <f>'[21]data summary'!D38</f>
        <v>1.469875516164183</v>
      </c>
      <c r="E9">
        <f>'[21]data summary'!E38</f>
        <v>135870349.78967845</v>
      </c>
      <c r="G9">
        <f>SUM([23]Usage!D$22:D$25)</f>
        <v>1028.0208422367455</v>
      </c>
      <c r="I9" s="4">
        <f>'[22]data summary'!M28</f>
        <v>0</v>
      </c>
      <c r="J9" s="4" t="str">
        <f>'[22]data summary'!N28</f>
        <v>Solvent</v>
      </c>
      <c r="K9" s="4">
        <f>'[22]data summary'!O28</f>
        <v>7.7829222181246074</v>
      </c>
      <c r="L9" s="4">
        <f>'[22]data summary'!P28</f>
        <v>0.75811215284057598</v>
      </c>
      <c r="M9" s="4">
        <f>'[22]data summary'!Q28</f>
        <v>0.28223087940902813</v>
      </c>
      <c r="N9" s="4">
        <f>'[22]data summary'!R28</f>
        <v>0</v>
      </c>
      <c r="O9" s="4">
        <f>'[22]data summary'!S28</f>
        <v>0.41027968650615027</v>
      </c>
      <c r="P9" s="4">
        <f>'[22]data summary'!T28</f>
        <v>4.0010383805401242E-2</v>
      </c>
      <c r="Q9" s="4">
        <f>'[22]data summary'!U28</f>
        <v>0.15400969002138512</v>
      </c>
      <c r="R9" s="4">
        <f>'[22]data summary'!V28</f>
        <v>0</v>
      </c>
      <c r="S9" s="4">
        <f>'[22]data summary'!W28</f>
        <v>54.163285299557842</v>
      </c>
      <c r="T9" s="4">
        <f>'[22]data summary'!X28</f>
        <v>5.2738668658970429</v>
      </c>
      <c r="U9" s="4">
        <f>'[22]data summary'!Y28</f>
        <v>0.20773551687730446</v>
      </c>
      <c r="V9" t="s">
        <v>31</v>
      </c>
      <c r="W9">
        <f>SUM([24]Manu_solvent!$B$22:$M$25)</f>
        <v>1242.8874515300299</v>
      </c>
      <c r="X9">
        <f t="shared" si="0"/>
        <v>0.44143235183039253</v>
      </c>
    </row>
    <row r="10" spans="1:24" x14ac:dyDescent="0.2">
      <c r="A10">
        <f>'[21]data summary'!A39</f>
        <v>0</v>
      </c>
      <c r="B10" t="str">
        <f>'[21]data summary'!B39</f>
        <v>Polymer</v>
      </c>
      <c r="C10">
        <f>'[21]data summary'!C39</f>
        <v>287690.11763402505</v>
      </c>
      <c r="D10">
        <f>'[21]data summary'!D39</f>
        <v>1.6320343419989367E-2</v>
      </c>
      <c r="E10">
        <f>'[21]data summary'!E39</f>
        <v>2061404.0238773595</v>
      </c>
      <c r="G10">
        <f>SUM([23]Usage!E$22:E$25)</f>
        <v>53.907243290017455</v>
      </c>
      <c r="I10" s="4">
        <f>'[22]data summary'!M29</f>
        <v>0</v>
      </c>
      <c r="J10" s="4" t="str">
        <f>'[22]data summary'!N29</f>
        <v>Water</v>
      </c>
      <c r="K10" s="4">
        <f>'[22]data summary'!O29</f>
        <v>19.651145732835975</v>
      </c>
      <c r="L10" s="4">
        <f>'[22]data summary'!P29</f>
        <v>1.9160737154218923</v>
      </c>
      <c r="M10" s="4">
        <f>'[22]data summary'!Q29</f>
        <v>0.71260639463382491</v>
      </c>
      <c r="N10" s="4">
        <f>'[22]data summary'!R29</f>
        <v>0</v>
      </c>
      <c r="O10" s="4">
        <f>'[22]data summary'!S29</f>
        <v>2.2420719572013406</v>
      </c>
      <c r="P10" s="4">
        <f>'[22]data summary'!T29</f>
        <v>0.21825974753251465</v>
      </c>
      <c r="Q10" s="4">
        <f>'[22]data summary'!U29</f>
        <v>0.84162296718787832</v>
      </c>
      <c r="R10" s="4">
        <f>'[22]data summary'!V29</f>
        <v>0</v>
      </c>
      <c r="S10" s="4">
        <f>'[22]data summary'!W29</f>
        <v>205.48982881662778</v>
      </c>
      <c r="T10" s="4">
        <f>'[22]data summary'!X29</f>
        <v>20.004260903576725</v>
      </c>
      <c r="U10" s="4">
        <f>'[22]data summary'!Y29</f>
        <v>0.78812678304429706</v>
      </c>
      <c r="V10" t="s">
        <v>32</v>
      </c>
      <c r="W10">
        <f>SUM([24]Manu_water!$B$22:$M$25)</f>
        <v>1552.3005754809583</v>
      </c>
      <c r="X10">
        <f t="shared" si="0"/>
        <v>0.55132561917709155</v>
      </c>
    </row>
    <row r="11" spans="1:24" x14ac:dyDescent="0.2">
      <c r="A11">
        <f>'[21]data summary'!A40</f>
        <v>0</v>
      </c>
      <c r="B11" t="str">
        <f>'[21]data summary'!B40</f>
        <v>ITC</v>
      </c>
      <c r="C11">
        <f>'[21]data summary'!C40</f>
        <v>6891761.8788162526</v>
      </c>
      <c r="D11">
        <f>'[21]data summary'!D40</f>
        <v>0.74699374563387511</v>
      </c>
      <c r="E11">
        <f>'[21]data summary'!E40</f>
        <v>69804545.643538386</v>
      </c>
      <c r="G11">
        <f>SUM([23]Usage!F$22:F$25)</f>
        <v>578.539423277894</v>
      </c>
      <c r="I11" s="4">
        <f>'[22]data summary'!M30</f>
        <v>0</v>
      </c>
      <c r="J11" s="4">
        <f>'[22]data summary'!N30</f>
        <v>0</v>
      </c>
      <c r="K11" s="4">
        <f>'[22]data summary'!O30</f>
        <v>27.576437540858414</v>
      </c>
      <c r="L11" s="4">
        <f>'[22]data summary'!P30</f>
        <v>2.6880587049202749</v>
      </c>
      <c r="M11" s="4">
        <f>'[22]data summary'!Q30</f>
        <v>0</v>
      </c>
      <c r="N11" s="4">
        <f>'[22]data summary'!R30</f>
        <v>0</v>
      </c>
      <c r="O11" s="4">
        <f>'[22]data summary'!S30</f>
        <v>2.6639861845652737</v>
      </c>
      <c r="P11" s="4">
        <f>'[22]data summary'!T30</f>
        <v>0.25940356958146926</v>
      </c>
      <c r="Q11" s="4">
        <f>'[22]data summary'!U30</f>
        <v>0</v>
      </c>
      <c r="R11" s="4">
        <f>'[22]data summary'!V30</f>
        <v>0</v>
      </c>
      <c r="S11" s="4">
        <f>'[22]data summary'!W30</f>
        <v>260.73194470422931</v>
      </c>
      <c r="T11" s="4">
        <f>'[22]data summary'!X30</f>
        <v>25.383174244627643</v>
      </c>
      <c r="U11" s="4">
        <f>'[22]data summary'!Y30</f>
        <v>0</v>
      </c>
    </row>
    <row r="12" spans="1:24" x14ac:dyDescent="0.2">
      <c r="A12">
        <f>'[21]data summary'!A41</f>
        <v>0</v>
      </c>
      <c r="B12" t="str">
        <f>'[21]data summary'!B41</f>
        <v>PBO</v>
      </c>
      <c r="C12">
        <f>'[21]data summary'!C41</f>
        <v>2561982.171139529</v>
      </c>
      <c r="D12">
        <f>'[21]data summary'!D41</f>
        <v>0.14046357832440137</v>
      </c>
      <c r="E12">
        <f>'[21]data summary'!E41</f>
        <v>18112890.14905766</v>
      </c>
      <c r="G12">
        <f>SUM([23]Usage!G$22:G$25)</f>
        <v>521.70404251919263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4" x14ac:dyDescent="0.2">
      <c r="A13">
        <f>'[21]data summary'!A42</f>
        <v>0</v>
      </c>
      <c r="B13">
        <f>'[21]data summary'!B42</f>
        <v>0</v>
      </c>
      <c r="C13">
        <f>'[21]data summary'!C42</f>
        <v>23183335.201184466</v>
      </c>
      <c r="D13">
        <f>'[21]data summary'!D42</f>
        <v>2.4023046338525953</v>
      </c>
      <c r="E13">
        <f>'[21]data summary'!E42</f>
        <v>228479698.36405343</v>
      </c>
      <c r="G13">
        <f>SUM(G7:G12)</f>
        <v>2200.8474344001188</v>
      </c>
      <c r="I13" s="4">
        <f>'[22]data summary'!M32</f>
        <v>2030</v>
      </c>
      <c r="J13" s="4">
        <f>'[22]data summary'!N32</f>
        <v>31</v>
      </c>
      <c r="K13" s="4">
        <f>'[22]data summary'!O32</f>
        <v>0.45902379353836087</v>
      </c>
      <c r="L13" s="4">
        <f>'[22]data summary'!P32</f>
        <v>4.9815915358520639E-2</v>
      </c>
      <c r="M13" s="4">
        <f>'[22]data summary'!Q32</f>
        <v>2.3379715319634866E-3</v>
      </c>
      <c r="N13" s="4">
        <f>'[22]data summary'!R32</f>
        <v>0</v>
      </c>
      <c r="O13" s="4">
        <f>'[22]data summary'!S32</f>
        <v>3.5686245393139013E-2</v>
      </c>
      <c r="P13" s="4">
        <f>'[22]data summary'!T32</f>
        <v>3.8698019678769192E-3</v>
      </c>
      <c r="Q13" s="4">
        <f>'[22]data summary'!U32</f>
        <v>2.0529448465024702E-3</v>
      </c>
      <c r="R13" s="4">
        <f>'[22]data summary'!V32</f>
        <v>0</v>
      </c>
      <c r="S13" s="4">
        <f>'[22]data summary'!W32</f>
        <v>3.4585303919721526</v>
      </c>
      <c r="T13" s="4">
        <f>'[22]data summary'!X32</f>
        <v>0.37184909914164799</v>
      </c>
      <c r="U13" s="4">
        <f>'[22]data summary'!Y32</f>
        <v>1.8759650930822141E-3</v>
      </c>
      <c r="V13" t="s">
        <v>29</v>
      </c>
      <c r="W13">
        <f>SUM([24]Manu_gas!$B$42:$M$45)</f>
        <v>53.994379337390718</v>
      </c>
      <c r="X13">
        <f>W13/SUM($W$13:$W$16)</f>
        <v>2.425803000437197E-3</v>
      </c>
    </row>
    <row r="14" spans="1:24" x14ac:dyDescent="0.2">
      <c r="A14">
        <f>'[21]data summary'!A43</f>
        <v>0</v>
      </c>
      <c r="B14">
        <f>'[21]data summary'!B43</f>
        <v>0</v>
      </c>
      <c r="C14">
        <f>'[21]data summary'!C43</f>
        <v>0</v>
      </c>
      <c r="D14">
        <f>'[21]data summary'!D43</f>
        <v>0</v>
      </c>
      <c r="E14">
        <f>'[21]data summary'!E43</f>
        <v>0</v>
      </c>
      <c r="I14" s="4">
        <f>'[22]data summary'!M33</f>
        <v>0</v>
      </c>
      <c r="J14" s="4" t="str">
        <f>'[22]data summary'!N33</f>
        <v>Solid</v>
      </c>
      <c r="K14" s="4">
        <f>'[22]data summary'!O33</f>
        <v>0.59234463962024986</v>
      </c>
      <c r="L14" s="4">
        <f>'[22]data summary'!P33</f>
        <v>6.428069485261273E-2</v>
      </c>
      <c r="M14" s="4">
        <f>'[22]data summary'!Q33</f>
        <v>3.0170220455632639E-3</v>
      </c>
      <c r="N14" s="4">
        <f>'[22]data summary'!R33</f>
        <v>0</v>
      </c>
      <c r="O14" s="4">
        <f>'[22]data summary'!S33</f>
        <v>4.6049584553948225E-2</v>
      </c>
      <c r="P14" s="4">
        <f>'[22]data summary'!T33</f>
        <v>4.9932958551909112E-3</v>
      </c>
      <c r="Q14" s="4">
        <f>'[22]data summary'!U33</f>
        <v>2.649123107576438E-3</v>
      </c>
      <c r="R14" s="4">
        <f>'[22]data summary'!V33</f>
        <v>0</v>
      </c>
      <c r="S14" s="4">
        <f>'[22]data summary'!W33</f>
        <v>4.4630242726215252</v>
      </c>
      <c r="T14" s="4">
        <f>'[22]data summary'!X33</f>
        <v>0.47981664666423257</v>
      </c>
      <c r="U14" s="4">
        <f>'[22]data summary'!Y33</f>
        <v>2.4208194799879711E-3</v>
      </c>
      <c r="V14" t="s">
        <v>30</v>
      </c>
      <c r="W14">
        <f>SUM([24]Manu_solid!$B$42:$M$45)</f>
        <v>108.06888874028874</v>
      </c>
      <c r="X14">
        <f t="shared" ref="X14:X16" si="1">W14/SUM($W$13:$W$16)</f>
        <v>4.8552060006469304E-3</v>
      </c>
    </row>
    <row r="15" spans="1:24" x14ac:dyDescent="0.2">
      <c r="A15">
        <f>'[21]data summary'!A44</f>
        <v>2030</v>
      </c>
      <c r="B15" t="str">
        <f>'[21]data summary'!B44</f>
        <v>PAG</v>
      </c>
      <c r="C15">
        <f>'[21]data summary'!C44</f>
        <v>0</v>
      </c>
      <c r="D15">
        <f>'[21]data summary'!D44</f>
        <v>0</v>
      </c>
      <c r="E15">
        <f>'[21]data summary'!E44</f>
        <v>0</v>
      </c>
      <c r="G15">
        <v>0</v>
      </c>
      <c r="I15" s="4">
        <f>'[22]data summary'!M34</f>
        <v>0</v>
      </c>
      <c r="J15" s="4" t="str">
        <f>'[22]data summary'!N34</f>
        <v>Solvent</v>
      </c>
      <c r="K15" s="4">
        <f>'[22]data summary'!O34</f>
        <v>60.722997866059309</v>
      </c>
      <c r="L15" s="4">
        <f>'[22]data summary'!P34</f>
        <v>6.5385274476947144</v>
      </c>
      <c r="M15" s="4">
        <f>'[22]data summary'!Q34</f>
        <v>0.30928383744983756</v>
      </c>
      <c r="N15" s="4">
        <f>'[22]data summary'!R34</f>
        <v>0</v>
      </c>
      <c r="O15" s="4">
        <f>'[22]data summary'!S34</f>
        <v>2.9784897437307025</v>
      </c>
      <c r="P15" s="4">
        <f>'[22]data summary'!T34</f>
        <v>0.32669331749255942</v>
      </c>
      <c r="Q15" s="4">
        <f>'[22]data summary'!U34</f>
        <v>0.17134543302019684</v>
      </c>
      <c r="R15" s="4">
        <f>'[22]data summary'!V34</f>
        <v>0</v>
      </c>
      <c r="S15" s="4">
        <f>'[22]data summary'!W34</f>
        <v>421.25381546441167</v>
      </c>
      <c r="T15" s="4">
        <f>'[22]data summary'!X34</f>
        <v>45.143025011790961</v>
      </c>
      <c r="U15" s="4">
        <f>'[22]data summary'!Y34</f>
        <v>0.22849515938135376</v>
      </c>
      <c r="V15" t="s">
        <v>31</v>
      </c>
      <c r="W15">
        <f>SUM([24]Manu_solvent!$B$42:$M$45)</f>
        <v>10285.386836845206</v>
      </c>
      <c r="X15">
        <f t="shared" si="1"/>
        <v>0.46209110199361869</v>
      </c>
    </row>
    <row r="16" spans="1:24" x14ac:dyDescent="0.2">
      <c r="A16">
        <f>'[21]data summary'!A45</f>
        <v>0</v>
      </c>
      <c r="B16" t="str">
        <f>'[21]data summary'!B45</f>
        <v>Sur</v>
      </c>
      <c r="C16">
        <f>'[21]data summary'!C45</f>
        <v>1628177.6763636738</v>
      </c>
      <c r="D16">
        <f>'[21]data summary'!D45</f>
        <v>0.16902066525637316</v>
      </c>
      <c r="E16">
        <f>'[21]data summary'!E45</f>
        <v>16824575.343616102</v>
      </c>
      <c r="G16">
        <f>SUM([23]Usage!C$42:C$45)</f>
        <v>137.22872902172634</v>
      </c>
      <c r="I16" s="4">
        <f>'[22]data summary'!M35</f>
        <v>0</v>
      </c>
      <c r="J16" s="4" t="str">
        <f>'[22]data summary'!N35</f>
        <v>Water</v>
      </c>
      <c r="K16" s="4">
        <f>'[22]data summary'!O35</f>
        <v>134.55984361858262</v>
      </c>
      <c r="L16" s="4">
        <f>'[22]data summary'!P35</f>
        <v>14.826289846657023</v>
      </c>
      <c r="M16" s="4">
        <f>'[22]data summary'!Q35</f>
        <v>0.68536116897263566</v>
      </c>
      <c r="N16" s="4">
        <f>'[22]data summary'!R35</f>
        <v>0</v>
      </c>
      <c r="O16" s="4">
        <f>'[22]data summary'!S35</f>
        <v>14.322728212896852</v>
      </c>
      <c r="P16" s="4">
        <f>'[22]data summary'!T35</f>
        <v>1.548168120981062</v>
      </c>
      <c r="Q16" s="4">
        <f>'[22]data summary'!U35</f>
        <v>0.82395249902572421</v>
      </c>
      <c r="R16" s="4">
        <f>'[22]data summary'!V35</f>
        <v>0</v>
      </c>
      <c r="S16" s="4">
        <f>'[22]data summary'!W35</f>
        <v>1414.4252409515457</v>
      </c>
      <c r="T16" s="4">
        <f>'[22]data summary'!X35</f>
        <v>152.46923673529582</v>
      </c>
      <c r="U16" s="4">
        <f>'[22]data summary'!Y35</f>
        <v>0.76720805604557607</v>
      </c>
      <c r="V16" t="s">
        <v>32</v>
      </c>
      <c r="W16">
        <f>SUM([24]Manu_water!$B$42:$M$45)</f>
        <v>11810.902831263371</v>
      </c>
      <c r="X16">
        <f t="shared" si="1"/>
        <v>0.53062788900529712</v>
      </c>
    </row>
    <row r="17" spans="1:24" x14ac:dyDescent="0.2">
      <c r="A17">
        <f>'[21]data summary'!A46</f>
        <v>0</v>
      </c>
      <c r="B17" t="str">
        <f>'[21]data summary'!B46</f>
        <v>TARC</v>
      </c>
      <c r="C17">
        <f>'[21]data summary'!C46</f>
        <v>87702762.815795302</v>
      </c>
      <c r="D17">
        <f>'[21]data summary'!D46</f>
        <v>8.926774491354994</v>
      </c>
      <c r="E17">
        <f>'[21]data summary'!E46</f>
        <v>895256046.56760335</v>
      </c>
      <c r="G17">
        <f>SUM([23]Usage!D$42:D$45)</f>
        <v>7761.644014286856</v>
      </c>
      <c r="I17" s="4">
        <f>'[22]data summary'!M36</f>
        <v>0</v>
      </c>
      <c r="J17" s="4">
        <f>'[22]data summary'!N36</f>
        <v>0</v>
      </c>
      <c r="K17" s="4">
        <f>'[22]data summary'!O36</f>
        <v>196.33420991780054</v>
      </c>
      <c r="L17" s="4">
        <f>'[22]data summary'!P36</f>
        <v>21.478913904562869</v>
      </c>
      <c r="M17" s="4">
        <f>'[22]data summary'!Q36</f>
        <v>0</v>
      </c>
      <c r="N17" s="4">
        <f>'[22]data summary'!R36</f>
        <v>0</v>
      </c>
      <c r="O17" s="4">
        <f>'[22]data summary'!S36</f>
        <v>17.382953786574642</v>
      </c>
      <c r="P17" s="4">
        <f>'[22]data summary'!T36</f>
        <v>1.8837245362966892</v>
      </c>
      <c r="Q17" s="4">
        <f>'[22]data summary'!U36</f>
        <v>0</v>
      </c>
      <c r="R17" s="4">
        <f>'[22]data summary'!V36</f>
        <v>0</v>
      </c>
      <c r="S17" s="4">
        <f>'[22]data summary'!W36</f>
        <v>1843.6006110805511</v>
      </c>
      <c r="T17" s="4">
        <f>'[22]data summary'!X36</f>
        <v>198.46392749289265</v>
      </c>
      <c r="U17" s="4">
        <f>'[22]data summary'!Y36</f>
        <v>0</v>
      </c>
    </row>
    <row r="18" spans="1:24" x14ac:dyDescent="0.2">
      <c r="A18">
        <f>'[21]data summary'!A47</f>
        <v>0</v>
      </c>
      <c r="B18" t="str">
        <f>'[21]data summary'!B47</f>
        <v>Polymer</v>
      </c>
      <c r="C18">
        <f>'[21]data summary'!C47</f>
        <v>2057938.1388015118</v>
      </c>
      <c r="D18">
        <f>'[21]data summary'!D47</f>
        <v>0.10786595605724883</v>
      </c>
      <c r="E18">
        <f>'[21]data summary'!E47</f>
        <v>14653961.017842244</v>
      </c>
      <c r="G18">
        <f>SUM([23]Usage!E$42:E$45)</f>
        <v>396.10563267843281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4" x14ac:dyDescent="0.2">
      <c r="A19">
        <f>'[21]data summary'!A48</f>
        <v>0</v>
      </c>
      <c r="B19" t="str">
        <f>'[21]data summary'!B48</f>
        <v>ITC</v>
      </c>
      <c r="C19">
        <f>'[21]data summary'!C48</f>
        <v>45664312.828192145</v>
      </c>
      <c r="D19">
        <f>'[21]data summary'!D48</f>
        <v>4.5099384060257428</v>
      </c>
      <c r="E19">
        <f>'[21]data summary'!E48</f>
        <v>457600580.48965275</v>
      </c>
      <c r="G19">
        <f>SUM([23]Usage!F$42:F$45)</f>
        <v>4326.6797023588733</v>
      </c>
      <c r="I19" s="4">
        <f>'[22]data summary'!M38</f>
        <v>2025</v>
      </c>
      <c r="J19" s="4">
        <f>'[22]data summary'!N38</f>
        <v>0</v>
      </c>
      <c r="K19" s="4">
        <f>'[22]data summary'!O38</f>
        <v>27.576437540858414</v>
      </c>
      <c r="L19" s="4">
        <f>'[22]data summary'!P38</f>
        <v>2.6880587049202749</v>
      </c>
      <c r="M19" s="4">
        <f>'[22]data summary'!Q38</f>
        <v>0</v>
      </c>
      <c r="N19" s="4">
        <f>'[22]data summary'!R38</f>
        <v>0</v>
      </c>
      <c r="O19" s="4">
        <f>'[22]data summary'!S38</f>
        <v>2.6639861845652737</v>
      </c>
      <c r="P19" s="4">
        <f>'[22]data summary'!T38</f>
        <v>0.25940356958146926</v>
      </c>
      <c r="Q19" s="4">
        <f>'[22]data summary'!U38</f>
        <v>0</v>
      </c>
      <c r="R19" s="4">
        <f>'[22]data summary'!V38</f>
        <v>0</v>
      </c>
      <c r="S19" s="4">
        <f>'[22]data summary'!W38</f>
        <v>260.73194470422931</v>
      </c>
      <c r="T19" s="4">
        <f>'[22]data summary'!X38</f>
        <v>25.383174244627643</v>
      </c>
      <c r="U19" s="4">
        <f>'[22]data summary'!Y38</f>
        <v>0</v>
      </c>
    </row>
    <row r="20" spans="1:24" x14ac:dyDescent="0.2">
      <c r="A20">
        <f>'[21]data summary'!A49</f>
        <v>0</v>
      </c>
      <c r="B20" t="str">
        <f>'[21]data summary'!B49</f>
        <v>PBO</v>
      </c>
      <c r="C20">
        <f>'[21]data summary'!C49</f>
        <v>23175673.861888923</v>
      </c>
      <c r="D20">
        <f>'[21]data summary'!D49</f>
        <v>1.1774054164820893</v>
      </c>
      <c r="E20">
        <f>'[21]data summary'!E49</f>
        <v>163048881.29372388</v>
      </c>
      <c r="G20">
        <f>SUM([23]Usage!G$42:G$45)</f>
        <v>4833.3514231749086</v>
      </c>
      <c r="I20" s="4">
        <f>'[22]data summary'!M39</f>
        <v>2030</v>
      </c>
      <c r="J20" s="4">
        <f>'[22]data summary'!N39</f>
        <v>0</v>
      </c>
      <c r="K20" s="4">
        <f>'[22]data summary'!O39</f>
        <v>196.33420991780054</v>
      </c>
      <c r="L20" s="4">
        <f>'[22]data summary'!P39</f>
        <v>21.478913904562869</v>
      </c>
      <c r="M20" s="4">
        <f>'[22]data summary'!Q39</f>
        <v>0</v>
      </c>
      <c r="N20" s="4">
        <f>'[22]data summary'!R39</f>
        <v>0</v>
      </c>
      <c r="O20" s="4">
        <f>'[22]data summary'!S39</f>
        <v>17.382953786574642</v>
      </c>
      <c r="P20" s="4">
        <f>'[22]data summary'!T39</f>
        <v>1.8837245362966892</v>
      </c>
      <c r="Q20" s="4">
        <f>'[22]data summary'!U39</f>
        <v>0</v>
      </c>
      <c r="R20" s="4">
        <f>'[22]data summary'!V39</f>
        <v>0</v>
      </c>
      <c r="S20" s="4">
        <f>'[22]data summary'!W39</f>
        <v>1843.6006110805511</v>
      </c>
      <c r="T20" s="4">
        <f>'[22]data summary'!X39</f>
        <v>198.46392749289265</v>
      </c>
      <c r="U20" s="4">
        <f>'[22]data summary'!Y39</f>
        <v>0</v>
      </c>
    </row>
    <row r="21" spans="1:24" x14ac:dyDescent="0.2">
      <c r="A21">
        <f>'[21]data summary'!A50</f>
        <v>0</v>
      </c>
      <c r="B21">
        <f>'[21]data summary'!B50</f>
        <v>0</v>
      </c>
      <c r="C21">
        <f>'[21]data summary'!C50</f>
        <v>160228865.32104155</v>
      </c>
      <c r="D21">
        <f>'[21]data summary'!D50</f>
        <v>14.891004935176449</v>
      </c>
      <c r="E21">
        <f>'[21]data summary'!E50</f>
        <v>1547384044.7124383</v>
      </c>
      <c r="G21">
        <f>SUM(G15:G20)</f>
        <v>17455.009501520799</v>
      </c>
    </row>
    <row r="25" spans="1:24" x14ac:dyDescent="0.2">
      <c r="A25" t="s">
        <v>42</v>
      </c>
    </row>
    <row r="26" spans="1:24" x14ac:dyDescent="0.2">
      <c r="A26" t="str">
        <f>'[25]data summary'!A35</f>
        <v>yearly</v>
      </c>
      <c r="B26">
        <f>'[25]data summary'!B35</f>
        <v>0</v>
      </c>
      <c r="C26" t="str">
        <f>'[25]data summary'!C35</f>
        <v>CC</v>
      </c>
      <c r="D26" t="str">
        <f>'[25]data summary'!D35</f>
        <v>HTC</v>
      </c>
      <c r="E26" t="str">
        <f>'[25]data summary'!E35</f>
        <v>CED</v>
      </c>
      <c r="I26" s="4">
        <f>'[26]data summary'!M25</f>
        <v>0</v>
      </c>
      <c r="J26" s="4">
        <f>'[26]data summary'!N25</f>
        <v>0</v>
      </c>
      <c r="K26" s="4" t="str">
        <f>'[26]data summary'!O25</f>
        <v>CC</v>
      </c>
      <c r="L26" s="4" t="str">
        <f>'[26]data summary'!P25</f>
        <v>CC</v>
      </c>
      <c r="M26" s="4">
        <f>'[26]data summary'!Q25</f>
        <v>0</v>
      </c>
      <c r="N26" s="4">
        <f>'[26]data summary'!R25</f>
        <v>0</v>
      </c>
      <c r="O26" s="4" t="str">
        <f>'[26]data summary'!S25</f>
        <v>HTC</v>
      </c>
      <c r="P26" s="4" t="str">
        <f>'[26]data summary'!T25</f>
        <v>HTC</v>
      </c>
      <c r="Q26" s="4">
        <f>'[26]data summary'!U25</f>
        <v>0</v>
      </c>
      <c r="R26" s="4">
        <f>'[26]data summary'!V25</f>
        <v>0</v>
      </c>
      <c r="S26" s="4" t="str">
        <f>'[26]data summary'!W25</f>
        <v>CED</v>
      </c>
      <c r="T26" s="4" t="str">
        <f>'[26]data summary'!X25</f>
        <v>CED</v>
      </c>
      <c r="U26" s="4">
        <f>'[26]data summary'!Y25</f>
        <v>0</v>
      </c>
    </row>
    <row r="27" spans="1:24" x14ac:dyDescent="0.2">
      <c r="A27">
        <f>'[25]data summary'!A36</f>
        <v>2025</v>
      </c>
      <c r="B27" t="str">
        <f>'[25]data summary'!B36</f>
        <v>PAG</v>
      </c>
      <c r="C27">
        <f>'[25]data summary'!C36</f>
        <v>2140801.0323854275</v>
      </c>
      <c r="D27">
        <f>'[25]data summary'!D36</f>
        <v>0.12379898866099599</v>
      </c>
      <c r="E27">
        <f>'[25]data summary'!E36</f>
        <v>15474831.608139802</v>
      </c>
      <c r="G27">
        <f>baseline!G5*0.5</f>
        <v>396.59746462837342</v>
      </c>
      <c r="I27" s="4">
        <f>'[26]data summary'!M26</f>
        <v>2025</v>
      </c>
      <c r="J27" s="4" t="str">
        <f>'[26]data summary'!N26</f>
        <v>Gas</v>
      </c>
      <c r="K27" s="4">
        <f>'[26]data summary'!O26</f>
        <v>3.4569027978270918E-2</v>
      </c>
      <c r="L27" s="4">
        <f>'[26]data summary'!P26</f>
        <v>3.3712313887480868E-3</v>
      </c>
      <c r="M27" s="4">
        <f>'[26]data summary'!Q26</f>
        <v>1.3652564109119616E-3</v>
      </c>
      <c r="N27" s="4">
        <f>'[26]data summary'!R26</f>
        <v>0</v>
      </c>
      <c r="O27" s="4">
        <f>'[26]data summary'!S26</f>
        <v>2.8250217875448831E-3</v>
      </c>
      <c r="P27" s="4">
        <f>'[26]data summary'!T26</f>
        <v>2.7542328478870028E-4</v>
      </c>
      <c r="Q27" s="4">
        <f>'[26]data summary'!U26</f>
        <v>1.1185026504079139E-3</v>
      </c>
      <c r="R27" s="4">
        <f>'[26]data summary'!V26</f>
        <v>0</v>
      </c>
      <c r="S27" s="4">
        <f>'[26]data summary'!W26</f>
        <v>0.26195306957273895</v>
      </c>
      <c r="T27" s="4">
        <f>'[26]data summary'!X26</f>
        <v>2.5526945525871855E-2</v>
      </c>
      <c r="U27" s="4">
        <f>'[26]data summary'!Y26</f>
        <v>1.0739357456556395E-3</v>
      </c>
      <c r="V27" t="s">
        <v>29</v>
      </c>
      <c r="W27">
        <f>SUM([27]Manu_gas!$B$22:$M$25)</f>
        <v>0.86818242674084489</v>
      </c>
      <c r="X27">
        <f>W27/SUM($W$27:$W$30)</f>
        <v>3.6513944915609247E-4</v>
      </c>
    </row>
    <row r="28" spans="1:24" x14ac:dyDescent="0.2">
      <c r="A28">
        <f>'[25]data summary'!A37</f>
        <v>0</v>
      </c>
      <c r="B28" t="str">
        <f>'[25]data summary'!B37</f>
        <v>Sur</v>
      </c>
      <c r="C28">
        <f>'[25]data summary'!C37</f>
        <v>252498.01520511933</v>
      </c>
      <c r="D28">
        <f>'[25]data summary'!D37</f>
        <v>2.8646903929004035E-2</v>
      </c>
      <c r="E28">
        <f>'[25]data summary'!E37</f>
        <v>2630100.3140285881</v>
      </c>
      <c r="G28">
        <f>G8</f>
        <v>18.675883076269283</v>
      </c>
      <c r="I28" s="4">
        <f>'[26]data summary'!M27</f>
        <v>0</v>
      </c>
      <c r="J28" s="4" t="str">
        <f>'[26]data summary'!N27</f>
        <v>Solid</v>
      </c>
      <c r="K28" s="4">
        <f>'[26]data summary'!O27</f>
        <v>6.2358878631968553E-2</v>
      </c>
      <c r="L28" s="4">
        <f>'[26]data summary'!P27</f>
        <v>6.0837743432494264E-3</v>
      </c>
      <c r="M28" s="4">
        <f>'[26]data summary'!Q27</f>
        <v>2.4627784988079477E-3</v>
      </c>
      <c r="N28" s="4">
        <f>'[26]data summary'!R27</f>
        <v>0</v>
      </c>
      <c r="O28" s="4">
        <f>'[26]data summary'!S27</f>
        <v>5.0959573364129781E-3</v>
      </c>
      <c r="P28" s="4">
        <f>'[26]data summary'!T27</f>
        <v>4.9702445961824872E-4</v>
      </c>
      <c r="Q28" s="4">
        <f>'[26]data summary'!U27</f>
        <v>2.017627549731955E-3</v>
      </c>
      <c r="R28" s="4">
        <f>'[26]data summary'!V27</f>
        <v>0</v>
      </c>
      <c r="S28" s="4">
        <f>'[26]data summary'!W27</f>
        <v>0.47253478558993878</v>
      </c>
      <c r="T28" s="4">
        <f>'[26]data summary'!X27</f>
        <v>4.6066078273842265E-2</v>
      </c>
      <c r="U28" s="4">
        <f>'[26]data summary'!Y27</f>
        <v>1.9372630301239672E-3</v>
      </c>
      <c r="V28" t="s">
        <v>30</v>
      </c>
      <c r="W28">
        <f>SUM([27]Manu_solid!$B$22:$M$25)</f>
        <v>10.015432934194312</v>
      </c>
      <c r="X28">
        <f t="shared" ref="X28:X30" si="2">W28/SUM($W$27:$W$30)</f>
        <v>4.2122825249757473E-3</v>
      </c>
    </row>
    <row r="29" spans="1:24" x14ac:dyDescent="0.2">
      <c r="A29">
        <f>'[25]data summary'!A38</f>
        <v>0</v>
      </c>
      <c r="B29" t="str">
        <f>'[25]data summary'!B38</f>
        <v>TARC</v>
      </c>
      <c r="C29">
        <f>'[25]data summary'!C38</f>
        <v>13187196.231573878</v>
      </c>
      <c r="D29">
        <f>'[25]data summary'!D38</f>
        <v>1.4696282727954535</v>
      </c>
      <c r="E29">
        <f>'[25]data summary'!E38</f>
        <v>135847964.59892809</v>
      </c>
      <c r="G29">
        <f t="shared" ref="G29:G40" si="3">G9</f>
        <v>1028.0208422367455</v>
      </c>
      <c r="I29" s="4">
        <f>'[26]data summary'!M28</f>
        <v>0</v>
      </c>
      <c r="J29" s="4" t="str">
        <f>'[26]data summary'!N28</f>
        <v>Solvent</v>
      </c>
      <c r="K29" s="4">
        <f>'[26]data summary'!O28</f>
        <v>5.8280010042890424</v>
      </c>
      <c r="L29" s="4">
        <f>'[26]data summary'!P28</f>
        <v>0.56838824688024958</v>
      </c>
      <c r="M29" s="4">
        <f>'[26]data summary'!Q28</f>
        <v>0.23016891706958972</v>
      </c>
      <c r="N29" s="4">
        <f>'[26]data summary'!R28</f>
        <v>0</v>
      </c>
      <c r="O29" s="4">
        <f>'[26]data summary'!S28</f>
        <v>0.30722203851304719</v>
      </c>
      <c r="P29" s="4">
        <f>'[26]data summary'!T28</f>
        <v>2.9995438867006008E-2</v>
      </c>
      <c r="Q29" s="4">
        <f>'[26]data summary'!U28</f>
        <v>0.12163752713539241</v>
      </c>
      <c r="R29" s="4">
        <f>'[26]data summary'!V28</f>
        <v>0</v>
      </c>
      <c r="S29" s="4">
        <f>'[26]data summary'!W28</f>
        <v>40.558484513446885</v>
      </c>
      <c r="T29" s="4">
        <f>'[26]data summary'!X28</f>
        <v>3.9540000759555949</v>
      </c>
      <c r="U29" s="4">
        <f>'[26]data summary'!Y28</f>
        <v>0.16627866350127404</v>
      </c>
      <c r="V29" t="s">
        <v>31</v>
      </c>
      <c r="W29">
        <f>SUM([27]Manu_solvent!$B$22:$M$25)</f>
        <v>828.64740567229865</v>
      </c>
      <c r="X29">
        <f t="shared" si="2"/>
        <v>0.34851184259472101</v>
      </c>
    </row>
    <row r="30" spans="1:24" x14ac:dyDescent="0.2">
      <c r="A30">
        <f>'[25]data summary'!A39</f>
        <v>0</v>
      </c>
      <c r="B30" t="str">
        <f>'[25]data summary'!B39</f>
        <v>Polymer</v>
      </c>
      <c r="C30">
        <f>'[25]data summary'!C39</f>
        <v>287646.94195845688</v>
      </c>
      <c r="D30">
        <f>'[25]data summary'!D39</f>
        <v>1.6317833213624303E-2</v>
      </c>
      <c r="E30">
        <f>'[25]data summary'!E39</f>
        <v>2061094.024084687</v>
      </c>
      <c r="G30">
        <f t="shared" si="3"/>
        <v>53.907243290017455</v>
      </c>
      <c r="I30" s="4">
        <f>'[26]data summary'!M29</f>
        <v>0</v>
      </c>
      <c r="J30" s="4" t="str">
        <f>'[26]data summary'!N29</f>
        <v>Water</v>
      </c>
      <c r="K30" s="4">
        <f>'[26]data summary'!O29</f>
        <v>19.39560992852617</v>
      </c>
      <c r="L30" s="4">
        <f>'[26]data summary'!P29</f>
        <v>1.8996321539516892</v>
      </c>
      <c r="M30" s="4">
        <f>'[26]data summary'!Q29</f>
        <v>0.7660030480206903</v>
      </c>
      <c r="N30" s="4">
        <f>'[26]data summary'!R29</f>
        <v>0</v>
      </c>
      <c r="O30" s="4">
        <f>'[26]data summary'!S29</f>
        <v>2.210574544600874</v>
      </c>
      <c r="P30" s="4">
        <f>'[26]data summary'!T29</f>
        <v>0.21674365339175658</v>
      </c>
      <c r="Q30" s="4">
        <f>'[26]data summary'!U29</f>
        <v>0.87522634266446764</v>
      </c>
      <c r="R30" s="4">
        <f>'[26]data summary'!V29</f>
        <v>0</v>
      </c>
      <c r="S30" s="4">
        <f>'[26]data summary'!W29</f>
        <v>202.62578220531159</v>
      </c>
      <c r="T30" s="4">
        <f>'[26]data summary'!X29</f>
        <v>19.881527318975365</v>
      </c>
      <c r="U30" s="4">
        <f>'[26]data summary'!Y29</f>
        <v>0.83071013772294633</v>
      </c>
      <c r="V30" t="s">
        <v>32</v>
      </c>
      <c r="W30">
        <f>SUM([27]Manu_water!$B$22:$M$25)</f>
        <v>1538.1425739381707</v>
      </c>
      <c r="X30">
        <f t="shared" si="2"/>
        <v>0.64691073543114708</v>
      </c>
    </row>
    <row r="31" spans="1:24" x14ac:dyDescent="0.2">
      <c r="A31">
        <f>'[25]data summary'!A40</f>
        <v>0</v>
      </c>
      <c r="B31" t="str">
        <f>'[25]data summary'!B40</f>
        <v>ITC</v>
      </c>
      <c r="C31">
        <f>'[25]data summary'!C40</f>
        <v>6890745.7327885581</v>
      </c>
      <c r="D31">
        <f>'[25]data summary'!D40</f>
        <v>0.74688065097997536</v>
      </c>
      <c r="E31">
        <f>'[25]data summary'!E40</f>
        <v>69794220.340805531</v>
      </c>
      <c r="G31">
        <f t="shared" si="3"/>
        <v>578.539423277894</v>
      </c>
      <c r="I31" s="4">
        <f>'[26]data summary'!M30</f>
        <v>0</v>
      </c>
      <c r="J31" s="4">
        <f>'[26]data summary'!N30</f>
        <v>0</v>
      </c>
      <c r="K31" s="4">
        <f>'[26]data summary'!O30</f>
        <v>25.320538839425453</v>
      </c>
      <c r="L31" s="4">
        <f>'[26]data summary'!P30</f>
        <v>2.4774754065639364</v>
      </c>
      <c r="M31" s="4">
        <f>'[26]data summary'!Q30</f>
        <v>0</v>
      </c>
      <c r="N31" s="4">
        <f>'[26]data summary'!R30</f>
        <v>0</v>
      </c>
      <c r="O31" s="4">
        <f>'[26]data summary'!S30</f>
        <v>2.5257175622378791</v>
      </c>
      <c r="P31" s="4">
        <f>'[26]data summary'!T30</f>
        <v>0.24751154000316955</v>
      </c>
      <c r="Q31" s="4">
        <f>'[26]data summary'!U30</f>
        <v>0</v>
      </c>
      <c r="R31" s="4">
        <f>'[26]data summary'!V30</f>
        <v>0</v>
      </c>
      <c r="S31" s="4">
        <f>'[26]data summary'!W30</f>
        <v>243.91875457392115</v>
      </c>
      <c r="T31" s="4">
        <f>'[26]data summary'!X30</f>
        <v>23.907120418730674</v>
      </c>
      <c r="U31" s="4">
        <f>'[26]data summary'!Y30</f>
        <v>0</v>
      </c>
    </row>
    <row r="32" spans="1:24" x14ac:dyDescent="0.2">
      <c r="A32">
        <f>'[25]data summary'!A41</f>
        <v>0</v>
      </c>
      <c r="B32" t="str">
        <f>'[25]data summary'!B41</f>
        <v>PBO</v>
      </c>
      <c r="C32">
        <f>'[25]data summary'!C41</f>
        <v>2561650.8855140111</v>
      </c>
      <c r="D32">
        <f>'[25]data summary'!D41</f>
        <v>0.14044491265882555</v>
      </c>
      <c r="E32">
        <f>'[25]data summary'!E41</f>
        <v>18110543.687934432</v>
      </c>
      <c r="G32">
        <f t="shared" si="3"/>
        <v>521.70404251919263</v>
      </c>
      <c r="I32" s="4">
        <f>'[26]data summary'!M31</f>
        <v>0</v>
      </c>
      <c r="J32" s="4">
        <f>'[26]data summary'!N31</f>
        <v>0</v>
      </c>
      <c r="K32" s="4">
        <f>'[26]data summary'!O31</f>
        <v>0</v>
      </c>
      <c r="L32" s="4">
        <f>'[26]data summary'!P31</f>
        <v>0</v>
      </c>
      <c r="M32" s="4">
        <f>'[26]data summary'!Q31</f>
        <v>0</v>
      </c>
      <c r="N32" s="4">
        <f>'[26]data summary'!R31</f>
        <v>0</v>
      </c>
      <c r="O32" s="4">
        <f>'[26]data summary'!S31</f>
        <v>0</v>
      </c>
      <c r="P32" s="4">
        <f>'[26]data summary'!T31</f>
        <v>0</v>
      </c>
      <c r="Q32" s="4">
        <f>'[26]data summary'!U31</f>
        <v>0</v>
      </c>
      <c r="R32" s="4">
        <f>'[26]data summary'!V31</f>
        <v>0</v>
      </c>
      <c r="S32" s="4">
        <f>'[26]data summary'!W31</f>
        <v>0</v>
      </c>
      <c r="T32" s="4">
        <f>'[26]data summary'!X31</f>
        <v>0</v>
      </c>
      <c r="U32" s="4">
        <f>'[26]data summary'!Y31</f>
        <v>0</v>
      </c>
    </row>
    <row r="33" spans="1:36" x14ac:dyDescent="0.2">
      <c r="A33">
        <f>'[25]data summary'!A42</f>
        <v>0</v>
      </c>
      <c r="B33">
        <f>'[25]data summary'!B42</f>
        <v>0</v>
      </c>
      <c r="C33">
        <f>'[25]data summary'!C42</f>
        <v>25320538.839425448</v>
      </c>
      <c r="D33">
        <f>'[25]data summary'!D42</f>
        <v>2.5257175622378787</v>
      </c>
      <c r="E33">
        <f>'[25]data summary'!E42</f>
        <v>243918754.57392111</v>
      </c>
      <c r="G33">
        <f>SUM(G27:G32)</f>
        <v>2597.4448990284923</v>
      </c>
      <c r="I33" s="4">
        <f>'[26]data summary'!M32</f>
        <v>2030</v>
      </c>
      <c r="J33" s="4">
        <f>'[26]data summary'!N32</f>
        <v>31</v>
      </c>
      <c r="K33" s="4">
        <f>'[26]data summary'!O32</f>
        <v>0.24438818974824802</v>
      </c>
      <c r="L33" s="4">
        <f>'[26]data summary'!P32</f>
        <v>2.7124817287391054E-2</v>
      </c>
      <c r="M33" s="4">
        <f>'[26]data summary'!Q32</f>
        <v>1.3906679042964248E-3</v>
      </c>
      <c r="N33" s="4">
        <f>'[26]data summary'!R32</f>
        <v>0</v>
      </c>
      <c r="O33" s="4">
        <f>'[26]data summary'!S32</f>
        <v>1.8999674172517668E-2</v>
      </c>
      <c r="P33" s="4">
        <f>'[26]data summary'!T32</f>
        <v>2.1069872055909564E-3</v>
      </c>
      <c r="Q33" s="4">
        <f>'[26]data summary'!U32</f>
        <v>1.2081870662228147E-3</v>
      </c>
      <c r="R33" s="4">
        <f>'[26]data summary'!V32</f>
        <v>0</v>
      </c>
      <c r="S33" s="4">
        <f>'[26]data summary'!W32</f>
        <v>1.8413512640855392</v>
      </c>
      <c r="T33" s="4">
        <f>'[26]data summary'!X32</f>
        <v>0.20246889902396278</v>
      </c>
      <c r="U33" s="4">
        <f>'[26]data summary'!Y32</f>
        <v>1.109804218368719E-3</v>
      </c>
      <c r="V33" t="s">
        <v>29</v>
      </c>
      <c r="W33">
        <f>SUM([27]Manu_gas!$B$42:$M$45)</f>
        <v>6.4441276929446261</v>
      </c>
      <c r="X33">
        <f>W33/SUM($W$33:$W$36)</f>
        <v>3.3917358976532388E-4</v>
      </c>
    </row>
    <row r="34" spans="1:36" x14ac:dyDescent="0.2">
      <c r="A34">
        <f>'[25]data summary'!A43</f>
        <v>0</v>
      </c>
      <c r="B34">
        <f>'[25]data summary'!B43</f>
        <v>0</v>
      </c>
      <c r="C34">
        <f>'[25]data summary'!C43</f>
        <v>0</v>
      </c>
      <c r="D34">
        <f>'[25]data summary'!D43</f>
        <v>0</v>
      </c>
      <c r="E34">
        <f>'[25]data summary'!E43</f>
        <v>0</v>
      </c>
      <c r="G34">
        <f t="shared" si="3"/>
        <v>0</v>
      </c>
      <c r="I34" s="4">
        <f>'[26]data summary'!M33</f>
        <v>0</v>
      </c>
      <c r="J34" s="4" t="str">
        <f>'[26]data summary'!N33</f>
        <v>Solid</v>
      </c>
      <c r="K34" s="4">
        <f>'[26]data summary'!O33</f>
        <v>0.48911624436185019</v>
      </c>
      <c r="L34" s="4">
        <f>'[26]data summary'!P33</f>
        <v>5.4297398066112917E-2</v>
      </c>
      <c r="M34" s="4">
        <f>'[26]data summary'!Q33</f>
        <v>2.7832697774991741E-3</v>
      </c>
      <c r="N34" s="4">
        <f>'[26]data summary'!R33</f>
        <v>0</v>
      </c>
      <c r="O34" s="4">
        <f>'[26]data summary'!S33</f>
        <v>3.8024238352831308E-2</v>
      </c>
      <c r="P34" s="4">
        <f>'[26]data summary'!T33</f>
        <v>4.2175197791325201E-3</v>
      </c>
      <c r="Q34" s="4">
        <f>'[26]data summary'!U33</f>
        <v>2.4179568851404507E-3</v>
      </c>
      <c r="R34" s="4">
        <f>'[26]data summary'!V33</f>
        <v>0</v>
      </c>
      <c r="S34" s="4">
        <f>'[26]data summary'!W33</f>
        <v>3.6852466283043399</v>
      </c>
      <c r="T34" s="4">
        <f>'[26]data summary'!X33</f>
        <v>0.40528990909383805</v>
      </c>
      <c r="U34" s="4">
        <f>'[26]data summary'!Y33</f>
        <v>2.2211417960235863E-3</v>
      </c>
      <c r="V34" t="s">
        <v>30</v>
      </c>
      <c r="W34">
        <f>SUM([27]Manu_solid!$B$42:$M$45)</f>
        <v>84.992016814354201</v>
      </c>
      <c r="X34">
        <f t="shared" ref="X34:X36" si="4">W34/SUM($W$33:$W$36)</f>
        <v>4.4733824061060539E-3</v>
      </c>
    </row>
    <row r="35" spans="1:36" x14ac:dyDescent="0.2">
      <c r="A35">
        <f>'[25]data summary'!A44</f>
        <v>2030</v>
      </c>
      <c r="B35" t="str">
        <f>'[25]data summary'!B44</f>
        <v>PAG</v>
      </c>
      <c r="C35">
        <f>'[25]data summary'!C44</f>
        <v>15305881.415846851</v>
      </c>
      <c r="D35">
        <f>'[25]data summary'!D44</f>
        <v>0.81601938835882182</v>
      </c>
      <c r="E35">
        <f>'[25]data summary'!E44</f>
        <v>109851336.37242991</v>
      </c>
      <c r="G35">
        <f>baseline!G13*0.5</f>
        <v>2914.1629224133412</v>
      </c>
      <c r="I35" s="4">
        <f>'[26]data summary'!M34</f>
        <v>0</v>
      </c>
      <c r="J35" s="4" t="str">
        <f>'[26]data summary'!N34</f>
        <v>Solvent</v>
      </c>
      <c r="K35" s="4">
        <f>'[26]data summary'!O34</f>
        <v>46.822655660603218</v>
      </c>
      <c r="L35" s="4">
        <f>'[26]data summary'!P34</f>
        <v>5.1575571451331053</v>
      </c>
      <c r="M35" s="4">
        <f>'[26]data summary'!Q34</f>
        <v>0.26643989829541675</v>
      </c>
      <c r="N35" s="4">
        <f>'[26]data summary'!R34</f>
        <v>0</v>
      </c>
      <c r="O35" s="4">
        <f>'[26]data summary'!S34</f>
        <v>2.2966442607361803</v>
      </c>
      <c r="P35" s="4">
        <f>'[26]data summary'!T34</f>
        <v>0.25767527678818319</v>
      </c>
      <c r="Q35" s="4">
        <f>'[26]data summary'!U34</f>
        <v>0.14604334086686194</v>
      </c>
      <c r="R35" s="4">
        <f>'[26]data summary'!V34</f>
        <v>0</v>
      </c>
      <c r="S35" s="4">
        <f>'[26]data summary'!W34</f>
        <v>324.82276913111031</v>
      </c>
      <c r="T35" s="4">
        <f>'[26]data summary'!X34</f>
        <v>35.608238682815895</v>
      </c>
      <c r="U35" s="4">
        <f>'[26]data summary'!Y34</f>
        <v>0.19577453060426409</v>
      </c>
      <c r="V35" t="s">
        <v>31</v>
      </c>
      <c r="W35">
        <f>SUM([27]Manu_solvent!$B$42:$M$45)</f>
        <v>7206.4969114879796</v>
      </c>
      <c r="X35">
        <f t="shared" si="4"/>
        <v>0.3792993471836687</v>
      </c>
    </row>
    <row r="36" spans="1:36" x14ac:dyDescent="0.2">
      <c r="A36">
        <f>'[25]data summary'!A45</f>
        <v>0</v>
      </c>
      <c r="B36" t="str">
        <f>'[25]data summary'!B45</f>
        <v>Sur</v>
      </c>
      <c r="C36">
        <f>'[25]data summary'!C45</f>
        <v>1630231.9710123867</v>
      </c>
      <c r="D36">
        <f>'[25]data summary'!D45</f>
        <v>0.16923562520537042</v>
      </c>
      <c r="E36">
        <f>'[25]data summary'!E45</f>
        <v>16845817.803205181</v>
      </c>
      <c r="G36">
        <f t="shared" si="3"/>
        <v>137.22872902172634</v>
      </c>
      <c r="I36" s="4">
        <f>'[26]data summary'!M35</f>
        <v>0</v>
      </c>
      <c r="J36" s="4" t="str">
        <f>'[26]data summary'!N35</f>
        <v>Water</v>
      </c>
      <c r="K36" s="4">
        <f>'[26]data summary'!O35</f>
        <v>128.17823989626828</v>
      </c>
      <c r="L36" s="4">
        <f>'[26]data summary'!P35</f>
        <v>15.219977332504348</v>
      </c>
      <c r="M36" s="4">
        <f>'[26]data summary'!Q35</f>
        <v>0.72938616402278778</v>
      </c>
      <c r="N36" s="4">
        <f>'[26]data summary'!R35</f>
        <v>0</v>
      </c>
      <c r="O36" s="4">
        <f>'[26]data summary'!S35</f>
        <v>13.372103690789972</v>
      </c>
      <c r="P36" s="4">
        <f>'[26]data summary'!T35</f>
        <v>1.6303330692040736</v>
      </c>
      <c r="Q36" s="4">
        <f>'[26]data summary'!U35</f>
        <v>0.85033051518177472</v>
      </c>
      <c r="R36" s="4">
        <f>'[26]data summary'!V35</f>
        <v>0</v>
      </c>
      <c r="S36" s="4">
        <f>'[26]data summary'!W35</f>
        <v>1328.8182894052236</v>
      </c>
      <c r="T36" s="4">
        <f>'[26]data summary'!X35</f>
        <v>161.7443824820792</v>
      </c>
      <c r="U36" s="4">
        <f>'[26]data summary'!Y35</f>
        <v>0.80089452338134359</v>
      </c>
      <c r="V36" t="s">
        <v>32</v>
      </c>
      <c r="W36">
        <f>SUM([27]Manu_water!$B$42:$M$45)</f>
        <v>11701.564214424136</v>
      </c>
      <c r="X36">
        <f t="shared" si="4"/>
        <v>0.61588809682045986</v>
      </c>
    </row>
    <row r="37" spans="1:36" x14ac:dyDescent="0.2">
      <c r="A37">
        <f>'[25]data summary'!A46</f>
        <v>0</v>
      </c>
      <c r="B37" t="str">
        <f>'[25]data summary'!B46</f>
        <v>TARC</v>
      </c>
      <c r="C37">
        <f>'[25]data summary'!C46</f>
        <v>87812176.835432857</v>
      </c>
      <c r="D37">
        <f>'[25]data summary'!D46</f>
        <v>8.9380024248796097</v>
      </c>
      <c r="E37">
        <f>'[25]data summary'!E46</f>
        <v>896373812.94071996</v>
      </c>
      <c r="G37">
        <f t="shared" si="3"/>
        <v>7761.644014286856</v>
      </c>
      <c r="I37" s="4">
        <f>'[26]data summary'!M36</f>
        <v>0</v>
      </c>
      <c r="J37" s="4">
        <f>'[26]data summary'!N36</f>
        <v>0</v>
      </c>
      <c r="K37" s="4">
        <f>'[26]data summary'!O36</f>
        <v>175.73439999098159</v>
      </c>
      <c r="L37" s="4">
        <f>'[26]data summary'!P36</f>
        <v>20.458956692990956</v>
      </c>
      <c r="M37" s="4">
        <f>'[26]data summary'!Q36</f>
        <v>0</v>
      </c>
      <c r="N37" s="4">
        <f>'[26]data summary'!R36</f>
        <v>0</v>
      </c>
      <c r="O37" s="4">
        <f>'[26]data summary'!S36</f>
        <v>15.725771864051502</v>
      </c>
      <c r="P37" s="4">
        <f>'[26]data summary'!T36</f>
        <v>1.8943328529769803</v>
      </c>
      <c r="Q37" s="4">
        <f>'[26]data summary'!U36</f>
        <v>0</v>
      </c>
      <c r="R37" s="4">
        <f>'[26]data summary'!V36</f>
        <v>0</v>
      </c>
      <c r="S37" s="4">
        <f>'[26]data summary'!W36</f>
        <v>1659.1676564287238</v>
      </c>
      <c r="T37" s="4">
        <f>'[26]data summary'!X36</f>
        <v>197.96037997301289</v>
      </c>
      <c r="U37" s="4">
        <f>'[26]data summary'!Y36</f>
        <v>0</v>
      </c>
    </row>
    <row r="38" spans="1:36" x14ac:dyDescent="0.2">
      <c r="A38">
        <f>'[25]data summary'!A47</f>
        <v>0</v>
      </c>
      <c r="B38" t="str">
        <f>'[25]data summary'!B47</f>
        <v>Polymer</v>
      </c>
      <c r="C38">
        <f>'[25]data summary'!C47</f>
        <v>2060512.6246756902</v>
      </c>
      <c r="D38">
        <f>'[25]data summary'!D47</f>
        <v>0.10800176509444262</v>
      </c>
      <c r="E38">
        <f>'[25]data summary'!E47</f>
        <v>14672302.150816472</v>
      </c>
      <c r="G38">
        <f t="shared" si="3"/>
        <v>396.10563267843281</v>
      </c>
      <c r="I38" s="4">
        <f>'[26]data summary'!M37</f>
        <v>0</v>
      </c>
      <c r="J38" s="4">
        <f>'[26]data summary'!N37</f>
        <v>0</v>
      </c>
      <c r="K38" s="4">
        <f>'[26]data summary'!O37</f>
        <v>0</v>
      </c>
      <c r="L38" s="4">
        <f>'[26]data summary'!P37</f>
        <v>0</v>
      </c>
      <c r="M38" s="4">
        <f>'[26]data summary'!Q37</f>
        <v>0</v>
      </c>
      <c r="N38" s="4">
        <f>'[26]data summary'!R37</f>
        <v>0</v>
      </c>
      <c r="O38" s="4">
        <f>'[26]data summary'!S37</f>
        <v>0</v>
      </c>
      <c r="P38" s="4">
        <f>'[26]data summary'!T37</f>
        <v>0</v>
      </c>
      <c r="Q38" s="4">
        <f>'[26]data summary'!U37</f>
        <v>0</v>
      </c>
      <c r="R38" s="4">
        <f>'[26]data summary'!V37</f>
        <v>0</v>
      </c>
      <c r="S38" s="4">
        <f>'[26]data summary'!W37</f>
        <v>0</v>
      </c>
      <c r="T38" s="4">
        <f>'[26]data summary'!X37</f>
        <v>0</v>
      </c>
      <c r="U38" s="4">
        <f>'[26]data summary'!Y37</f>
        <v>0</v>
      </c>
    </row>
    <row r="39" spans="1:36" x14ac:dyDescent="0.2">
      <c r="A39">
        <f>'[25]data summary'!A48</f>
        <v>0</v>
      </c>
      <c r="B39" t="str">
        <f>'[25]data summary'!B48</f>
        <v>ITC</v>
      </c>
      <c r="C39">
        <f>'[25]data summary'!C48</f>
        <v>45721928.890121721</v>
      </c>
      <c r="D39">
        <f>'[25]data summary'!D48</f>
        <v>4.5156760094163495</v>
      </c>
      <c r="E39">
        <f>'[25]data summary'!E48</f>
        <v>458178478.20341641</v>
      </c>
      <c r="G39">
        <f t="shared" si="3"/>
        <v>4326.6797023588733</v>
      </c>
      <c r="I39" s="4">
        <f>'[26]data summary'!M38</f>
        <v>2025</v>
      </c>
      <c r="J39" s="4">
        <f>'[26]data summary'!N38</f>
        <v>0</v>
      </c>
      <c r="K39" s="4">
        <f>'[26]data summary'!O38</f>
        <v>25.320538839425453</v>
      </c>
      <c r="L39" s="4">
        <f>'[26]data summary'!P38</f>
        <v>2.4774754065639364</v>
      </c>
      <c r="M39" s="4">
        <f>'[26]data summary'!Q38</f>
        <v>0</v>
      </c>
      <c r="N39" s="4">
        <f>'[26]data summary'!R38</f>
        <v>0</v>
      </c>
      <c r="O39" s="4">
        <f>'[26]data summary'!S38</f>
        <v>2.5257175622378791</v>
      </c>
      <c r="P39" s="4">
        <f>'[26]data summary'!T38</f>
        <v>0.24751154000316955</v>
      </c>
      <c r="Q39" s="4">
        <f>'[26]data summary'!U38</f>
        <v>0</v>
      </c>
      <c r="R39" s="4">
        <f>'[26]data summary'!V38</f>
        <v>0</v>
      </c>
      <c r="S39" s="4">
        <f>'[26]data summary'!W38</f>
        <v>243.91875457392115</v>
      </c>
      <c r="T39" s="4">
        <f>'[26]data summary'!X38</f>
        <v>23.907120418730674</v>
      </c>
      <c r="U39" s="4">
        <f>'[26]data summary'!Y38</f>
        <v>0</v>
      </c>
    </row>
    <row r="40" spans="1:36" x14ac:dyDescent="0.2">
      <c r="A40">
        <f>'[25]data summary'!A49</f>
        <v>0</v>
      </c>
      <c r="B40" t="str">
        <f>'[25]data summary'!B49</f>
        <v>PBO</v>
      </c>
      <c r="C40">
        <f>'[25]data summary'!C49</f>
        <v>23203668.253892079</v>
      </c>
      <c r="D40">
        <f>'[25]data summary'!D49</f>
        <v>1.1788366510969084</v>
      </c>
      <c r="E40">
        <f>'[25]data summary'!E49</f>
        <v>163245908.95813599</v>
      </c>
      <c r="G40">
        <f t="shared" si="3"/>
        <v>4833.3514231749086</v>
      </c>
      <c r="I40" s="4">
        <f>'[26]data summary'!M39</f>
        <v>2030</v>
      </c>
      <c r="J40" s="4">
        <f>'[26]data summary'!N39</f>
        <v>0</v>
      </c>
      <c r="K40" s="4">
        <f>'[26]data summary'!O39</f>
        <v>175.73439999098159</v>
      </c>
      <c r="L40" s="4">
        <f>'[26]data summary'!P39</f>
        <v>20.458956692990956</v>
      </c>
      <c r="M40" s="4">
        <f>'[26]data summary'!Q39</f>
        <v>0</v>
      </c>
      <c r="N40" s="4">
        <f>'[26]data summary'!R39</f>
        <v>0</v>
      </c>
      <c r="O40" s="4">
        <f>'[26]data summary'!S39</f>
        <v>15.725771864051502</v>
      </c>
      <c r="P40" s="4">
        <f>'[26]data summary'!T39</f>
        <v>1.8943328529769803</v>
      </c>
      <c r="Q40" s="4">
        <f>'[26]data summary'!U39</f>
        <v>0</v>
      </c>
      <c r="R40" s="4">
        <f>'[26]data summary'!V39</f>
        <v>0</v>
      </c>
      <c r="S40" s="4">
        <f>'[26]data summary'!W39</f>
        <v>1659.1676564287238</v>
      </c>
      <c r="T40" s="4">
        <f>'[26]data summary'!X39</f>
        <v>197.96037997301289</v>
      </c>
      <c r="U40" s="4">
        <f>'[26]data summary'!Y39</f>
        <v>0</v>
      </c>
    </row>
    <row r="41" spans="1:36" x14ac:dyDescent="0.2">
      <c r="A41">
        <f>'[25]data summary'!A50</f>
        <v>0</v>
      </c>
      <c r="B41">
        <f>'[25]data summary'!B50</f>
        <v>0</v>
      </c>
      <c r="C41">
        <f>'[25]data summary'!C50</f>
        <v>175734399.99098158</v>
      </c>
      <c r="D41">
        <f>'[25]data summary'!D50</f>
        <v>15.725771864051502</v>
      </c>
      <c r="E41">
        <f>'[25]data summary'!E50</f>
        <v>1659167656.4287241</v>
      </c>
      <c r="G41">
        <f>SUM(G35:G40)</f>
        <v>20369.172423934138</v>
      </c>
    </row>
    <row r="45" spans="1:36" x14ac:dyDescent="0.2">
      <c r="A45" t="str" cm="1">
        <f t="array" ref="A45">INDEX($A$6:$X$41, COLUMN(A1), ROW(A1))</f>
        <v>yearly</v>
      </c>
      <c r="B45" cm="1">
        <f t="array" ref="B45">INDEX($A$6:$X$41, COLUMN(B1), ROW(B1))</f>
        <v>2025</v>
      </c>
      <c r="C45" cm="1">
        <f t="array" ref="C45">INDEX($A$6:$X$41, COLUMN(C1), ROW(C1))</f>
        <v>0</v>
      </c>
      <c r="D45" cm="1">
        <f t="array" ref="D45">INDEX($A$6:$X$41, COLUMN(D1), ROW(D1))</f>
        <v>0</v>
      </c>
      <c r="E45" cm="1">
        <f t="array" ref="E45">INDEX($A$6:$X$41, COLUMN(E1), ROW(E1))</f>
        <v>0</v>
      </c>
      <c r="F45" cm="1">
        <f t="array" ref="F45">INDEX($A$6:$X$41, COLUMN(F1), ROW(F1))</f>
        <v>0</v>
      </c>
      <c r="G45" cm="1">
        <f t="array" ref="G45">INDEX($A$6:$X$41, COLUMN(G1), ROW(G1))</f>
        <v>0</v>
      </c>
      <c r="H45" cm="1">
        <f t="array" ref="H45">INDEX($A$6:$X$41, COLUMN(H1), ROW(H1))</f>
        <v>0</v>
      </c>
      <c r="I45" cm="1">
        <f t="array" ref="I45">INDEX($A$6:$X$41, COLUMN(I1), ROW(I1))</f>
        <v>0</v>
      </c>
      <c r="J45" cm="1">
        <f t="array" ref="J45">INDEX($A$6:$X$41, COLUMN(J1), ROW(J1))</f>
        <v>2030</v>
      </c>
      <c r="K45" cm="1">
        <f t="array" ref="K45">INDEX($A$6:$X$41, COLUMN(K1), ROW(K1))</f>
        <v>0</v>
      </c>
      <c r="L45" cm="1">
        <f t="array" ref="L45">INDEX($A$6:$X$41, COLUMN(L1), ROW(L1))</f>
        <v>0</v>
      </c>
      <c r="M45" cm="1">
        <f t="array" ref="M45">INDEX($A$6:$X$41, COLUMN(M1), ROW(M1))</f>
        <v>0</v>
      </c>
      <c r="N45" cm="1">
        <f t="array" ref="N45">INDEX($A$6:$X$41, COLUMN(N1), ROW(N1))</f>
        <v>0</v>
      </c>
      <c r="O45" cm="1">
        <f t="array" ref="O45">INDEX($A$6:$X$41, COLUMN(O1), ROW(O1))</f>
        <v>0</v>
      </c>
      <c r="P45" cm="1">
        <f t="array" ref="P45">INDEX($A$6:$X$41, COLUMN(P1), ROW(P1))</f>
        <v>0</v>
      </c>
      <c r="Q45" cm="1">
        <f t="array" ref="Q45">INDEX($A$6:$X$41, COLUMN(Q1), ROW(Q1))</f>
        <v>0</v>
      </c>
      <c r="R45" cm="1">
        <f t="array" ref="R45">INDEX($A$6:$X$41, COLUMN(R1), ROW(R1))</f>
        <v>0</v>
      </c>
      <c r="S45" cm="1">
        <f t="array" ref="S45">INDEX($A$6:$X$41, COLUMN(S1), ROW(S1))</f>
        <v>0</v>
      </c>
      <c r="T45" t="str" cm="1">
        <f t="array" ref="T45">INDEX($A$6:$X$41, COLUMN(T1), ROW(T1))</f>
        <v>50% replacement</v>
      </c>
      <c r="U45" t="str" cm="1">
        <f t="array" ref="U45">INDEX($A$6:$X$41, COLUMN(U1), ROW(U1))</f>
        <v>yearly</v>
      </c>
      <c r="V45" cm="1">
        <f t="array" ref="V45">INDEX($A$6:$X$41, COLUMN(V1), ROW(V1))</f>
        <v>2025</v>
      </c>
      <c r="W45" cm="1">
        <f t="array" ref="W45">INDEX($A$6:$X$41, COLUMN(W1), ROW(W1))</f>
        <v>0</v>
      </c>
      <c r="X45" cm="1">
        <f t="array" ref="X45">INDEX($A$6:$X$41, COLUMN(X1), ROW(X1))</f>
        <v>0</v>
      </c>
      <c r="Y45" cm="1">
        <f t="array" ref="Y45">INDEX($A$6:$X$41, COLUMN(Y1), ROW(Y1))</f>
        <v>0</v>
      </c>
      <c r="Z45" cm="1">
        <f t="array" ref="Z45">INDEX($A$6:$X$41, COLUMN(Z1), ROW(Z1))</f>
        <v>0</v>
      </c>
      <c r="AA45" cm="1">
        <f t="array" ref="AA45">INDEX($A$6:$X$41, COLUMN(AA1), ROW(AA1))</f>
        <v>0</v>
      </c>
      <c r="AB45" cm="1">
        <f t="array" ref="AB45">INDEX($A$6:$X$41, COLUMN(AB1), ROW(AB1))</f>
        <v>0</v>
      </c>
      <c r="AC45" cm="1">
        <f t="array" ref="AC45">INDEX($A$6:$X$41, COLUMN(AC1), ROW(AC1))</f>
        <v>0</v>
      </c>
      <c r="AD45" cm="1">
        <f t="array" ref="AD45">INDEX($A$6:$X$41, COLUMN(AD1), ROW(AD1))</f>
        <v>2030</v>
      </c>
      <c r="AE45" cm="1">
        <f t="array" ref="AE45">INDEX($A$6:$X$41, COLUMN(AE1), ROW(AE1))</f>
        <v>0</v>
      </c>
      <c r="AF45" cm="1">
        <f t="array" ref="AF45">INDEX($A$6:$X$41, COLUMN(AF1), ROW(AF1))</f>
        <v>0</v>
      </c>
      <c r="AG45" cm="1">
        <f t="array" ref="AG45">INDEX($A$6:$X$41, COLUMN(AG1), ROW(AG1))</f>
        <v>0</v>
      </c>
      <c r="AH45" cm="1">
        <f t="array" ref="AH45">INDEX($A$6:$X$41, COLUMN(AH1), ROW(AH1))</f>
        <v>0</v>
      </c>
      <c r="AI45" cm="1">
        <f t="array" ref="AI45">INDEX($A$6:$X$41, COLUMN(AI1), ROW(AI1))</f>
        <v>0</v>
      </c>
      <c r="AJ45" cm="1">
        <f t="array" ref="AJ45">INDEX($A$6:$X$41, COLUMN(AJ1), ROW(AJ1))</f>
        <v>0</v>
      </c>
    </row>
    <row r="46" spans="1:36" x14ac:dyDescent="0.2">
      <c r="A46" cm="1">
        <f t="array" ref="A46">INDEX($A$6:$X$41, COLUMN(A2), ROW(A2))</f>
        <v>0</v>
      </c>
      <c r="B46" t="str" cm="1">
        <f t="array" ref="B46">INDEX($A$6:$X$41, COLUMN(B2), ROW(B2))</f>
        <v>PAG</v>
      </c>
      <c r="C46" t="str" cm="1">
        <f t="array" ref="C46">INDEX($A$6:$X$41, COLUMN(C2), ROW(C2))</f>
        <v>Sur</v>
      </c>
      <c r="D46" t="str" cm="1">
        <f t="array" ref="D46">INDEX($A$6:$X$41, COLUMN(D2), ROW(D2))</f>
        <v>TARC</v>
      </c>
      <c r="E46" t="str" cm="1">
        <f t="array" ref="E46">INDEX($A$6:$X$41, COLUMN(E2), ROW(E2))</f>
        <v>Polymer</v>
      </c>
      <c r="F46" t="str" cm="1">
        <f t="array" ref="F46">INDEX($A$6:$X$41, COLUMN(F2), ROW(F2))</f>
        <v>ITC</v>
      </c>
      <c r="G46" t="str" cm="1">
        <f t="array" ref="G46">INDEX($A$6:$X$41, COLUMN(G2), ROW(G2))</f>
        <v>PBO</v>
      </c>
      <c r="H46" cm="1">
        <f t="array" ref="H46">INDEX($A$6:$X$41, COLUMN(H2), ROW(H2))</f>
        <v>0</v>
      </c>
      <c r="I46" cm="1">
        <f t="array" ref="I46">INDEX($A$6:$X$41, COLUMN(I2), ROW(I2))</f>
        <v>0</v>
      </c>
      <c r="J46" t="str" cm="1">
        <f t="array" ref="J46">INDEX($A$6:$X$41, COLUMN(J2), ROW(J2))</f>
        <v>PAG</v>
      </c>
      <c r="K46" t="str" cm="1">
        <f t="array" ref="K46">INDEX($A$6:$X$41, COLUMN(K2), ROW(K2))</f>
        <v>Sur</v>
      </c>
      <c r="L46" t="str" cm="1">
        <f t="array" ref="L46">INDEX($A$6:$X$41, COLUMN(L2), ROW(L2))</f>
        <v>TARC</v>
      </c>
      <c r="M46" t="str" cm="1">
        <f t="array" ref="M46">INDEX($A$6:$X$41, COLUMN(M2), ROW(M2))</f>
        <v>Polymer</v>
      </c>
      <c r="N46" t="str" cm="1">
        <f t="array" ref="N46">INDEX($A$6:$X$41, COLUMN(N2), ROW(N2))</f>
        <v>ITC</v>
      </c>
      <c r="O46" t="str" cm="1">
        <f t="array" ref="O46">INDEX($A$6:$X$41, COLUMN(O2), ROW(O2))</f>
        <v>PBO</v>
      </c>
      <c r="P46" cm="1">
        <f t="array" ref="P46">INDEX($A$6:$X$41, COLUMN(P2), ROW(P2))</f>
        <v>0</v>
      </c>
      <c r="Q46" cm="1">
        <f t="array" ref="Q46">INDEX($A$6:$X$41, COLUMN(Q2), ROW(Q2))</f>
        <v>0</v>
      </c>
      <c r="R46" cm="1">
        <f t="array" ref="R46">INDEX($A$6:$X$41, COLUMN(R2), ROW(R2))</f>
        <v>0</v>
      </c>
      <c r="S46" cm="1">
        <f t="array" ref="S46">INDEX($A$6:$X$41, COLUMN(S2), ROW(S2))</f>
        <v>0</v>
      </c>
      <c r="T46" cm="1">
        <f t="array" ref="T46">INDEX($A$6:$X$41, COLUMN(T2), ROW(T2))</f>
        <v>0</v>
      </c>
      <c r="U46" cm="1">
        <f t="array" ref="U46">INDEX($A$6:$X$41, COLUMN(U2), ROW(U2))</f>
        <v>0</v>
      </c>
      <c r="V46" t="str" cm="1">
        <f t="array" ref="V46">INDEX($A$6:$X$41, COLUMN(V2), ROW(V2))</f>
        <v>PAG</v>
      </c>
      <c r="W46" t="str" cm="1">
        <f t="array" ref="W46">INDEX($A$6:$X$41, COLUMN(W2), ROW(W2))</f>
        <v>Sur</v>
      </c>
      <c r="X46" t="str" cm="1">
        <f t="array" ref="X46">INDEX($A$6:$X$41, COLUMN(X2), ROW(X2))</f>
        <v>TARC</v>
      </c>
      <c r="Y46" t="str" cm="1">
        <f t="array" ref="Y46">INDEX($A$6:$X$41, COLUMN(Y2), ROW(Y2))</f>
        <v>Polymer</v>
      </c>
      <c r="Z46" t="str" cm="1">
        <f t="array" ref="Z46">INDEX($A$6:$X$41, COLUMN(Z2), ROW(Z2))</f>
        <v>ITC</v>
      </c>
      <c r="AA46" t="str" cm="1">
        <f t="array" ref="AA46">INDEX($A$6:$X$41, COLUMN(AA2), ROW(AA2))</f>
        <v>PBO</v>
      </c>
      <c r="AB46" cm="1">
        <f t="array" ref="AB46">INDEX($A$6:$X$41, COLUMN(AB2), ROW(AB2))</f>
        <v>0</v>
      </c>
      <c r="AC46" cm="1">
        <f t="array" ref="AC46">INDEX($A$6:$X$41, COLUMN(AC2), ROW(AC2))</f>
        <v>0</v>
      </c>
      <c r="AD46" t="str" cm="1">
        <f t="array" ref="AD46">INDEX($A$6:$X$41, COLUMN(AD2), ROW(AD2))</f>
        <v>PAG</v>
      </c>
      <c r="AE46" t="str" cm="1">
        <f t="array" ref="AE46">INDEX($A$6:$X$41, COLUMN(AE2), ROW(AE2))</f>
        <v>Sur</v>
      </c>
      <c r="AF46" t="str" cm="1">
        <f t="array" ref="AF46">INDEX($A$6:$X$41, COLUMN(AF2), ROW(AF2))</f>
        <v>TARC</v>
      </c>
      <c r="AG46" t="str" cm="1">
        <f t="array" ref="AG46">INDEX($A$6:$X$41, COLUMN(AG2), ROW(AG2))</f>
        <v>Polymer</v>
      </c>
      <c r="AH46" t="str" cm="1">
        <f t="array" ref="AH46">INDEX($A$6:$X$41, COLUMN(AH2), ROW(AH2))</f>
        <v>ITC</v>
      </c>
      <c r="AI46" t="str" cm="1">
        <f t="array" ref="AI46">INDEX($A$6:$X$41, COLUMN(AI2), ROW(AI2))</f>
        <v>PBO</v>
      </c>
      <c r="AJ46" cm="1">
        <f t="array" ref="AJ46">INDEX($A$6:$X$41, COLUMN(AJ2), ROW(AJ2))</f>
        <v>0</v>
      </c>
    </row>
    <row r="47" spans="1:36" x14ac:dyDescent="0.2">
      <c r="A47" t="str" cm="1">
        <f t="array" ref="A47">INDEX($A$6:$X$41, COLUMN(A3), ROW(A3))</f>
        <v>CC</v>
      </c>
      <c r="B47" cm="1">
        <f t="array" ref="B47">INDEX($A$6:$X$41, COLUMN(B3), ROW(B3))</f>
        <v>0</v>
      </c>
      <c r="C47" cm="1">
        <f t="array" ref="C47">INDEX($A$6:$X$41, COLUMN(C3), ROW(C3))</f>
        <v>252537.13817652737</v>
      </c>
      <c r="D47" cm="1">
        <f t="array" ref="D47">INDEX($A$6:$X$41, COLUMN(D3), ROW(D3))</f>
        <v>13189363.89541813</v>
      </c>
      <c r="E47" cm="1">
        <f t="array" ref="E47">INDEX($A$6:$X$41, COLUMN(E3), ROW(E3))</f>
        <v>287690.11763402505</v>
      </c>
      <c r="F47" cm="1">
        <f t="array" ref="F47">INDEX($A$6:$X$41, COLUMN(F3), ROW(F3))</f>
        <v>6891761.8788162526</v>
      </c>
      <c r="G47" cm="1">
        <f t="array" ref="G47">INDEX($A$6:$X$41, COLUMN(G3), ROW(G3))</f>
        <v>2561982.171139529</v>
      </c>
      <c r="H47" cm="1">
        <f t="array" ref="H47">INDEX($A$6:$X$41, COLUMN(H3), ROW(H3))</f>
        <v>23183335.201184466</v>
      </c>
      <c r="I47" cm="1">
        <f t="array" ref="I47">INDEX($A$6:$X$41, COLUMN(I3), ROW(I3))</f>
        <v>0</v>
      </c>
      <c r="J47" cm="1">
        <f t="array" ref="J47">INDEX($A$6:$X$41, COLUMN(J3), ROW(J3))</f>
        <v>0</v>
      </c>
      <c r="K47" cm="1">
        <f t="array" ref="K47">INDEX($A$6:$X$41, COLUMN(K3), ROW(K3))</f>
        <v>1628177.6763636738</v>
      </c>
      <c r="L47" cm="1">
        <f t="array" ref="L47">INDEX($A$6:$X$41, COLUMN(L3), ROW(L3))</f>
        <v>87702762.815795302</v>
      </c>
      <c r="M47" cm="1">
        <f t="array" ref="M47">INDEX($A$6:$X$41, COLUMN(M3), ROW(M3))</f>
        <v>2057938.1388015118</v>
      </c>
      <c r="N47" cm="1">
        <f t="array" ref="N47">INDEX($A$6:$X$41, COLUMN(N3), ROW(N3))</f>
        <v>45664312.828192145</v>
      </c>
      <c r="O47" cm="1">
        <f t="array" ref="O47">INDEX($A$6:$X$41, COLUMN(O3), ROW(O3))</f>
        <v>23175673.861888923</v>
      </c>
      <c r="P47" cm="1">
        <f t="array" ref="P47">INDEX($A$6:$X$41, COLUMN(P3), ROW(P3))</f>
        <v>160228865.32104155</v>
      </c>
      <c r="Q47" cm="1">
        <f t="array" ref="Q47">INDEX($A$6:$X$41, COLUMN(Q3), ROW(Q3))</f>
        <v>0</v>
      </c>
      <c r="R47" cm="1">
        <f t="array" ref="R47">INDEX($A$6:$X$41, COLUMN(R3), ROW(R3))</f>
        <v>0</v>
      </c>
      <c r="S47" cm="1">
        <f t="array" ref="S47">INDEX($A$6:$X$41, COLUMN(S3), ROW(S3))</f>
        <v>0</v>
      </c>
      <c r="T47" cm="1">
        <f t="array" ref="T47">INDEX($A$6:$X$41, COLUMN(T3), ROW(T3))</f>
        <v>0</v>
      </c>
      <c r="U47" t="str" cm="1">
        <f t="array" ref="U47">INDEX($A$6:$X$41, COLUMN(U3), ROW(U3))</f>
        <v>CC</v>
      </c>
      <c r="V47" cm="1">
        <f t="array" ref="V47">INDEX($A$6:$X$41, COLUMN(V3), ROW(V3))</f>
        <v>2140801.0323854275</v>
      </c>
      <c r="W47" cm="1">
        <f t="array" ref="W47">INDEX($A$6:$X$41, COLUMN(W3), ROW(W3))</f>
        <v>252498.01520511933</v>
      </c>
      <c r="X47" cm="1">
        <f t="array" ref="X47">INDEX($A$6:$X$41, COLUMN(X3), ROW(X3))</f>
        <v>13187196.231573878</v>
      </c>
      <c r="Y47" cm="1">
        <f t="array" ref="Y47">INDEX($A$6:$X$41, COLUMN(Y3), ROW(Y3))</f>
        <v>287646.94195845688</v>
      </c>
      <c r="Z47" cm="1">
        <f t="array" ref="Z47">INDEX($A$6:$X$41, COLUMN(Z3), ROW(Z3))</f>
        <v>6890745.7327885581</v>
      </c>
      <c r="AA47" cm="1">
        <f t="array" ref="AA47">INDEX($A$6:$X$41, COLUMN(AA3), ROW(AA3))</f>
        <v>2561650.8855140111</v>
      </c>
      <c r="AB47" cm="1">
        <f t="array" ref="AB47">INDEX($A$6:$X$41, COLUMN(AB3), ROW(AB3))</f>
        <v>25320538.839425448</v>
      </c>
      <c r="AC47" cm="1">
        <f t="array" ref="AC47">INDEX($A$6:$X$41, COLUMN(AC3), ROW(AC3))</f>
        <v>0</v>
      </c>
      <c r="AD47" cm="1">
        <f t="array" ref="AD47">INDEX($A$6:$X$41, COLUMN(AD3), ROW(AD3))</f>
        <v>15305881.415846851</v>
      </c>
      <c r="AE47" cm="1">
        <f t="array" ref="AE47">INDEX($A$6:$X$41, COLUMN(AE3), ROW(AE3))</f>
        <v>1630231.9710123867</v>
      </c>
      <c r="AF47" cm="1">
        <f t="array" ref="AF47">INDEX($A$6:$X$41, COLUMN(AF3), ROW(AF3))</f>
        <v>87812176.835432857</v>
      </c>
      <c r="AG47" cm="1">
        <f t="array" ref="AG47">INDEX($A$6:$X$41, COLUMN(AG3), ROW(AG3))</f>
        <v>2060512.6246756902</v>
      </c>
      <c r="AH47" cm="1">
        <f t="array" ref="AH47">INDEX($A$6:$X$41, COLUMN(AH3), ROW(AH3))</f>
        <v>45721928.890121721</v>
      </c>
      <c r="AI47" cm="1">
        <f t="array" ref="AI47">INDEX($A$6:$X$41, COLUMN(AI3), ROW(AI3))</f>
        <v>23203668.253892079</v>
      </c>
      <c r="AJ47" cm="1">
        <f t="array" ref="AJ47">INDEX($A$6:$X$41, COLUMN(AJ3), ROW(AJ3))</f>
        <v>175734399.99098158</v>
      </c>
    </row>
    <row r="48" spans="1:36" x14ac:dyDescent="0.2">
      <c r="A48" t="str" cm="1">
        <f t="array" ref="A48">INDEX($A$6:$X$41, COLUMN(A4), ROW(A4))</f>
        <v>HTC</v>
      </c>
      <c r="B48" cm="1">
        <f t="array" ref="B48">INDEX($A$6:$X$41, COLUMN(B4), ROW(B4))</f>
        <v>0</v>
      </c>
      <c r="C48" cm="1">
        <f t="array" ref="C48">INDEX($A$6:$X$41, COLUMN(C4), ROW(C4))</f>
        <v>2.8651450310146591E-2</v>
      </c>
      <c r="D48" cm="1">
        <f t="array" ref="D48">INDEX($A$6:$X$41, COLUMN(D4), ROW(D4))</f>
        <v>1.469875516164183</v>
      </c>
      <c r="E48" cm="1">
        <f t="array" ref="E48">INDEX($A$6:$X$41, COLUMN(E4), ROW(E4))</f>
        <v>1.6320343419989367E-2</v>
      </c>
      <c r="F48" cm="1">
        <f t="array" ref="F48">INDEX($A$6:$X$41, COLUMN(F4), ROW(F4))</f>
        <v>0.74699374563387511</v>
      </c>
      <c r="G48" cm="1">
        <f t="array" ref="G48">INDEX($A$6:$X$41, COLUMN(G4), ROW(G4))</f>
        <v>0.14046357832440137</v>
      </c>
      <c r="H48" cm="1">
        <f t="array" ref="H48">INDEX($A$6:$X$41, COLUMN(H4), ROW(H4))</f>
        <v>2.4023046338525953</v>
      </c>
      <c r="I48" cm="1">
        <f t="array" ref="I48">INDEX($A$6:$X$41, COLUMN(I4), ROW(I4))</f>
        <v>0</v>
      </c>
      <c r="J48" cm="1">
        <f t="array" ref="J48">INDEX($A$6:$X$41, COLUMN(J4), ROW(J4))</f>
        <v>0</v>
      </c>
      <c r="K48" cm="1">
        <f t="array" ref="K48">INDEX($A$6:$X$41, COLUMN(K4), ROW(K4))</f>
        <v>0.16902066525637316</v>
      </c>
      <c r="L48" cm="1">
        <f t="array" ref="L48">INDEX($A$6:$X$41, COLUMN(L4), ROW(L4))</f>
        <v>8.926774491354994</v>
      </c>
      <c r="M48" cm="1">
        <f t="array" ref="M48">INDEX($A$6:$X$41, COLUMN(M4), ROW(M4))</f>
        <v>0.10786595605724883</v>
      </c>
      <c r="N48" cm="1">
        <f t="array" ref="N48">INDEX($A$6:$X$41, COLUMN(N4), ROW(N4))</f>
        <v>4.5099384060257428</v>
      </c>
      <c r="O48" cm="1">
        <f t="array" ref="O48">INDEX($A$6:$X$41, COLUMN(O4), ROW(O4))</f>
        <v>1.1774054164820893</v>
      </c>
      <c r="P48" cm="1">
        <f t="array" ref="P48">INDEX($A$6:$X$41, COLUMN(P4), ROW(P4))</f>
        <v>14.891004935176449</v>
      </c>
      <c r="Q48" cm="1">
        <f t="array" ref="Q48">INDEX($A$6:$X$41, COLUMN(Q4), ROW(Q4))</f>
        <v>0</v>
      </c>
      <c r="R48" cm="1">
        <f t="array" ref="R48">INDEX($A$6:$X$41, COLUMN(R4), ROW(R4))</f>
        <v>0</v>
      </c>
      <c r="S48" cm="1">
        <f t="array" ref="S48">INDEX($A$6:$X$41, COLUMN(S4), ROW(S4))</f>
        <v>0</v>
      </c>
      <c r="T48" cm="1">
        <f t="array" ref="T48">INDEX($A$6:$X$41, COLUMN(T4), ROW(T4))</f>
        <v>0</v>
      </c>
      <c r="U48" t="str" cm="1">
        <f t="array" ref="U48">INDEX($A$6:$X$41, COLUMN(U4), ROW(U4))</f>
        <v>HTC</v>
      </c>
      <c r="V48" cm="1">
        <f t="array" ref="V48">INDEX($A$6:$X$41, COLUMN(V4), ROW(V4))</f>
        <v>0.12379898866099599</v>
      </c>
      <c r="W48" cm="1">
        <f t="array" ref="W48">INDEX($A$6:$X$41, COLUMN(W4), ROW(W4))</f>
        <v>2.8646903929004035E-2</v>
      </c>
      <c r="X48" cm="1">
        <f t="array" ref="X48">INDEX($A$6:$X$41, COLUMN(X4), ROW(X4))</f>
        <v>1.4696282727954535</v>
      </c>
      <c r="Y48" cm="1">
        <f t="array" ref="Y48">INDEX($A$6:$X$41, COLUMN(Y4), ROW(Y4))</f>
        <v>1.6317833213624303E-2</v>
      </c>
      <c r="Z48" cm="1">
        <f t="array" ref="Z48">INDEX($A$6:$X$41, COLUMN(Z4), ROW(Z4))</f>
        <v>0.74688065097997536</v>
      </c>
      <c r="AA48" cm="1">
        <f t="array" ref="AA48">INDEX($A$6:$X$41, COLUMN(AA4), ROW(AA4))</f>
        <v>0.14044491265882555</v>
      </c>
      <c r="AB48" cm="1">
        <f t="array" ref="AB48">INDEX($A$6:$X$41, COLUMN(AB4), ROW(AB4))</f>
        <v>2.5257175622378787</v>
      </c>
      <c r="AC48" cm="1">
        <f t="array" ref="AC48">INDEX($A$6:$X$41, COLUMN(AC4), ROW(AC4))</f>
        <v>0</v>
      </c>
      <c r="AD48" cm="1">
        <f t="array" ref="AD48">INDEX($A$6:$X$41, COLUMN(AD4), ROW(AD4))</f>
        <v>0.81601938835882182</v>
      </c>
      <c r="AE48" cm="1">
        <f t="array" ref="AE48">INDEX($A$6:$X$41, COLUMN(AE4), ROW(AE4))</f>
        <v>0.16923562520537042</v>
      </c>
      <c r="AF48" cm="1">
        <f t="array" ref="AF48">INDEX($A$6:$X$41, COLUMN(AF4), ROW(AF4))</f>
        <v>8.9380024248796097</v>
      </c>
      <c r="AG48" cm="1">
        <f t="array" ref="AG48">INDEX($A$6:$X$41, COLUMN(AG4), ROW(AG4))</f>
        <v>0.10800176509444262</v>
      </c>
      <c r="AH48" cm="1">
        <f t="array" ref="AH48">INDEX($A$6:$X$41, COLUMN(AH4), ROW(AH4))</f>
        <v>4.5156760094163495</v>
      </c>
      <c r="AI48" cm="1">
        <f t="array" ref="AI48">INDEX($A$6:$X$41, COLUMN(AI4), ROW(AI4))</f>
        <v>1.1788366510969084</v>
      </c>
      <c r="AJ48" cm="1">
        <f t="array" ref="AJ48">INDEX($A$6:$X$41, COLUMN(AJ4), ROW(AJ4))</f>
        <v>15.725771864051502</v>
      </c>
    </row>
    <row r="49" spans="1:36" x14ac:dyDescent="0.2">
      <c r="A49" t="str" cm="1">
        <f t="array" ref="A49">INDEX($A$6:$X$41, COLUMN(A5), ROW(A5))</f>
        <v>CED</v>
      </c>
      <c r="B49" cm="1">
        <f t="array" ref="B49">INDEX($A$6:$X$41, COLUMN(B5), ROW(B5))</f>
        <v>0</v>
      </c>
      <c r="C49" cm="1">
        <f t="array" ref="C49">INDEX($A$6:$X$41, COLUMN(C5), ROW(C5))</f>
        <v>2630508.7579015647</v>
      </c>
      <c r="D49" cm="1">
        <f t="array" ref="D49">INDEX($A$6:$X$41, COLUMN(D5), ROW(D5))</f>
        <v>135870349.78967845</v>
      </c>
      <c r="E49" cm="1">
        <f t="array" ref="E49">INDEX($A$6:$X$41, COLUMN(E5), ROW(E5))</f>
        <v>2061404.0238773595</v>
      </c>
      <c r="F49" cm="1">
        <f t="array" ref="F49">INDEX($A$6:$X$41, COLUMN(F5), ROW(F5))</f>
        <v>69804545.643538386</v>
      </c>
      <c r="G49" cm="1">
        <f t="array" ref="G49">INDEX($A$6:$X$41, COLUMN(G5), ROW(G5))</f>
        <v>18112890.14905766</v>
      </c>
      <c r="H49" cm="1">
        <f t="array" ref="H49">INDEX($A$6:$X$41, COLUMN(H5), ROW(H5))</f>
        <v>228479698.36405343</v>
      </c>
      <c r="I49" cm="1">
        <f t="array" ref="I49">INDEX($A$6:$X$41, COLUMN(I5), ROW(I5))</f>
        <v>0</v>
      </c>
      <c r="J49" cm="1">
        <f t="array" ref="J49">INDEX($A$6:$X$41, COLUMN(J5), ROW(J5))</f>
        <v>0</v>
      </c>
      <c r="K49" cm="1">
        <f t="array" ref="K49">INDEX($A$6:$X$41, COLUMN(K5), ROW(K5))</f>
        <v>16824575.343616102</v>
      </c>
      <c r="L49" cm="1">
        <f t="array" ref="L49">INDEX($A$6:$X$41, COLUMN(L5), ROW(L5))</f>
        <v>895256046.56760335</v>
      </c>
      <c r="M49" cm="1">
        <f t="array" ref="M49">INDEX($A$6:$X$41, COLUMN(M5), ROW(M5))</f>
        <v>14653961.017842244</v>
      </c>
      <c r="N49" cm="1">
        <f t="array" ref="N49">INDEX($A$6:$X$41, COLUMN(N5), ROW(N5))</f>
        <v>457600580.48965275</v>
      </c>
      <c r="O49" cm="1">
        <f t="array" ref="O49">INDEX($A$6:$X$41, COLUMN(O5), ROW(O5))</f>
        <v>163048881.29372388</v>
      </c>
      <c r="P49" cm="1">
        <f t="array" ref="P49">INDEX($A$6:$X$41, COLUMN(P5), ROW(P5))</f>
        <v>1547384044.7124383</v>
      </c>
      <c r="Q49" cm="1">
        <f t="array" ref="Q49">INDEX($A$6:$X$41, COLUMN(Q5), ROW(Q5))</f>
        <v>0</v>
      </c>
      <c r="R49" cm="1">
        <f t="array" ref="R49">INDEX($A$6:$X$41, COLUMN(R5), ROW(R5))</f>
        <v>0</v>
      </c>
      <c r="S49" cm="1">
        <f t="array" ref="S49">INDEX($A$6:$X$41, COLUMN(S5), ROW(S5))</f>
        <v>0</v>
      </c>
      <c r="T49" cm="1">
        <f t="array" ref="T49">INDEX($A$6:$X$41, COLUMN(T5), ROW(T5))</f>
        <v>0</v>
      </c>
      <c r="U49" t="str" cm="1">
        <f t="array" ref="U49">INDEX($A$6:$X$41, COLUMN(U5), ROW(U5))</f>
        <v>CED</v>
      </c>
      <c r="V49" cm="1">
        <f t="array" ref="V49">INDEX($A$6:$X$41, COLUMN(V5), ROW(V5))</f>
        <v>15474831.608139802</v>
      </c>
      <c r="W49" cm="1">
        <f t="array" ref="W49">INDEX($A$6:$X$41, COLUMN(W5), ROW(W5))</f>
        <v>2630100.3140285881</v>
      </c>
      <c r="X49" cm="1">
        <f t="array" ref="X49">INDEX($A$6:$X$41, COLUMN(X5), ROW(X5))</f>
        <v>135847964.59892809</v>
      </c>
      <c r="Y49" cm="1">
        <f t="array" ref="Y49">INDEX($A$6:$X$41, COLUMN(Y5), ROW(Y5))</f>
        <v>2061094.024084687</v>
      </c>
      <c r="Z49" cm="1">
        <f t="array" ref="Z49">INDEX($A$6:$X$41, COLUMN(Z5), ROW(Z5))</f>
        <v>69794220.340805531</v>
      </c>
      <c r="AA49" cm="1">
        <f t="array" ref="AA49">INDEX($A$6:$X$41, COLUMN(AA5), ROW(AA5))</f>
        <v>18110543.687934432</v>
      </c>
      <c r="AB49" cm="1">
        <f t="array" ref="AB49">INDEX($A$6:$X$41, COLUMN(AB5), ROW(AB5))</f>
        <v>243918754.57392111</v>
      </c>
      <c r="AC49" cm="1">
        <f t="array" ref="AC49">INDEX($A$6:$X$41, COLUMN(AC5), ROW(AC5))</f>
        <v>0</v>
      </c>
      <c r="AD49" cm="1">
        <f t="array" ref="AD49">INDEX($A$6:$X$41, COLUMN(AD5), ROW(AD5))</f>
        <v>109851336.37242991</v>
      </c>
      <c r="AE49" cm="1">
        <f t="array" ref="AE49">INDEX($A$6:$X$41, COLUMN(AE5), ROW(AE5))</f>
        <v>16845817.803205181</v>
      </c>
      <c r="AF49" cm="1">
        <f t="array" ref="AF49">INDEX($A$6:$X$41, COLUMN(AF5), ROW(AF5))</f>
        <v>896373812.94071996</v>
      </c>
      <c r="AG49" cm="1">
        <f t="array" ref="AG49">INDEX($A$6:$X$41, COLUMN(AG5), ROW(AG5))</f>
        <v>14672302.150816472</v>
      </c>
      <c r="AH49" cm="1">
        <f t="array" ref="AH49">INDEX($A$6:$X$41, COLUMN(AH5), ROW(AH5))</f>
        <v>458178478.20341641</v>
      </c>
      <c r="AI49" cm="1">
        <f t="array" ref="AI49">INDEX($A$6:$X$41, COLUMN(AI5), ROW(AI5))</f>
        <v>163245908.95813599</v>
      </c>
      <c r="AJ49" cm="1">
        <f t="array" ref="AJ49">INDEX($A$6:$X$41, COLUMN(AJ5), ROW(AJ5))</f>
        <v>1659167656.4287241</v>
      </c>
    </row>
    <row r="50" spans="1:36" x14ac:dyDescent="0.2">
      <c r="A50" cm="1">
        <f t="array" ref="A50">INDEX($A$6:$X$41, COLUMN(A6), ROW(A6))</f>
        <v>0</v>
      </c>
      <c r="B50" cm="1">
        <f t="array" ref="B50">INDEX($A$6:$X$41, COLUMN(B6), ROW(B6))</f>
        <v>0</v>
      </c>
      <c r="C50" cm="1">
        <f t="array" ref="C50">INDEX($A$6:$X$41, COLUMN(C6), ROW(C6))</f>
        <v>0</v>
      </c>
      <c r="D50" cm="1">
        <f t="array" ref="D50">INDEX($A$6:$X$41, COLUMN(D6), ROW(D6))</f>
        <v>0</v>
      </c>
      <c r="E50" cm="1">
        <f t="array" ref="E50">INDEX($A$6:$X$41, COLUMN(E6), ROW(E6))</f>
        <v>0</v>
      </c>
      <c r="F50" cm="1">
        <f t="array" ref="F50">INDEX($A$6:$X$41, COLUMN(F6), ROW(F6))</f>
        <v>0</v>
      </c>
      <c r="G50" cm="1">
        <f t="array" ref="G50">INDEX($A$6:$X$41, COLUMN(G6), ROW(G6))</f>
        <v>0</v>
      </c>
      <c r="H50" cm="1">
        <f t="array" ref="H50">INDEX($A$6:$X$41, COLUMN(H6), ROW(H6))</f>
        <v>0</v>
      </c>
      <c r="I50" cm="1">
        <f t="array" ref="I50">INDEX($A$6:$X$41, COLUMN(I6), ROW(I6))</f>
        <v>0</v>
      </c>
      <c r="J50" cm="1">
        <f t="array" ref="J50">INDEX($A$6:$X$41, COLUMN(J6), ROW(J6))</f>
        <v>0</v>
      </c>
      <c r="K50" cm="1">
        <f t="array" ref="K50">INDEX($A$6:$X$41, COLUMN(K6), ROW(K6))</f>
        <v>0</v>
      </c>
      <c r="L50" cm="1">
        <f t="array" ref="L50">INDEX($A$6:$X$41, COLUMN(L6), ROW(L6))</f>
        <v>0</v>
      </c>
      <c r="M50" cm="1">
        <f t="array" ref="M50">INDEX($A$6:$X$41, COLUMN(M6), ROW(M6))</f>
        <v>0</v>
      </c>
      <c r="N50" cm="1">
        <f t="array" ref="N50">INDEX($A$6:$X$41, COLUMN(N6), ROW(N6))</f>
        <v>0</v>
      </c>
      <c r="O50" cm="1">
        <f t="array" ref="O50">INDEX($A$6:$X$41, COLUMN(O6), ROW(O6))</f>
        <v>0</v>
      </c>
      <c r="P50" cm="1">
        <f t="array" ref="P50">INDEX($A$6:$X$41, COLUMN(P6), ROW(P6))</f>
        <v>0</v>
      </c>
      <c r="Q50" cm="1">
        <f t="array" ref="Q50">INDEX($A$6:$X$41, COLUMN(Q6), ROW(Q6))</f>
        <v>0</v>
      </c>
      <c r="R50" cm="1">
        <f t="array" ref="R50">INDEX($A$6:$X$41, COLUMN(R6), ROW(R6))</f>
        <v>0</v>
      </c>
      <c r="S50" cm="1">
        <f t="array" ref="S50">INDEX($A$6:$X$41, COLUMN(S6), ROW(S6))</f>
        <v>0</v>
      </c>
      <c r="T50" cm="1">
        <f t="array" ref="T50">INDEX($A$6:$X$41, COLUMN(T6), ROW(T6))</f>
        <v>0</v>
      </c>
      <c r="U50" cm="1">
        <f t="array" ref="U50">INDEX($A$6:$X$41, COLUMN(U6), ROW(U6))</f>
        <v>0</v>
      </c>
      <c r="V50" cm="1">
        <f t="array" ref="V50">INDEX($A$6:$X$41, COLUMN(V6), ROW(V6))</f>
        <v>0</v>
      </c>
      <c r="W50" cm="1">
        <f t="array" ref="W50">INDEX($A$6:$X$41, COLUMN(W6), ROW(W6))</f>
        <v>0</v>
      </c>
      <c r="X50" cm="1">
        <f t="array" ref="X50">INDEX($A$6:$X$41, COLUMN(X6), ROW(X6))</f>
        <v>0</v>
      </c>
      <c r="Y50" cm="1">
        <f t="array" ref="Y50">INDEX($A$6:$X$41, COLUMN(Y6), ROW(Y6))</f>
        <v>0</v>
      </c>
      <c r="Z50" cm="1">
        <f t="array" ref="Z50">INDEX($A$6:$X$41, COLUMN(Z6), ROW(Z6))</f>
        <v>0</v>
      </c>
      <c r="AA50" cm="1">
        <f t="array" ref="AA50">INDEX($A$6:$X$41, COLUMN(AA6), ROW(AA6))</f>
        <v>0</v>
      </c>
      <c r="AB50" cm="1">
        <f t="array" ref="AB50">INDEX($A$6:$X$41, COLUMN(AB6), ROW(AB6))</f>
        <v>0</v>
      </c>
      <c r="AC50" cm="1">
        <f t="array" ref="AC50">INDEX($A$6:$X$41, COLUMN(AC6), ROW(AC6))</f>
        <v>0</v>
      </c>
      <c r="AD50" cm="1">
        <f t="array" ref="AD50">INDEX($A$6:$X$41, COLUMN(AD6), ROW(AD6))</f>
        <v>0</v>
      </c>
      <c r="AE50" cm="1">
        <f t="array" ref="AE50">INDEX($A$6:$X$41, COLUMN(AE6), ROW(AE6))</f>
        <v>0</v>
      </c>
      <c r="AF50" cm="1">
        <f t="array" ref="AF50">INDEX($A$6:$X$41, COLUMN(AF6), ROW(AF6))</f>
        <v>0</v>
      </c>
      <c r="AG50" cm="1">
        <f t="array" ref="AG50">INDEX($A$6:$X$41, COLUMN(AG6), ROW(AG6))</f>
        <v>0</v>
      </c>
      <c r="AH50" cm="1">
        <f t="array" ref="AH50">INDEX($A$6:$X$41, COLUMN(AH6), ROW(AH6))</f>
        <v>0</v>
      </c>
      <c r="AI50" cm="1">
        <f t="array" ref="AI50">INDEX($A$6:$X$41, COLUMN(AI6), ROW(AI6))</f>
        <v>0</v>
      </c>
      <c r="AJ50" cm="1">
        <f t="array" ref="AJ50">INDEX($A$6:$X$41, COLUMN(AJ6), ROW(AJ6))</f>
        <v>0</v>
      </c>
    </row>
    <row r="51" spans="1:36" x14ac:dyDescent="0.2">
      <c r="A51" t="str" cm="1">
        <f t="array" ref="A51">INDEX($A$6:$X$41, COLUMN(A7), ROW(A7))</f>
        <v>Usage amount ton</v>
      </c>
      <c r="B51" cm="1">
        <f t="array" ref="B51">INDEX($A$6:$X$41, COLUMN(B7), ROW(B7))</f>
        <v>0</v>
      </c>
      <c r="C51" cm="1">
        <f t="array" ref="C51">INDEX($A$6:$X$41, COLUMN(C7), ROW(C7))</f>
        <v>18.675883076269283</v>
      </c>
      <c r="D51" cm="1">
        <f t="array" ref="D51">INDEX($A$6:$X$41, COLUMN(D7), ROW(D7))</f>
        <v>1028.0208422367455</v>
      </c>
      <c r="E51" cm="1">
        <f t="array" ref="E51">INDEX($A$6:$X$41, COLUMN(E7), ROW(E7))</f>
        <v>53.907243290017455</v>
      </c>
      <c r="F51" cm="1">
        <f t="array" ref="F51">INDEX($A$6:$X$41, COLUMN(F7), ROW(F7))</f>
        <v>578.539423277894</v>
      </c>
      <c r="G51" cm="1">
        <f t="array" ref="G51">INDEX($A$6:$X$41, COLUMN(G7), ROW(G7))</f>
        <v>521.70404251919263</v>
      </c>
      <c r="H51" cm="1">
        <f t="array" ref="H51">INDEX($A$6:$X$41, COLUMN(H7), ROW(H7))</f>
        <v>2200.8474344001188</v>
      </c>
      <c r="I51" cm="1">
        <f t="array" ref="I51">INDEX($A$6:$X$41, COLUMN(I7), ROW(I7))</f>
        <v>0</v>
      </c>
      <c r="J51" cm="1">
        <f t="array" ref="J51">INDEX($A$6:$X$41, COLUMN(J7), ROW(J7))</f>
        <v>0</v>
      </c>
      <c r="K51" cm="1">
        <f t="array" ref="K51">INDEX($A$6:$X$41, COLUMN(K7), ROW(K7))</f>
        <v>137.22872902172634</v>
      </c>
      <c r="L51" cm="1">
        <f t="array" ref="L51">INDEX($A$6:$X$41, COLUMN(L7), ROW(L7))</f>
        <v>7761.644014286856</v>
      </c>
      <c r="M51" cm="1">
        <f t="array" ref="M51">INDEX($A$6:$X$41, COLUMN(M7), ROW(M7))</f>
        <v>396.10563267843281</v>
      </c>
      <c r="N51" cm="1">
        <f t="array" ref="N51">INDEX($A$6:$X$41, COLUMN(N7), ROW(N7))</f>
        <v>4326.6797023588733</v>
      </c>
      <c r="O51" cm="1">
        <f t="array" ref="O51">INDEX($A$6:$X$41, COLUMN(O7), ROW(O7))</f>
        <v>4833.3514231749086</v>
      </c>
      <c r="P51" cm="1">
        <f t="array" ref="P51">INDEX($A$6:$X$41, COLUMN(P7), ROW(P7))</f>
        <v>17455.009501520799</v>
      </c>
      <c r="Q51" cm="1">
        <f t="array" ref="Q51">INDEX($A$6:$X$41, COLUMN(Q7), ROW(Q7))</f>
        <v>0</v>
      </c>
      <c r="R51" cm="1">
        <f t="array" ref="R51">INDEX($A$6:$X$41, COLUMN(R7), ROW(R7))</f>
        <v>0</v>
      </c>
      <c r="S51" cm="1">
        <f t="array" ref="S51">INDEX($A$6:$X$41, COLUMN(S7), ROW(S7))</f>
        <v>0</v>
      </c>
      <c r="T51" cm="1">
        <f t="array" ref="T51">INDEX($A$6:$X$41, COLUMN(T7), ROW(T7))</f>
        <v>0</v>
      </c>
      <c r="U51" cm="1">
        <f t="array" ref="U51">INDEX($A$6:$X$41, COLUMN(U7), ROW(U7))</f>
        <v>0</v>
      </c>
      <c r="V51" cm="1">
        <f t="array" ref="V51">INDEX($A$6:$X$41, COLUMN(V7), ROW(V7))</f>
        <v>396.59746462837342</v>
      </c>
      <c r="W51" cm="1">
        <f t="array" ref="W51">INDEX($A$6:$X$41, COLUMN(W7), ROW(W7))</f>
        <v>18.675883076269283</v>
      </c>
      <c r="X51" cm="1">
        <f t="array" ref="X51">INDEX($A$6:$X$41, COLUMN(X7), ROW(X7))</f>
        <v>1028.0208422367455</v>
      </c>
      <c r="Y51" cm="1">
        <f t="array" ref="Y51">INDEX($A$6:$X$41, COLUMN(Y7), ROW(Y7))</f>
        <v>53.907243290017455</v>
      </c>
      <c r="Z51" cm="1">
        <f t="array" ref="Z51">INDEX($A$6:$X$41, COLUMN(Z7), ROW(Z7))</f>
        <v>578.539423277894</v>
      </c>
      <c r="AA51" cm="1">
        <f t="array" ref="AA51">INDEX($A$6:$X$41, COLUMN(AA7), ROW(AA7))</f>
        <v>521.70404251919263</v>
      </c>
      <c r="AB51" cm="1">
        <f t="array" ref="AB51">INDEX($A$6:$X$41, COLUMN(AB7), ROW(AB7))</f>
        <v>2597.4448990284923</v>
      </c>
      <c r="AC51" cm="1">
        <f t="array" ref="AC51">INDEX($A$6:$X$41, COLUMN(AC7), ROW(AC7))</f>
        <v>0</v>
      </c>
      <c r="AD51" cm="1">
        <f t="array" ref="AD51">INDEX($A$6:$X$41, COLUMN(AD7), ROW(AD7))</f>
        <v>2914.1629224133412</v>
      </c>
      <c r="AE51" cm="1">
        <f t="array" ref="AE51">INDEX($A$6:$X$41, COLUMN(AE7), ROW(AE7))</f>
        <v>137.22872902172634</v>
      </c>
      <c r="AF51" cm="1">
        <f t="array" ref="AF51">INDEX($A$6:$X$41, COLUMN(AF7), ROW(AF7))</f>
        <v>7761.644014286856</v>
      </c>
      <c r="AG51" cm="1">
        <f t="array" ref="AG51">INDEX($A$6:$X$41, COLUMN(AG7), ROW(AG7))</f>
        <v>396.10563267843281</v>
      </c>
      <c r="AH51" cm="1">
        <f t="array" ref="AH51">INDEX($A$6:$X$41, COLUMN(AH7), ROW(AH7))</f>
        <v>4326.6797023588733</v>
      </c>
      <c r="AI51" cm="1">
        <f t="array" ref="AI51">INDEX($A$6:$X$41, COLUMN(AI7), ROW(AI7))</f>
        <v>4833.3514231749086</v>
      </c>
      <c r="AJ51" cm="1">
        <f t="array" ref="AJ51">INDEX($A$6:$X$41, COLUMN(AJ7), ROW(AJ7))</f>
        <v>20369.172423934138</v>
      </c>
    </row>
    <row r="52" spans="1:36" x14ac:dyDescent="0.2">
      <c r="A52" cm="1">
        <f t="array" ref="A52">INDEX($A$6:$X$41, COLUMN(A8), ROW(A8))</f>
        <v>0</v>
      </c>
      <c r="B52" cm="1">
        <f t="array" ref="B52">INDEX($A$6:$X$41, COLUMN(B8), ROW(B8))</f>
        <v>0</v>
      </c>
      <c r="C52" cm="1">
        <f t="array" ref="C52">INDEX($A$6:$X$41, COLUMN(C8), ROW(C8))</f>
        <v>0</v>
      </c>
      <c r="D52" cm="1">
        <f t="array" ref="D52">INDEX($A$6:$X$41, COLUMN(D8), ROW(D8))</f>
        <v>0</v>
      </c>
      <c r="E52" cm="1">
        <f t="array" ref="E52">INDEX($A$6:$X$41, COLUMN(E8), ROW(E8))</f>
        <v>0</v>
      </c>
      <c r="F52" cm="1">
        <f t="array" ref="F52">INDEX($A$6:$X$41, COLUMN(F8), ROW(F8))</f>
        <v>0</v>
      </c>
      <c r="G52" cm="1">
        <f t="array" ref="G52">INDEX($A$6:$X$41, COLUMN(G8), ROW(G8))</f>
        <v>0</v>
      </c>
      <c r="H52" cm="1">
        <f t="array" ref="H52">INDEX($A$6:$X$41, COLUMN(H8), ROW(H8))</f>
        <v>0</v>
      </c>
      <c r="I52" cm="1">
        <f t="array" ref="I52">INDEX($A$6:$X$41, COLUMN(I8), ROW(I8))</f>
        <v>0</v>
      </c>
      <c r="J52" cm="1">
        <f t="array" ref="J52">INDEX($A$6:$X$41, COLUMN(J8), ROW(J8))</f>
        <v>0</v>
      </c>
      <c r="K52" cm="1">
        <f t="array" ref="K52">INDEX($A$6:$X$41, COLUMN(K8), ROW(K8))</f>
        <v>0</v>
      </c>
      <c r="L52" cm="1">
        <f t="array" ref="L52">INDEX($A$6:$X$41, COLUMN(L8), ROW(L8))</f>
        <v>0</v>
      </c>
      <c r="M52" cm="1">
        <f t="array" ref="M52">INDEX($A$6:$X$41, COLUMN(M8), ROW(M8))</f>
        <v>0</v>
      </c>
      <c r="N52" cm="1">
        <f t="array" ref="N52">INDEX($A$6:$X$41, COLUMN(N8), ROW(N8))</f>
        <v>0</v>
      </c>
      <c r="O52" cm="1">
        <f t="array" ref="O52">INDEX($A$6:$X$41, COLUMN(O8), ROW(O8))</f>
        <v>0</v>
      </c>
      <c r="P52" cm="1">
        <f t="array" ref="P52">INDEX($A$6:$X$41, COLUMN(P8), ROW(P8))</f>
        <v>0</v>
      </c>
      <c r="Q52" cm="1">
        <f t="array" ref="Q52">INDEX($A$6:$X$41, COLUMN(Q8), ROW(Q8))</f>
        <v>0</v>
      </c>
      <c r="R52" cm="1">
        <f t="array" ref="R52">INDEX($A$6:$X$41, COLUMN(R8), ROW(R8))</f>
        <v>0</v>
      </c>
      <c r="S52" cm="1">
        <f t="array" ref="S52">INDEX($A$6:$X$41, COLUMN(S8), ROW(S8))</f>
        <v>0</v>
      </c>
      <c r="T52" cm="1">
        <f t="array" ref="T52">INDEX($A$6:$X$41, COLUMN(T8), ROW(T8))</f>
        <v>0</v>
      </c>
      <c r="U52" cm="1">
        <f t="array" ref="U52">INDEX($A$6:$X$41, COLUMN(U8), ROW(U8))</f>
        <v>0</v>
      </c>
      <c r="V52" cm="1">
        <f t="array" ref="V52">INDEX($A$6:$X$41, COLUMN(V8), ROW(V8))</f>
        <v>0</v>
      </c>
      <c r="W52" cm="1">
        <f t="array" ref="W52">INDEX($A$6:$X$41, COLUMN(W8), ROW(W8))</f>
        <v>0</v>
      </c>
      <c r="X52" cm="1">
        <f t="array" ref="X52">INDEX($A$6:$X$41, COLUMN(X8), ROW(X8))</f>
        <v>0</v>
      </c>
      <c r="Y52" cm="1">
        <f t="array" ref="Y52">INDEX($A$6:$X$41, COLUMN(Y8), ROW(Y8))</f>
        <v>0</v>
      </c>
      <c r="Z52" cm="1">
        <f t="array" ref="Z52">INDEX($A$6:$X$41, COLUMN(Z8), ROW(Z8))</f>
        <v>0</v>
      </c>
      <c r="AA52" cm="1">
        <f t="array" ref="AA52">INDEX($A$6:$X$41, COLUMN(AA8), ROW(AA8))</f>
        <v>0</v>
      </c>
      <c r="AB52" cm="1">
        <f t="array" ref="AB52">INDEX($A$6:$X$41, COLUMN(AB8), ROW(AB8))</f>
        <v>0</v>
      </c>
      <c r="AC52" cm="1">
        <f t="array" ref="AC52">INDEX($A$6:$X$41, COLUMN(AC8), ROW(AC8))</f>
        <v>0</v>
      </c>
      <c r="AD52" cm="1">
        <f t="array" ref="AD52">INDEX($A$6:$X$41, COLUMN(AD8), ROW(AD8))</f>
        <v>0</v>
      </c>
      <c r="AE52" cm="1">
        <f t="array" ref="AE52">INDEX($A$6:$X$41, COLUMN(AE8), ROW(AE8))</f>
        <v>0</v>
      </c>
      <c r="AF52" cm="1">
        <f t="array" ref="AF52">INDEX($A$6:$X$41, COLUMN(AF8), ROW(AF8))</f>
        <v>0</v>
      </c>
      <c r="AG52" cm="1">
        <f t="array" ref="AG52">INDEX($A$6:$X$41, COLUMN(AG8), ROW(AG8))</f>
        <v>0</v>
      </c>
      <c r="AH52" cm="1">
        <f t="array" ref="AH52">INDEX($A$6:$X$41, COLUMN(AH8), ROW(AH8))</f>
        <v>0</v>
      </c>
      <c r="AI52" cm="1">
        <f t="array" ref="AI52">INDEX($A$6:$X$41, COLUMN(AI8), ROW(AI8))</f>
        <v>0</v>
      </c>
      <c r="AJ52" cm="1">
        <f t="array" ref="AJ52">INDEX($A$6:$X$41, COLUMN(AJ8), ROW(AJ8))</f>
        <v>0</v>
      </c>
    </row>
    <row r="53" spans="1:36" x14ac:dyDescent="0.2">
      <c r="A53" cm="1">
        <f t="array" ref="A53">INDEX($A$6:$X$41, COLUMN(A9), ROW(A9))</f>
        <v>0</v>
      </c>
      <c r="B53" cm="1">
        <f t="array" ref="B53">INDEX($A$6:$X$41, COLUMN(B9), ROW(B9))</f>
        <v>2025</v>
      </c>
      <c r="C53" cm="1">
        <f t="array" ref="C53">INDEX($A$6:$X$41, COLUMN(C9), ROW(C9))</f>
        <v>0</v>
      </c>
      <c r="D53" cm="1">
        <f t="array" ref="D53">INDEX($A$6:$X$41, COLUMN(D9), ROW(D9))</f>
        <v>0</v>
      </c>
      <c r="E53" cm="1">
        <f t="array" ref="E53">INDEX($A$6:$X$41, COLUMN(E9), ROW(E9))</f>
        <v>0</v>
      </c>
      <c r="F53" cm="1">
        <f t="array" ref="F53">INDEX($A$6:$X$41, COLUMN(F9), ROW(F9))</f>
        <v>0</v>
      </c>
      <c r="G53" cm="1">
        <f t="array" ref="G53">INDEX($A$6:$X$41, COLUMN(G9), ROW(G9))</f>
        <v>0</v>
      </c>
      <c r="H53" cm="1">
        <f t="array" ref="H53">INDEX($A$6:$X$41, COLUMN(H9), ROW(H9))</f>
        <v>2030</v>
      </c>
      <c r="I53" cm="1">
        <f t="array" ref="I53">INDEX($A$6:$X$41, COLUMN(I9), ROW(I9))</f>
        <v>0</v>
      </c>
      <c r="J53" cm="1">
        <f t="array" ref="J53">INDEX($A$6:$X$41, COLUMN(J9), ROW(J9))</f>
        <v>0</v>
      </c>
      <c r="K53" cm="1">
        <f t="array" ref="K53">INDEX($A$6:$X$41, COLUMN(K9), ROW(K9))</f>
        <v>0</v>
      </c>
      <c r="L53" cm="1">
        <f t="array" ref="L53">INDEX($A$6:$X$41, COLUMN(L9), ROW(L9))</f>
        <v>0</v>
      </c>
      <c r="M53" cm="1">
        <f t="array" ref="M53">INDEX($A$6:$X$41, COLUMN(M9), ROW(M9))</f>
        <v>0</v>
      </c>
      <c r="N53" cm="1">
        <f t="array" ref="N53">INDEX($A$6:$X$41, COLUMN(N9), ROW(N9))</f>
        <v>2025</v>
      </c>
      <c r="O53" cm="1">
        <f t="array" ref="O53">INDEX($A$6:$X$41, COLUMN(O9), ROW(O9))</f>
        <v>2030</v>
      </c>
      <c r="P53" cm="1">
        <f t="array" ref="P53">INDEX($A$6:$X$41, COLUMN(P9), ROW(P9))</f>
        <v>0</v>
      </c>
      <c r="Q53" cm="1">
        <f t="array" ref="Q53">INDEX($A$6:$X$41, COLUMN(Q9), ROW(Q9))</f>
        <v>0</v>
      </c>
      <c r="R53" cm="1">
        <f t="array" ref="R53">INDEX($A$6:$X$41, COLUMN(R9), ROW(R9))</f>
        <v>0</v>
      </c>
      <c r="S53" cm="1">
        <f t="array" ref="S53">INDEX($A$6:$X$41, COLUMN(S9), ROW(S9))</f>
        <v>0</v>
      </c>
      <c r="T53" cm="1">
        <f t="array" ref="T53">INDEX($A$6:$X$41, COLUMN(T9), ROW(T9))</f>
        <v>0</v>
      </c>
      <c r="U53" cm="1">
        <f t="array" ref="U53">INDEX($A$6:$X$41, COLUMN(U9), ROW(U9))</f>
        <v>0</v>
      </c>
      <c r="V53" cm="1">
        <f t="array" ref="V53">INDEX($A$6:$X$41, COLUMN(V9), ROW(V9))</f>
        <v>2025</v>
      </c>
      <c r="W53" cm="1">
        <f t="array" ref="W53">INDEX($A$6:$X$41, COLUMN(W9), ROW(W9))</f>
        <v>0</v>
      </c>
      <c r="X53" cm="1">
        <f t="array" ref="X53">INDEX($A$6:$X$41, COLUMN(X9), ROW(X9))</f>
        <v>0</v>
      </c>
      <c r="Y53" cm="1">
        <f t="array" ref="Y53">INDEX($A$6:$X$41, COLUMN(Y9), ROW(Y9))</f>
        <v>0</v>
      </c>
      <c r="Z53" cm="1">
        <f t="array" ref="Z53">INDEX($A$6:$X$41, COLUMN(Z9), ROW(Z9))</f>
        <v>0</v>
      </c>
      <c r="AA53" cm="1">
        <f t="array" ref="AA53">INDEX($A$6:$X$41, COLUMN(AA9), ROW(AA9))</f>
        <v>0</v>
      </c>
      <c r="AB53" cm="1">
        <f t="array" ref="AB53">INDEX($A$6:$X$41, COLUMN(AB9), ROW(AB9))</f>
        <v>2030</v>
      </c>
      <c r="AC53" cm="1">
        <f t="array" ref="AC53">INDEX($A$6:$X$41, COLUMN(AC9), ROW(AC9))</f>
        <v>0</v>
      </c>
      <c r="AD53" cm="1">
        <f t="array" ref="AD53">INDEX($A$6:$X$41, COLUMN(AD9), ROW(AD9))</f>
        <v>0</v>
      </c>
      <c r="AE53" cm="1">
        <f t="array" ref="AE53">INDEX($A$6:$X$41, COLUMN(AE9), ROW(AE9))</f>
        <v>0</v>
      </c>
      <c r="AF53" cm="1">
        <f t="array" ref="AF53">INDEX($A$6:$X$41, COLUMN(AF9), ROW(AF9))</f>
        <v>0</v>
      </c>
      <c r="AG53" cm="1">
        <f t="array" ref="AG53">INDEX($A$6:$X$41, COLUMN(AG9), ROW(AG9))</f>
        <v>0</v>
      </c>
      <c r="AH53" cm="1">
        <f t="array" ref="AH53">INDEX($A$6:$X$41, COLUMN(AH9), ROW(AH9))</f>
        <v>2025</v>
      </c>
      <c r="AI53" cm="1">
        <f t="array" ref="AI53">INDEX($A$6:$X$41, COLUMN(AI9), ROW(AI9))</f>
        <v>2030</v>
      </c>
      <c r="AJ53" cm="1">
        <f t="array" ref="AJ53">INDEX($A$6:$X$41, COLUMN(AJ9), ROW(AJ9))</f>
        <v>0</v>
      </c>
    </row>
    <row r="54" spans="1:36" x14ac:dyDescent="0.2">
      <c r="A54" cm="1">
        <f t="array" ref="A54">INDEX($A$6:$X$41, COLUMN(A10), ROW(A10))</f>
        <v>0</v>
      </c>
      <c r="B54" t="str" cm="1">
        <f t="array" ref="B54">INDEX($A$6:$X$41, COLUMN(B10), ROW(B10))</f>
        <v>Gas</v>
      </c>
      <c r="C54" t="str" cm="1">
        <f t="array" ref="C54">INDEX($A$6:$X$41, COLUMN(C10), ROW(C10))</f>
        <v>Solid</v>
      </c>
      <c r="D54" t="str" cm="1">
        <f t="array" ref="D54">INDEX($A$6:$X$41, COLUMN(D10), ROW(D10))</f>
        <v>Solvent</v>
      </c>
      <c r="E54" t="str" cm="1">
        <f t="array" ref="E54">INDEX($A$6:$X$41, COLUMN(E10), ROW(E10))</f>
        <v>Water</v>
      </c>
      <c r="F54" cm="1">
        <f t="array" ref="F54">INDEX($A$6:$X$41, COLUMN(F10), ROW(F10))</f>
        <v>0</v>
      </c>
      <c r="G54" cm="1">
        <f t="array" ref="G54">INDEX($A$6:$X$41, COLUMN(G10), ROW(G10))</f>
        <v>0</v>
      </c>
      <c r="H54" cm="1">
        <f t="array" ref="H54">INDEX($A$6:$X$41, COLUMN(H10), ROW(H10))</f>
        <v>31</v>
      </c>
      <c r="I54" t="str" cm="1">
        <f t="array" ref="I54">INDEX($A$6:$X$41, COLUMN(I10), ROW(I10))</f>
        <v>Solid</v>
      </c>
      <c r="J54" t="str" cm="1">
        <f t="array" ref="J54">INDEX($A$6:$X$41, COLUMN(J10), ROW(J10))</f>
        <v>Solvent</v>
      </c>
      <c r="K54" t="str" cm="1">
        <f t="array" ref="K54">INDEX($A$6:$X$41, COLUMN(K10), ROW(K10))</f>
        <v>Water</v>
      </c>
      <c r="L54" cm="1">
        <f t="array" ref="L54">INDEX($A$6:$X$41, COLUMN(L10), ROW(L10))</f>
        <v>0</v>
      </c>
      <c r="M54" cm="1">
        <f t="array" ref="M54">INDEX($A$6:$X$41, COLUMN(M10), ROW(M10))</f>
        <v>0</v>
      </c>
      <c r="N54" cm="1">
        <f t="array" ref="N54">INDEX($A$6:$X$41, COLUMN(N10), ROW(N10))</f>
        <v>0</v>
      </c>
      <c r="O54" cm="1">
        <f t="array" ref="O54">INDEX($A$6:$X$41, COLUMN(O10), ROW(O10))</f>
        <v>0</v>
      </c>
      <c r="P54" cm="1">
        <f t="array" ref="P54">INDEX($A$6:$X$41, COLUMN(P10), ROW(P10))</f>
        <v>0</v>
      </c>
      <c r="Q54" cm="1">
        <f t="array" ref="Q54">INDEX($A$6:$X$41, COLUMN(Q10), ROW(Q10))</f>
        <v>0</v>
      </c>
      <c r="R54" cm="1">
        <f t="array" ref="R54">INDEX($A$6:$X$41, COLUMN(R10), ROW(R10))</f>
        <v>0</v>
      </c>
      <c r="S54" cm="1">
        <f t="array" ref="S54">INDEX($A$6:$X$41, COLUMN(S10), ROW(S10))</f>
        <v>0</v>
      </c>
      <c r="T54" cm="1">
        <f t="array" ref="T54">INDEX($A$6:$X$41, COLUMN(T10), ROW(T10))</f>
        <v>0</v>
      </c>
      <c r="U54" cm="1">
        <f t="array" ref="U54">INDEX($A$6:$X$41, COLUMN(U10), ROW(U10))</f>
        <v>0</v>
      </c>
      <c r="V54" t="str" cm="1">
        <f t="array" ref="V54">INDEX($A$6:$X$41, COLUMN(V10), ROW(V10))</f>
        <v>Gas</v>
      </c>
      <c r="W54" t="str" cm="1">
        <f t="array" ref="W54">INDEX($A$6:$X$41, COLUMN(W10), ROW(W10))</f>
        <v>Solid</v>
      </c>
      <c r="X54" t="str" cm="1">
        <f t="array" ref="X54">INDEX($A$6:$X$41, COLUMN(X10), ROW(X10))</f>
        <v>Solvent</v>
      </c>
      <c r="Y54" t="str" cm="1">
        <f t="array" ref="Y54">INDEX($A$6:$X$41, COLUMN(Y10), ROW(Y10))</f>
        <v>Water</v>
      </c>
      <c r="Z54" cm="1">
        <f t="array" ref="Z54">INDEX($A$6:$X$41, COLUMN(Z10), ROW(Z10))</f>
        <v>0</v>
      </c>
      <c r="AA54" cm="1">
        <f t="array" ref="AA54">INDEX($A$6:$X$41, COLUMN(AA10), ROW(AA10))</f>
        <v>0</v>
      </c>
      <c r="AB54" cm="1">
        <f t="array" ref="AB54">INDEX($A$6:$X$41, COLUMN(AB10), ROW(AB10))</f>
        <v>31</v>
      </c>
      <c r="AC54" t="str" cm="1">
        <f t="array" ref="AC54">INDEX($A$6:$X$41, COLUMN(AC10), ROW(AC10))</f>
        <v>Solid</v>
      </c>
      <c r="AD54" t="str" cm="1">
        <f t="array" ref="AD54">INDEX($A$6:$X$41, COLUMN(AD10), ROW(AD10))</f>
        <v>Solvent</v>
      </c>
      <c r="AE54" t="str" cm="1">
        <f t="array" ref="AE54">INDEX($A$6:$X$41, COLUMN(AE10), ROW(AE10))</f>
        <v>Water</v>
      </c>
      <c r="AF54" cm="1">
        <f t="array" ref="AF54">INDEX($A$6:$X$41, COLUMN(AF10), ROW(AF10))</f>
        <v>0</v>
      </c>
      <c r="AG54" cm="1">
        <f t="array" ref="AG54">INDEX($A$6:$X$41, COLUMN(AG10), ROW(AG10))</f>
        <v>0</v>
      </c>
      <c r="AH54" cm="1">
        <f t="array" ref="AH54">INDEX($A$6:$X$41, COLUMN(AH10), ROW(AH10))</f>
        <v>0</v>
      </c>
      <c r="AI54" cm="1">
        <f t="array" ref="AI54">INDEX($A$6:$X$41, COLUMN(AI10), ROW(AI10))</f>
        <v>0</v>
      </c>
      <c r="AJ54" cm="1">
        <f t="array" ref="AJ54">INDEX($A$6:$X$41, COLUMN(AJ10), ROW(AJ10))</f>
        <v>0</v>
      </c>
    </row>
    <row r="55" spans="1:36" x14ac:dyDescent="0.2">
      <c r="A55" t="str" cm="1">
        <f t="array" ref="A55">INDEX($A$6:$X$41, COLUMN(A11), ROW(A11))</f>
        <v>CC</v>
      </c>
      <c r="B55" cm="1">
        <f t="array" ref="B55">INDEX($A$6:$X$41, COLUMN(B11), ROW(B11))</f>
        <v>6.5145351970042079E-2</v>
      </c>
      <c r="C55" cm="1">
        <f t="array" ref="C55">INDEX($A$6:$X$41, COLUMN(C11), ROW(C11))</f>
        <v>7.7224237927790707E-2</v>
      </c>
      <c r="D55" cm="1">
        <f t="array" ref="D55">INDEX($A$6:$X$41, COLUMN(D11), ROW(D11))</f>
        <v>7.7829222181246074</v>
      </c>
      <c r="E55" cm="1">
        <f t="array" ref="E55">INDEX($A$6:$X$41, COLUMN(E11), ROW(E11))</f>
        <v>19.651145732835975</v>
      </c>
      <c r="F55" cm="1">
        <f t="array" ref="F55">INDEX($A$6:$X$41, COLUMN(F11), ROW(F11))</f>
        <v>27.576437540858414</v>
      </c>
      <c r="G55" cm="1">
        <f t="array" ref="G55">INDEX($A$6:$X$41, COLUMN(G11), ROW(G11))</f>
        <v>0</v>
      </c>
      <c r="H55" cm="1">
        <f t="array" ref="H55">INDEX($A$6:$X$41, COLUMN(H11), ROW(H11))</f>
        <v>0.45902379353836087</v>
      </c>
      <c r="I55" cm="1">
        <f t="array" ref="I55">INDEX($A$6:$X$41, COLUMN(I11), ROW(I11))</f>
        <v>0.59234463962024986</v>
      </c>
      <c r="J55" cm="1">
        <f t="array" ref="J55">INDEX($A$6:$X$41, COLUMN(J11), ROW(J11))</f>
        <v>60.722997866059309</v>
      </c>
      <c r="K55" cm="1">
        <f t="array" ref="K55">INDEX($A$6:$X$41, COLUMN(K11), ROW(K11))</f>
        <v>134.55984361858262</v>
      </c>
      <c r="L55" cm="1">
        <f t="array" ref="L55">INDEX($A$6:$X$41, COLUMN(L11), ROW(L11))</f>
        <v>196.33420991780054</v>
      </c>
      <c r="M55" cm="1">
        <f t="array" ref="M55">INDEX($A$6:$X$41, COLUMN(M11), ROW(M11))</f>
        <v>0</v>
      </c>
      <c r="N55" cm="1">
        <f t="array" ref="N55">INDEX($A$6:$X$41, COLUMN(N11), ROW(N11))</f>
        <v>27.576437540858414</v>
      </c>
      <c r="O55" cm="1">
        <f t="array" ref="O55">INDEX($A$6:$X$41, COLUMN(O11), ROW(O11))</f>
        <v>196.33420991780054</v>
      </c>
      <c r="P55" cm="1">
        <f t="array" ref="P55">INDEX($A$6:$X$41, COLUMN(P11), ROW(P11))</f>
        <v>0</v>
      </c>
      <c r="Q55" cm="1">
        <f t="array" ref="Q55">INDEX($A$6:$X$41, COLUMN(Q11), ROW(Q11))</f>
        <v>0</v>
      </c>
      <c r="R55" cm="1">
        <f t="array" ref="R55">INDEX($A$6:$X$41, COLUMN(R11), ROW(R11))</f>
        <v>0</v>
      </c>
      <c r="S55" cm="1">
        <f t="array" ref="S55">INDEX($A$6:$X$41, COLUMN(S11), ROW(S11))</f>
        <v>0</v>
      </c>
      <c r="T55" cm="1">
        <f t="array" ref="T55">INDEX($A$6:$X$41, COLUMN(T11), ROW(T11))</f>
        <v>0</v>
      </c>
      <c r="U55" t="str" cm="1">
        <f t="array" ref="U55">INDEX($A$6:$X$41, COLUMN(U11), ROW(U11))</f>
        <v>CC</v>
      </c>
      <c r="V55" cm="1">
        <f t="array" ref="V55">INDEX($A$6:$X$41, COLUMN(V11), ROW(V11))</f>
        <v>3.4569027978270918E-2</v>
      </c>
      <c r="W55" cm="1">
        <f t="array" ref="W55">INDEX($A$6:$X$41, COLUMN(W11), ROW(W11))</f>
        <v>6.2358878631968553E-2</v>
      </c>
      <c r="X55" cm="1">
        <f t="array" ref="X55">INDEX($A$6:$X$41, COLUMN(X11), ROW(X11))</f>
        <v>5.8280010042890424</v>
      </c>
      <c r="Y55" cm="1">
        <f t="array" ref="Y55">INDEX($A$6:$X$41, COLUMN(Y11), ROW(Y11))</f>
        <v>19.39560992852617</v>
      </c>
      <c r="Z55" cm="1">
        <f t="array" ref="Z55">INDEX($A$6:$X$41, COLUMN(Z11), ROW(Z11))</f>
        <v>25.320538839425453</v>
      </c>
      <c r="AA55" cm="1">
        <f t="array" ref="AA55">INDEX($A$6:$X$41, COLUMN(AA11), ROW(AA11))</f>
        <v>0</v>
      </c>
      <c r="AB55" cm="1">
        <f t="array" ref="AB55">INDEX($A$6:$X$41, COLUMN(AB11), ROW(AB11))</f>
        <v>0.24438818974824802</v>
      </c>
      <c r="AC55" cm="1">
        <f t="array" ref="AC55">INDEX($A$6:$X$41, COLUMN(AC11), ROW(AC11))</f>
        <v>0.48911624436185019</v>
      </c>
      <c r="AD55" cm="1">
        <f t="array" ref="AD55">INDEX($A$6:$X$41, COLUMN(AD11), ROW(AD11))</f>
        <v>46.822655660603218</v>
      </c>
      <c r="AE55" cm="1">
        <f t="array" ref="AE55">INDEX($A$6:$X$41, COLUMN(AE11), ROW(AE11))</f>
        <v>128.17823989626828</v>
      </c>
      <c r="AF55" cm="1">
        <f t="array" ref="AF55">INDEX($A$6:$X$41, COLUMN(AF11), ROW(AF11))</f>
        <v>175.73439999098159</v>
      </c>
      <c r="AG55" cm="1">
        <f t="array" ref="AG55">INDEX($A$6:$X$41, COLUMN(AG11), ROW(AG11))</f>
        <v>0</v>
      </c>
      <c r="AH55" cm="1">
        <f t="array" ref="AH55">INDEX($A$6:$X$41, COLUMN(AH11), ROW(AH11))</f>
        <v>25.320538839425453</v>
      </c>
      <c r="AI55" cm="1">
        <f t="array" ref="AI55">INDEX($A$6:$X$41, COLUMN(AI11), ROW(AI11))</f>
        <v>175.73439999098159</v>
      </c>
      <c r="AJ55" cm="1">
        <f t="array" ref="AJ55">INDEX($A$6:$X$41, COLUMN(AJ11), ROW(AJ11))</f>
        <v>0</v>
      </c>
    </row>
    <row r="56" spans="1:36" x14ac:dyDescent="0.2">
      <c r="A56" t="str" cm="1">
        <f t="array" ref="A56">INDEX($A$6:$X$41, COLUMN(A12), ROW(A12))</f>
        <v>CC</v>
      </c>
      <c r="B56" cm="1">
        <f t="array" ref="B56">INDEX($A$6:$X$41, COLUMN(B12), ROW(B12))</f>
        <v>6.3471551523667947E-3</v>
      </c>
      <c r="C56" cm="1">
        <f t="array" ref="C56">INDEX($A$6:$X$41, COLUMN(C12), ROW(C12))</f>
        <v>7.5256815054399401E-3</v>
      </c>
      <c r="D56" cm="1">
        <f t="array" ref="D56">INDEX($A$6:$X$41, COLUMN(D12), ROW(D12))</f>
        <v>0.75811215284057598</v>
      </c>
      <c r="E56" cm="1">
        <f t="array" ref="E56">INDEX($A$6:$X$41, COLUMN(E12), ROW(E12))</f>
        <v>1.9160737154218923</v>
      </c>
      <c r="F56" cm="1">
        <f t="array" ref="F56">INDEX($A$6:$X$41, COLUMN(F12), ROW(F12))</f>
        <v>2.6880587049202749</v>
      </c>
      <c r="G56" cm="1">
        <f t="array" ref="G56">INDEX($A$6:$X$41, COLUMN(G12), ROW(G12))</f>
        <v>0</v>
      </c>
      <c r="H56" cm="1">
        <f t="array" ref="H56">INDEX($A$6:$X$41, COLUMN(H12), ROW(H12))</f>
        <v>4.9815915358520639E-2</v>
      </c>
      <c r="I56" cm="1">
        <f t="array" ref="I56">INDEX($A$6:$X$41, COLUMN(I12), ROW(I12))</f>
        <v>6.428069485261273E-2</v>
      </c>
      <c r="J56" cm="1">
        <f t="array" ref="J56">INDEX($A$6:$X$41, COLUMN(J12), ROW(J12))</f>
        <v>6.5385274476947144</v>
      </c>
      <c r="K56" cm="1">
        <f t="array" ref="K56">INDEX($A$6:$X$41, COLUMN(K12), ROW(K12))</f>
        <v>14.826289846657023</v>
      </c>
      <c r="L56" cm="1">
        <f t="array" ref="L56">INDEX($A$6:$X$41, COLUMN(L12), ROW(L12))</f>
        <v>21.478913904562869</v>
      </c>
      <c r="M56" cm="1">
        <f t="array" ref="M56">INDEX($A$6:$X$41, COLUMN(M12), ROW(M12))</f>
        <v>0</v>
      </c>
      <c r="N56" cm="1">
        <f t="array" ref="N56">INDEX($A$6:$X$41, COLUMN(N12), ROW(N12))</f>
        <v>2.6880587049202749</v>
      </c>
      <c r="O56" cm="1">
        <f t="array" ref="O56">INDEX($A$6:$X$41, COLUMN(O12), ROW(O12))</f>
        <v>21.478913904562869</v>
      </c>
      <c r="P56" cm="1">
        <f t="array" ref="P56">INDEX($A$6:$X$41, COLUMN(P12), ROW(P12))</f>
        <v>0</v>
      </c>
      <c r="Q56" cm="1">
        <f t="array" ref="Q56">INDEX($A$6:$X$41, COLUMN(Q12), ROW(Q12))</f>
        <v>0</v>
      </c>
      <c r="R56" cm="1">
        <f t="array" ref="R56">INDEX($A$6:$X$41, COLUMN(R12), ROW(R12))</f>
        <v>0</v>
      </c>
      <c r="S56" cm="1">
        <f t="array" ref="S56">INDEX($A$6:$X$41, COLUMN(S12), ROW(S12))</f>
        <v>0</v>
      </c>
      <c r="T56" cm="1">
        <f t="array" ref="T56">INDEX($A$6:$X$41, COLUMN(T12), ROW(T12))</f>
        <v>0</v>
      </c>
      <c r="U56" t="str" cm="1">
        <f t="array" ref="U56">INDEX($A$6:$X$41, COLUMN(U12), ROW(U12))</f>
        <v>CC</v>
      </c>
      <c r="V56" cm="1">
        <f t="array" ref="V56">INDEX($A$6:$X$41, COLUMN(V12), ROW(V12))</f>
        <v>3.3712313887480868E-3</v>
      </c>
      <c r="W56" cm="1">
        <f t="array" ref="W56">INDEX($A$6:$X$41, COLUMN(W12), ROW(W12))</f>
        <v>6.0837743432494264E-3</v>
      </c>
      <c r="X56" cm="1">
        <f t="array" ref="X56">INDEX($A$6:$X$41, COLUMN(X12), ROW(X12))</f>
        <v>0.56838824688024958</v>
      </c>
      <c r="Y56" cm="1">
        <f t="array" ref="Y56">INDEX($A$6:$X$41, COLUMN(Y12), ROW(Y12))</f>
        <v>1.8996321539516892</v>
      </c>
      <c r="Z56" cm="1">
        <f t="array" ref="Z56">INDEX($A$6:$X$41, COLUMN(Z12), ROW(Z12))</f>
        <v>2.4774754065639364</v>
      </c>
      <c r="AA56" cm="1">
        <f t="array" ref="AA56">INDEX($A$6:$X$41, COLUMN(AA12), ROW(AA12))</f>
        <v>0</v>
      </c>
      <c r="AB56" cm="1">
        <f t="array" ref="AB56">INDEX($A$6:$X$41, COLUMN(AB12), ROW(AB12))</f>
        <v>2.7124817287391054E-2</v>
      </c>
      <c r="AC56" cm="1">
        <f t="array" ref="AC56">INDEX($A$6:$X$41, COLUMN(AC12), ROW(AC12))</f>
        <v>5.4297398066112917E-2</v>
      </c>
      <c r="AD56" cm="1">
        <f t="array" ref="AD56">INDEX($A$6:$X$41, COLUMN(AD12), ROW(AD12))</f>
        <v>5.1575571451331053</v>
      </c>
      <c r="AE56" cm="1">
        <f t="array" ref="AE56">INDEX($A$6:$X$41, COLUMN(AE12), ROW(AE12))</f>
        <v>15.219977332504348</v>
      </c>
      <c r="AF56" cm="1">
        <f t="array" ref="AF56">INDEX($A$6:$X$41, COLUMN(AF12), ROW(AF12))</f>
        <v>20.458956692990956</v>
      </c>
      <c r="AG56" cm="1">
        <f t="array" ref="AG56">INDEX($A$6:$X$41, COLUMN(AG12), ROW(AG12))</f>
        <v>0</v>
      </c>
      <c r="AH56" cm="1">
        <f t="array" ref="AH56">INDEX($A$6:$X$41, COLUMN(AH12), ROW(AH12))</f>
        <v>2.4774754065639364</v>
      </c>
      <c r="AI56" cm="1">
        <f t="array" ref="AI56">INDEX($A$6:$X$41, COLUMN(AI12), ROW(AI12))</f>
        <v>20.458956692990956</v>
      </c>
      <c r="AJ56" cm="1">
        <f t="array" ref="AJ56">INDEX($A$6:$X$41, COLUMN(AJ12), ROW(AJ12))</f>
        <v>0</v>
      </c>
    </row>
    <row r="57" spans="1:36" x14ac:dyDescent="0.2">
      <c r="A57" cm="1">
        <f t="array" ref="A57">INDEX($A$6:$X$41, COLUMN(A13), ROW(A13))</f>
        <v>0</v>
      </c>
      <c r="B57" cm="1">
        <f t="array" ref="B57">INDEX($A$6:$X$41, COLUMN(B13), ROW(B13))</f>
        <v>2.3623556115078305E-3</v>
      </c>
      <c r="C57" cm="1">
        <f t="array" ref="C57">INDEX($A$6:$X$41, COLUMN(C13), ROW(C13))</f>
        <v>2.8003703456391717E-3</v>
      </c>
      <c r="D57" cm="1">
        <f t="array" ref="D57">INDEX($A$6:$X$41, COLUMN(D13), ROW(D13))</f>
        <v>0.28223087940902813</v>
      </c>
      <c r="E57" cm="1">
        <f t="array" ref="E57">INDEX($A$6:$X$41, COLUMN(E13), ROW(E13))</f>
        <v>0.71260639463382491</v>
      </c>
      <c r="F57" cm="1">
        <f t="array" ref="F57">INDEX($A$6:$X$41, COLUMN(F13), ROW(F13))</f>
        <v>0</v>
      </c>
      <c r="G57" cm="1">
        <f t="array" ref="G57">INDEX($A$6:$X$41, COLUMN(G13), ROW(G13))</f>
        <v>0</v>
      </c>
      <c r="H57" cm="1">
        <f t="array" ref="H57">INDEX($A$6:$X$41, COLUMN(H13), ROW(H13))</f>
        <v>2.3379715319634866E-3</v>
      </c>
      <c r="I57" cm="1">
        <f t="array" ref="I57">INDEX($A$6:$X$41, COLUMN(I13), ROW(I13))</f>
        <v>3.0170220455632639E-3</v>
      </c>
      <c r="J57" cm="1">
        <f t="array" ref="J57">INDEX($A$6:$X$41, COLUMN(J13), ROW(J13))</f>
        <v>0.30928383744983756</v>
      </c>
      <c r="K57" cm="1">
        <f t="array" ref="K57">INDEX($A$6:$X$41, COLUMN(K13), ROW(K13))</f>
        <v>0.68536116897263566</v>
      </c>
      <c r="L57" cm="1">
        <f t="array" ref="L57">INDEX($A$6:$X$41, COLUMN(L13), ROW(L13))</f>
        <v>0</v>
      </c>
      <c r="M57" cm="1">
        <f t="array" ref="M57">INDEX($A$6:$X$41, COLUMN(M13), ROW(M13))</f>
        <v>0</v>
      </c>
      <c r="N57" cm="1">
        <f t="array" ref="N57">INDEX($A$6:$X$41, COLUMN(N13), ROW(N13))</f>
        <v>0</v>
      </c>
      <c r="O57" cm="1">
        <f t="array" ref="O57">INDEX($A$6:$X$41, COLUMN(O13), ROW(O13))</f>
        <v>0</v>
      </c>
      <c r="P57" cm="1">
        <f t="array" ref="P57">INDEX($A$6:$X$41, COLUMN(P13), ROW(P13))</f>
        <v>0</v>
      </c>
      <c r="Q57" cm="1">
        <f t="array" ref="Q57">INDEX($A$6:$X$41, COLUMN(Q13), ROW(Q13))</f>
        <v>0</v>
      </c>
      <c r="R57" cm="1">
        <f t="array" ref="R57">INDEX($A$6:$X$41, COLUMN(R13), ROW(R13))</f>
        <v>0</v>
      </c>
      <c r="S57" cm="1">
        <f t="array" ref="S57">INDEX($A$6:$X$41, COLUMN(S13), ROW(S13))</f>
        <v>0</v>
      </c>
      <c r="T57" cm="1">
        <f t="array" ref="T57">INDEX($A$6:$X$41, COLUMN(T13), ROW(T13))</f>
        <v>0</v>
      </c>
      <c r="U57" cm="1">
        <f t="array" ref="U57">INDEX($A$6:$X$41, COLUMN(U13), ROW(U13))</f>
        <v>0</v>
      </c>
      <c r="V57" cm="1">
        <f t="array" ref="V57">INDEX($A$6:$X$41, COLUMN(V13), ROW(V13))</f>
        <v>1.3652564109119616E-3</v>
      </c>
      <c r="W57" cm="1">
        <f t="array" ref="W57">INDEX($A$6:$X$41, COLUMN(W13), ROW(W13))</f>
        <v>2.4627784988079477E-3</v>
      </c>
      <c r="X57" cm="1">
        <f t="array" ref="X57">INDEX($A$6:$X$41, COLUMN(X13), ROW(X13))</f>
        <v>0.23016891706958972</v>
      </c>
      <c r="Y57" cm="1">
        <f t="array" ref="Y57">INDEX($A$6:$X$41, COLUMN(Y13), ROW(Y13))</f>
        <v>0.7660030480206903</v>
      </c>
      <c r="Z57" cm="1">
        <f t="array" ref="Z57">INDEX($A$6:$X$41, COLUMN(Z13), ROW(Z13))</f>
        <v>0</v>
      </c>
      <c r="AA57" cm="1">
        <f t="array" ref="AA57">INDEX($A$6:$X$41, COLUMN(AA13), ROW(AA13))</f>
        <v>0</v>
      </c>
      <c r="AB57" cm="1">
        <f t="array" ref="AB57">INDEX($A$6:$X$41, COLUMN(AB13), ROW(AB13))</f>
        <v>1.3906679042964248E-3</v>
      </c>
      <c r="AC57" cm="1">
        <f t="array" ref="AC57">INDEX($A$6:$X$41, COLUMN(AC13), ROW(AC13))</f>
        <v>2.7832697774991741E-3</v>
      </c>
      <c r="AD57" cm="1">
        <f t="array" ref="AD57">INDEX($A$6:$X$41, COLUMN(AD13), ROW(AD13))</f>
        <v>0.26643989829541675</v>
      </c>
      <c r="AE57" cm="1">
        <f t="array" ref="AE57">INDEX($A$6:$X$41, COLUMN(AE13), ROW(AE13))</f>
        <v>0.72938616402278778</v>
      </c>
      <c r="AF57" cm="1">
        <f t="array" ref="AF57">INDEX($A$6:$X$41, COLUMN(AF13), ROW(AF13))</f>
        <v>0</v>
      </c>
      <c r="AG57" cm="1">
        <f t="array" ref="AG57">INDEX($A$6:$X$41, COLUMN(AG13), ROW(AG13))</f>
        <v>0</v>
      </c>
      <c r="AH57" cm="1">
        <f t="array" ref="AH57">INDEX($A$6:$X$41, COLUMN(AH13), ROW(AH13))</f>
        <v>0</v>
      </c>
      <c r="AI57" cm="1">
        <f t="array" ref="AI57">INDEX($A$6:$X$41, COLUMN(AI13), ROW(AI13))</f>
        <v>0</v>
      </c>
      <c r="AJ57" cm="1">
        <f t="array" ref="AJ57">INDEX($A$6:$X$41, COLUMN(AJ13), ROW(AJ13))</f>
        <v>0</v>
      </c>
    </row>
    <row r="58" spans="1:36" x14ac:dyDescent="0.2">
      <c r="A58" cm="1">
        <f t="array" ref="A58">INDEX($A$6:$X$41, COLUMN(A14), ROW(A14))</f>
        <v>0</v>
      </c>
      <c r="B58" cm="1">
        <f t="array" ref="B58">INDEX($A$6:$X$41, COLUMN(B14), ROW(B14))</f>
        <v>0</v>
      </c>
      <c r="C58" cm="1">
        <f t="array" ref="C58">INDEX($A$6:$X$41, COLUMN(C14), ROW(C14))</f>
        <v>0</v>
      </c>
      <c r="D58" cm="1">
        <f t="array" ref="D58">INDEX($A$6:$X$41, COLUMN(D14), ROW(D14))</f>
        <v>0</v>
      </c>
      <c r="E58" cm="1">
        <f t="array" ref="E58">INDEX($A$6:$X$41, COLUMN(E14), ROW(E14))</f>
        <v>0</v>
      </c>
      <c r="F58" cm="1">
        <f t="array" ref="F58">INDEX($A$6:$X$41, COLUMN(F14), ROW(F14))</f>
        <v>0</v>
      </c>
      <c r="G58" cm="1">
        <f t="array" ref="G58">INDEX($A$6:$X$41, COLUMN(G14), ROW(G14))</f>
        <v>0</v>
      </c>
      <c r="H58" cm="1">
        <f t="array" ref="H58">INDEX($A$6:$X$41, COLUMN(H14), ROW(H14))</f>
        <v>0</v>
      </c>
      <c r="I58" cm="1">
        <f t="array" ref="I58">INDEX($A$6:$X$41, COLUMN(I14), ROW(I14))</f>
        <v>0</v>
      </c>
      <c r="J58" cm="1">
        <f t="array" ref="J58">INDEX($A$6:$X$41, COLUMN(J14), ROW(J14))</f>
        <v>0</v>
      </c>
      <c r="K58" cm="1">
        <f t="array" ref="K58">INDEX($A$6:$X$41, COLUMN(K14), ROW(K14))</f>
        <v>0</v>
      </c>
      <c r="L58" cm="1">
        <f t="array" ref="L58">INDEX($A$6:$X$41, COLUMN(L14), ROW(L14))</f>
        <v>0</v>
      </c>
      <c r="M58" cm="1">
        <f t="array" ref="M58">INDEX($A$6:$X$41, COLUMN(M14), ROW(M14))</f>
        <v>0</v>
      </c>
      <c r="N58" cm="1">
        <f t="array" ref="N58">INDEX($A$6:$X$41, COLUMN(N14), ROW(N14))</f>
        <v>0</v>
      </c>
      <c r="O58" cm="1">
        <f t="array" ref="O58">INDEX($A$6:$X$41, COLUMN(O14), ROW(O14))</f>
        <v>0</v>
      </c>
      <c r="P58" cm="1">
        <f t="array" ref="P58">INDEX($A$6:$X$41, COLUMN(P14), ROW(P14))</f>
        <v>0</v>
      </c>
      <c r="Q58" cm="1">
        <f t="array" ref="Q58">INDEX($A$6:$X$41, COLUMN(Q14), ROW(Q14))</f>
        <v>0</v>
      </c>
      <c r="R58" cm="1">
        <f t="array" ref="R58">INDEX($A$6:$X$41, COLUMN(R14), ROW(R14))</f>
        <v>0</v>
      </c>
      <c r="S58" cm="1">
        <f t="array" ref="S58">INDEX($A$6:$X$41, COLUMN(S14), ROW(S14))</f>
        <v>0</v>
      </c>
      <c r="T58" cm="1">
        <f t="array" ref="T58">INDEX($A$6:$X$41, COLUMN(T14), ROW(T14))</f>
        <v>0</v>
      </c>
      <c r="U58" cm="1">
        <f t="array" ref="U58">INDEX($A$6:$X$41, COLUMN(U14), ROW(U14))</f>
        <v>0</v>
      </c>
      <c r="V58" cm="1">
        <f t="array" ref="V58">INDEX($A$6:$X$41, COLUMN(V14), ROW(V14))</f>
        <v>0</v>
      </c>
      <c r="W58" cm="1">
        <f t="array" ref="W58">INDEX($A$6:$X$41, COLUMN(W14), ROW(W14))</f>
        <v>0</v>
      </c>
      <c r="X58" cm="1">
        <f t="array" ref="X58">INDEX($A$6:$X$41, COLUMN(X14), ROW(X14))</f>
        <v>0</v>
      </c>
      <c r="Y58" cm="1">
        <f t="array" ref="Y58">INDEX($A$6:$X$41, COLUMN(Y14), ROW(Y14))</f>
        <v>0</v>
      </c>
      <c r="Z58" cm="1">
        <f t="array" ref="Z58">INDEX($A$6:$X$41, COLUMN(Z14), ROW(Z14))</f>
        <v>0</v>
      </c>
      <c r="AA58" cm="1">
        <f t="array" ref="AA58">INDEX($A$6:$X$41, COLUMN(AA14), ROW(AA14))</f>
        <v>0</v>
      </c>
      <c r="AB58" cm="1">
        <f t="array" ref="AB58">INDEX($A$6:$X$41, COLUMN(AB14), ROW(AB14))</f>
        <v>0</v>
      </c>
      <c r="AC58" cm="1">
        <f t="array" ref="AC58">INDEX($A$6:$X$41, COLUMN(AC14), ROW(AC14))</f>
        <v>0</v>
      </c>
      <c r="AD58" cm="1">
        <f t="array" ref="AD58">INDEX($A$6:$X$41, COLUMN(AD14), ROW(AD14))</f>
        <v>0</v>
      </c>
      <c r="AE58" cm="1">
        <f t="array" ref="AE58">INDEX($A$6:$X$41, COLUMN(AE14), ROW(AE14))</f>
        <v>0</v>
      </c>
      <c r="AF58" cm="1">
        <f t="array" ref="AF58">INDEX($A$6:$X$41, COLUMN(AF14), ROW(AF14))</f>
        <v>0</v>
      </c>
      <c r="AG58" cm="1">
        <f t="array" ref="AG58">INDEX($A$6:$X$41, COLUMN(AG14), ROW(AG14))</f>
        <v>0</v>
      </c>
      <c r="AH58" cm="1">
        <f t="array" ref="AH58">INDEX($A$6:$X$41, COLUMN(AH14), ROW(AH14))</f>
        <v>0</v>
      </c>
      <c r="AI58" cm="1">
        <f t="array" ref="AI58">INDEX($A$6:$X$41, COLUMN(AI14), ROW(AI14))</f>
        <v>0</v>
      </c>
      <c r="AJ58" cm="1">
        <f t="array" ref="AJ58">INDEX($A$6:$X$41, COLUMN(AJ14), ROW(AJ14))</f>
        <v>0</v>
      </c>
    </row>
    <row r="59" spans="1:36" x14ac:dyDescent="0.2">
      <c r="A59" t="str" cm="1">
        <f t="array" ref="A59">INDEX($A$6:$X$41, COLUMN(A15), ROW(A15))</f>
        <v>HTC</v>
      </c>
      <c r="B59" cm="1">
        <f t="array" ref="B59">INDEX($A$6:$X$41, COLUMN(B15), ROW(B15))</f>
        <v>5.3237614874603748E-3</v>
      </c>
      <c r="C59" cm="1">
        <f t="array" ref="C59">INDEX($A$6:$X$41, COLUMN(C15), ROW(C15))</f>
        <v>6.310779370322611E-3</v>
      </c>
      <c r="D59" cm="1">
        <f t="array" ref="D59">INDEX($A$6:$X$41, COLUMN(D15), ROW(D15))</f>
        <v>0.41027968650615027</v>
      </c>
      <c r="E59" cm="1">
        <f t="array" ref="E59">INDEX($A$6:$X$41, COLUMN(E15), ROW(E15))</f>
        <v>2.2420719572013406</v>
      </c>
      <c r="F59" cm="1">
        <f t="array" ref="F59">INDEX($A$6:$X$41, COLUMN(F15), ROW(F15))</f>
        <v>2.6639861845652737</v>
      </c>
      <c r="G59" cm="1">
        <f t="array" ref="G59">INDEX($A$6:$X$41, COLUMN(G15), ROW(G15))</f>
        <v>0</v>
      </c>
      <c r="H59" cm="1">
        <f t="array" ref="H59">INDEX($A$6:$X$41, COLUMN(H15), ROW(H15))</f>
        <v>3.5686245393139013E-2</v>
      </c>
      <c r="I59" cm="1">
        <f t="array" ref="I59">INDEX($A$6:$X$41, COLUMN(I15), ROW(I15))</f>
        <v>4.6049584553948225E-2</v>
      </c>
      <c r="J59" cm="1">
        <f t="array" ref="J59">INDEX($A$6:$X$41, COLUMN(J15), ROW(J15))</f>
        <v>2.9784897437307025</v>
      </c>
      <c r="K59" cm="1">
        <f t="array" ref="K59">INDEX($A$6:$X$41, COLUMN(K15), ROW(K15))</f>
        <v>14.322728212896852</v>
      </c>
      <c r="L59" cm="1">
        <f t="array" ref="L59">INDEX($A$6:$X$41, COLUMN(L15), ROW(L15))</f>
        <v>17.382953786574642</v>
      </c>
      <c r="M59" cm="1">
        <f t="array" ref="M59">INDEX($A$6:$X$41, COLUMN(M15), ROW(M15))</f>
        <v>0</v>
      </c>
      <c r="N59" cm="1">
        <f t="array" ref="N59">INDEX($A$6:$X$41, COLUMN(N15), ROW(N15))</f>
        <v>2.6639861845652737</v>
      </c>
      <c r="O59" cm="1">
        <f t="array" ref="O59">INDEX($A$6:$X$41, COLUMN(O15), ROW(O15))</f>
        <v>17.382953786574642</v>
      </c>
      <c r="P59" cm="1">
        <f t="array" ref="P59">INDEX($A$6:$X$41, COLUMN(P15), ROW(P15))</f>
        <v>0</v>
      </c>
      <c r="Q59" cm="1">
        <f t="array" ref="Q59">INDEX($A$6:$X$41, COLUMN(Q15), ROW(Q15))</f>
        <v>0</v>
      </c>
      <c r="R59" cm="1">
        <f t="array" ref="R59">INDEX($A$6:$X$41, COLUMN(R15), ROW(R15))</f>
        <v>0</v>
      </c>
      <c r="S59" cm="1">
        <f t="array" ref="S59">INDEX($A$6:$X$41, COLUMN(S15), ROW(S15))</f>
        <v>0</v>
      </c>
      <c r="T59" cm="1">
        <f t="array" ref="T59">INDEX($A$6:$X$41, COLUMN(T15), ROW(T15))</f>
        <v>0</v>
      </c>
      <c r="U59" t="str" cm="1">
        <f t="array" ref="U59">INDEX($A$6:$X$41, COLUMN(U15), ROW(U15))</f>
        <v>HTC</v>
      </c>
      <c r="V59" cm="1">
        <f t="array" ref="V59">INDEX($A$6:$X$41, COLUMN(V15), ROW(V15))</f>
        <v>2.8250217875448831E-3</v>
      </c>
      <c r="W59" cm="1">
        <f t="array" ref="W59">INDEX($A$6:$X$41, COLUMN(W15), ROW(W15))</f>
        <v>5.0959573364129781E-3</v>
      </c>
      <c r="X59" cm="1">
        <f t="array" ref="X59">INDEX($A$6:$X$41, COLUMN(X15), ROW(X15))</f>
        <v>0.30722203851304719</v>
      </c>
      <c r="Y59" cm="1">
        <f t="array" ref="Y59">INDEX($A$6:$X$41, COLUMN(Y15), ROW(Y15))</f>
        <v>2.210574544600874</v>
      </c>
      <c r="Z59" cm="1">
        <f t="array" ref="Z59">INDEX($A$6:$X$41, COLUMN(Z15), ROW(Z15))</f>
        <v>2.5257175622378791</v>
      </c>
      <c r="AA59" cm="1">
        <f t="array" ref="AA59">INDEX($A$6:$X$41, COLUMN(AA15), ROW(AA15))</f>
        <v>0</v>
      </c>
      <c r="AB59" cm="1">
        <f t="array" ref="AB59">INDEX($A$6:$X$41, COLUMN(AB15), ROW(AB15))</f>
        <v>1.8999674172517668E-2</v>
      </c>
      <c r="AC59" cm="1">
        <f t="array" ref="AC59">INDEX($A$6:$X$41, COLUMN(AC15), ROW(AC15))</f>
        <v>3.8024238352831308E-2</v>
      </c>
      <c r="AD59" cm="1">
        <f t="array" ref="AD59">INDEX($A$6:$X$41, COLUMN(AD15), ROW(AD15))</f>
        <v>2.2966442607361803</v>
      </c>
      <c r="AE59" cm="1">
        <f t="array" ref="AE59">INDEX($A$6:$X$41, COLUMN(AE15), ROW(AE15))</f>
        <v>13.372103690789972</v>
      </c>
      <c r="AF59" cm="1">
        <f t="array" ref="AF59">INDEX($A$6:$X$41, COLUMN(AF15), ROW(AF15))</f>
        <v>15.725771864051502</v>
      </c>
      <c r="AG59" cm="1">
        <f t="array" ref="AG59">INDEX($A$6:$X$41, COLUMN(AG15), ROW(AG15))</f>
        <v>0</v>
      </c>
      <c r="AH59" cm="1">
        <f t="array" ref="AH59">INDEX($A$6:$X$41, COLUMN(AH15), ROW(AH15))</f>
        <v>2.5257175622378791</v>
      </c>
      <c r="AI59" cm="1">
        <f t="array" ref="AI59">INDEX($A$6:$X$41, COLUMN(AI15), ROW(AI15))</f>
        <v>15.725771864051502</v>
      </c>
      <c r="AJ59" cm="1">
        <f t="array" ref="AJ59">INDEX($A$6:$X$41, COLUMN(AJ15), ROW(AJ15))</f>
        <v>0</v>
      </c>
    </row>
    <row r="60" spans="1:36" x14ac:dyDescent="0.2">
      <c r="A60" t="str" cm="1">
        <f t="array" ref="A60">INDEX($A$6:$X$41, COLUMN(A16), ROW(A16))</f>
        <v>HTC</v>
      </c>
      <c r="B60" cm="1">
        <f t="array" ref="B60">INDEX($A$6:$X$41, COLUMN(B16), ROW(B16))</f>
        <v>5.1857897282042383E-4</v>
      </c>
      <c r="C60" cm="1">
        <f t="array" ref="C60">INDEX($A$6:$X$41, COLUMN(C16), ROW(C16))</f>
        <v>6.1485927073294294E-4</v>
      </c>
      <c r="D60" cm="1">
        <f t="array" ref="D60">INDEX($A$6:$X$41, COLUMN(D16), ROW(D16))</f>
        <v>4.0010383805401242E-2</v>
      </c>
      <c r="E60" cm="1">
        <f t="array" ref="E60">INDEX($A$6:$X$41, COLUMN(E16), ROW(E16))</f>
        <v>0.21825974753251465</v>
      </c>
      <c r="F60" cm="1">
        <f t="array" ref="F60">INDEX($A$6:$X$41, COLUMN(F16), ROW(F16))</f>
        <v>0.25940356958146926</v>
      </c>
      <c r="G60" cm="1">
        <f t="array" ref="G60">INDEX($A$6:$X$41, COLUMN(G16), ROW(G16))</f>
        <v>0</v>
      </c>
      <c r="H60" cm="1">
        <f t="array" ref="H60">INDEX($A$6:$X$41, COLUMN(H16), ROW(H16))</f>
        <v>3.8698019678769192E-3</v>
      </c>
      <c r="I60" cm="1">
        <f t="array" ref="I60">INDEX($A$6:$X$41, COLUMN(I16), ROW(I16))</f>
        <v>4.9932958551909112E-3</v>
      </c>
      <c r="J60" cm="1">
        <f t="array" ref="J60">INDEX($A$6:$X$41, COLUMN(J16), ROW(J16))</f>
        <v>0.32669331749255942</v>
      </c>
      <c r="K60" cm="1">
        <f t="array" ref="K60">INDEX($A$6:$X$41, COLUMN(K16), ROW(K16))</f>
        <v>1.548168120981062</v>
      </c>
      <c r="L60" cm="1">
        <f t="array" ref="L60">INDEX($A$6:$X$41, COLUMN(L16), ROW(L16))</f>
        <v>1.8837245362966892</v>
      </c>
      <c r="M60" cm="1">
        <f t="array" ref="M60">INDEX($A$6:$X$41, COLUMN(M16), ROW(M16))</f>
        <v>0</v>
      </c>
      <c r="N60" cm="1">
        <f t="array" ref="N60">INDEX($A$6:$X$41, COLUMN(N16), ROW(N16))</f>
        <v>0.25940356958146926</v>
      </c>
      <c r="O60" cm="1">
        <f t="array" ref="O60">INDEX($A$6:$X$41, COLUMN(O16), ROW(O16))</f>
        <v>1.8837245362966892</v>
      </c>
      <c r="P60" cm="1">
        <f t="array" ref="P60">INDEX($A$6:$X$41, COLUMN(P16), ROW(P16))</f>
        <v>0</v>
      </c>
      <c r="Q60" cm="1">
        <f t="array" ref="Q60">INDEX($A$6:$X$41, COLUMN(Q16), ROW(Q16))</f>
        <v>0</v>
      </c>
      <c r="R60" cm="1">
        <f t="array" ref="R60">INDEX($A$6:$X$41, COLUMN(R16), ROW(R16))</f>
        <v>0</v>
      </c>
      <c r="S60" cm="1">
        <f t="array" ref="S60">INDEX($A$6:$X$41, COLUMN(S16), ROW(S16))</f>
        <v>0</v>
      </c>
      <c r="T60" cm="1">
        <f t="array" ref="T60">INDEX($A$6:$X$41, COLUMN(T16), ROW(T16))</f>
        <v>0</v>
      </c>
      <c r="U60" t="str" cm="1">
        <f t="array" ref="U60">INDEX($A$6:$X$41, COLUMN(U16), ROW(U16))</f>
        <v>HTC</v>
      </c>
      <c r="V60" cm="1">
        <f t="array" ref="V60">INDEX($A$6:$X$41, COLUMN(V16), ROW(V16))</f>
        <v>2.7542328478870028E-4</v>
      </c>
      <c r="W60" cm="1">
        <f t="array" ref="W60">INDEX($A$6:$X$41, COLUMN(W16), ROW(W16))</f>
        <v>4.9702445961824872E-4</v>
      </c>
      <c r="X60" cm="1">
        <f t="array" ref="X60">INDEX($A$6:$X$41, COLUMN(X16), ROW(X16))</f>
        <v>2.9995438867006008E-2</v>
      </c>
      <c r="Y60" cm="1">
        <f t="array" ref="Y60">INDEX($A$6:$X$41, COLUMN(Y16), ROW(Y16))</f>
        <v>0.21674365339175658</v>
      </c>
      <c r="Z60" cm="1">
        <f t="array" ref="Z60">INDEX($A$6:$X$41, COLUMN(Z16), ROW(Z16))</f>
        <v>0.24751154000316955</v>
      </c>
      <c r="AA60" cm="1">
        <f t="array" ref="AA60">INDEX($A$6:$X$41, COLUMN(AA16), ROW(AA16))</f>
        <v>0</v>
      </c>
      <c r="AB60" cm="1">
        <f t="array" ref="AB60">INDEX($A$6:$X$41, COLUMN(AB16), ROW(AB16))</f>
        <v>2.1069872055909564E-3</v>
      </c>
      <c r="AC60" cm="1">
        <f t="array" ref="AC60">INDEX($A$6:$X$41, COLUMN(AC16), ROW(AC16))</f>
        <v>4.2175197791325201E-3</v>
      </c>
      <c r="AD60" cm="1">
        <f t="array" ref="AD60">INDEX($A$6:$X$41, COLUMN(AD16), ROW(AD16))</f>
        <v>0.25767527678818319</v>
      </c>
      <c r="AE60" cm="1">
        <f t="array" ref="AE60">INDEX($A$6:$X$41, COLUMN(AE16), ROW(AE16))</f>
        <v>1.6303330692040736</v>
      </c>
      <c r="AF60" cm="1">
        <f t="array" ref="AF60">INDEX($A$6:$X$41, COLUMN(AF16), ROW(AF16))</f>
        <v>1.8943328529769803</v>
      </c>
      <c r="AG60" cm="1">
        <f t="array" ref="AG60">INDEX($A$6:$X$41, COLUMN(AG16), ROW(AG16))</f>
        <v>0</v>
      </c>
      <c r="AH60" cm="1">
        <f t="array" ref="AH60">INDEX($A$6:$X$41, COLUMN(AH16), ROW(AH16))</f>
        <v>0.24751154000316955</v>
      </c>
      <c r="AI60" cm="1">
        <f t="array" ref="AI60">INDEX($A$6:$X$41, COLUMN(AI16), ROW(AI16))</f>
        <v>1.8943328529769803</v>
      </c>
      <c r="AJ60" cm="1">
        <f t="array" ref="AJ60">INDEX($A$6:$X$41, COLUMN(AJ16), ROW(AJ16))</f>
        <v>0</v>
      </c>
    </row>
    <row r="61" spans="1:36" x14ac:dyDescent="0.2">
      <c r="A61" cm="1">
        <f t="array" ref="A61">INDEX($A$6:$X$41, COLUMN(A17), ROW(A17))</f>
        <v>0</v>
      </c>
      <c r="B61" cm="1">
        <f t="array" ref="B61">INDEX($A$6:$X$41, COLUMN(B17), ROW(B17))</f>
        <v>1.9984193305150866E-3</v>
      </c>
      <c r="C61" cm="1">
        <f t="array" ref="C61">INDEX($A$6:$X$41, COLUMN(C17), ROW(C17))</f>
        <v>2.3689234602214892E-3</v>
      </c>
      <c r="D61" cm="1">
        <f t="array" ref="D61">INDEX($A$6:$X$41, COLUMN(D17), ROW(D17))</f>
        <v>0.15400969002138512</v>
      </c>
      <c r="E61" cm="1">
        <f t="array" ref="E61">INDEX($A$6:$X$41, COLUMN(E17), ROW(E17))</f>
        <v>0.84162296718787832</v>
      </c>
      <c r="F61" cm="1">
        <f t="array" ref="F61">INDEX($A$6:$X$41, COLUMN(F17), ROW(F17))</f>
        <v>0</v>
      </c>
      <c r="G61" cm="1">
        <f t="array" ref="G61">INDEX($A$6:$X$41, COLUMN(G17), ROW(G17))</f>
        <v>0</v>
      </c>
      <c r="H61" cm="1">
        <f t="array" ref="H61">INDEX($A$6:$X$41, COLUMN(H17), ROW(H17))</f>
        <v>2.0529448465024702E-3</v>
      </c>
      <c r="I61" cm="1">
        <f t="array" ref="I61">INDEX($A$6:$X$41, COLUMN(I17), ROW(I17))</f>
        <v>2.649123107576438E-3</v>
      </c>
      <c r="J61" cm="1">
        <f t="array" ref="J61">INDEX($A$6:$X$41, COLUMN(J17), ROW(J17))</f>
        <v>0.17134543302019684</v>
      </c>
      <c r="K61" cm="1">
        <f t="array" ref="K61">INDEX($A$6:$X$41, COLUMN(K17), ROW(K17))</f>
        <v>0.82395249902572421</v>
      </c>
      <c r="L61" cm="1">
        <f t="array" ref="L61">INDEX($A$6:$X$41, COLUMN(L17), ROW(L17))</f>
        <v>0</v>
      </c>
      <c r="M61" cm="1">
        <f t="array" ref="M61">INDEX($A$6:$X$41, COLUMN(M17), ROW(M17))</f>
        <v>0</v>
      </c>
      <c r="N61" cm="1">
        <f t="array" ref="N61">INDEX($A$6:$X$41, COLUMN(N17), ROW(N17))</f>
        <v>0</v>
      </c>
      <c r="O61" cm="1">
        <f t="array" ref="O61">INDEX($A$6:$X$41, COLUMN(O17), ROW(O17))</f>
        <v>0</v>
      </c>
      <c r="P61" cm="1">
        <f t="array" ref="P61">INDEX($A$6:$X$41, COLUMN(P17), ROW(P17))</f>
        <v>0</v>
      </c>
      <c r="Q61" cm="1">
        <f t="array" ref="Q61">INDEX($A$6:$X$41, COLUMN(Q17), ROW(Q17))</f>
        <v>0</v>
      </c>
      <c r="R61" cm="1">
        <f t="array" ref="R61">INDEX($A$6:$X$41, COLUMN(R17), ROW(R17))</f>
        <v>0</v>
      </c>
      <c r="S61" cm="1">
        <f t="array" ref="S61">INDEX($A$6:$X$41, COLUMN(S17), ROW(S17))</f>
        <v>0</v>
      </c>
      <c r="T61" cm="1">
        <f t="array" ref="T61">INDEX($A$6:$X$41, COLUMN(T17), ROW(T17))</f>
        <v>0</v>
      </c>
      <c r="U61" cm="1">
        <f t="array" ref="U61">INDEX($A$6:$X$41, COLUMN(U17), ROW(U17))</f>
        <v>0</v>
      </c>
      <c r="V61" cm="1">
        <f t="array" ref="V61">INDEX($A$6:$X$41, COLUMN(V17), ROW(V17))</f>
        <v>1.1185026504079139E-3</v>
      </c>
      <c r="W61" cm="1">
        <f t="array" ref="W61">INDEX($A$6:$X$41, COLUMN(W17), ROW(W17))</f>
        <v>2.017627549731955E-3</v>
      </c>
      <c r="X61" cm="1">
        <f t="array" ref="X61">INDEX($A$6:$X$41, COLUMN(X17), ROW(X17))</f>
        <v>0.12163752713539241</v>
      </c>
      <c r="Y61" cm="1">
        <f t="array" ref="Y61">INDEX($A$6:$X$41, COLUMN(Y17), ROW(Y17))</f>
        <v>0.87522634266446764</v>
      </c>
      <c r="Z61" cm="1">
        <f t="array" ref="Z61">INDEX($A$6:$X$41, COLUMN(Z17), ROW(Z17))</f>
        <v>0</v>
      </c>
      <c r="AA61" cm="1">
        <f t="array" ref="AA61">INDEX($A$6:$X$41, COLUMN(AA17), ROW(AA17))</f>
        <v>0</v>
      </c>
      <c r="AB61" cm="1">
        <f t="array" ref="AB61">INDEX($A$6:$X$41, COLUMN(AB17), ROW(AB17))</f>
        <v>1.2081870662228147E-3</v>
      </c>
      <c r="AC61" cm="1">
        <f t="array" ref="AC61">INDEX($A$6:$X$41, COLUMN(AC17), ROW(AC17))</f>
        <v>2.4179568851404507E-3</v>
      </c>
      <c r="AD61" cm="1">
        <f t="array" ref="AD61">INDEX($A$6:$X$41, COLUMN(AD17), ROW(AD17))</f>
        <v>0.14604334086686194</v>
      </c>
      <c r="AE61" cm="1">
        <f t="array" ref="AE61">INDEX($A$6:$X$41, COLUMN(AE17), ROW(AE17))</f>
        <v>0.85033051518177472</v>
      </c>
      <c r="AF61" cm="1">
        <f t="array" ref="AF61">INDEX($A$6:$X$41, COLUMN(AF17), ROW(AF17))</f>
        <v>0</v>
      </c>
      <c r="AG61" cm="1">
        <f t="array" ref="AG61">INDEX($A$6:$X$41, COLUMN(AG17), ROW(AG17))</f>
        <v>0</v>
      </c>
      <c r="AH61" cm="1">
        <f t="array" ref="AH61">INDEX($A$6:$X$41, COLUMN(AH17), ROW(AH17))</f>
        <v>0</v>
      </c>
      <c r="AI61" cm="1">
        <f t="array" ref="AI61">INDEX($A$6:$X$41, COLUMN(AI17), ROW(AI17))</f>
        <v>0</v>
      </c>
      <c r="AJ61" cm="1">
        <f t="array" ref="AJ61">INDEX($A$6:$X$41, COLUMN(AJ17), ROW(AJ17))</f>
        <v>0</v>
      </c>
    </row>
    <row r="62" spans="1:36" x14ac:dyDescent="0.2">
      <c r="A62" cm="1">
        <f t="array" ref="A62">INDEX($A$6:$X$41, COLUMN(A18), ROW(A18))</f>
        <v>0</v>
      </c>
      <c r="B62" cm="1">
        <f t="array" ref="B62">INDEX($A$6:$X$41, COLUMN(B18), ROW(B18))</f>
        <v>0</v>
      </c>
      <c r="C62" cm="1">
        <f t="array" ref="C62">INDEX($A$6:$X$41, COLUMN(C18), ROW(C18))</f>
        <v>0</v>
      </c>
      <c r="D62" cm="1">
        <f t="array" ref="D62">INDEX($A$6:$X$41, COLUMN(D18), ROW(D18))</f>
        <v>0</v>
      </c>
      <c r="E62" cm="1">
        <f t="array" ref="E62">INDEX($A$6:$X$41, COLUMN(E18), ROW(E18))</f>
        <v>0</v>
      </c>
      <c r="F62" cm="1">
        <f t="array" ref="F62">INDEX($A$6:$X$41, COLUMN(F18), ROW(F18))</f>
        <v>0</v>
      </c>
      <c r="G62" cm="1">
        <f t="array" ref="G62">INDEX($A$6:$X$41, COLUMN(G18), ROW(G18))</f>
        <v>0</v>
      </c>
      <c r="H62" cm="1">
        <f t="array" ref="H62">INDEX($A$6:$X$41, COLUMN(H18), ROW(H18))</f>
        <v>0</v>
      </c>
      <c r="I62" cm="1">
        <f t="array" ref="I62">INDEX($A$6:$X$41, COLUMN(I18), ROW(I18))</f>
        <v>0</v>
      </c>
      <c r="J62" cm="1">
        <f t="array" ref="J62">INDEX($A$6:$X$41, COLUMN(J18), ROW(J18))</f>
        <v>0</v>
      </c>
      <c r="K62" cm="1">
        <f t="array" ref="K62">INDEX($A$6:$X$41, COLUMN(K18), ROW(K18))</f>
        <v>0</v>
      </c>
      <c r="L62" cm="1">
        <f t="array" ref="L62">INDEX($A$6:$X$41, COLUMN(L18), ROW(L18))</f>
        <v>0</v>
      </c>
      <c r="M62" cm="1">
        <f t="array" ref="M62">INDEX($A$6:$X$41, COLUMN(M18), ROW(M18))</f>
        <v>0</v>
      </c>
      <c r="N62" cm="1">
        <f t="array" ref="N62">INDEX($A$6:$X$41, COLUMN(N18), ROW(N18))</f>
        <v>0</v>
      </c>
      <c r="O62" cm="1">
        <f t="array" ref="O62">INDEX($A$6:$X$41, COLUMN(O18), ROW(O18))</f>
        <v>0</v>
      </c>
      <c r="P62" cm="1">
        <f t="array" ref="P62">INDEX($A$6:$X$41, COLUMN(P18), ROW(P18))</f>
        <v>0</v>
      </c>
      <c r="Q62" cm="1">
        <f t="array" ref="Q62">INDEX($A$6:$X$41, COLUMN(Q18), ROW(Q18))</f>
        <v>0</v>
      </c>
      <c r="R62" cm="1">
        <f t="array" ref="R62">INDEX($A$6:$X$41, COLUMN(R18), ROW(R18))</f>
        <v>0</v>
      </c>
      <c r="S62" cm="1">
        <f t="array" ref="S62">INDEX($A$6:$X$41, COLUMN(S18), ROW(S18))</f>
        <v>0</v>
      </c>
      <c r="T62" cm="1">
        <f t="array" ref="T62">INDEX($A$6:$X$41, COLUMN(T18), ROW(T18))</f>
        <v>0</v>
      </c>
      <c r="U62" cm="1">
        <f t="array" ref="U62">INDEX($A$6:$X$41, COLUMN(U18), ROW(U18))</f>
        <v>0</v>
      </c>
      <c r="V62" cm="1">
        <f t="array" ref="V62">INDEX($A$6:$X$41, COLUMN(V18), ROW(V18))</f>
        <v>0</v>
      </c>
      <c r="W62" cm="1">
        <f t="array" ref="W62">INDEX($A$6:$X$41, COLUMN(W18), ROW(W18))</f>
        <v>0</v>
      </c>
      <c r="X62" cm="1">
        <f t="array" ref="X62">INDEX($A$6:$X$41, COLUMN(X18), ROW(X18))</f>
        <v>0</v>
      </c>
      <c r="Y62" cm="1">
        <f t="array" ref="Y62">INDEX($A$6:$X$41, COLUMN(Y18), ROW(Y18))</f>
        <v>0</v>
      </c>
      <c r="Z62" cm="1">
        <f t="array" ref="Z62">INDEX($A$6:$X$41, COLUMN(Z18), ROW(Z18))</f>
        <v>0</v>
      </c>
      <c r="AA62" cm="1">
        <f t="array" ref="AA62">INDEX($A$6:$X$41, COLUMN(AA18), ROW(AA18))</f>
        <v>0</v>
      </c>
      <c r="AB62" cm="1">
        <f t="array" ref="AB62">INDEX($A$6:$X$41, COLUMN(AB18), ROW(AB18))</f>
        <v>0</v>
      </c>
      <c r="AC62" cm="1">
        <f t="array" ref="AC62">INDEX($A$6:$X$41, COLUMN(AC18), ROW(AC18))</f>
        <v>0</v>
      </c>
      <c r="AD62" cm="1">
        <f t="array" ref="AD62">INDEX($A$6:$X$41, COLUMN(AD18), ROW(AD18))</f>
        <v>0</v>
      </c>
      <c r="AE62" cm="1">
        <f t="array" ref="AE62">INDEX($A$6:$X$41, COLUMN(AE18), ROW(AE18))</f>
        <v>0</v>
      </c>
      <c r="AF62" cm="1">
        <f t="array" ref="AF62">INDEX($A$6:$X$41, COLUMN(AF18), ROW(AF18))</f>
        <v>0</v>
      </c>
      <c r="AG62" cm="1">
        <f t="array" ref="AG62">INDEX($A$6:$X$41, COLUMN(AG18), ROW(AG18))</f>
        <v>0</v>
      </c>
      <c r="AH62" cm="1">
        <f t="array" ref="AH62">INDEX($A$6:$X$41, COLUMN(AH18), ROW(AH18))</f>
        <v>0</v>
      </c>
      <c r="AI62" cm="1">
        <f t="array" ref="AI62">INDEX($A$6:$X$41, COLUMN(AI18), ROW(AI18))</f>
        <v>0</v>
      </c>
      <c r="AJ62" cm="1">
        <f t="array" ref="AJ62">INDEX($A$6:$X$41, COLUMN(AJ18), ROW(AJ18))</f>
        <v>0</v>
      </c>
    </row>
    <row r="63" spans="1:36" x14ac:dyDescent="0.2">
      <c r="A63" t="str" cm="1">
        <f t="array" ref="A63">INDEX($A$6:$X$41, COLUMN(A19), ROW(A19))</f>
        <v>CED</v>
      </c>
      <c r="B63" cm="1">
        <f t="array" ref="B63">INDEX($A$6:$X$41, COLUMN(B19), ROW(B19))</f>
        <v>0.49365077104807992</v>
      </c>
      <c r="C63" cm="1">
        <f t="array" ref="C63">INDEX($A$6:$X$41, COLUMN(C19), ROW(C19))</f>
        <v>0.58517981699560651</v>
      </c>
      <c r="D63" cm="1">
        <f t="array" ref="D63">INDEX($A$6:$X$41, COLUMN(D19), ROW(D19))</f>
        <v>54.163285299557842</v>
      </c>
      <c r="E63" cm="1">
        <f t="array" ref="E63">INDEX($A$6:$X$41, COLUMN(E19), ROW(E19))</f>
        <v>205.48982881662778</v>
      </c>
      <c r="F63" cm="1">
        <f t="array" ref="F63">INDEX($A$6:$X$41, COLUMN(F19), ROW(F19))</f>
        <v>260.73194470422931</v>
      </c>
      <c r="G63" cm="1">
        <f t="array" ref="G63">INDEX($A$6:$X$41, COLUMN(G19), ROW(G19))</f>
        <v>0</v>
      </c>
      <c r="H63" cm="1">
        <f t="array" ref="H63">INDEX($A$6:$X$41, COLUMN(H19), ROW(H19))</f>
        <v>3.4585303919721526</v>
      </c>
      <c r="I63" cm="1">
        <f t="array" ref="I63">INDEX($A$6:$X$41, COLUMN(I19), ROW(I19))</f>
        <v>4.4630242726215252</v>
      </c>
      <c r="J63" cm="1">
        <f t="array" ref="J63">INDEX($A$6:$X$41, COLUMN(J19), ROW(J19))</f>
        <v>421.25381546441167</v>
      </c>
      <c r="K63" cm="1">
        <f t="array" ref="K63">INDEX($A$6:$X$41, COLUMN(K19), ROW(K19))</f>
        <v>1414.4252409515457</v>
      </c>
      <c r="L63" cm="1">
        <f t="array" ref="L63">INDEX($A$6:$X$41, COLUMN(L19), ROW(L19))</f>
        <v>1843.6006110805511</v>
      </c>
      <c r="M63" cm="1">
        <f t="array" ref="M63">INDEX($A$6:$X$41, COLUMN(M19), ROW(M19))</f>
        <v>0</v>
      </c>
      <c r="N63" cm="1">
        <f t="array" ref="N63">INDEX($A$6:$X$41, COLUMN(N19), ROW(N19))</f>
        <v>260.73194470422931</v>
      </c>
      <c r="O63" cm="1">
        <f t="array" ref="O63">INDEX($A$6:$X$41, COLUMN(O19), ROW(O19))</f>
        <v>1843.6006110805511</v>
      </c>
      <c r="P63" cm="1">
        <f t="array" ref="P63">INDEX($A$6:$X$41, COLUMN(P19), ROW(P19))</f>
        <v>0</v>
      </c>
      <c r="Q63" cm="1">
        <f t="array" ref="Q63">INDEX($A$6:$X$41, COLUMN(Q19), ROW(Q19))</f>
        <v>0</v>
      </c>
      <c r="R63" cm="1">
        <f t="array" ref="R63">INDEX($A$6:$X$41, COLUMN(R19), ROW(R19))</f>
        <v>0</v>
      </c>
      <c r="S63" cm="1">
        <f t="array" ref="S63">INDEX($A$6:$X$41, COLUMN(S19), ROW(S19))</f>
        <v>0</v>
      </c>
      <c r="T63" cm="1">
        <f t="array" ref="T63">INDEX($A$6:$X$41, COLUMN(T19), ROW(T19))</f>
        <v>0</v>
      </c>
      <c r="U63" t="str" cm="1">
        <f t="array" ref="U63">INDEX($A$6:$X$41, COLUMN(U19), ROW(U19))</f>
        <v>CED</v>
      </c>
      <c r="V63" cm="1">
        <f t="array" ref="V63">INDEX($A$6:$X$41, COLUMN(V19), ROW(V19))</f>
        <v>0.26195306957273895</v>
      </c>
      <c r="W63" cm="1">
        <f t="array" ref="W63">INDEX($A$6:$X$41, COLUMN(W19), ROW(W19))</f>
        <v>0.47253478558993878</v>
      </c>
      <c r="X63" cm="1">
        <f t="array" ref="X63">INDEX($A$6:$X$41, COLUMN(X19), ROW(X19))</f>
        <v>40.558484513446885</v>
      </c>
      <c r="Y63" cm="1">
        <f t="array" ref="Y63">INDEX($A$6:$X$41, COLUMN(Y19), ROW(Y19))</f>
        <v>202.62578220531159</v>
      </c>
      <c r="Z63" cm="1">
        <f t="array" ref="Z63">INDEX($A$6:$X$41, COLUMN(Z19), ROW(Z19))</f>
        <v>243.91875457392115</v>
      </c>
      <c r="AA63" cm="1">
        <f t="array" ref="AA63">INDEX($A$6:$X$41, COLUMN(AA19), ROW(AA19))</f>
        <v>0</v>
      </c>
      <c r="AB63" cm="1">
        <f t="array" ref="AB63">INDEX($A$6:$X$41, COLUMN(AB19), ROW(AB19))</f>
        <v>1.8413512640855392</v>
      </c>
      <c r="AC63" cm="1">
        <f t="array" ref="AC63">INDEX($A$6:$X$41, COLUMN(AC19), ROW(AC19))</f>
        <v>3.6852466283043399</v>
      </c>
      <c r="AD63" cm="1">
        <f t="array" ref="AD63">INDEX($A$6:$X$41, COLUMN(AD19), ROW(AD19))</f>
        <v>324.82276913111031</v>
      </c>
      <c r="AE63" cm="1">
        <f t="array" ref="AE63">INDEX($A$6:$X$41, COLUMN(AE19), ROW(AE19))</f>
        <v>1328.8182894052236</v>
      </c>
      <c r="AF63" cm="1">
        <f t="array" ref="AF63">INDEX($A$6:$X$41, COLUMN(AF19), ROW(AF19))</f>
        <v>1659.1676564287238</v>
      </c>
      <c r="AG63" cm="1">
        <f t="array" ref="AG63">INDEX($A$6:$X$41, COLUMN(AG19), ROW(AG19))</f>
        <v>0</v>
      </c>
      <c r="AH63" cm="1">
        <f t="array" ref="AH63">INDEX($A$6:$X$41, COLUMN(AH19), ROW(AH19))</f>
        <v>243.91875457392115</v>
      </c>
      <c r="AI63" cm="1">
        <f t="array" ref="AI63">INDEX($A$6:$X$41, COLUMN(AI19), ROW(AI19))</f>
        <v>1659.1676564287238</v>
      </c>
      <c r="AJ63" cm="1">
        <f t="array" ref="AJ63">INDEX($A$6:$X$41, COLUMN(AJ19), ROW(AJ19))</f>
        <v>0</v>
      </c>
    </row>
    <row r="64" spans="1:36" x14ac:dyDescent="0.2">
      <c r="A64" t="str" cm="1">
        <f t="array" ref="A64">INDEX($A$6:$X$41, COLUMN(A20), ROW(A20))</f>
        <v>CED</v>
      </c>
      <c r="B64" cm="1">
        <f t="array" ref="B64">INDEX($A$6:$X$41, COLUMN(B20), ROW(B20))</f>
        <v>4.8061381492648776E-2</v>
      </c>
      <c r="C64" cm="1">
        <f t="array" ref="C64">INDEX($A$6:$X$41, COLUMN(C20), ROW(C20))</f>
        <v>5.6985093661227476E-2</v>
      </c>
      <c r="D64" cm="1">
        <f t="array" ref="D64">INDEX($A$6:$X$41, COLUMN(D20), ROW(D20))</f>
        <v>5.2738668658970429</v>
      </c>
      <c r="E64" cm="1">
        <f t="array" ref="E64">INDEX($A$6:$X$41, COLUMN(E20), ROW(E20))</f>
        <v>20.004260903576725</v>
      </c>
      <c r="F64" cm="1">
        <f t="array" ref="F64">INDEX($A$6:$X$41, COLUMN(F20), ROW(F20))</f>
        <v>25.383174244627643</v>
      </c>
      <c r="G64" cm="1">
        <f t="array" ref="G64">INDEX($A$6:$X$41, COLUMN(G20), ROW(G20))</f>
        <v>0</v>
      </c>
      <c r="H64" cm="1">
        <f t="array" ref="H64">INDEX($A$6:$X$41, COLUMN(H20), ROW(H20))</f>
        <v>0.37184909914164799</v>
      </c>
      <c r="I64" cm="1">
        <f t="array" ref="I64">INDEX($A$6:$X$41, COLUMN(I20), ROW(I20))</f>
        <v>0.47981664666423257</v>
      </c>
      <c r="J64" cm="1">
        <f t="array" ref="J64">INDEX($A$6:$X$41, COLUMN(J20), ROW(J20))</f>
        <v>45.143025011790961</v>
      </c>
      <c r="K64" cm="1">
        <f t="array" ref="K64">INDEX($A$6:$X$41, COLUMN(K20), ROW(K20))</f>
        <v>152.46923673529582</v>
      </c>
      <c r="L64" cm="1">
        <f t="array" ref="L64">INDEX($A$6:$X$41, COLUMN(L20), ROW(L20))</f>
        <v>198.46392749289265</v>
      </c>
      <c r="M64" cm="1">
        <f t="array" ref="M64">INDEX($A$6:$X$41, COLUMN(M20), ROW(M20))</f>
        <v>0</v>
      </c>
      <c r="N64" cm="1">
        <f t="array" ref="N64">INDEX($A$6:$X$41, COLUMN(N20), ROW(N20))</f>
        <v>25.383174244627643</v>
      </c>
      <c r="O64" cm="1">
        <f t="array" ref="O64">INDEX($A$6:$X$41, COLUMN(O20), ROW(O20))</f>
        <v>198.46392749289265</v>
      </c>
      <c r="P64" cm="1">
        <f t="array" ref="P64">INDEX($A$6:$X$41, COLUMN(P20), ROW(P20))</f>
        <v>0</v>
      </c>
      <c r="Q64" cm="1">
        <f t="array" ref="Q64">INDEX($A$6:$X$41, COLUMN(Q20), ROW(Q20))</f>
        <v>0</v>
      </c>
      <c r="R64" cm="1">
        <f t="array" ref="R64">INDEX($A$6:$X$41, COLUMN(R20), ROW(R20))</f>
        <v>0</v>
      </c>
      <c r="S64" cm="1">
        <f t="array" ref="S64">INDEX($A$6:$X$41, COLUMN(S20), ROW(S20))</f>
        <v>0</v>
      </c>
      <c r="T64" cm="1">
        <f t="array" ref="T64">INDEX($A$6:$X$41, COLUMN(T20), ROW(T20))</f>
        <v>0</v>
      </c>
      <c r="U64" t="str" cm="1">
        <f t="array" ref="U64">INDEX($A$6:$X$41, COLUMN(U20), ROW(U20))</f>
        <v>CED</v>
      </c>
      <c r="V64" cm="1">
        <f t="array" ref="V64">INDEX($A$6:$X$41, COLUMN(V20), ROW(V20))</f>
        <v>2.5526945525871855E-2</v>
      </c>
      <c r="W64" cm="1">
        <f t="array" ref="W64">INDEX($A$6:$X$41, COLUMN(W20), ROW(W20))</f>
        <v>4.6066078273842265E-2</v>
      </c>
      <c r="X64" cm="1">
        <f t="array" ref="X64">INDEX($A$6:$X$41, COLUMN(X20), ROW(X20))</f>
        <v>3.9540000759555949</v>
      </c>
      <c r="Y64" cm="1">
        <f t="array" ref="Y64">INDEX($A$6:$X$41, COLUMN(Y20), ROW(Y20))</f>
        <v>19.881527318975365</v>
      </c>
      <c r="Z64" cm="1">
        <f t="array" ref="Z64">INDEX($A$6:$X$41, COLUMN(Z20), ROW(Z20))</f>
        <v>23.907120418730674</v>
      </c>
      <c r="AA64" cm="1">
        <f t="array" ref="AA64">INDEX($A$6:$X$41, COLUMN(AA20), ROW(AA20))</f>
        <v>0</v>
      </c>
      <c r="AB64" cm="1">
        <f t="array" ref="AB64">INDEX($A$6:$X$41, COLUMN(AB20), ROW(AB20))</f>
        <v>0.20246889902396278</v>
      </c>
      <c r="AC64" cm="1">
        <f t="array" ref="AC64">INDEX($A$6:$X$41, COLUMN(AC20), ROW(AC20))</f>
        <v>0.40528990909383805</v>
      </c>
      <c r="AD64" cm="1">
        <f t="array" ref="AD64">INDEX($A$6:$X$41, COLUMN(AD20), ROW(AD20))</f>
        <v>35.608238682815895</v>
      </c>
      <c r="AE64" cm="1">
        <f t="array" ref="AE64">INDEX($A$6:$X$41, COLUMN(AE20), ROW(AE20))</f>
        <v>161.7443824820792</v>
      </c>
      <c r="AF64" cm="1">
        <f t="array" ref="AF64">INDEX($A$6:$X$41, COLUMN(AF20), ROW(AF20))</f>
        <v>197.96037997301289</v>
      </c>
      <c r="AG64" cm="1">
        <f t="array" ref="AG64">INDEX($A$6:$X$41, COLUMN(AG20), ROW(AG20))</f>
        <v>0</v>
      </c>
      <c r="AH64" cm="1">
        <f t="array" ref="AH64">INDEX($A$6:$X$41, COLUMN(AH20), ROW(AH20))</f>
        <v>23.907120418730674</v>
      </c>
      <c r="AI64" cm="1">
        <f t="array" ref="AI64">INDEX($A$6:$X$41, COLUMN(AI20), ROW(AI20))</f>
        <v>197.96037997301289</v>
      </c>
      <c r="AJ64" cm="1">
        <f t="array" ref="AJ64">INDEX($A$6:$X$41, COLUMN(AJ20), ROW(AJ20))</f>
        <v>0</v>
      </c>
    </row>
    <row r="65" spans="1:36" x14ac:dyDescent="0.2">
      <c r="A65" cm="1">
        <f t="array" ref="A65">INDEX($A$6:$X$41, COLUMN(A21), ROW(A21))</f>
        <v>0</v>
      </c>
      <c r="B65" cm="1">
        <f t="array" ref="B65">INDEX($A$6:$X$41, COLUMN(B21), ROW(B21))</f>
        <v>1.8933267713247431E-3</v>
      </c>
      <c r="C65" cm="1">
        <f t="array" ref="C65">INDEX($A$6:$X$41, COLUMN(C21), ROW(C21))</f>
        <v>2.2443733070737701E-3</v>
      </c>
      <c r="D65" cm="1">
        <f t="array" ref="D65">INDEX($A$6:$X$41, COLUMN(D21), ROW(D21))</f>
        <v>0.20773551687730446</v>
      </c>
      <c r="E65" cm="1">
        <f t="array" ref="E65">INDEX($A$6:$X$41, COLUMN(E21), ROW(E21))</f>
        <v>0.78812678304429706</v>
      </c>
      <c r="F65" cm="1">
        <f t="array" ref="F65">INDEX($A$6:$X$41, COLUMN(F21), ROW(F21))</f>
        <v>0</v>
      </c>
      <c r="G65" cm="1">
        <f t="array" ref="G65">INDEX($A$6:$X$41, COLUMN(G21), ROW(G21))</f>
        <v>0</v>
      </c>
      <c r="H65" cm="1">
        <f t="array" ref="H65">INDEX($A$6:$X$41, COLUMN(H21), ROW(H21))</f>
        <v>1.8759650930822141E-3</v>
      </c>
      <c r="I65" cm="1">
        <f t="array" ref="I65">INDEX($A$6:$X$41, COLUMN(I21), ROW(I21))</f>
        <v>2.4208194799879711E-3</v>
      </c>
      <c r="J65" cm="1">
        <f t="array" ref="J65">INDEX($A$6:$X$41, COLUMN(J21), ROW(J21))</f>
        <v>0.22849515938135376</v>
      </c>
      <c r="K65" cm="1">
        <f t="array" ref="K65">INDEX($A$6:$X$41, COLUMN(K21), ROW(K21))</f>
        <v>0.76720805604557607</v>
      </c>
      <c r="L65" cm="1">
        <f t="array" ref="L65">INDEX($A$6:$X$41, COLUMN(L21), ROW(L21))</f>
        <v>0</v>
      </c>
      <c r="M65" cm="1">
        <f t="array" ref="M65">INDEX($A$6:$X$41, COLUMN(M21), ROW(M21))</f>
        <v>0</v>
      </c>
      <c r="N65" cm="1">
        <f t="array" ref="N65">INDEX($A$6:$X$41, COLUMN(N21), ROW(N21))</f>
        <v>0</v>
      </c>
      <c r="O65" cm="1">
        <f t="array" ref="O65">INDEX($A$6:$X$41, COLUMN(O21), ROW(O21))</f>
        <v>0</v>
      </c>
      <c r="P65" cm="1">
        <f t="array" ref="P65">INDEX($A$6:$X$41, COLUMN(P21), ROW(P21))</f>
        <v>0</v>
      </c>
      <c r="Q65" cm="1">
        <f t="array" ref="Q65">INDEX($A$6:$X$41, COLUMN(Q21), ROW(Q21))</f>
        <v>0</v>
      </c>
      <c r="R65" cm="1">
        <f t="array" ref="R65">INDEX($A$6:$X$41, COLUMN(R21), ROW(R21))</f>
        <v>0</v>
      </c>
      <c r="S65" cm="1">
        <f t="array" ref="S65">INDEX($A$6:$X$41, COLUMN(S21), ROW(S21))</f>
        <v>0</v>
      </c>
      <c r="T65" cm="1">
        <f t="array" ref="T65">INDEX($A$6:$X$41, COLUMN(T21), ROW(T21))</f>
        <v>0</v>
      </c>
      <c r="U65" cm="1">
        <f t="array" ref="U65">INDEX($A$6:$X$41, COLUMN(U21), ROW(U21))</f>
        <v>0</v>
      </c>
      <c r="V65" cm="1">
        <f t="array" ref="V65">INDEX($A$6:$X$41, COLUMN(V21), ROW(V21))</f>
        <v>1.0739357456556395E-3</v>
      </c>
      <c r="W65" cm="1">
        <f t="array" ref="W65">INDEX($A$6:$X$41, COLUMN(W21), ROW(W21))</f>
        <v>1.9372630301239672E-3</v>
      </c>
      <c r="X65" cm="1">
        <f t="array" ref="X65">INDEX($A$6:$X$41, COLUMN(X21), ROW(X21))</f>
        <v>0.16627866350127404</v>
      </c>
      <c r="Y65" cm="1">
        <f t="array" ref="Y65">INDEX($A$6:$X$41, COLUMN(Y21), ROW(Y21))</f>
        <v>0.83071013772294633</v>
      </c>
      <c r="Z65" cm="1">
        <f t="array" ref="Z65">INDEX($A$6:$X$41, COLUMN(Z21), ROW(Z21))</f>
        <v>0</v>
      </c>
      <c r="AA65" cm="1">
        <f t="array" ref="AA65">INDEX($A$6:$X$41, COLUMN(AA21), ROW(AA21))</f>
        <v>0</v>
      </c>
      <c r="AB65" cm="1">
        <f t="array" ref="AB65">INDEX($A$6:$X$41, COLUMN(AB21), ROW(AB21))</f>
        <v>1.109804218368719E-3</v>
      </c>
      <c r="AC65" cm="1">
        <f t="array" ref="AC65">INDEX($A$6:$X$41, COLUMN(AC21), ROW(AC21))</f>
        <v>2.2211417960235863E-3</v>
      </c>
      <c r="AD65" cm="1">
        <f t="array" ref="AD65">INDEX($A$6:$X$41, COLUMN(AD21), ROW(AD21))</f>
        <v>0.19577453060426409</v>
      </c>
      <c r="AE65" cm="1">
        <f t="array" ref="AE65">INDEX($A$6:$X$41, COLUMN(AE21), ROW(AE21))</f>
        <v>0.80089452338134359</v>
      </c>
      <c r="AF65" cm="1">
        <f t="array" ref="AF65">INDEX($A$6:$X$41, COLUMN(AF21), ROW(AF21))</f>
        <v>0</v>
      </c>
      <c r="AG65" cm="1">
        <f t="array" ref="AG65">INDEX($A$6:$X$41, COLUMN(AG21), ROW(AG21))</f>
        <v>0</v>
      </c>
      <c r="AH65" cm="1">
        <f t="array" ref="AH65">INDEX($A$6:$X$41, COLUMN(AH21), ROW(AH21))</f>
        <v>0</v>
      </c>
      <c r="AI65" cm="1">
        <f t="array" ref="AI65">INDEX($A$6:$X$41, COLUMN(AI21), ROW(AI21))</f>
        <v>0</v>
      </c>
      <c r="AJ65" cm="1">
        <f t="array" ref="AJ65">INDEX($A$6:$X$41, COLUMN(AJ21), ROW(AJ21))</f>
        <v>0</v>
      </c>
    </row>
    <row r="66" spans="1:36" x14ac:dyDescent="0.2">
      <c r="A66" cm="1">
        <f t="array" ref="A66">INDEX($A$6:$X$41, COLUMN(A22), ROW(A22))</f>
        <v>0</v>
      </c>
      <c r="B66" t="str" cm="1">
        <f t="array" ref="B66">INDEX($A$6:$X$41, COLUMN(B22), ROW(B22))</f>
        <v>Gas</v>
      </c>
      <c r="C66" t="str" cm="1">
        <f t="array" ref="C66">INDEX($A$6:$X$41, COLUMN(C22), ROW(C22))</f>
        <v>Solid</v>
      </c>
      <c r="D66" t="str" cm="1">
        <f t="array" ref="D66">INDEX($A$6:$X$41, COLUMN(D22), ROW(D22))</f>
        <v>Solvent</v>
      </c>
      <c r="E66" t="str" cm="1">
        <f t="array" ref="E66">INDEX($A$6:$X$41, COLUMN(E22), ROW(E22))</f>
        <v>Water</v>
      </c>
      <c r="F66" cm="1">
        <f t="array" ref="F66">INDEX($A$6:$X$41, COLUMN(F22), ROW(F22))</f>
        <v>0</v>
      </c>
      <c r="G66" cm="1">
        <f t="array" ref="G66">INDEX($A$6:$X$41, COLUMN(G22), ROW(G22))</f>
        <v>0</v>
      </c>
      <c r="H66" t="str" cm="1">
        <f t="array" ref="H66">INDEX($A$6:$X$41, COLUMN(H22), ROW(H22))</f>
        <v>Gas</v>
      </c>
      <c r="I66" t="str" cm="1">
        <f t="array" ref="I66">INDEX($A$6:$X$41, COLUMN(I22), ROW(I22))</f>
        <v>Solid</v>
      </c>
      <c r="J66" t="str" cm="1">
        <f t="array" ref="J66">INDEX($A$6:$X$41, COLUMN(J22), ROW(J22))</f>
        <v>Solvent</v>
      </c>
      <c r="K66" t="str" cm="1">
        <f t="array" ref="K66">INDEX($A$6:$X$41, COLUMN(K22), ROW(K22))</f>
        <v>Water</v>
      </c>
      <c r="L66" cm="1">
        <f t="array" ref="L66">INDEX($A$6:$X$41, COLUMN(L22), ROW(L22))</f>
        <v>0</v>
      </c>
      <c r="M66" cm="1">
        <f t="array" ref="M66">INDEX($A$6:$X$41, COLUMN(M22), ROW(M22))</f>
        <v>0</v>
      </c>
      <c r="N66" cm="1">
        <f t="array" ref="N66">INDEX($A$6:$X$41, COLUMN(N22), ROW(N22))</f>
        <v>0</v>
      </c>
      <c r="O66" cm="1">
        <f t="array" ref="O66">INDEX($A$6:$X$41, COLUMN(O22), ROW(O22))</f>
        <v>0</v>
      </c>
      <c r="P66" cm="1">
        <f t="array" ref="P66">INDEX($A$6:$X$41, COLUMN(P22), ROW(P22))</f>
        <v>0</v>
      </c>
      <c r="Q66" cm="1">
        <f t="array" ref="Q66">INDEX($A$6:$X$41, COLUMN(Q22), ROW(Q22))</f>
        <v>0</v>
      </c>
      <c r="R66" cm="1">
        <f t="array" ref="R66">INDEX($A$6:$X$41, COLUMN(R22), ROW(R22))</f>
        <v>0</v>
      </c>
      <c r="S66" cm="1">
        <f t="array" ref="S66">INDEX($A$6:$X$41, COLUMN(S22), ROW(S22))</f>
        <v>0</v>
      </c>
      <c r="T66" cm="1">
        <f t="array" ref="T66">INDEX($A$6:$X$41, COLUMN(T22), ROW(T22))</f>
        <v>0</v>
      </c>
      <c r="U66" cm="1">
        <f t="array" ref="U66">INDEX($A$6:$X$41, COLUMN(U22), ROW(U22))</f>
        <v>0</v>
      </c>
      <c r="V66" t="str" cm="1">
        <f t="array" ref="V66">INDEX($A$6:$X$41, COLUMN(V22), ROW(V22))</f>
        <v>Gas</v>
      </c>
      <c r="W66" t="str" cm="1">
        <f t="array" ref="W66">INDEX($A$6:$X$41, COLUMN(W22), ROW(W22))</f>
        <v>Solid</v>
      </c>
      <c r="X66" t="str" cm="1">
        <f t="array" ref="X66">INDEX($A$6:$X$41, COLUMN(X22), ROW(X22))</f>
        <v>Solvent</v>
      </c>
      <c r="Y66" t="str" cm="1">
        <f t="array" ref="Y66">INDEX($A$6:$X$41, COLUMN(Y22), ROW(Y22))</f>
        <v>Water</v>
      </c>
      <c r="Z66" cm="1">
        <f t="array" ref="Z66">INDEX($A$6:$X$41, COLUMN(Z22), ROW(Z22))</f>
        <v>0</v>
      </c>
      <c r="AA66" cm="1">
        <f t="array" ref="AA66">INDEX($A$6:$X$41, COLUMN(AA22), ROW(AA22))</f>
        <v>0</v>
      </c>
      <c r="AB66" t="str" cm="1">
        <f t="array" ref="AB66">INDEX($A$6:$X$41, COLUMN(AB22), ROW(AB22))</f>
        <v>Gas</v>
      </c>
      <c r="AC66" t="str" cm="1">
        <f t="array" ref="AC66">INDEX($A$6:$X$41, COLUMN(AC22), ROW(AC22))</f>
        <v>Solid</v>
      </c>
      <c r="AD66" t="str" cm="1">
        <f t="array" ref="AD66">INDEX($A$6:$X$41, COLUMN(AD22), ROW(AD22))</f>
        <v>Solvent</v>
      </c>
      <c r="AE66" t="str" cm="1">
        <f t="array" ref="AE66">INDEX($A$6:$X$41, COLUMN(AE22), ROW(AE22))</f>
        <v>Water</v>
      </c>
      <c r="AF66" cm="1">
        <f t="array" ref="AF66">INDEX($A$6:$X$41, COLUMN(AF22), ROW(AF22))</f>
        <v>0</v>
      </c>
      <c r="AG66" cm="1">
        <f t="array" ref="AG66">INDEX($A$6:$X$41, COLUMN(AG22), ROW(AG22))</f>
        <v>0</v>
      </c>
      <c r="AH66" cm="1">
        <f t="array" ref="AH66">INDEX($A$6:$X$41, COLUMN(AH22), ROW(AH22))</f>
        <v>0</v>
      </c>
      <c r="AI66" cm="1">
        <f t="array" ref="AI66">INDEX($A$6:$X$41, COLUMN(AI22), ROW(AI22))</f>
        <v>0</v>
      </c>
      <c r="AJ66" cm="1">
        <f t="array" ref="AJ66">INDEX($A$6:$X$41, COLUMN(AJ22), ROW(AJ22))</f>
        <v>0</v>
      </c>
    </row>
    <row r="67" spans="1:36" x14ac:dyDescent="0.2">
      <c r="A67" t="s">
        <v>43</v>
      </c>
      <c r="B67" cm="1">
        <f t="array" ref="B67">INDEX($A$6:$X$41, COLUMN(B23), ROW(B23))</f>
        <v>7.2719814858658784</v>
      </c>
      <c r="C67" cm="1">
        <f t="array" ref="C67">INDEX($A$6:$X$41, COLUMN(C23), ROW(C23))</f>
        <v>13.118519847106247</v>
      </c>
      <c r="D67" cm="1">
        <f t="array" ref="D67">INDEX($A$6:$X$41, COLUMN(D23), ROW(D23))</f>
        <v>1242.8874515300299</v>
      </c>
      <c r="E67" cm="1">
        <f t="array" ref="E67">INDEX($A$6:$X$41, COLUMN(E23), ROW(E23))</f>
        <v>1552.3005754809583</v>
      </c>
      <c r="F67" cm="1">
        <f t="array" ref="F67">INDEX($A$6:$X$41, COLUMN(F23), ROW(F23))</f>
        <v>0</v>
      </c>
      <c r="G67" cm="1">
        <f t="array" ref="G67">INDEX($A$6:$X$41, COLUMN(G23), ROW(G23))</f>
        <v>0</v>
      </c>
      <c r="H67" cm="1">
        <f t="array" ref="H67">INDEX($A$6:$X$41, COLUMN(H23), ROW(H23))</f>
        <v>53.994379337390718</v>
      </c>
      <c r="I67" cm="1">
        <f t="array" ref="I67">INDEX($A$6:$X$41, COLUMN(I23), ROW(I23))</f>
        <v>108.06888874028874</v>
      </c>
      <c r="J67" cm="1">
        <f t="array" ref="J67">INDEX($A$6:$X$41, COLUMN(J23), ROW(J23))</f>
        <v>10285.386836845206</v>
      </c>
      <c r="K67" cm="1">
        <f t="array" ref="K67">INDEX($A$6:$X$41, COLUMN(K23), ROW(K23))</f>
        <v>11810.902831263371</v>
      </c>
      <c r="L67" cm="1">
        <f t="array" ref="L67">INDEX($A$6:$X$41, COLUMN(L23), ROW(L23))</f>
        <v>0</v>
      </c>
      <c r="M67" cm="1">
        <f t="array" ref="M67">INDEX($A$6:$X$41, COLUMN(M23), ROW(M23))</f>
        <v>0</v>
      </c>
      <c r="N67" cm="1">
        <f t="array" ref="N67">INDEX($A$6:$X$41, COLUMN(N23), ROW(N23))</f>
        <v>0</v>
      </c>
      <c r="O67" cm="1">
        <f t="array" ref="O67">INDEX($A$6:$X$41, COLUMN(O23), ROW(O23))</f>
        <v>0</v>
      </c>
      <c r="P67" cm="1">
        <f t="array" ref="P67">INDEX($A$6:$X$41, COLUMN(P23), ROW(P23))</f>
        <v>0</v>
      </c>
      <c r="Q67" cm="1">
        <f t="array" ref="Q67">INDEX($A$6:$X$41, COLUMN(Q23), ROW(Q23))</f>
        <v>0</v>
      </c>
      <c r="R67" cm="1">
        <f t="array" ref="R67">INDEX($A$6:$X$41, COLUMN(R23), ROW(R23))</f>
        <v>0</v>
      </c>
      <c r="S67" cm="1">
        <f t="array" ref="S67">INDEX($A$6:$X$41, COLUMN(S23), ROW(S23))</f>
        <v>0</v>
      </c>
      <c r="T67" cm="1">
        <f t="array" ref="T67">INDEX($A$6:$X$41, COLUMN(T23), ROW(T23))</f>
        <v>0</v>
      </c>
      <c r="U67" cm="1">
        <f t="array" ref="U67">INDEX($A$6:$X$41, COLUMN(U23), ROW(U23))</f>
        <v>0</v>
      </c>
      <c r="V67" cm="1">
        <f t="array" ref="V67">INDEX($A$6:$X$41, COLUMN(V23), ROW(V23))</f>
        <v>0.86818242674084489</v>
      </c>
      <c r="W67" cm="1">
        <f t="array" ref="W67">INDEX($A$6:$X$41, COLUMN(W23), ROW(W23))</f>
        <v>10.015432934194312</v>
      </c>
      <c r="X67" cm="1">
        <f t="array" ref="X67">INDEX($A$6:$X$41, COLUMN(X23), ROW(X23))</f>
        <v>828.64740567229865</v>
      </c>
      <c r="Y67" cm="1">
        <f t="array" ref="Y67">INDEX($A$6:$X$41, COLUMN(Y23), ROW(Y23))</f>
        <v>1538.1425739381707</v>
      </c>
      <c r="Z67" cm="1">
        <f t="array" ref="Z67">INDEX($A$6:$X$41, COLUMN(Z23), ROW(Z23))</f>
        <v>0</v>
      </c>
      <c r="AA67" cm="1">
        <f t="array" ref="AA67">INDEX($A$6:$X$41, COLUMN(AA23), ROW(AA23))</f>
        <v>0</v>
      </c>
      <c r="AB67" cm="1">
        <f t="array" ref="AB67">INDEX($A$6:$X$41, COLUMN(AB23), ROW(AB23))</f>
        <v>6.4441276929446261</v>
      </c>
      <c r="AC67" cm="1">
        <f t="array" ref="AC67">INDEX($A$6:$X$41, COLUMN(AC23), ROW(AC23))</f>
        <v>84.992016814354201</v>
      </c>
      <c r="AD67" cm="1">
        <f t="array" ref="AD67">INDEX($A$6:$X$41, COLUMN(AD23), ROW(AD23))</f>
        <v>7206.4969114879796</v>
      </c>
      <c r="AE67" cm="1">
        <f t="array" ref="AE67">INDEX($A$6:$X$41, COLUMN(AE23), ROW(AE23))</f>
        <v>11701.564214424136</v>
      </c>
      <c r="AF67" cm="1">
        <f t="array" ref="AF67">INDEX($A$6:$X$41, COLUMN(AF23), ROW(AF23))</f>
        <v>0</v>
      </c>
      <c r="AG67" cm="1">
        <f t="array" ref="AG67">INDEX($A$6:$X$41, COLUMN(AG23), ROW(AG23))</f>
        <v>0</v>
      </c>
      <c r="AH67" cm="1">
        <f t="array" ref="AH67">INDEX($A$6:$X$41, COLUMN(AH23), ROW(AH23))</f>
        <v>0</v>
      </c>
      <c r="AI67" cm="1">
        <f t="array" ref="AI67">INDEX($A$6:$X$41, COLUMN(AI23), ROW(AI23))</f>
        <v>0</v>
      </c>
      <c r="AJ67" cm="1">
        <f t="array" ref="AJ67">INDEX($A$6:$X$41, COLUMN(AJ23), ROW(AJ23))</f>
        <v>0</v>
      </c>
    </row>
    <row r="68" spans="1:36" x14ac:dyDescent="0.2">
      <c r="A68" t="s">
        <v>44</v>
      </c>
      <c r="B68" cm="1">
        <f t="array" ref="B68">INDEX($A$6:$X$41, COLUMN(B24), ROW(B24))</f>
        <v>2.5827663525133651E-3</v>
      </c>
      <c r="C68" cm="1">
        <f t="array" ref="C68">INDEX($A$6:$X$41, COLUMN(C24), ROW(C24))</f>
        <v>4.6592626400025041E-3</v>
      </c>
      <c r="D68" cm="1">
        <f t="array" ref="D68">INDEX($A$6:$X$41, COLUMN(D24), ROW(D24))</f>
        <v>0.44143235183039253</v>
      </c>
      <c r="E68" cm="1">
        <f t="array" ref="E68">INDEX($A$6:$X$41, COLUMN(E24), ROW(E24))</f>
        <v>0.55132561917709155</v>
      </c>
      <c r="F68" cm="1">
        <f t="array" ref="F68">INDEX($A$6:$X$41, COLUMN(F24), ROW(F24))</f>
        <v>0</v>
      </c>
      <c r="G68" cm="1">
        <f t="array" ref="G68">INDEX($A$6:$X$41, COLUMN(G24), ROW(G24))</f>
        <v>0</v>
      </c>
      <c r="H68" cm="1">
        <f t="array" ref="H68">INDEX($A$6:$X$41, COLUMN(H24), ROW(H24))</f>
        <v>2.425803000437197E-3</v>
      </c>
      <c r="I68" cm="1">
        <f t="array" ref="I68">INDEX($A$6:$X$41, COLUMN(I24), ROW(I24))</f>
        <v>4.8552060006469304E-3</v>
      </c>
      <c r="J68" cm="1">
        <f t="array" ref="J68">INDEX($A$6:$X$41, COLUMN(J24), ROW(J24))</f>
        <v>0.46209110199361869</v>
      </c>
      <c r="K68" cm="1">
        <f t="array" ref="K68">INDEX($A$6:$X$41, COLUMN(K24), ROW(K24))</f>
        <v>0.53062788900529712</v>
      </c>
      <c r="L68" cm="1">
        <f t="array" ref="L68">INDEX($A$6:$X$41, COLUMN(L24), ROW(L24))</f>
        <v>0</v>
      </c>
      <c r="M68" cm="1">
        <f t="array" ref="M68">INDEX($A$6:$X$41, COLUMN(M24), ROW(M24))</f>
        <v>0</v>
      </c>
      <c r="N68" cm="1">
        <f t="array" ref="N68">INDEX($A$6:$X$41, COLUMN(N24), ROW(N24))</f>
        <v>0</v>
      </c>
      <c r="O68" cm="1">
        <f t="array" ref="O68">INDEX($A$6:$X$41, COLUMN(O24), ROW(O24))</f>
        <v>0</v>
      </c>
      <c r="P68" cm="1">
        <f t="array" ref="P68">INDEX($A$6:$X$41, COLUMN(P24), ROW(P24))</f>
        <v>0</v>
      </c>
      <c r="Q68" cm="1">
        <f t="array" ref="Q68">INDEX($A$6:$X$41, COLUMN(Q24), ROW(Q24))</f>
        <v>0</v>
      </c>
      <c r="R68" cm="1">
        <f t="array" ref="R68">INDEX($A$6:$X$41, COLUMN(R24), ROW(R24))</f>
        <v>0</v>
      </c>
      <c r="S68" cm="1">
        <f t="array" ref="S68">INDEX($A$6:$X$41, COLUMN(S24), ROW(S24))</f>
        <v>0</v>
      </c>
      <c r="T68" cm="1">
        <f t="array" ref="T68">INDEX($A$6:$X$41, COLUMN(T24), ROW(T24))</f>
        <v>0</v>
      </c>
      <c r="U68" cm="1">
        <f t="array" ref="U68">INDEX($A$6:$X$41, COLUMN(U24), ROW(U24))</f>
        <v>0</v>
      </c>
      <c r="V68" cm="1">
        <f t="array" ref="V68">INDEX($A$6:$X$41, COLUMN(V24), ROW(V24))</f>
        <v>3.6513944915609247E-4</v>
      </c>
      <c r="W68" cm="1">
        <f t="array" ref="W68">INDEX($A$6:$X$41, COLUMN(W24), ROW(W24))</f>
        <v>4.2122825249757473E-3</v>
      </c>
      <c r="X68" cm="1">
        <f t="array" ref="X68">INDEX($A$6:$X$41, COLUMN(X24), ROW(X24))</f>
        <v>0.34851184259472101</v>
      </c>
      <c r="Y68" cm="1">
        <f t="array" ref="Y68">INDEX($A$6:$X$41, COLUMN(Y24), ROW(Y24))</f>
        <v>0.64691073543114708</v>
      </c>
      <c r="Z68" cm="1">
        <f t="array" ref="Z68">INDEX($A$6:$X$41, COLUMN(Z24), ROW(Z24))</f>
        <v>0</v>
      </c>
      <c r="AA68" cm="1">
        <f t="array" ref="AA68">INDEX($A$6:$X$41, COLUMN(AA24), ROW(AA24))</f>
        <v>0</v>
      </c>
      <c r="AB68" cm="1">
        <f t="array" ref="AB68">INDEX($A$6:$X$41, COLUMN(AB24), ROW(AB24))</f>
        <v>3.3917358976532388E-4</v>
      </c>
      <c r="AC68" cm="1">
        <f t="array" ref="AC68">INDEX($A$6:$X$41, COLUMN(AC24), ROW(AC24))</f>
        <v>4.4733824061060539E-3</v>
      </c>
      <c r="AD68" cm="1">
        <f t="array" ref="AD68">INDEX($A$6:$X$41, COLUMN(AD24), ROW(AD24))</f>
        <v>0.3792993471836687</v>
      </c>
      <c r="AE68" cm="1">
        <f t="array" ref="AE68">INDEX($A$6:$X$41, COLUMN(AE24), ROW(AE24))</f>
        <v>0.61588809682045986</v>
      </c>
      <c r="AF68" cm="1">
        <f t="array" ref="AF68">INDEX($A$6:$X$41, COLUMN(AF24), ROW(AF24))</f>
        <v>0</v>
      </c>
      <c r="AG68" cm="1">
        <f t="array" ref="AG68">INDEX($A$6:$X$41, COLUMN(AG24), ROW(AG24))</f>
        <v>0</v>
      </c>
      <c r="AH68" cm="1">
        <f t="array" ref="AH68">INDEX($A$6:$X$41, COLUMN(AH24), ROW(AH24))</f>
        <v>0</v>
      </c>
      <c r="AI68" cm="1">
        <f t="array" ref="AI68">INDEX($A$6:$X$41, COLUMN(AI24), ROW(AI24))</f>
        <v>0</v>
      </c>
      <c r="AJ68" cm="1">
        <f t="array" ref="AJ68">INDEX($A$6:$X$41, COLUMN(AJ24), ROW(AJ24))</f>
        <v>0</v>
      </c>
    </row>
    <row r="73" spans="1:36" x14ac:dyDescent="0.2">
      <c r="A73" s="4" t="s">
        <v>35</v>
      </c>
      <c r="B73" s="5">
        <v>2025</v>
      </c>
      <c r="C73" s="4"/>
      <c r="D73" s="4"/>
      <c r="E73" s="4"/>
      <c r="F73" s="4"/>
      <c r="G73" s="4"/>
      <c r="H73" s="4"/>
      <c r="I73" s="4"/>
      <c r="J73" s="6">
        <v>2030</v>
      </c>
      <c r="K73" s="1"/>
      <c r="L73" s="1"/>
      <c r="M73" s="1"/>
      <c r="N73" s="1"/>
      <c r="O73" s="1"/>
      <c r="P73" s="1"/>
      <c r="Q73" s="1"/>
    </row>
    <row r="74" spans="1:36" x14ac:dyDescent="0.2">
      <c r="A74" s="4"/>
      <c r="B74" s="4" t="s">
        <v>11</v>
      </c>
      <c r="C74" s="4" t="s">
        <v>12</v>
      </c>
      <c r="D74" s="4" t="s">
        <v>13</v>
      </c>
      <c r="E74" s="4" t="s">
        <v>14</v>
      </c>
      <c r="F74" s="4" t="s">
        <v>15</v>
      </c>
      <c r="G74" s="4" t="s">
        <v>16</v>
      </c>
      <c r="H74" s="4" t="s">
        <v>40</v>
      </c>
      <c r="I74" s="4" t="s">
        <v>0</v>
      </c>
      <c r="J74" s="1" t="s">
        <v>11</v>
      </c>
      <c r="K74" s="1" t="s">
        <v>12</v>
      </c>
      <c r="L74" s="1" t="s">
        <v>13</v>
      </c>
      <c r="M74" s="1" t="s">
        <v>14</v>
      </c>
      <c r="N74" s="1" t="s">
        <v>15</v>
      </c>
      <c r="O74" s="1" t="s">
        <v>16</v>
      </c>
      <c r="P74" s="1" t="s">
        <v>40</v>
      </c>
      <c r="Q74" s="1" t="s">
        <v>0</v>
      </c>
    </row>
    <row r="75" spans="1:36" x14ac:dyDescent="0.2">
      <c r="A75" s="4" t="s">
        <v>36</v>
      </c>
      <c r="B75" s="4">
        <f t="shared" ref="B75:H77" si="5">(B47+V47)/2</f>
        <v>1070400.5161927138</v>
      </c>
      <c r="C75" s="4">
        <f t="shared" si="5"/>
        <v>252517.57669082336</v>
      </c>
      <c r="D75" s="4">
        <f t="shared" si="5"/>
        <v>13188280.063496005</v>
      </c>
      <c r="E75" s="4">
        <f t="shared" si="5"/>
        <v>287668.52979624097</v>
      </c>
      <c r="F75" s="4">
        <f t="shared" si="5"/>
        <v>6891253.8058024049</v>
      </c>
      <c r="G75" s="4">
        <f t="shared" si="5"/>
        <v>2561816.5283267703</v>
      </c>
      <c r="H75" s="4">
        <f t="shared" si="5"/>
        <v>24251937.020304956</v>
      </c>
      <c r="I75" s="4">
        <f>ABS(H47-H75)</f>
        <v>1068601.8191204891</v>
      </c>
      <c r="J75" s="1">
        <f t="shared" ref="J75:P77" si="6">(J47+AD47)/2</f>
        <v>7652940.7079234254</v>
      </c>
      <c r="K75" s="1">
        <f t="shared" si="6"/>
        <v>1629204.8236880302</v>
      </c>
      <c r="L75" s="1">
        <f t="shared" si="6"/>
        <v>87757469.82561408</v>
      </c>
      <c r="M75" s="1">
        <f t="shared" si="6"/>
        <v>2059225.381738601</v>
      </c>
      <c r="N75" s="1">
        <f t="shared" si="6"/>
        <v>45693120.859156936</v>
      </c>
      <c r="O75" s="1">
        <f t="shared" si="6"/>
        <v>23189671.057890501</v>
      </c>
      <c r="P75" s="1">
        <f t="shared" si="6"/>
        <v>167981632.65601158</v>
      </c>
      <c r="Q75" s="1">
        <f>ABS(P47-P75)</f>
        <v>7752767.3349700272</v>
      </c>
    </row>
    <row r="76" spans="1:36" x14ac:dyDescent="0.2">
      <c r="A76" s="4" t="s">
        <v>33</v>
      </c>
      <c r="B76" s="4">
        <f t="shared" si="5"/>
        <v>6.1899494330497996E-2</v>
      </c>
      <c r="C76" s="4">
        <f t="shared" si="5"/>
        <v>2.8649177119575313E-2</v>
      </c>
      <c r="D76" s="4">
        <f t="shared" si="5"/>
        <v>1.4697518944798182</v>
      </c>
      <c r="E76" s="4">
        <f t="shared" si="5"/>
        <v>1.6319088316806833E-2</v>
      </c>
      <c r="F76" s="4">
        <f t="shared" si="5"/>
        <v>0.74693719830692529</v>
      </c>
      <c r="G76" s="4">
        <f t="shared" si="5"/>
        <v>0.14045424549161345</v>
      </c>
      <c r="H76" s="4">
        <f t="shared" si="5"/>
        <v>2.464011098045237</v>
      </c>
      <c r="I76" s="4">
        <f>ABS(H48-H76)</f>
        <v>6.1706464192641697E-2</v>
      </c>
      <c r="J76" s="1">
        <f t="shared" si="6"/>
        <v>0.40800969417941091</v>
      </c>
      <c r="K76" s="1">
        <f t="shared" si="6"/>
        <v>0.16912814523087177</v>
      </c>
      <c r="L76" s="1">
        <f t="shared" si="6"/>
        <v>8.9323884581173019</v>
      </c>
      <c r="M76" s="1">
        <f t="shared" si="6"/>
        <v>0.10793386057584572</v>
      </c>
      <c r="N76" s="1">
        <f t="shared" si="6"/>
        <v>4.5128072077210462</v>
      </c>
      <c r="O76" s="1">
        <f t="shared" si="6"/>
        <v>1.1781210337894987</v>
      </c>
      <c r="P76" s="1">
        <f t="shared" si="6"/>
        <v>15.308388399613975</v>
      </c>
      <c r="Q76" s="1">
        <f>ABS(P48-P76)</f>
        <v>0.41738346443752583</v>
      </c>
    </row>
    <row r="77" spans="1:36" x14ac:dyDescent="0.2">
      <c r="A77" s="4" t="s">
        <v>34</v>
      </c>
      <c r="B77" s="4">
        <f t="shared" si="5"/>
        <v>7737415.8040699009</v>
      </c>
      <c r="C77" s="4">
        <f t="shared" si="5"/>
        <v>2630304.5359650766</v>
      </c>
      <c r="D77" s="4">
        <f t="shared" si="5"/>
        <v>135859157.19430327</v>
      </c>
      <c r="E77" s="4">
        <f t="shared" si="5"/>
        <v>2061249.0239810231</v>
      </c>
      <c r="F77" s="4">
        <f t="shared" si="5"/>
        <v>69799382.992171958</v>
      </c>
      <c r="G77" s="4">
        <f t="shared" si="5"/>
        <v>18111716.918496046</v>
      </c>
      <c r="H77" s="4">
        <f t="shared" si="5"/>
        <v>236199226.46898729</v>
      </c>
      <c r="I77" s="4">
        <f>ABS(H49-H77)</f>
        <v>7719528.1049338579</v>
      </c>
      <c r="J77" s="1">
        <f t="shared" si="6"/>
        <v>54925668.186214954</v>
      </c>
      <c r="K77" s="1">
        <f t="shared" si="6"/>
        <v>16835196.573410641</v>
      </c>
      <c r="L77" s="1">
        <f t="shared" si="6"/>
        <v>895814929.7541616</v>
      </c>
      <c r="M77" s="1">
        <f t="shared" si="6"/>
        <v>14663131.584329359</v>
      </c>
      <c r="N77" s="1">
        <f t="shared" si="6"/>
        <v>457889529.34653461</v>
      </c>
      <c r="O77" s="1">
        <f t="shared" si="6"/>
        <v>163147395.12592995</v>
      </c>
      <c r="P77" s="1">
        <f t="shared" si="6"/>
        <v>1603275850.5705812</v>
      </c>
      <c r="Q77" s="1">
        <f>ABS(P49-P77)</f>
        <v>55891805.858142853</v>
      </c>
    </row>
    <row r="78" spans="1:36" x14ac:dyDescent="0.2">
      <c r="A78" s="4"/>
      <c r="B78" s="4"/>
      <c r="C78" s="4"/>
      <c r="D78" s="4"/>
      <c r="E78" s="4"/>
      <c r="F78" s="4"/>
      <c r="G78" s="4"/>
      <c r="H78" s="4"/>
      <c r="I78" s="4"/>
      <c r="J78" s="1"/>
      <c r="K78" s="1"/>
      <c r="L78" s="1"/>
      <c r="M78" s="1"/>
      <c r="N78" s="1"/>
      <c r="O78" s="1"/>
      <c r="P78" s="1"/>
      <c r="Q78" s="1"/>
    </row>
    <row r="79" spans="1:36" x14ac:dyDescent="0.2">
      <c r="A79" s="4" t="s">
        <v>4</v>
      </c>
      <c r="B79" s="4">
        <f t="shared" ref="B79:H79" si="7">(B51+V51)/2</f>
        <v>198.29873231418671</v>
      </c>
      <c r="C79" s="4">
        <f t="shared" si="7"/>
        <v>18.675883076269283</v>
      </c>
      <c r="D79" s="4">
        <f t="shared" si="7"/>
        <v>1028.0208422367455</v>
      </c>
      <c r="E79" s="4">
        <f t="shared" si="7"/>
        <v>53.907243290017455</v>
      </c>
      <c r="F79" s="4">
        <f t="shared" si="7"/>
        <v>578.539423277894</v>
      </c>
      <c r="G79" s="4">
        <f t="shared" si="7"/>
        <v>521.70404251919263</v>
      </c>
      <c r="H79" s="4">
        <f t="shared" si="7"/>
        <v>2399.1461667143058</v>
      </c>
      <c r="I79" s="4">
        <f>ABS(H51-H79)</f>
        <v>198.29873231418696</v>
      </c>
      <c r="J79" s="1">
        <f t="shared" ref="J79:P79" si="8">(J51+AD51)/2</f>
        <v>1457.0814612066706</v>
      </c>
      <c r="K79" s="1">
        <f t="shared" si="8"/>
        <v>137.22872902172634</v>
      </c>
      <c r="L79" s="1">
        <f t="shared" si="8"/>
        <v>7761.644014286856</v>
      </c>
      <c r="M79" s="1">
        <f t="shared" si="8"/>
        <v>396.10563267843281</v>
      </c>
      <c r="N79" s="1">
        <f t="shared" si="8"/>
        <v>4326.6797023588733</v>
      </c>
      <c r="O79" s="1">
        <f t="shared" si="8"/>
        <v>4833.3514231749086</v>
      </c>
      <c r="P79" s="1">
        <f t="shared" si="8"/>
        <v>18912.090962727467</v>
      </c>
      <c r="Q79" s="1">
        <f>ABS(P51-P79)</f>
        <v>1457.0814612066679</v>
      </c>
    </row>
    <row r="82" spans="1:17" x14ac:dyDescent="0.2">
      <c r="A82" s="4" t="s">
        <v>37</v>
      </c>
      <c r="B82" s="4">
        <f>(B57+V57)/2</f>
        <v>1.863806011209896E-3</v>
      </c>
      <c r="C82" s="4">
        <f>(C57+W57)/2</f>
        <v>2.6315744222235597E-3</v>
      </c>
      <c r="D82" s="4">
        <f>(D57+X57)/2</f>
        <v>0.25619989823930894</v>
      </c>
      <c r="E82" s="4">
        <f>(E57+Y57)/2</f>
        <v>0.73930472132725766</v>
      </c>
      <c r="F82" s="4"/>
      <c r="G82" s="4"/>
      <c r="H82" s="4"/>
      <c r="I82" s="4"/>
      <c r="J82" s="1">
        <f>(H57+AB57)/2</f>
        <v>1.8643197181299558E-3</v>
      </c>
      <c r="K82" s="1">
        <f>(I57+AC57)/2</f>
        <v>2.9001459115312192E-3</v>
      </c>
      <c r="L82" s="1">
        <f>(J57+AD57)/2</f>
        <v>0.28786186787262713</v>
      </c>
      <c r="M82" s="1">
        <f>(K57+AE57)/2</f>
        <v>0.70737366649771172</v>
      </c>
      <c r="N82" s="1"/>
      <c r="O82" s="1"/>
      <c r="P82" s="1"/>
      <c r="Q82" s="1"/>
    </row>
    <row r="83" spans="1:17" x14ac:dyDescent="0.2">
      <c r="A83" s="4" t="s">
        <v>38</v>
      </c>
      <c r="B83" s="4">
        <f>(B61+V61)/2</f>
        <v>1.5584609904615004E-3</v>
      </c>
      <c r="C83" s="4">
        <f>(C61+W61)/2</f>
        <v>2.1932755049767221E-3</v>
      </c>
      <c r="D83" s="4">
        <f>(D61+X61)/2</f>
        <v>0.13782360857838877</v>
      </c>
      <c r="E83" s="4">
        <f>(E61+Y61)/2</f>
        <v>0.85842465492617293</v>
      </c>
      <c r="F83" s="4"/>
      <c r="G83" s="4"/>
      <c r="H83" s="4"/>
      <c r="I83" s="4"/>
      <c r="J83" s="1">
        <f>(H61+AB61)/2</f>
        <v>1.6305659563626423E-3</v>
      </c>
      <c r="K83" s="1">
        <f>(I61+AC61)/2</f>
        <v>2.5335399963584441E-3</v>
      </c>
      <c r="L83" s="1">
        <f>(J61+AD61)/2</f>
        <v>0.15869438694352939</v>
      </c>
      <c r="M83" s="1">
        <f>(K61+AE61)/2</f>
        <v>0.83714150710374946</v>
      </c>
      <c r="N83" s="1"/>
      <c r="O83" s="1"/>
      <c r="P83" s="1"/>
      <c r="Q83" s="1"/>
    </row>
    <row r="84" spans="1:17" x14ac:dyDescent="0.2">
      <c r="A84" s="4" t="s">
        <v>39</v>
      </c>
      <c r="B84" s="4">
        <f>(B65+V65)/2</f>
        <v>1.4836312584901913E-3</v>
      </c>
      <c r="C84" s="4">
        <f>(C65+W65)/2</f>
        <v>2.0908181685988687E-3</v>
      </c>
      <c r="D84" s="4">
        <f>(D65+X65)/2</f>
        <v>0.18700709018928924</v>
      </c>
      <c r="E84" s="4">
        <f>(E65+Y65)/2</f>
        <v>0.80941846038362164</v>
      </c>
      <c r="F84" s="4"/>
      <c r="G84" s="4"/>
      <c r="H84" s="4"/>
      <c r="I84" s="4"/>
      <c r="J84" s="1">
        <f>(H65+AB65)/2</f>
        <v>1.4928846557254664E-3</v>
      </c>
      <c r="K84" s="1">
        <f>(I65+AC65)/2</f>
        <v>2.3209806380057787E-3</v>
      </c>
      <c r="L84" s="1">
        <f>(J65+AD65)/2</f>
        <v>0.21213484499280894</v>
      </c>
      <c r="M84" s="1">
        <f>(K65+AE65)/2</f>
        <v>0.78405128971345983</v>
      </c>
      <c r="N84" s="1"/>
      <c r="O84" s="1"/>
      <c r="P84" s="1"/>
      <c r="Q84" s="1"/>
    </row>
    <row r="86" spans="1:17" x14ac:dyDescent="0.2">
      <c r="A86" s="4" t="s">
        <v>45</v>
      </c>
      <c r="B86" s="4">
        <f>(B68+V68)/2</f>
        <v>1.4739529008347288E-3</v>
      </c>
      <c r="C86" s="4">
        <f t="shared" ref="C86:E86" si="9">(C68+W68)/2</f>
        <v>4.4357725824891257E-3</v>
      </c>
      <c r="D86" s="4">
        <f t="shared" si="9"/>
        <v>0.39497209721255677</v>
      </c>
      <c r="E86" s="4">
        <f t="shared" si="9"/>
        <v>0.59911817730411931</v>
      </c>
      <c r="F86" s="4"/>
      <c r="G86" s="4"/>
      <c r="H86" s="4"/>
      <c r="I86" s="4"/>
      <c r="J86" s="1">
        <f>(H68+AB68)/2</f>
        <v>1.3824882951012603E-3</v>
      </c>
      <c r="K86" s="1">
        <f>(I68+AC68)/2</f>
        <v>4.6642942033764921E-3</v>
      </c>
      <c r="L86" s="1">
        <f>(J68+AD68)/2</f>
        <v>0.42069522458864372</v>
      </c>
      <c r="M86" s="1">
        <f>(K68+AE68)/2</f>
        <v>0.57325799291287849</v>
      </c>
      <c r="N86" s="1"/>
      <c r="O86" s="1"/>
      <c r="P86" s="1"/>
      <c r="Q86" s="1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4754-19C9-C54C-B24E-60A12E6A9F92}">
  <dimension ref="A1:X19"/>
  <sheetViews>
    <sheetView workbookViewId="0">
      <selection activeCell="A3" sqref="A1:C3"/>
    </sheetView>
  </sheetViews>
  <sheetFormatPr baseColWidth="10" defaultRowHeight="16" x14ac:dyDescent="0.2"/>
  <sheetData>
    <row r="1" spans="1:24" x14ac:dyDescent="0.2">
      <c r="B1" s="2"/>
    </row>
    <row r="4" spans="1:24" x14ac:dyDescent="0.2">
      <c r="A4" t="str">
        <f>'[28]data summary'!A35</f>
        <v>yearly</v>
      </c>
      <c r="B4">
        <f>'[28]data summary'!B35</f>
        <v>0</v>
      </c>
      <c r="C4" t="str">
        <f>'[28]data summary'!C35</f>
        <v>CC</v>
      </c>
      <c r="D4" t="str">
        <f>'[28]data summary'!D35</f>
        <v>HTC</v>
      </c>
      <c r="E4" t="str">
        <f>'[28]data summary'!E35</f>
        <v>CED</v>
      </c>
      <c r="G4" t="s">
        <v>6</v>
      </c>
      <c r="I4" s="4">
        <f>'[29]data summary'!M25</f>
        <v>0</v>
      </c>
      <c r="J4" s="4">
        <f>'[29]data summary'!N25</f>
        <v>0</v>
      </c>
      <c r="K4" s="4" t="str">
        <f>'[29]data summary'!O25</f>
        <v>CC</v>
      </c>
      <c r="L4" s="4" t="str">
        <f>'[29]data summary'!P25</f>
        <v>CC</v>
      </c>
      <c r="M4" s="4">
        <f>'[29]data summary'!Q25</f>
        <v>0</v>
      </c>
      <c r="N4" s="4">
        <f>'[29]data summary'!R25</f>
        <v>0</v>
      </c>
      <c r="O4" s="4" t="str">
        <f>'[29]data summary'!S25</f>
        <v>HTC</v>
      </c>
      <c r="P4" s="4" t="str">
        <f>'[29]data summary'!T25</f>
        <v>HTC</v>
      </c>
      <c r="Q4" s="4">
        <f>'[29]data summary'!U25</f>
        <v>0</v>
      </c>
      <c r="R4" s="4">
        <f>'[29]data summary'!V25</f>
        <v>0</v>
      </c>
      <c r="S4" s="4" t="str">
        <f>'[29]data summary'!W25</f>
        <v>CED</v>
      </c>
      <c r="T4" s="4" t="str">
        <f>'[29]data summary'!X25</f>
        <v>CED</v>
      </c>
      <c r="U4" s="4">
        <f>'[29]data summary'!Y25</f>
        <v>0</v>
      </c>
      <c r="W4" t="s">
        <v>4</v>
      </c>
    </row>
    <row r="5" spans="1:24" x14ac:dyDescent="0.2">
      <c r="A5">
        <f>'[28]data summary'!A36</f>
        <v>2025</v>
      </c>
      <c r="B5" t="str">
        <f>'[28]data summary'!B36</f>
        <v>PAG</v>
      </c>
      <c r="C5">
        <f>'[28]data summary'!C36</f>
        <v>4291644.2965727914</v>
      </c>
      <c r="D5">
        <f>'[28]data summary'!D36</f>
        <v>0.24826855991677937</v>
      </c>
      <c r="E5">
        <f>'[28]data summary'!E36</f>
        <v>31028328.168223538</v>
      </c>
      <c r="G5">
        <f>SUM([23]Usage!B$22:B$25)</f>
        <v>793.19492925674683</v>
      </c>
      <c r="I5" s="4">
        <f>'[29]data summary'!M26</f>
        <v>2025</v>
      </c>
      <c r="J5" s="4" t="str">
        <f>'[29]data summary'!N26</f>
        <v>Gas</v>
      </c>
      <c r="K5" s="4">
        <f>'[29]data summary'!O26</f>
        <v>4.1319818493023262E-3</v>
      </c>
      <c r="L5" s="4">
        <f>'[29]data summary'!P26</f>
        <v>3.976156693402399E-4</v>
      </c>
      <c r="M5" s="4">
        <f>'[29]data summary'!Q26</f>
        <v>1.782306908581134E-4</v>
      </c>
      <c r="N5" s="4">
        <f>'[29]data summary'!R26</f>
        <v>0</v>
      </c>
      <c r="O5" s="4">
        <f>'[29]data summary'!S26</f>
        <v>3.3767123203247082E-4</v>
      </c>
      <c r="P5" s="4">
        <f>'[29]data summary'!T26</f>
        <v>3.2485972728216231E-5</v>
      </c>
      <c r="Q5" s="4">
        <f>'[29]data summary'!U26</f>
        <v>1.4056137064138476E-4</v>
      </c>
      <c r="R5" s="4">
        <f>'[29]data summary'!V26</f>
        <v>0</v>
      </c>
      <c r="S5" s="4">
        <f>'[29]data summary'!W26</f>
        <v>3.131084935440244E-2</v>
      </c>
      <c r="T5" s="4">
        <f>'[29]data summary'!X26</f>
        <v>3.0107843024258802E-3</v>
      </c>
      <c r="U5" s="4">
        <f>'[29]data summary'!Y26</f>
        <v>1.3703996275639586E-4</v>
      </c>
      <c r="V5" t="s">
        <v>29</v>
      </c>
      <c r="W5">
        <f>SUM([23]Manu_gas!$B$22:$M$25)</f>
        <v>13.664545411335233</v>
      </c>
      <c r="X5">
        <f>W5/SUM($W$5:$W$8)</f>
        <v>4.2063434671627941E-3</v>
      </c>
    </row>
    <row r="6" spans="1:24" x14ac:dyDescent="0.2">
      <c r="B6" t="str">
        <f>'[28]data summary'!B37</f>
        <v>Sur</v>
      </c>
      <c r="C6">
        <f>'[28]data summary'!C37</f>
        <v>253761.85839454836</v>
      </c>
      <c r="D6">
        <f>'[28]data summary'!D37</f>
        <v>2.8821129273856824E-2</v>
      </c>
      <c r="E6">
        <f>'[28]data summary'!E37</f>
        <v>2645782.886405101</v>
      </c>
      <c r="G6">
        <f>SUM([23]Usage!C$22:C$25)</f>
        <v>18.675883076269283</v>
      </c>
      <c r="I6" s="4">
        <f>'[29]data summary'!M27</f>
        <v>0</v>
      </c>
      <c r="J6" s="4" t="str">
        <f>'[29]data summary'!N27</f>
        <v>Solid</v>
      </c>
      <c r="K6" s="4">
        <f>'[29]data summary'!O27</f>
        <v>4.7664512326386889E-2</v>
      </c>
      <c r="L6" s="4">
        <f>'[29]data summary'!P27</f>
        <v>4.5884728961891165E-3</v>
      </c>
      <c r="M6" s="4">
        <f>'[29]data summary'!Q27</f>
        <v>2.0559816744551776E-3</v>
      </c>
      <c r="N6" s="4">
        <f>'[29]data summary'!R27</f>
        <v>0</v>
      </c>
      <c r="O6" s="4">
        <f>'[29]data summary'!S27</f>
        <v>3.8951255119629696E-3</v>
      </c>
      <c r="P6" s="4">
        <f>'[29]data summary'!T27</f>
        <v>3.7487888147746289E-4</v>
      </c>
      <c r="Q6" s="4">
        <f>'[29]data summary'!U27</f>
        <v>1.6214119795940802E-3</v>
      </c>
      <c r="R6" s="4">
        <f>'[29]data summary'!V27</f>
        <v>0</v>
      </c>
      <c r="S6" s="4">
        <f>'[29]data summary'!W27</f>
        <v>0.36118566309589006</v>
      </c>
      <c r="T6" s="4">
        <f>'[29]data summary'!X27</f>
        <v>3.4744139120489237E-2</v>
      </c>
      <c r="U6" s="4">
        <f>'[29]data summary'!Y27</f>
        <v>1.5808216908636955E-3</v>
      </c>
      <c r="V6" t="s">
        <v>30</v>
      </c>
      <c r="W6">
        <f>SUM([23]Manu_solid!$B$22:$M$25)</f>
        <v>16.19874617280545</v>
      </c>
      <c r="X6">
        <f t="shared" ref="X6:X8" si="0">W6/SUM($W$5:$W$8)</f>
        <v>4.9864439752006686E-3</v>
      </c>
    </row>
    <row r="7" spans="1:24" x14ac:dyDescent="0.2">
      <c r="B7" t="str">
        <f>'[28]data summary'!B38</f>
        <v>TARC</v>
      </c>
      <c r="C7">
        <f>'[28]data summary'!C38</f>
        <v>13251754.179208692</v>
      </c>
      <c r="D7">
        <f>'[28]data summary'!D38</f>
        <v>1.4784421619241437</v>
      </c>
      <c r="E7">
        <f>'[28]data summary'!E38</f>
        <v>136643428.18918371</v>
      </c>
      <c r="G7">
        <f>SUM([23]Usage!D$22:D$25)</f>
        <v>1028.0208422367455</v>
      </c>
      <c r="I7" s="4">
        <f>'[29]data summary'!M28</f>
        <v>0</v>
      </c>
      <c r="J7" s="4" t="str">
        <f>'[29]data summary'!N28</f>
        <v>Solvent</v>
      </c>
      <c r="K7" s="4">
        <f>'[29]data summary'!O28</f>
        <v>3.8901474624481751</v>
      </c>
      <c r="L7" s="4">
        <f>'[29]data summary'!P28</f>
        <v>0.37438427694786408</v>
      </c>
      <c r="M7" s="4">
        <f>'[29]data summary'!Q28</f>
        <v>0.16779930189895298</v>
      </c>
      <c r="N7" s="4">
        <f>'[29]data summary'!R28</f>
        <v>0</v>
      </c>
      <c r="O7" s="4">
        <f>'[29]data summary'!S28</f>
        <v>0.2050655239123802</v>
      </c>
      <c r="P7" s="4">
        <f>'[29]data summary'!T28</f>
        <v>1.9758057708768345E-2</v>
      </c>
      <c r="Q7" s="4">
        <f>'[29]data summary'!U28</f>
        <v>8.5361998233968742E-2</v>
      </c>
      <c r="R7" s="4">
        <f>'[29]data summary'!V28</f>
        <v>0</v>
      </c>
      <c r="S7" s="4">
        <f>'[29]data summary'!W28</f>
        <v>27.072470298919228</v>
      </c>
      <c r="T7" s="4">
        <f>'[29]data summary'!X28</f>
        <v>2.6044229968506154</v>
      </c>
      <c r="U7" s="4">
        <f>'[29]data summary'!Y28</f>
        <v>0.11848960976735307</v>
      </c>
      <c r="V7" t="s">
        <v>31</v>
      </c>
      <c r="W7">
        <f>SUM([23]Manu_solvent!$B$22:$M$25)</f>
        <v>1654.9821776724414</v>
      </c>
      <c r="X7">
        <f t="shared" si="0"/>
        <v>0.50945152303043884</v>
      </c>
    </row>
    <row r="8" spans="1:24" x14ac:dyDescent="0.2">
      <c r="B8" t="str">
        <f>'[28]data summary'!B39</f>
        <v>Polymer</v>
      </c>
      <c r="C8">
        <f>'[28]data summary'!C39</f>
        <v>288306.4193637406</v>
      </c>
      <c r="D8">
        <f>'[28]data summary'!D39</f>
        <v>1.6359842666604708E-2</v>
      </c>
      <c r="E8">
        <f>'[28]data summary'!E39</f>
        <v>2066129.337351589</v>
      </c>
      <c r="G8">
        <f>SUM([23]Usage!E$22:E$25)</f>
        <v>53.907243290017455</v>
      </c>
      <c r="I8" s="4">
        <f>'[29]data summary'!M29</f>
        <v>0</v>
      </c>
      <c r="J8" s="4" t="str">
        <f>'[29]data summary'!N29</f>
        <v>Water</v>
      </c>
      <c r="K8" s="4">
        <f>'[29]data summary'!O29</f>
        <v>19.241391244560599</v>
      </c>
      <c r="L8" s="4">
        <f>'[29]data summary'!P29</f>
        <v>1.8597110517801247</v>
      </c>
      <c r="M8" s="4">
        <f>'[29]data summary'!Q29</f>
        <v>0.82996648573573384</v>
      </c>
      <c r="N8" s="4">
        <f>'[29]data summary'!R29</f>
        <v>0</v>
      </c>
      <c r="O8" s="4">
        <f>'[29]data summary'!S29</f>
        <v>2.1930063131962201</v>
      </c>
      <c r="P8" s="4">
        <f>'[29]data summary'!T29</f>
        <v>0.21220069562914329</v>
      </c>
      <c r="Q8" s="4">
        <f>'[29]data summary'!U29</f>
        <v>0.91287602841579574</v>
      </c>
      <c r="R8" s="4">
        <f>'[29]data summary'!V29</f>
        <v>0</v>
      </c>
      <c r="S8" s="4">
        <f>'[29]data summary'!W29</f>
        <v>201.01473155268391</v>
      </c>
      <c r="T8" s="4">
        <f>'[29]data summary'!X29</f>
        <v>19.463437729764848</v>
      </c>
      <c r="U8" s="4">
        <f>'[29]data summary'!Y29</f>
        <v>0.87979252857902679</v>
      </c>
      <c r="V8" t="s">
        <v>32</v>
      </c>
      <c r="W8">
        <f>SUM([23]Manu_water!$B$22:$M$25)</f>
        <v>1563.7112684441688</v>
      </c>
      <c r="X8">
        <f t="shared" si="0"/>
        <v>0.48135568952719765</v>
      </c>
    </row>
    <row r="9" spans="1:24" x14ac:dyDescent="0.2">
      <c r="B9" t="str">
        <f>'[28]data summary'!B40</f>
        <v>ITC</v>
      </c>
      <c r="C9">
        <f>'[28]data summary'!C40</f>
        <v>6923658.6006540796</v>
      </c>
      <c r="D9">
        <f>'[28]data summary'!D40</f>
        <v>0.75131606033422338</v>
      </c>
      <c r="E9">
        <f>'[28]data summary'!E40</f>
        <v>70196161.828846052</v>
      </c>
      <c r="G9">
        <f>SUM([23]Usage!F$22:F$25)</f>
        <v>578.539423277894</v>
      </c>
      <c r="I9" s="4">
        <f>'[29]data summary'!M30</f>
        <v>0</v>
      </c>
      <c r="J9" s="4">
        <f>'[29]data summary'!N30</f>
        <v>0</v>
      </c>
      <c r="K9" s="4">
        <f>'[29]data summary'!O30</f>
        <v>23.183335201184462</v>
      </c>
      <c r="L9" s="4">
        <f>'[29]data summary'!P30</f>
        <v>2.2390814172935181</v>
      </c>
      <c r="M9" s="4">
        <f>'[29]data summary'!Q30</f>
        <v>0</v>
      </c>
      <c r="N9" s="4">
        <f>'[29]data summary'!R30</f>
        <v>0</v>
      </c>
      <c r="O9" s="4">
        <f>'[29]data summary'!S30</f>
        <v>2.4023046338525957</v>
      </c>
      <c r="P9" s="4">
        <f>'[29]data summary'!T30</f>
        <v>0.2323661181921173</v>
      </c>
      <c r="Q9" s="4">
        <f>'[29]data summary'!U30</f>
        <v>0</v>
      </c>
      <c r="R9" s="4">
        <f>'[29]data summary'!V30</f>
        <v>0</v>
      </c>
      <c r="S9" s="4">
        <f>'[29]data summary'!W30</f>
        <v>228.47969836405343</v>
      </c>
      <c r="T9" s="4">
        <f>'[29]data summary'!X30</f>
        <v>22.105615650038381</v>
      </c>
      <c r="U9" s="4">
        <f>'[29]data summary'!Y30</f>
        <v>0</v>
      </c>
    </row>
    <row r="10" spans="1:24" x14ac:dyDescent="0.2">
      <c r="B10" t="str">
        <f>'[28]data summary'!B41</f>
        <v>PBO</v>
      </c>
      <c r="C10">
        <f>'[28]data summary'!C41</f>
        <v>2567312.1866645659</v>
      </c>
      <c r="D10">
        <f>'[28]data summary'!D41</f>
        <v>0.14077843044966593</v>
      </c>
      <c r="E10">
        <f>'[28]data summary'!E41</f>
        <v>18152114.294219285</v>
      </c>
      <c r="G10">
        <f>SUM([23]Usage!G$22:G$25)</f>
        <v>521.70404251919263</v>
      </c>
      <c r="I10" s="4">
        <f>'[29]data summary'!M31</f>
        <v>0</v>
      </c>
      <c r="J10" s="4">
        <f>'[29]data summary'!N31</f>
        <v>0</v>
      </c>
      <c r="K10" s="4">
        <f>'[29]data summary'!O31</f>
        <v>0</v>
      </c>
      <c r="L10" s="4">
        <f>'[29]data summary'!P31</f>
        <v>0</v>
      </c>
      <c r="M10" s="4">
        <f>'[29]data summary'!Q31</f>
        <v>0</v>
      </c>
      <c r="N10" s="4">
        <f>'[29]data summary'!R31</f>
        <v>0</v>
      </c>
      <c r="O10" s="4">
        <f>'[29]data summary'!S31</f>
        <v>0</v>
      </c>
      <c r="P10" s="4">
        <f>'[29]data summary'!T31</f>
        <v>0</v>
      </c>
      <c r="Q10" s="4">
        <f>'[29]data summary'!U31</f>
        <v>0</v>
      </c>
      <c r="R10" s="4">
        <f>'[29]data summary'!V31</f>
        <v>0</v>
      </c>
      <c r="S10" s="4">
        <f>'[29]data summary'!W31</f>
        <v>0</v>
      </c>
      <c r="T10" s="4">
        <f>'[29]data summary'!X31</f>
        <v>0</v>
      </c>
      <c r="U10" s="4">
        <f>'[29]data summary'!Y31</f>
        <v>0</v>
      </c>
    </row>
    <row r="11" spans="1:24" x14ac:dyDescent="0.2">
      <c r="B11">
        <f>'[28]data summary'!B42</f>
        <v>0</v>
      </c>
      <c r="C11">
        <f>'[28]data summary'!C42</f>
        <v>27576437.540858421</v>
      </c>
      <c r="D11">
        <f>'[28]data summary'!D42</f>
        <v>2.6639861845652737</v>
      </c>
      <c r="E11">
        <f>'[28]data summary'!E42</f>
        <v>260731944.70422927</v>
      </c>
      <c r="G11">
        <f>SUM(G5:G10)</f>
        <v>2994.0423636568657</v>
      </c>
      <c r="I11" s="4">
        <f>'[29]data summary'!M32</f>
        <v>2030</v>
      </c>
      <c r="J11" s="4">
        <f>'[29]data summary'!N32</f>
        <v>31</v>
      </c>
      <c r="K11" s="4">
        <f>'[29]data summary'!O32</f>
        <v>2.9170405288286287E-2</v>
      </c>
      <c r="L11" s="4">
        <f>'[29]data summary'!P32</f>
        <v>3.2340397962124963E-3</v>
      </c>
      <c r="M11" s="4">
        <f>'[29]data summary'!Q32</f>
        <v>1.8205462061931968E-4</v>
      </c>
      <c r="N11" s="4">
        <f>'[29]data summary'!R32</f>
        <v>0</v>
      </c>
      <c r="O11" s="4">
        <f>'[29]data summary'!S32</f>
        <v>2.2678075786410723E-3</v>
      </c>
      <c r="P11" s="4">
        <f>'[29]data summary'!T32</f>
        <v>2.5121872684158827E-4</v>
      </c>
      <c r="Q11" s="4">
        <f>'[29]data summary'!U32</f>
        <v>1.5229379001036514E-4</v>
      </c>
      <c r="R11" s="4">
        <f>'[29]data summary'!V32</f>
        <v>0</v>
      </c>
      <c r="S11" s="4">
        <f>'[29]data summary'!W32</f>
        <v>0.21978530245281094</v>
      </c>
      <c r="T11" s="4">
        <f>'[29]data summary'!X32</f>
        <v>2.4140156673492348E-2</v>
      </c>
      <c r="U11" s="4">
        <f>'[29]data summary'!Y32</f>
        <v>1.4203668649928164E-4</v>
      </c>
      <c r="V11" t="s">
        <v>29</v>
      </c>
      <c r="W11">
        <f>SUM([23]Manu_gas!$B$42:$M$45)</f>
        <v>101.41521670695919</v>
      </c>
      <c r="X11">
        <f>W11/SUM($W$11:$W$14)</f>
        <v>3.9831746803340095E-3</v>
      </c>
    </row>
    <row r="12" spans="1:24" x14ac:dyDescent="0.2">
      <c r="I12" s="4">
        <f>'[29]data summary'!M33</f>
        <v>0</v>
      </c>
      <c r="J12" s="4" t="str">
        <f>'[29]data summary'!N33</f>
        <v>Solid</v>
      </c>
      <c r="K12" s="4">
        <f>'[29]data summary'!O33</f>
        <v>0.38471423197143328</v>
      </c>
      <c r="L12" s="4">
        <f>'[29]data summary'!P33</f>
        <v>4.2654710595038461E-2</v>
      </c>
      <c r="M12" s="4">
        <f>'[29]data summary'!Q33</f>
        <v>2.4010294974042478E-3</v>
      </c>
      <c r="N12" s="4">
        <f>'[29]data summary'!R33</f>
        <v>0</v>
      </c>
      <c r="O12" s="4">
        <f>'[29]data summary'!S33</f>
        <v>2.9907477031267338E-2</v>
      </c>
      <c r="P12" s="4">
        <f>'[29]data summary'!T33</f>
        <v>3.313235735785334E-3</v>
      </c>
      <c r="Q12" s="4">
        <f>'[29]data summary'!U33</f>
        <v>2.0084257013855433E-3</v>
      </c>
      <c r="R12" s="4">
        <f>'[29]data summary'!V33</f>
        <v>0</v>
      </c>
      <c r="S12" s="4">
        <f>'[29]data summary'!W33</f>
        <v>2.8986244416052327</v>
      </c>
      <c r="T12" s="4">
        <f>'[29]data summary'!X33</f>
        <v>0.31838733641431105</v>
      </c>
      <c r="U12" s="4">
        <f>'[29]data summary'!Y33</f>
        <v>1.8732417795763855E-3</v>
      </c>
      <c r="V12" t="s">
        <v>30</v>
      </c>
      <c r="W12">
        <f>SUM([23]Manu_solid!$B$42:$M$45)</f>
        <v>130.87316663629105</v>
      </c>
      <c r="X12">
        <f t="shared" ref="X12:X14" si="1">W12/SUM($W$11:$W$14)</f>
        <v>5.1401623997618176E-3</v>
      </c>
    </row>
    <row r="13" spans="1:24" x14ac:dyDescent="0.2">
      <c r="A13">
        <f>'[28]data summary'!A44</f>
        <v>2030</v>
      </c>
      <c r="B13" t="str">
        <f>'[28]data summary'!B44</f>
        <v>PAG</v>
      </c>
      <c r="C13">
        <f>'[28]data summary'!C44</f>
        <v>30662086.994517568</v>
      </c>
      <c r="D13">
        <f>'[28]data summary'!D44</f>
        <v>1.6436130940968861</v>
      </c>
      <c r="E13">
        <f>'[28]data summary'!E44</f>
        <v>220645611.45280784</v>
      </c>
      <c r="G13">
        <f>SUM([23]Usage!B$42:B$45)</f>
        <v>5828.3258448266824</v>
      </c>
      <c r="I13" s="4">
        <f>'[29]data summary'!M34</f>
        <v>0</v>
      </c>
      <c r="J13" s="4" t="str">
        <f>'[29]data summary'!N34</f>
        <v>Solvent</v>
      </c>
      <c r="K13" s="4">
        <f>'[29]data summary'!O34</f>
        <v>32.810257848039392</v>
      </c>
      <c r="L13" s="4">
        <f>'[29]data summary'!P34</f>
        <v>3.6096041543624366</v>
      </c>
      <c r="M13" s="4">
        <f>'[29]data summary'!Q34</f>
        <v>0.20477120512773603</v>
      </c>
      <c r="N13" s="4">
        <f>'[29]data summary'!R34</f>
        <v>0</v>
      </c>
      <c r="O13" s="4">
        <f>'[29]data summary'!S34</f>
        <v>1.6092883703460767</v>
      </c>
      <c r="P13" s="4">
        <f>'[29]data summary'!T34</f>
        <v>0.18034058521447716</v>
      </c>
      <c r="Q13" s="4">
        <f>'[29]data summary'!U34</f>
        <v>0.10807117299011278</v>
      </c>
      <c r="R13" s="4">
        <f>'[29]data summary'!V34</f>
        <v>0</v>
      </c>
      <c r="S13" s="4">
        <f>'[29]data summary'!W34</f>
        <v>227.61427512129532</v>
      </c>
      <c r="T13" s="4">
        <f>'[29]data summary'!X34</f>
        <v>24.921072135612334</v>
      </c>
      <c r="U13" s="4">
        <f>'[29]data summary'!Y34</f>
        <v>0.14709617557391488</v>
      </c>
      <c r="V13" t="s">
        <v>31</v>
      </c>
      <c r="W13">
        <f>SUM([23]Manu_solvent!$B$42:$M$45)</f>
        <v>13338.486788652133</v>
      </c>
      <c r="X13">
        <f t="shared" si="1"/>
        <v>0.52388117459776706</v>
      </c>
    </row>
    <row r="14" spans="1:24" x14ac:dyDescent="0.2">
      <c r="B14" t="str">
        <f>'[28]data summary'!B45</f>
        <v>Sur</v>
      </c>
      <c r="C14">
        <f>'[28]data summary'!C45</f>
        <v>1697236.7367817487</v>
      </c>
      <c r="D14">
        <f>'[28]data summary'!D45</f>
        <v>0.17978427801017913</v>
      </c>
      <c r="E14">
        <f>'[28]data summary'!E45</f>
        <v>17783402.334377538</v>
      </c>
      <c r="G14">
        <f>SUM([23]Usage!C$42:C$45)</f>
        <v>137.22872902172634</v>
      </c>
      <c r="I14" s="4">
        <f>'[29]data summary'!M35</f>
        <v>0</v>
      </c>
      <c r="J14" s="4" t="str">
        <f>'[29]data summary'!N35</f>
        <v>Water</v>
      </c>
      <c r="K14" s="4">
        <f>'[29]data summary'!O35</f>
        <v>127.00472283574246</v>
      </c>
      <c r="L14" s="4">
        <f>'[29]data summary'!P35</f>
        <v>15.063395489199827</v>
      </c>
      <c r="M14" s="4">
        <f>'[29]data summary'!Q35</f>
        <v>0.79264571075424051</v>
      </c>
      <c r="N14" s="4">
        <f>'[29]data summary'!R35</f>
        <v>0</v>
      </c>
      <c r="O14" s="4">
        <f>'[29]data summary'!S35</f>
        <v>13.249541280220461</v>
      </c>
      <c r="P14" s="4">
        <f>'[29]data summary'!T35</f>
        <v>1.613616125888105</v>
      </c>
      <c r="Q14" s="4">
        <f>'[29]data summary'!U35</f>
        <v>0.88976810751849134</v>
      </c>
      <c r="R14" s="4">
        <f>'[29]data summary'!V35</f>
        <v>0</v>
      </c>
      <c r="S14" s="4">
        <f>'[29]data summary'!W35</f>
        <v>1316.6513598470847</v>
      </c>
      <c r="T14" s="4">
        <f>'[29]data summary'!X35</f>
        <v>160.07908213449602</v>
      </c>
      <c r="U14" s="4">
        <f>'[29]data summary'!Y35</f>
        <v>0.85088854596000951</v>
      </c>
      <c r="V14" t="s">
        <v>32</v>
      </c>
      <c r="W14">
        <f>SUM([23]Manu_water!$B$42:$M$45)</f>
        <v>11890.125954855277</v>
      </c>
      <c r="X14">
        <f t="shared" si="1"/>
        <v>0.46699548832213722</v>
      </c>
    </row>
    <row r="15" spans="1:24" x14ac:dyDescent="0.2">
      <c r="B15" t="str">
        <f>'[28]data summary'!B46</f>
        <v>TARC</v>
      </c>
      <c r="C15">
        <f>'[28]data summary'!C46</f>
        <v>91286000.846661165</v>
      </c>
      <c r="D15">
        <f>'[28]data summary'!D46</f>
        <v>9.4852978805945831</v>
      </c>
      <c r="E15">
        <f>'[28]data summary'!E46</f>
        <v>945008731.76302552</v>
      </c>
      <c r="G15">
        <f>SUM([23]Usage!D$42:D$45)</f>
        <v>7761.644014286856</v>
      </c>
      <c r="I15" s="4">
        <f>'[29]data summary'!M36</f>
        <v>0</v>
      </c>
      <c r="J15" s="4">
        <f>'[29]data summary'!N36</f>
        <v>0</v>
      </c>
      <c r="K15" s="4">
        <f>'[29]data summary'!O36</f>
        <v>160.22886532104155</v>
      </c>
      <c r="L15" s="4">
        <f>'[29]data summary'!P36</f>
        <v>18.718888393953513</v>
      </c>
      <c r="M15" s="4">
        <f>'[29]data summary'!Q36</f>
        <v>0</v>
      </c>
      <c r="N15" s="4">
        <f>'[29]data summary'!R36</f>
        <v>0</v>
      </c>
      <c r="O15" s="4">
        <f>'[29]data summary'!S36</f>
        <v>14.891004935176445</v>
      </c>
      <c r="P15" s="4">
        <f>'[29]data summary'!T36</f>
        <v>1.797521165565209</v>
      </c>
      <c r="Q15" s="4">
        <f>'[29]data summary'!U36</f>
        <v>0</v>
      </c>
      <c r="R15" s="4">
        <f>'[29]data summary'!V36</f>
        <v>0</v>
      </c>
      <c r="S15" s="4">
        <f>'[29]data summary'!W36</f>
        <v>1547.384044712438</v>
      </c>
      <c r="T15" s="4">
        <f>'[29]data summary'!X36</f>
        <v>185.34268176319617</v>
      </c>
      <c r="U15" s="4">
        <f>'[29]data summary'!Y36</f>
        <v>0</v>
      </c>
    </row>
    <row r="16" spans="1:24" x14ac:dyDescent="0.2">
      <c r="B16" t="str">
        <f>'[28]data summary'!B47</f>
        <v>Polymer</v>
      </c>
      <c r="C16">
        <f>'[28]data summary'!C47</f>
        <v>2062446.0921097463</v>
      </c>
      <c r="D16">
        <f>'[28]data summary'!D47</f>
        <v>0.10855634066693953</v>
      </c>
      <c r="E16">
        <f>'[28]data summary'!E47</f>
        <v>14715715.363308847</v>
      </c>
      <c r="G16">
        <f>SUM([23]Usage!E$42:E$45)</f>
        <v>396.10563267843281</v>
      </c>
      <c r="I16" s="4">
        <f>'[29]data summary'!M37</f>
        <v>0</v>
      </c>
      <c r="J16" s="4">
        <f>'[29]data summary'!N37</f>
        <v>0</v>
      </c>
      <c r="K16" s="4">
        <f>'[29]data summary'!O37</f>
        <v>0</v>
      </c>
      <c r="L16" s="4">
        <f>'[29]data summary'!P37</f>
        <v>0</v>
      </c>
      <c r="M16" s="4">
        <f>'[29]data summary'!Q37</f>
        <v>0</v>
      </c>
      <c r="N16" s="4">
        <f>'[29]data summary'!R37</f>
        <v>0</v>
      </c>
      <c r="O16" s="4">
        <f>'[29]data summary'!S37</f>
        <v>0</v>
      </c>
      <c r="P16" s="4">
        <f>'[29]data summary'!T37</f>
        <v>0</v>
      </c>
      <c r="Q16" s="4">
        <f>'[29]data summary'!U37</f>
        <v>0</v>
      </c>
      <c r="R16" s="4">
        <f>'[29]data summary'!V37</f>
        <v>0</v>
      </c>
      <c r="S16" s="4">
        <f>'[29]data summary'!W37</f>
        <v>0</v>
      </c>
      <c r="T16" s="4">
        <f>'[29]data summary'!X37</f>
        <v>0</v>
      </c>
      <c r="U16" s="4">
        <f>'[29]data summary'!Y37</f>
        <v>0</v>
      </c>
    </row>
    <row r="17" spans="2:21" x14ac:dyDescent="0.2">
      <c r="B17" t="str">
        <f>'[28]data summary'!B48</f>
        <v>ITC</v>
      </c>
      <c r="C17">
        <f>'[28]data summary'!C48</f>
        <v>47423398.400352627</v>
      </c>
      <c r="D17">
        <f>'[28]data summary'!D48</f>
        <v>4.7840823459680912</v>
      </c>
      <c r="E17">
        <f>'[28]data summary'!E48</f>
        <v>482022047.71503621</v>
      </c>
      <c r="G17">
        <f>SUM([23]Usage!F$42:F$45)</f>
        <v>4326.6797023588733</v>
      </c>
      <c r="I17" s="4">
        <f>'[29]data summary'!M38</f>
        <v>2025</v>
      </c>
      <c r="J17" s="4">
        <f>'[29]data summary'!N38</f>
        <v>0</v>
      </c>
      <c r="K17" s="4">
        <f>'[29]data summary'!O38</f>
        <v>23.183335201184462</v>
      </c>
      <c r="L17" s="4">
        <f>'[29]data summary'!P38</f>
        <v>2.2390814172935181</v>
      </c>
      <c r="M17" s="4">
        <f>'[29]data summary'!Q38</f>
        <v>0</v>
      </c>
      <c r="N17" s="4">
        <f>'[29]data summary'!R38</f>
        <v>0</v>
      </c>
      <c r="O17" s="4">
        <f>'[29]data summary'!S38</f>
        <v>2.4023046338525957</v>
      </c>
      <c r="P17" s="4">
        <f>'[29]data summary'!T38</f>
        <v>0.2323661181921173</v>
      </c>
      <c r="Q17" s="4">
        <f>'[29]data summary'!U38</f>
        <v>0</v>
      </c>
      <c r="R17" s="4">
        <f>'[29]data summary'!V38</f>
        <v>0</v>
      </c>
      <c r="S17" s="4">
        <f>'[29]data summary'!W38</f>
        <v>228.47969836405343</v>
      </c>
      <c r="T17" s="4">
        <f>'[29]data summary'!X38</f>
        <v>22.105615650038381</v>
      </c>
      <c r="U17" s="4">
        <f>'[29]data summary'!Y38</f>
        <v>0</v>
      </c>
    </row>
    <row r="18" spans="2:21" x14ac:dyDescent="0.2">
      <c r="B18" t="str">
        <f>'[28]data summary'!B49</f>
        <v>PBO</v>
      </c>
      <c r="C18">
        <f>'[28]data summary'!C49</f>
        <v>23203040.847377677</v>
      </c>
      <c r="D18">
        <f>'[28]data summary'!D49</f>
        <v>1.1816198472379611</v>
      </c>
      <c r="E18">
        <f>'[28]data summary'!E49</f>
        <v>163425102.45199502</v>
      </c>
      <c r="G18">
        <f>SUM([23]Usage!G$42:G$45)</f>
        <v>4833.3514231749086</v>
      </c>
      <c r="I18" s="4">
        <f>'[29]data summary'!M39</f>
        <v>2030</v>
      </c>
      <c r="J18" s="4">
        <f>'[29]data summary'!N39</f>
        <v>0</v>
      </c>
      <c r="K18" s="4">
        <f>'[29]data summary'!O39</f>
        <v>160.22886532104155</v>
      </c>
      <c r="L18" s="4">
        <f>'[29]data summary'!P39</f>
        <v>18.718888393953513</v>
      </c>
      <c r="M18" s="4">
        <f>'[29]data summary'!Q39</f>
        <v>0</v>
      </c>
      <c r="N18" s="4">
        <f>'[29]data summary'!R39</f>
        <v>0</v>
      </c>
      <c r="O18" s="4">
        <f>'[29]data summary'!S39</f>
        <v>14.891004935176445</v>
      </c>
      <c r="P18" s="4">
        <f>'[29]data summary'!T39</f>
        <v>1.797521165565209</v>
      </c>
      <c r="Q18" s="4">
        <f>'[29]data summary'!U39</f>
        <v>0</v>
      </c>
      <c r="R18" s="4">
        <f>'[29]data summary'!V39</f>
        <v>0</v>
      </c>
      <c r="S18" s="4">
        <f>'[29]data summary'!W39</f>
        <v>1547.384044712438</v>
      </c>
      <c r="T18" s="4">
        <f>'[29]data summary'!X39</f>
        <v>185.34268176319617</v>
      </c>
      <c r="U18" s="4">
        <f>'[29]data summary'!Y39</f>
        <v>0</v>
      </c>
    </row>
    <row r="19" spans="2:21" x14ac:dyDescent="0.2">
      <c r="B19">
        <f>'[28]data summary'!B50</f>
        <v>0</v>
      </c>
      <c r="C19">
        <f>'[28]data summary'!C50</f>
        <v>196334209.91780055</v>
      </c>
      <c r="D19">
        <f>'[28]data summary'!D50</f>
        <v>17.382953786574639</v>
      </c>
      <c r="E19">
        <f>'[28]data summary'!E50</f>
        <v>1843600611.0805511</v>
      </c>
      <c r="G19">
        <f>SUM(G13:G18)</f>
        <v>23283.335346347478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data summary</vt:lpstr>
      <vt:lpstr>1-incineration improvement</vt:lpstr>
      <vt:lpstr>2-better separation</vt:lpstr>
      <vt:lpstr>3-Source management</vt:lpstr>
      <vt:lpstr>4-Cascade</vt:lpstr>
      <vt:lpstr>5-alternativess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Bingzheng Wang</dc:creator>
  <cp:lastModifiedBy>Bingzheng Wang</cp:lastModifiedBy>
  <dcterms:created xsi:type="dcterms:W3CDTF">2025-12-16T17:42:50Z</dcterms:created>
  <dcterms:modified xsi:type="dcterms:W3CDTF">2026-03-11T14:55:53Z</dcterms:modified>
</cp:coreProperties>
</file>